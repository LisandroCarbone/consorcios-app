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1"/>
  <mc:AlternateContent xmlns:mc="http://schemas.openxmlformats.org/markup-compatibility/2006">
    <mc:Choice Requires="x15">
      <x15ac:absPath xmlns:x15ac="http://schemas.microsoft.com/office/spreadsheetml/2010/11/ac" url="D:\"/>
    </mc:Choice>
  </mc:AlternateContent>
  <xr:revisionPtr revIDLastSave="0" documentId="13_ncr:1_{31120A90-03E0-44E0-9649-A9227AEDFBF9}" xr6:coauthVersionLast="47" xr6:coauthVersionMax="47" xr10:uidLastSave="{00000000-0000-0000-0000-000000000000}"/>
  <bookViews>
    <workbookView xWindow="-120" yWindow="-120" windowWidth="20730" windowHeight="11160" tabRatio="854" xr2:uid="{00000000-000D-0000-FFFF-FFFF00000000}"/>
  </bookViews>
  <sheets>
    <sheet name="Recibo" sheetId="1" r:id="rId1"/>
    <sheet name="BD_Recibo" sheetId="10" r:id="rId2"/>
    <sheet name="Empleados" sheetId="2" r:id="rId3"/>
    <sheet name="Empleador" sheetId="3" r:id="rId4"/>
    <sheet name="Escalas" sheetId="4" r:id="rId5"/>
    <sheet name="Descuentos" sheetId="5" r:id="rId6"/>
    <sheet name="Contribuciones SS" sheetId="6" r:id="rId7"/>
    <sheet name="PAGOS AyC" sheetId="7" r:id="rId8"/>
    <sheet name="Contribucion Sindical" sheetId="8" r:id="rId9"/>
    <sheet name="Novedades" sheetId="9" r:id="rId10"/>
    <sheet name="CONCEPTOS LIQ FINAL Y SAC" sheetId="11" r:id="rId11"/>
    <sheet name="PLANILLA DE VACACIONES" sheetId="12" r:id="rId12"/>
  </sheets>
  <functionGroups builtInGroupCount="19"/>
  <definedNames>
    <definedName name="_xlnm.Print_Area" localSheetId="0">Recibo!$B$2:$K$89</definedName>
    <definedName name="CUILs_Filtrados">OFFSET(Empleados[CUIL],MATCH(Recibo!$N$3,Empleados[CUIT],0)-1,0,COUNTIF(Empleados[CUIT],Recibo!$N$3),1)</definedName>
  </definedNames>
  <calcPr calcId="191029"/>
</workbook>
</file>

<file path=xl/calcChain.xml><?xml version="1.0" encoding="utf-8"?>
<calcChain xmlns="http://schemas.openxmlformats.org/spreadsheetml/2006/main">
  <c r="AE16" i="3" l="1"/>
  <c r="AE15" i="3"/>
  <c r="AE14" i="3"/>
  <c r="AE11" i="3"/>
  <c r="AE10" i="3"/>
  <c r="AE9" i="3"/>
  <c r="AE8" i="3"/>
  <c r="AE7" i="3"/>
  <c r="AE6" i="3"/>
  <c r="AE5" i="3"/>
  <c r="AE3" i="3"/>
  <c r="AE2" i="3"/>
  <c r="AD16" i="3"/>
  <c r="AD15" i="3"/>
  <c r="AD14" i="3"/>
  <c r="AD11" i="3"/>
  <c r="AD10" i="3"/>
  <c r="AD9" i="3"/>
  <c r="AD8" i="3"/>
  <c r="AD7" i="3"/>
  <c r="AD6" i="3"/>
  <c r="AD5" i="3"/>
  <c r="AD3" i="3"/>
  <c r="AD2" i="3"/>
  <c r="G38" i="1"/>
  <c r="H30" i="1"/>
  <c r="S2" i="10" s="1"/>
  <c r="J63" i="1"/>
  <c r="J44" i="9"/>
  <c r="F44" i="9" s="1"/>
  <c r="J25" i="9"/>
  <c r="F25" i="9" s="1"/>
  <c r="I40" i="9"/>
  <c r="F40" i="9" s="1"/>
  <c r="I22" i="9"/>
  <c r="I21" i="9"/>
  <c r="F21" i="9" s="1"/>
  <c r="I3" i="9"/>
  <c r="I2" i="9"/>
  <c r="H48" i="1"/>
  <c r="H47" i="1"/>
  <c r="H46" i="1"/>
  <c r="H45" i="1"/>
  <c r="AY2" i="10" s="1"/>
  <c r="H44" i="1"/>
  <c r="H49" i="1"/>
  <c r="H50" i="1"/>
  <c r="H51" i="1"/>
  <c r="H43" i="1"/>
  <c r="H42" i="1"/>
  <c r="H41" i="1"/>
  <c r="AU2" i="10" s="1"/>
  <c r="N5" i="1"/>
  <c r="BA2" i="10"/>
  <c r="AZ2" i="10"/>
  <c r="AX2" i="10"/>
  <c r="AW2" i="10"/>
  <c r="AV2" i="10"/>
  <c r="AT2" i="10"/>
  <c r="F204" i="9"/>
  <c r="F205" i="9"/>
  <c r="F206" i="9"/>
  <c r="F207" i="9"/>
  <c r="F208" i="9"/>
  <c r="F209" i="9"/>
  <c r="F210" i="9"/>
  <c r="F211" i="9"/>
  <c r="F212" i="9"/>
  <c r="F213" i="9"/>
  <c r="F214" i="9"/>
  <c r="F215" i="9"/>
  <c r="F216" i="9"/>
  <c r="F217" i="9"/>
  <c r="F218" i="9"/>
  <c r="F219" i="9"/>
  <c r="F220" i="9"/>
  <c r="F221" i="9"/>
  <c r="F222" i="9"/>
  <c r="B222" i="9"/>
  <c r="B221" i="9"/>
  <c r="B220" i="9"/>
  <c r="B219" i="9"/>
  <c r="B218" i="9"/>
  <c r="B217" i="9"/>
  <c r="B216" i="9"/>
  <c r="B215" i="9"/>
  <c r="B214" i="9"/>
  <c r="B213" i="9"/>
  <c r="B212" i="9"/>
  <c r="B211" i="9"/>
  <c r="B210" i="9"/>
  <c r="B209" i="9"/>
  <c r="B208" i="9"/>
  <c r="B207" i="9"/>
  <c r="B206" i="9"/>
  <c r="B205" i="9"/>
  <c r="B204" i="9"/>
  <c r="F185" i="9"/>
  <c r="F186" i="9"/>
  <c r="F187" i="9"/>
  <c r="F188" i="9"/>
  <c r="F189" i="9"/>
  <c r="F190" i="9"/>
  <c r="F191" i="9"/>
  <c r="F192" i="9"/>
  <c r="F193" i="9"/>
  <c r="F194" i="9"/>
  <c r="F195" i="9"/>
  <c r="F196" i="9"/>
  <c r="F197" i="9"/>
  <c r="F198" i="9"/>
  <c r="F199" i="9"/>
  <c r="F200" i="9"/>
  <c r="F201" i="9"/>
  <c r="F202" i="9"/>
  <c r="F203" i="9"/>
  <c r="B203" i="9"/>
  <c r="B202" i="9"/>
  <c r="B201" i="9"/>
  <c r="B200" i="9"/>
  <c r="B199" i="9"/>
  <c r="B198" i="9"/>
  <c r="B197" i="9"/>
  <c r="B196" i="9"/>
  <c r="B195" i="9"/>
  <c r="B194" i="9"/>
  <c r="B193" i="9"/>
  <c r="B192" i="9"/>
  <c r="B191" i="9"/>
  <c r="B190" i="9"/>
  <c r="B189" i="9"/>
  <c r="B188" i="9"/>
  <c r="B187" i="9"/>
  <c r="B186" i="9"/>
  <c r="B185" i="9"/>
  <c r="F166" i="9"/>
  <c r="F167" i="9"/>
  <c r="F168" i="9"/>
  <c r="F169" i="9"/>
  <c r="F170" i="9"/>
  <c r="F171" i="9"/>
  <c r="F172" i="9"/>
  <c r="F173" i="9"/>
  <c r="F174" i="9"/>
  <c r="F175" i="9"/>
  <c r="F176" i="9"/>
  <c r="F177" i="9"/>
  <c r="F178" i="9"/>
  <c r="F179" i="9"/>
  <c r="F180" i="9"/>
  <c r="F181" i="9"/>
  <c r="F182" i="9"/>
  <c r="F183" i="9"/>
  <c r="F184" i="9"/>
  <c r="B184" i="9"/>
  <c r="B183" i="9"/>
  <c r="B182" i="9"/>
  <c r="B181" i="9"/>
  <c r="B180" i="9"/>
  <c r="B179" i="9"/>
  <c r="B178" i="9"/>
  <c r="B177" i="9"/>
  <c r="B176" i="9"/>
  <c r="B175" i="9"/>
  <c r="B174" i="9"/>
  <c r="B173" i="9"/>
  <c r="B172" i="9"/>
  <c r="B171" i="9"/>
  <c r="B170" i="9"/>
  <c r="B169" i="9"/>
  <c r="B168" i="9"/>
  <c r="B167" i="9"/>
  <c r="B166" i="9"/>
  <c r="F147" i="9"/>
  <c r="F148" i="9"/>
  <c r="F149" i="9"/>
  <c r="F150" i="9"/>
  <c r="F151" i="9"/>
  <c r="F152" i="9"/>
  <c r="F153" i="9"/>
  <c r="F154" i="9"/>
  <c r="F155" i="9"/>
  <c r="F156" i="9"/>
  <c r="F157" i="9"/>
  <c r="F158" i="9"/>
  <c r="F159" i="9"/>
  <c r="F160" i="9"/>
  <c r="F161" i="9"/>
  <c r="F162" i="9"/>
  <c r="F163" i="9"/>
  <c r="F164" i="9"/>
  <c r="F165" i="9"/>
  <c r="B165" i="9"/>
  <c r="B164" i="9"/>
  <c r="B163" i="9"/>
  <c r="B162" i="9"/>
  <c r="B161" i="9"/>
  <c r="B160" i="9"/>
  <c r="B159" i="9"/>
  <c r="B158" i="9"/>
  <c r="B157" i="9"/>
  <c r="B156" i="9"/>
  <c r="B155" i="9"/>
  <c r="B154" i="9"/>
  <c r="B153" i="9"/>
  <c r="B152" i="9"/>
  <c r="B151" i="9"/>
  <c r="B150" i="9"/>
  <c r="B149" i="9"/>
  <c r="B148" i="9"/>
  <c r="B147" i="9"/>
  <c r="F128" i="9"/>
  <c r="F129" i="9"/>
  <c r="F130" i="9"/>
  <c r="F131" i="9"/>
  <c r="F132" i="9"/>
  <c r="F133" i="9"/>
  <c r="F134" i="9"/>
  <c r="F135" i="9"/>
  <c r="F136" i="9"/>
  <c r="F137" i="9"/>
  <c r="F138" i="9"/>
  <c r="F139" i="9"/>
  <c r="F140" i="9"/>
  <c r="F141" i="9"/>
  <c r="F142" i="9"/>
  <c r="F143" i="9"/>
  <c r="F144" i="9"/>
  <c r="F145" i="9"/>
  <c r="F146" i="9"/>
  <c r="B146" i="9"/>
  <c r="B145" i="9"/>
  <c r="B144" i="9"/>
  <c r="B143" i="9"/>
  <c r="B142" i="9"/>
  <c r="B141" i="9"/>
  <c r="B140" i="9"/>
  <c r="B139" i="9"/>
  <c r="B138" i="9"/>
  <c r="B137" i="9"/>
  <c r="B136" i="9"/>
  <c r="B135" i="9"/>
  <c r="B134" i="9"/>
  <c r="B133" i="9"/>
  <c r="B132" i="9"/>
  <c r="B131" i="9"/>
  <c r="B130" i="9"/>
  <c r="B129" i="9"/>
  <c r="B128" i="9"/>
  <c r="B40" i="9"/>
  <c r="B41" i="9"/>
  <c r="B42" i="9"/>
  <c r="B43" i="9"/>
  <c r="B44" i="9"/>
  <c r="B45" i="9"/>
  <c r="B46" i="9"/>
  <c r="B47" i="9"/>
  <c r="B48" i="9"/>
  <c r="B49" i="9"/>
  <c r="B50" i="9"/>
  <c r="B51" i="9"/>
  <c r="B52" i="9"/>
  <c r="B53" i="9"/>
  <c r="B54" i="9"/>
  <c r="B55" i="9"/>
  <c r="B56" i="9"/>
  <c r="B57" i="9"/>
  <c r="B58" i="9"/>
  <c r="F41" i="9"/>
  <c r="F42" i="9"/>
  <c r="F43" i="9"/>
  <c r="F45" i="9"/>
  <c r="F46" i="9"/>
  <c r="F47" i="9"/>
  <c r="F48" i="9"/>
  <c r="F49" i="9"/>
  <c r="F50" i="9"/>
  <c r="F51" i="9"/>
  <c r="F52" i="9"/>
  <c r="F53" i="9"/>
  <c r="F54" i="9"/>
  <c r="F55" i="9"/>
  <c r="F56" i="9"/>
  <c r="F57" i="9"/>
  <c r="F58" i="9"/>
  <c r="F22" i="9"/>
  <c r="F23" i="9"/>
  <c r="F24" i="9"/>
  <c r="F26" i="9"/>
  <c r="F27" i="9"/>
  <c r="F28" i="9"/>
  <c r="F29" i="9"/>
  <c r="F30" i="9"/>
  <c r="F31" i="9"/>
  <c r="F32" i="9"/>
  <c r="F33" i="9"/>
  <c r="F34" i="9"/>
  <c r="F35" i="9"/>
  <c r="F36" i="9"/>
  <c r="F37" i="9"/>
  <c r="F38" i="9"/>
  <c r="F39" i="9"/>
  <c r="B39" i="9"/>
  <c r="B38" i="9"/>
  <c r="B37" i="9"/>
  <c r="B36" i="9"/>
  <c r="B35" i="9"/>
  <c r="B34" i="9"/>
  <c r="B33" i="9"/>
  <c r="B32" i="9"/>
  <c r="B31" i="9"/>
  <c r="B30" i="9"/>
  <c r="B29" i="9"/>
  <c r="B28" i="9"/>
  <c r="B27" i="9"/>
  <c r="B26" i="9"/>
  <c r="B25" i="9"/>
  <c r="B24" i="9"/>
  <c r="B23" i="9"/>
  <c r="B22" i="9"/>
  <c r="B21" i="9"/>
  <c r="F2" i="9"/>
  <c r="F3" i="9"/>
  <c r="F4" i="9"/>
  <c r="F5" i="9"/>
  <c r="F6" i="9"/>
  <c r="F7" i="9"/>
  <c r="F8" i="9"/>
  <c r="F9" i="9"/>
  <c r="F10" i="9"/>
  <c r="F11" i="9"/>
  <c r="F12" i="9"/>
  <c r="F13" i="9"/>
  <c r="F14" i="9"/>
  <c r="F15" i="9"/>
  <c r="F16" i="9"/>
  <c r="F17" i="9"/>
  <c r="F18" i="9"/>
  <c r="F19" i="9"/>
  <c r="F20" i="9"/>
  <c r="B20" i="9"/>
  <c r="B19" i="9"/>
  <c r="B18" i="9"/>
  <c r="B17" i="9"/>
  <c r="B16" i="9"/>
  <c r="B15" i="9"/>
  <c r="B14" i="9"/>
  <c r="B13" i="9"/>
  <c r="B12" i="9"/>
  <c r="B11" i="9"/>
  <c r="B10" i="9"/>
  <c r="B9" i="9"/>
  <c r="B8" i="9"/>
  <c r="B7" i="9"/>
  <c r="B6" i="9"/>
  <c r="B5" i="9"/>
  <c r="B4" i="9"/>
  <c r="B3" i="9"/>
  <c r="B2" i="9"/>
  <c r="F109" i="9"/>
  <c r="F110" i="9"/>
  <c r="F111" i="9"/>
  <c r="F112" i="9"/>
  <c r="F113" i="9"/>
  <c r="F114" i="9"/>
  <c r="F115" i="9"/>
  <c r="F116" i="9"/>
  <c r="F117" i="9"/>
  <c r="F118" i="9"/>
  <c r="F119" i="9"/>
  <c r="F120" i="9"/>
  <c r="F121" i="9"/>
  <c r="F122" i="9"/>
  <c r="F123" i="9"/>
  <c r="F124" i="9"/>
  <c r="F125" i="9"/>
  <c r="F126" i="9"/>
  <c r="F127" i="9"/>
  <c r="B127" i="9"/>
  <c r="B126" i="9"/>
  <c r="B125" i="9"/>
  <c r="B124" i="9"/>
  <c r="B123" i="9"/>
  <c r="B122" i="9"/>
  <c r="B121" i="9"/>
  <c r="B120" i="9"/>
  <c r="B119" i="9"/>
  <c r="B118" i="9"/>
  <c r="B117" i="9"/>
  <c r="B116" i="9"/>
  <c r="B115" i="9"/>
  <c r="B114" i="9"/>
  <c r="B113" i="9"/>
  <c r="B112" i="9"/>
  <c r="B111" i="9"/>
  <c r="B110" i="9"/>
  <c r="B109" i="9"/>
  <c r="I17" i="12"/>
  <c r="I21" i="12"/>
  <c r="F21" i="12"/>
  <c r="I20" i="12"/>
  <c r="F20" i="12"/>
  <c r="F19" i="12"/>
  <c r="I18" i="12"/>
  <c r="F18" i="12"/>
  <c r="F17" i="12"/>
  <c r="F16" i="12"/>
  <c r="F15" i="12"/>
  <c r="I14" i="12"/>
  <c r="F14" i="12"/>
  <c r="I13" i="12"/>
  <c r="F13" i="12"/>
  <c r="I12" i="12"/>
  <c r="F12" i="12"/>
  <c r="F11" i="12"/>
  <c r="F10" i="12"/>
  <c r="I9" i="12"/>
  <c r="F9" i="12"/>
  <c r="F8" i="12"/>
  <c r="I7" i="12"/>
  <c r="F7" i="12"/>
  <c r="A7" i="12"/>
  <c r="A9" i="12" s="1"/>
  <c r="A10" i="12" s="1"/>
  <c r="A12" i="12" s="1"/>
  <c r="A13" i="12" s="1"/>
  <c r="A14" i="12" s="1"/>
  <c r="A15" i="12" s="1"/>
  <c r="I6" i="12"/>
  <c r="F6" i="12"/>
  <c r="F23" i="1"/>
  <c r="T2" i="2"/>
  <c r="P81" i="9"/>
  <c r="F81" i="9"/>
  <c r="C81" i="9"/>
  <c r="C80" i="9"/>
  <c r="C84" i="9"/>
  <c r="C89" i="9"/>
  <c r="C83" i="9"/>
  <c r="C88" i="9"/>
  <c r="C85" i="9"/>
  <c r="C79" i="9"/>
  <c r="C78" i="9"/>
  <c r="C87" i="9"/>
  <c r="F59" i="9"/>
  <c r="F90" i="9"/>
  <c r="F91" i="9"/>
  <c r="F92" i="9"/>
  <c r="F93" i="9"/>
  <c r="F94" i="9"/>
  <c r="F95" i="9"/>
  <c r="F96" i="9"/>
  <c r="F97" i="9"/>
  <c r="F98" i="9"/>
  <c r="F99" i="9"/>
  <c r="F100" i="9"/>
  <c r="F101" i="9"/>
  <c r="F102" i="9"/>
  <c r="F103" i="9"/>
  <c r="F104" i="9"/>
  <c r="F105" i="9"/>
  <c r="F107" i="9"/>
  <c r="F106" i="9"/>
  <c r="F108" i="9"/>
  <c r="B108" i="9"/>
  <c r="B106" i="9"/>
  <c r="B107" i="9"/>
  <c r="B105" i="9"/>
  <c r="B104" i="9"/>
  <c r="B103" i="9"/>
  <c r="B102" i="9"/>
  <c r="B101" i="9"/>
  <c r="B100" i="9"/>
  <c r="B99" i="9"/>
  <c r="B98" i="9"/>
  <c r="B97" i="9"/>
  <c r="B96" i="9"/>
  <c r="B95" i="9"/>
  <c r="B94" i="9"/>
  <c r="B93" i="9"/>
  <c r="B92" i="9"/>
  <c r="B91" i="9"/>
  <c r="B90" i="9"/>
  <c r="B77" i="9"/>
  <c r="B75" i="9"/>
  <c r="B76" i="9"/>
  <c r="B74" i="9"/>
  <c r="B73" i="9"/>
  <c r="B72" i="9"/>
  <c r="B71" i="9"/>
  <c r="B70" i="9"/>
  <c r="B69" i="9"/>
  <c r="B68" i="9"/>
  <c r="B67" i="9"/>
  <c r="B66" i="9"/>
  <c r="B65" i="9"/>
  <c r="B64" i="9"/>
  <c r="B63" i="9"/>
  <c r="B62" i="9"/>
  <c r="B61" i="9"/>
  <c r="B60" i="9"/>
  <c r="B59" i="9"/>
  <c r="F60" i="9"/>
  <c r="F61" i="9"/>
  <c r="F62" i="9"/>
  <c r="F63" i="9"/>
  <c r="F64" i="9"/>
  <c r="F65" i="9"/>
  <c r="F66" i="9"/>
  <c r="F67" i="9"/>
  <c r="F68" i="9"/>
  <c r="F69" i="9"/>
  <c r="F70" i="9"/>
  <c r="F71" i="9"/>
  <c r="F72" i="9"/>
  <c r="F73" i="9"/>
  <c r="F74" i="9"/>
  <c r="F76" i="9"/>
  <c r="F75" i="9"/>
  <c r="F77" i="9"/>
  <c r="O7" i="2"/>
  <c r="P7" i="2" s="1"/>
  <c r="L7" i="2"/>
  <c r="K7" i="2"/>
  <c r="G7" i="2"/>
  <c r="AL14" i="2"/>
  <c r="I79" i="9"/>
  <c r="F79" i="9" s="1"/>
  <c r="I78" i="9"/>
  <c r="F78" i="9" s="1"/>
  <c r="F89" i="9"/>
  <c r="F84" i="9"/>
  <c r="F87" i="9"/>
  <c r="F88" i="9"/>
  <c r="F83" i="9"/>
  <c r="F82" i="9"/>
  <c r="F80" i="9"/>
  <c r="F85" i="9"/>
  <c r="F86" i="9"/>
  <c r="O17" i="2"/>
  <c r="P17" i="2" s="1"/>
  <c r="M17" i="2"/>
  <c r="L17" i="2"/>
  <c r="K17" i="2"/>
  <c r="G17" i="2"/>
  <c r="O3" i="1"/>
  <c r="J78" i="1"/>
  <c r="G77" i="1"/>
  <c r="B80" i="9"/>
  <c r="B82" i="9"/>
  <c r="B79" i="9"/>
  <c r="B78" i="9"/>
  <c r="B83" i="9"/>
  <c r="B88" i="9"/>
  <c r="B87" i="9"/>
  <c r="D2" i="10"/>
  <c r="B2" i="10"/>
  <c r="C89" i="1"/>
  <c r="B10" i="5"/>
  <c r="H10" i="1"/>
  <c r="F19" i="1"/>
  <c r="G23" i="1"/>
  <c r="G22" i="1"/>
  <c r="G19" i="1"/>
  <c r="F4" i="8"/>
  <c r="E4" i="8"/>
  <c r="E18" i="7"/>
  <c r="B18" i="7"/>
  <c r="E17" i="7"/>
  <c r="B17" i="7"/>
  <c r="E16" i="7"/>
  <c r="B16" i="7"/>
  <c r="E15" i="7"/>
  <c r="B15" i="7"/>
  <c r="E14" i="7"/>
  <c r="B14" i="7"/>
  <c r="E13" i="7"/>
  <c r="B13" i="7"/>
  <c r="E12" i="7"/>
  <c r="B12" i="7"/>
  <c r="E11" i="7"/>
  <c r="B11" i="7"/>
  <c r="E10" i="7"/>
  <c r="B10" i="7"/>
  <c r="E9" i="7"/>
  <c r="B9" i="7"/>
  <c r="E8" i="7"/>
  <c r="B8" i="7"/>
  <c r="E7" i="7"/>
  <c r="B7" i="7"/>
  <c r="E6" i="7"/>
  <c r="B6" i="7"/>
  <c r="E5" i="7"/>
  <c r="B5" i="7"/>
  <c r="E4" i="7"/>
  <c r="B4" i="7"/>
  <c r="E3" i="7"/>
  <c r="B3" i="7"/>
  <c r="E2" i="7"/>
  <c r="B2" i="7"/>
  <c r="J64" i="1"/>
  <c r="F59" i="1"/>
  <c r="F58" i="1"/>
  <c r="F57" i="1"/>
  <c r="F56" i="1"/>
  <c r="F54" i="1"/>
  <c r="F53" i="1"/>
  <c r="F52" i="1"/>
  <c r="C35" i="1"/>
  <c r="C31" i="1"/>
  <c r="C29" i="1"/>
  <c r="C28" i="1"/>
  <c r="C27" i="1"/>
  <c r="C26" i="1"/>
  <c r="C25" i="1"/>
  <c r="C24" i="1"/>
  <c r="C23" i="1"/>
  <c r="C22" i="1"/>
  <c r="C21" i="1"/>
  <c r="C20" i="1"/>
  <c r="C19" i="1"/>
  <c r="D13" i="1"/>
  <c r="C13" i="1"/>
  <c r="G10" i="1"/>
  <c r="C10" i="1"/>
  <c r="D8" i="1"/>
  <c r="C2" i="10" s="1"/>
  <c r="C8" i="1"/>
  <c r="F5" i="1"/>
  <c r="C5" i="1"/>
  <c r="C4" i="1"/>
  <c r="C3" i="1"/>
  <c r="N42" i="1" s="1"/>
  <c r="AK20" i="2"/>
  <c r="AJ20" i="2"/>
  <c r="AH20" i="2"/>
  <c r="AF20" i="2"/>
  <c r="Y20" i="2"/>
  <c r="X20" i="2"/>
  <c r="U20" i="2"/>
  <c r="T20" i="2"/>
  <c r="O20" i="2"/>
  <c r="P20" i="2" s="1"/>
  <c r="M20" i="2"/>
  <c r="L20" i="2"/>
  <c r="K20" i="2"/>
  <c r="G20" i="2"/>
  <c r="AK19" i="2"/>
  <c r="AJ19" i="2"/>
  <c r="AH19" i="2"/>
  <c r="AF19" i="2"/>
  <c r="Y19" i="2"/>
  <c r="X19" i="2"/>
  <c r="U19" i="2"/>
  <c r="T19" i="2"/>
  <c r="O19" i="2"/>
  <c r="P19" i="2" s="1"/>
  <c r="M19" i="2"/>
  <c r="L19" i="2"/>
  <c r="K19" i="2"/>
  <c r="G19" i="2"/>
  <c r="AK18" i="2"/>
  <c r="AJ18" i="2"/>
  <c r="AH18" i="2"/>
  <c r="AF18" i="2"/>
  <c r="Y18" i="2"/>
  <c r="X18" i="2"/>
  <c r="U18" i="2"/>
  <c r="T18" i="2"/>
  <c r="O18" i="2"/>
  <c r="P18" i="2" s="1"/>
  <c r="M18" i="2"/>
  <c r="L18" i="2"/>
  <c r="K18" i="2"/>
  <c r="G18" i="2"/>
  <c r="AK16" i="2"/>
  <c r="AJ16" i="2"/>
  <c r="AH16" i="2"/>
  <c r="AF16" i="2"/>
  <c r="Y16" i="2"/>
  <c r="X16" i="2"/>
  <c r="U16" i="2"/>
  <c r="T16" i="2"/>
  <c r="O16" i="2"/>
  <c r="P16" i="2" s="1"/>
  <c r="M16" i="2"/>
  <c r="L16" i="2"/>
  <c r="K16" i="2"/>
  <c r="G16" i="2"/>
  <c r="AK15" i="2"/>
  <c r="AJ15" i="2"/>
  <c r="AH15" i="2"/>
  <c r="AF15" i="2"/>
  <c r="Y15" i="2"/>
  <c r="X15" i="2"/>
  <c r="U15" i="2"/>
  <c r="T15" i="2"/>
  <c r="O15" i="2"/>
  <c r="P15" i="2" s="1"/>
  <c r="M15" i="2"/>
  <c r="L15" i="2"/>
  <c r="K15" i="2"/>
  <c r="G15" i="2"/>
  <c r="AK14" i="2"/>
  <c r="AJ14" i="2"/>
  <c r="AH14" i="2"/>
  <c r="AF14" i="2"/>
  <c r="Y14" i="2"/>
  <c r="X14" i="2"/>
  <c r="U14" i="2"/>
  <c r="T14" i="2"/>
  <c r="O14" i="2"/>
  <c r="P14" i="2" s="1"/>
  <c r="M14" i="2"/>
  <c r="L14" i="2"/>
  <c r="K14" i="2"/>
  <c r="G14" i="2"/>
  <c r="AK13" i="2"/>
  <c r="AJ13" i="2"/>
  <c r="AH13" i="2"/>
  <c r="AF13" i="2"/>
  <c r="Y13" i="2"/>
  <c r="X13" i="2"/>
  <c r="U13" i="2"/>
  <c r="T13" i="2"/>
  <c r="O13" i="2"/>
  <c r="P13" i="2" s="1"/>
  <c r="M13" i="2"/>
  <c r="L13" i="2"/>
  <c r="AC13" i="2" s="1"/>
  <c r="K13" i="2"/>
  <c r="G13" i="2"/>
  <c r="AK12" i="2"/>
  <c r="AJ12" i="2"/>
  <c r="AH12" i="2"/>
  <c r="AF12" i="2"/>
  <c r="Y12" i="2"/>
  <c r="X12" i="2"/>
  <c r="U12" i="2"/>
  <c r="T12" i="2"/>
  <c r="O12" i="2"/>
  <c r="P12" i="2" s="1"/>
  <c r="M12" i="2"/>
  <c r="L12" i="2"/>
  <c r="K12" i="2"/>
  <c r="G12" i="2"/>
  <c r="AK11" i="2"/>
  <c r="AJ11" i="2"/>
  <c r="AH11" i="2"/>
  <c r="AF11" i="2"/>
  <c r="Y11" i="2"/>
  <c r="X11" i="2"/>
  <c r="U11" i="2"/>
  <c r="T11" i="2"/>
  <c r="O11" i="2"/>
  <c r="P11" i="2" s="1"/>
  <c r="M11" i="2"/>
  <c r="L11" i="2"/>
  <c r="K11" i="2"/>
  <c r="G11" i="2"/>
  <c r="AK10" i="2"/>
  <c r="AJ10" i="2"/>
  <c r="AH10" i="2"/>
  <c r="AF10" i="2"/>
  <c r="Y10" i="2"/>
  <c r="X10" i="2"/>
  <c r="U10" i="2"/>
  <c r="T10" i="2"/>
  <c r="O10" i="2"/>
  <c r="P10" i="2" s="1"/>
  <c r="M10" i="2"/>
  <c r="L10" i="2"/>
  <c r="K10" i="2"/>
  <c r="G10" i="2"/>
  <c r="AK9" i="2"/>
  <c r="AJ9" i="2"/>
  <c r="AH9" i="2"/>
  <c r="AF9" i="2"/>
  <c r="Y9" i="2"/>
  <c r="X9" i="2"/>
  <c r="U9" i="2"/>
  <c r="T9" i="2"/>
  <c r="O9" i="2"/>
  <c r="P9" i="2" s="1"/>
  <c r="M9" i="2"/>
  <c r="L9" i="2"/>
  <c r="K9" i="2"/>
  <c r="G9" i="2"/>
  <c r="AK8" i="2"/>
  <c r="AJ8" i="2"/>
  <c r="AH8" i="2"/>
  <c r="AF8" i="2"/>
  <c r="Y8" i="2"/>
  <c r="X8" i="2"/>
  <c r="U8" i="2"/>
  <c r="T8" i="2"/>
  <c r="O8" i="2"/>
  <c r="P8" i="2" s="1"/>
  <c r="M8" i="2"/>
  <c r="L8" i="2"/>
  <c r="K8" i="2"/>
  <c r="G8" i="2"/>
  <c r="AK6" i="2"/>
  <c r="AJ6" i="2"/>
  <c r="AH6" i="2"/>
  <c r="AF6" i="2"/>
  <c r="Y6" i="2"/>
  <c r="X6" i="2"/>
  <c r="U6" i="2"/>
  <c r="T6" i="2"/>
  <c r="O6" i="2"/>
  <c r="P6" i="2" s="1"/>
  <c r="M6" i="2"/>
  <c r="L6" i="2"/>
  <c r="K6" i="2"/>
  <c r="G6" i="2"/>
  <c r="AK5" i="2"/>
  <c r="AJ5" i="2"/>
  <c r="AH5" i="2"/>
  <c r="AF5" i="2"/>
  <c r="Y5" i="2"/>
  <c r="X5" i="2"/>
  <c r="U5" i="2"/>
  <c r="T5" i="2"/>
  <c r="O5" i="2"/>
  <c r="P5" i="2" s="1"/>
  <c r="M5" i="2"/>
  <c r="L5" i="2"/>
  <c r="K5" i="2"/>
  <c r="G5" i="2"/>
  <c r="AK4" i="2"/>
  <c r="AJ4" i="2"/>
  <c r="AH4" i="2"/>
  <c r="AF4" i="2"/>
  <c r="Y4" i="2"/>
  <c r="X4" i="2"/>
  <c r="U4" i="2"/>
  <c r="T4" i="2"/>
  <c r="O4" i="2"/>
  <c r="P4" i="2" s="1"/>
  <c r="M4" i="2"/>
  <c r="L4" i="2"/>
  <c r="K4" i="2"/>
  <c r="G4" i="2"/>
  <c r="AK3" i="2"/>
  <c r="AJ3" i="2"/>
  <c r="AH3" i="2"/>
  <c r="AF3" i="2"/>
  <c r="Y3" i="2"/>
  <c r="X3" i="2"/>
  <c r="U3" i="2"/>
  <c r="T3" i="2"/>
  <c r="O3" i="2"/>
  <c r="P3" i="2" s="1"/>
  <c r="M3" i="2"/>
  <c r="L3" i="2"/>
  <c r="K3" i="2"/>
  <c r="G3" i="2"/>
  <c r="AK2" i="2"/>
  <c r="AJ2" i="2"/>
  <c r="AH2" i="2"/>
  <c r="AF2" i="2"/>
  <c r="Y2" i="2"/>
  <c r="X2" i="2"/>
  <c r="U2" i="2"/>
  <c r="O2" i="2"/>
  <c r="P2" i="2" s="1"/>
  <c r="M2" i="2"/>
  <c r="L2" i="2"/>
  <c r="K2" i="2"/>
  <c r="G2" i="2"/>
  <c r="H20" i="1" l="1"/>
  <c r="E13" i="1"/>
  <c r="H18" i="1"/>
  <c r="F33" i="1"/>
  <c r="H25" i="1"/>
  <c r="N2" i="10" s="1"/>
  <c r="H29" i="1"/>
  <c r="R2" i="10" s="1"/>
  <c r="H27" i="1"/>
  <c r="P2" i="10" s="1"/>
  <c r="H28" i="1"/>
  <c r="Q2" i="10" s="1"/>
  <c r="H19" i="1"/>
  <c r="H2" i="10" s="1"/>
  <c r="A16" i="12"/>
  <c r="A17" i="12" s="1"/>
  <c r="A18" i="12" s="1"/>
  <c r="A20" i="12" s="1"/>
  <c r="H23" i="1"/>
  <c r="A2" i="10"/>
  <c r="H39" i="1"/>
  <c r="G17" i="1"/>
  <c r="G18" i="1"/>
  <c r="F18" i="1"/>
  <c r="F17" i="1"/>
  <c r="F38" i="1"/>
  <c r="F37" i="1"/>
  <c r="F36" i="1"/>
  <c r="F34" i="1"/>
  <c r="F32" i="1"/>
  <c r="N7" i="2"/>
  <c r="AD7" i="2"/>
  <c r="N17" i="2"/>
  <c r="AD17" i="2"/>
  <c r="AE13" i="2"/>
  <c r="AG13" i="2"/>
  <c r="E2" i="10"/>
  <c r="C17" i="1"/>
  <c r="AD15" i="2"/>
  <c r="AD9" i="2"/>
  <c r="AD10" i="2"/>
  <c r="AD11" i="2"/>
  <c r="AD12" i="2"/>
  <c r="AD13" i="2"/>
  <c r="AD14" i="2"/>
  <c r="AD2" i="2"/>
  <c r="AD3" i="2"/>
  <c r="AD4" i="2"/>
  <c r="AD5" i="2"/>
  <c r="AD6" i="2"/>
  <c r="AD8" i="2"/>
  <c r="AD16" i="2"/>
  <c r="AD18" i="2"/>
  <c r="AD19" i="2"/>
  <c r="AD20" i="2"/>
  <c r="F22" i="1"/>
  <c r="D10" i="1"/>
  <c r="AG20" i="2"/>
  <c r="AE20" i="2"/>
  <c r="AC20" i="2"/>
  <c r="AB20" i="2"/>
  <c r="AA20" i="2"/>
  <c r="Z20" i="2"/>
  <c r="V20" i="2"/>
  <c r="AG19" i="2"/>
  <c r="V19" i="2"/>
  <c r="V18" i="2"/>
  <c r="AE16" i="2"/>
  <c r="AC16" i="2"/>
  <c r="AB16" i="2"/>
  <c r="N15" i="2"/>
  <c r="AG14" i="2"/>
  <c r="N14" i="2"/>
  <c r="N16" i="2"/>
  <c r="V15" i="2"/>
  <c r="AC14" i="2"/>
  <c r="Z14" i="2"/>
  <c r="V14" i="2"/>
  <c r="AB13" i="2"/>
  <c r="AA13" i="2"/>
  <c r="Z13" i="2"/>
  <c r="V13" i="2"/>
  <c r="N13" i="2"/>
  <c r="AG12" i="2"/>
  <c r="AE12" i="2"/>
  <c r="AC12" i="2"/>
  <c r="AB12" i="2"/>
  <c r="AA12" i="2"/>
  <c r="Z12" i="2"/>
  <c r="V12" i="2"/>
  <c r="N12" i="2"/>
  <c r="AG11" i="2"/>
  <c r="AE11" i="2"/>
  <c r="AC11" i="2"/>
  <c r="AB11" i="2"/>
  <c r="AA11" i="2"/>
  <c r="Z11" i="2"/>
  <c r="V11" i="2"/>
  <c r="N11" i="2"/>
  <c r="AG10" i="2"/>
  <c r="AE10" i="2"/>
  <c r="AC10" i="2"/>
  <c r="AB10" i="2"/>
  <c r="AA10" i="2"/>
  <c r="Z10" i="2"/>
  <c r="V10" i="2"/>
  <c r="N10" i="2"/>
  <c r="AG9" i="2"/>
  <c r="AE9" i="2"/>
  <c r="AC9" i="2"/>
  <c r="AB9" i="2"/>
  <c r="AA9" i="2"/>
  <c r="Z9" i="2"/>
  <c r="V9" i="2"/>
  <c r="N9" i="2"/>
  <c r="AG8" i="2"/>
  <c r="AE8" i="2"/>
  <c r="AC8" i="2"/>
  <c r="AB8" i="2"/>
  <c r="AA8" i="2"/>
  <c r="Z8" i="2"/>
  <c r="V8" i="2"/>
  <c r="N8" i="2"/>
  <c r="Z16" i="2"/>
  <c r="V16" i="2"/>
  <c r="AE15" i="2"/>
  <c r="AC15" i="2"/>
  <c r="AB15" i="2"/>
  <c r="AA15" i="2"/>
  <c r="Z15" i="2"/>
  <c r="AE14" i="2"/>
  <c r="AB14" i="2"/>
  <c r="AA14" i="2"/>
  <c r="AG6" i="2"/>
  <c r="AE6" i="2"/>
  <c r="AC6" i="2"/>
  <c r="AB6" i="2"/>
  <c r="AA6" i="2"/>
  <c r="Z6" i="2"/>
  <c r="V6" i="2"/>
  <c r="N6" i="2"/>
  <c r="AG5" i="2"/>
  <c r="AE5" i="2"/>
  <c r="AC5" i="2"/>
  <c r="AB5" i="2"/>
  <c r="AA5" i="2"/>
  <c r="Z5" i="2"/>
  <c r="V5" i="2"/>
  <c r="N5" i="2"/>
  <c r="AG4" i="2"/>
  <c r="AE4" i="2"/>
  <c r="AC4" i="2"/>
  <c r="AB4" i="2"/>
  <c r="AA4" i="2"/>
  <c r="Z4" i="2"/>
  <c r="V4" i="2"/>
  <c r="N4" i="2"/>
  <c r="AG3" i="2"/>
  <c r="AE3" i="2"/>
  <c r="AC3" i="2"/>
  <c r="AB3" i="2"/>
  <c r="AA3" i="2"/>
  <c r="Z3" i="2"/>
  <c r="V3" i="2"/>
  <c r="N3" i="2"/>
  <c r="AG2" i="2"/>
  <c r="AE2" i="2"/>
  <c r="AC2" i="2"/>
  <c r="AB2" i="2"/>
  <c r="AA2" i="2"/>
  <c r="Z2" i="2"/>
  <c r="V2" i="2"/>
  <c r="N2" i="2"/>
  <c r="N20" i="2"/>
  <c r="AE19" i="2"/>
  <c r="AC19" i="2"/>
  <c r="AB19" i="2"/>
  <c r="AA19" i="2"/>
  <c r="Z19" i="2"/>
  <c r="N19" i="2"/>
  <c r="AG18" i="2"/>
  <c r="AE18" i="2"/>
  <c r="AC18" i="2"/>
  <c r="AB18" i="2"/>
  <c r="AA18" i="2"/>
  <c r="Z18" i="2"/>
  <c r="N18" i="2"/>
  <c r="AG16" i="2"/>
  <c r="AA16" i="2"/>
  <c r="AG15" i="2"/>
  <c r="H22" i="1" l="1"/>
  <c r="H35" i="1"/>
  <c r="AB2" i="10" s="1"/>
  <c r="H24" i="1"/>
  <c r="M2" i="10" s="1"/>
  <c r="H26" i="1"/>
  <c r="O2" i="10" s="1"/>
  <c r="H31" i="1"/>
  <c r="AA2" i="10" s="1"/>
  <c r="J60" i="1"/>
  <c r="AK2" i="10" s="1"/>
  <c r="H21" i="1"/>
  <c r="H17" i="1"/>
  <c r="I2" i="10"/>
  <c r="J10" i="1"/>
  <c r="F2" i="10" s="1"/>
  <c r="H38" i="1" l="1"/>
  <c r="G34" i="1"/>
  <c r="H34" i="1" s="1"/>
  <c r="G2" i="10"/>
  <c r="G33" i="1"/>
  <c r="H33" i="1" s="1"/>
  <c r="G32" i="1"/>
  <c r="H32" i="1" s="1"/>
  <c r="G36" i="1"/>
  <c r="H36" i="1" s="1"/>
  <c r="Y2" i="10" s="1"/>
  <c r="K2" i="10"/>
  <c r="G37" i="1"/>
  <c r="H37" i="1" s="1"/>
  <c r="J2" i="10"/>
  <c r="L2" i="10"/>
  <c r="J56" i="1" l="1"/>
  <c r="J55" i="1"/>
  <c r="C67" i="1"/>
  <c r="J61" i="1"/>
  <c r="AL2" i="10" s="1"/>
  <c r="B84" i="9"/>
  <c r="Z2" i="10"/>
  <c r="J59" i="1" l="1"/>
  <c r="J57" i="1"/>
  <c r="J54" i="1"/>
  <c r="J53" i="1"/>
  <c r="J52" i="1"/>
  <c r="J62" i="1"/>
  <c r="X2" i="10"/>
  <c r="W2" i="10"/>
  <c r="J77" i="1" l="1"/>
  <c r="AS2" i="10"/>
  <c r="AF2" i="10"/>
  <c r="T2" i="10"/>
  <c r="U2" i="10"/>
  <c r="AG2" i="10" l="1"/>
  <c r="J58" i="1"/>
  <c r="AI2" i="10" s="1"/>
  <c r="V2" i="10"/>
  <c r="AE2" i="10"/>
  <c r="AJ2" i="10"/>
  <c r="AH2" i="10"/>
  <c r="AN2" i="10"/>
  <c r="I64" i="1" l="1"/>
  <c r="AC2" i="10"/>
  <c r="AD2" i="10"/>
  <c r="I67" i="1"/>
  <c r="AQ2" i="10" s="1"/>
  <c r="E67" i="1" l="1"/>
  <c r="AM2" i="10"/>
  <c r="G67" i="1" l="1"/>
  <c r="H70" i="1" s="1"/>
  <c r="AO2" i="10"/>
  <c r="J81" i="1" l="1"/>
  <c r="J75" i="1"/>
  <c r="J76" i="1"/>
  <c r="J80" i="1"/>
  <c r="J79" i="1"/>
  <c r="AP2" i="10"/>
  <c r="C69" i="1"/>
  <c r="AR2" i="10" l="1"/>
  <c r="J82" i="1"/>
  <c r="J8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Karina Malito</author>
  </authors>
  <commentList>
    <comment ref="J16" authorId="0" shapeId="0" xr:uid="{4FC802C9-1B39-4DF5-BD96-46ABE10787CD}">
      <text>
        <r>
          <rPr>
            <b/>
            <sz val="9"/>
            <color indexed="81"/>
            <rFont val="Tahoma"/>
            <family val="2"/>
          </rPr>
          <t>Karina Malito:</t>
        </r>
        <r>
          <rPr>
            <sz val="9"/>
            <color indexed="81"/>
            <rFont val="Tahoma"/>
            <family val="2"/>
          </rPr>
          <t xml:space="preserve">
Agregar conceptos no remunerativos a la izquierda de descuentos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1" authorId="0" shapeId="0" xr:uid="{00000000-0006-0000-0100-000001000000}">
      <text>
        <r>
          <rPr>
            <sz val="10"/>
            <rFont val="Arial"/>
            <family val="2"/>
          </rPr>
          <t xml:space="preserve">Karina Malito:
Si es suplente agregar a mano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 authorId="0" shapeId="0" xr:uid="{00000000-0006-0000-0200-000001000000}">
      <text>
        <r>
          <rPr>
            <sz val="10"/>
            <rFont val="Arial"/>
            <family val="2"/>
          </rPr>
          <t xml:space="preserve">Karina Malito:
uf por las que retira residuos viv/oficinas, por las q retira residuos ojo a veces no coincide con total porque no le saca basura a los locales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H1" authorId="0" shapeId="0" xr:uid="{00000000-0006-0000-0300-000001000000}">
      <text>
        <r>
          <rPr>
            <sz val="10"/>
            <rFont val="Arial"/>
            <family val="2"/>
          </rPr>
          <t xml:space="preserve">Karina Malito:
Cuando actualices corregir % en zona desfavorable y titulo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Karina Malito</author>
  </authors>
  <commentList>
    <comment ref="R1" authorId="0" shapeId="0" xr:uid="{8C81EB62-C69F-4906-926D-D649A8DC9262}">
      <text>
        <r>
          <rPr>
            <b/>
            <sz val="9"/>
            <color indexed="81"/>
            <rFont val="Tahoma"/>
            <family val="2"/>
          </rPr>
          <t>Karina Malito:</t>
        </r>
        <r>
          <rPr>
            <sz val="9"/>
            <color indexed="81"/>
            <rFont val="Tahoma"/>
            <family val="2"/>
          </rPr>
          <t xml:space="preserve">
SI
</t>
        </r>
      </text>
    </comment>
  </commentList>
</comments>
</file>

<file path=xl/sharedStrings.xml><?xml version="1.0" encoding="utf-8"?>
<sst xmlns="http://schemas.openxmlformats.org/spreadsheetml/2006/main" count="1118" uniqueCount="427">
  <si>
    <t>RECIBO DE HABERES</t>
  </si>
  <si>
    <t>CUIT</t>
  </si>
  <si>
    <t>LEGAJO</t>
  </si>
  <si>
    <t>APELLIDO Y NOMBRE</t>
  </si>
  <si>
    <t>CUIL</t>
  </si>
  <si>
    <t>PERÍODO</t>
  </si>
  <si>
    <t>FECHA DE INGRESO</t>
  </si>
  <si>
    <t>ANTIGÜEDAD</t>
  </si>
  <si>
    <t>FECHA DE EGRESO</t>
  </si>
  <si>
    <t>CATEGORÍA</t>
  </si>
  <si>
    <t>SUELDO BASICO</t>
  </si>
  <si>
    <t>ÚLTIMO DEPÓSITO DE APORTES Y CONTRIBUCIONES</t>
  </si>
  <si>
    <t>FECHA</t>
  </si>
  <si>
    <t>BANCO</t>
  </si>
  <si>
    <t>DETALLE DE LIQUIDACIÓN</t>
  </si>
  <si>
    <t>Concepto</t>
  </si>
  <si>
    <t>Valor unitario</t>
  </si>
  <si>
    <t>Remuneraciones</t>
  </si>
  <si>
    <t>Descuentos</t>
  </si>
  <si>
    <t>Adicional voluntario</t>
  </si>
  <si>
    <t>Jubilación</t>
  </si>
  <si>
    <t>Ley 19032</t>
  </si>
  <si>
    <t>Obra Social</t>
  </si>
  <si>
    <t>Diferencia Obra Social Ley 26475</t>
  </si>
  <si>
    <t>SUTERH</t>
  </si>
  <si>
    <t>Caja Prot. Flia.</t>
  </si>
  <si>
    <t>FATERYH</t>
  </si>
  <si>
    <t>Seguro vitalicio - Art. 27 bis CCT 589/10</t>
  </si>
  <si>
    <t>Haberes c/Aportes</t>
  </si>
  <si>
    <t>Haberes s/Aportes</t>
  </si>
  <si>
    <t>Total Haberes (BRUTO)</t>
  </si>
  <si>
    <t>Total Descuentos</t>
  </si>
  <si>
    <t>CONTRIBUCIONES Y CONCEPTOS A CARGO DEL EMPLEADOR  —  Art. 140 inc. j) LCT (Ley 27.802)</t>
  </si>
  <si>
    <t>"Las contribuciones y/o conceptos abonados por el empleador por disposición legal o convencional, con la concreta determinación del importe, relativas a cada trabajador."</t>
  </si>
  <si>
    <t>Alícuota</t>
  </si>
  <si>
    <t>Importe</t>
  </si>
  <si>
    <t>Seguridad Social (SIPA / INSSJP / FNE / Asig. Familiares)</t>
  </si>
  <si>
    <t>LRT - ART (Riesgos del Trabajo)</t>
  </si>
  <si>
    <t>SCVO (Seguro Colectivo de Vida Obligatorio)</t>
  </si>
  <si>
    <t>SUTERH (contribución patronal)</t>
  </si>
  <si>
    <t>SERACARH (Servicio Conciliación)</t>
  </si>
  <si>
    <t>FATERYH (contribución patronal)</t>
  </si>
  <si>
    <t>TOTAL CONTRIBUCIONES PATRONALES</t>
  </si>
  <si>
    <t>COSTO LABORAL TOTAL  (Bruto + Contribuciones patronales)</t>
  </si>
  <si>
    <t>_______________________________</t>
  </si>
  <si>
    <t>Firma del Empleado</t>
  </si>
  <si>
    <t>FECHA DE NAC</t>
  </si>
  <si>
    <t>RAZON SOCIAL</t>
  </si>
  <si>
    <t>OBRA SOCIAL</t>
  </si>
  <si>
    <t>COD OBRA SOCIAL</t>
  </si>
  <si>
    <t>FUNCION</t>
  </si>
  <si>
    <t>Funcion2</t>
  </si>
  <si>
    <t>JORNADA</t>
  </si>
  <si>
    <t>Vivienda</t>
  </si>
  <si>
    <t>Adicional remuneratorio</t>
  </si>
  <si>
    <t xml:space="preserve">CATEGORIA EDIFICIO </t>
  </si>
  <si>
    <t>AUX Sueldo Basico</t>
  </si>
  <si>
    <t>BANCO DEPOSITO</t>
  </si>
  <si>
    <t>CBU</t>
  </si>
  <si>
    <t>CAJA DE AHORRO</t>
  </si>
  <si>
    <t>Antiguedad</t>
  </si>
  <si>
    <t>Viaticos</t>
  </si>
  <si>
    <t>Adicional Viaticos</t>
  </si>
  <si>
    <t>Retiro de Residuos</t>
  </si>
  <si>
    <t>Retiro de residuos por UF</t>
  </si>
  <si>
    <t>Clasificacion de residuos</t>
  </si>
  <si>
    <t>Valor Vivienda</t>
  </si>
  <si>
    <t>Descuento vivienda</t>
  </si>
  <si>
    <t>AUX Diferencia Obra Social Ley 26475</t>
  </si>
  <si>
    <t>Plus por antigüedad conf. Resoluc. 106/09 – inc. D, e, h, n y p del art. 7 y 8 por año ( 1%)</t>
  </si>
  <si>
    <t>Plus por antigüedad – por año ART. 11 ( 2%)</t>
  </si>
  <si>
    <t>Plus limpieza de cocheras</t>
  </si>
  <si>
    <t>Plus movimiento de coches – hasta 20 unidades</t>
  </si>
  <si>
    <t>Plus Jardin</t>
  </si>
  <si>
    <t>Plus Zona Desfavorable</t>
  </si>
  <si>
    <t>TITULO</t>
  </si>
  <si>
    <t>Titulo de Encargado Integral de Edificio</t>
  </si>
  <si>
    <t>Plus limpieza de piletas y mantenimiento del agua</t>
  </si>
  <si>
    <t>RIOS LUIS ALBERTO</t>
  </si>
  <si>
    <t>OSPERYH</t>
  </si>
  <si>
    <t>Encargado Permanente con vivienda</t>
  </si>
  <si>
    <t>GALICIA</t>
  </si>
  <si>
    <t>CBU:0070004730004030834139</t>
  </si>
  <si>
    <t>SI</t>
  </si>
  <si>
    <t>NO</t>
  </si>
  <si>
    <t>RIOS MATIAS ALEJANDRO</t>
  </si>
  <si>
    <t>Ayudante Media jornada</t>
  </si>
  <si>
    <t>REBA</t>
  </si>
  <si>
    <t>CBU: 4150999718005103900025</t>
  </si>
  <si>
    <t xml:space="preserve">GIACOMO SEBASTIAN LUIS </t>
  </si>
  <si>
    <t>Encargado No Permanente Sin vivienda</t>
  </si>
  <si>
    <t>SANTANDER</t>
  </si>
  <si>
    <t>CBU:0720210288000036765304</t>
  </si>
  <si>
    <t>ESPONDA JOSE MARIA</t>
  </si>
  <si>
    <t>373 015 01</t>
  </si>
  <si>
    <t>CBU:0070004730004030946195</t>
  </si>
  <si>
    <t xml:space="preserve">PIÑERO SONIA MERCEDES </t>
  </si>
  <si>
    <t>CBU:0720010688000038808654</t>
  </si>
  <si>
    <t>Suplente con horario por dia</t>
  </si>
  <si>
    <t>RODA MARIO GUSTAVO</t>
  </si>
  <si>
    <t>CBU:0720210288000036355336</t>
  </si>
  <si>
    <t>LEDESMA SANTIAGO DAVID</t>
  </si>
  <si>
    <t>BBVA</t>
  </si>
  <si>
    <t xml:space="preserve"> CBU:0170003940000009341199</t>
  </si>
  <si>
    <t xml:space="preserve">CORONEL EDGARDO DARIO </t>
  </si>
  <si>
    <t>ICBC</t>
  </si>
  <si>
    <t>CBU 0150538201000115832142</t>
  </si>
  <si>
    <t>CA $ 0538/01115832/14</t>
  </si>
  <si>
    <t>RODRIGUEZ ALFREDO RAUL</t>
  </si>
  <si>
    <t>Personal Vigilancia Diurna</t>
  </si>
  <si>
    <t>CBU 0150538201000115831415</t>
  </si>
  <si>
    <t>CA $ 0538/01115831/41</t>
  </si>
  <si>
    <t>CANCINOS MARGARITA</t>
  </si>
  <si>
    <t>CBU:0170003940000008666921</t>
  </si>
  <si>
    <t>ROJAS CARLOS MANUEL</t>
  </si>
  <si>
    <t>O.S. EMPL. TEXTILES Y AFINES</t>
  </si>
  <si>
    <t>Encargado Permanente sin vivienda</t>
  </si>
  <si>
    <t>CBU: 0720558388000000752172</t>
  </si>
  <si>
    <t>ESTIGARRIBIA ARCE DARIO</t>
  </si>
  <si>
    <t>Personal Vigilancia Nocturna</t>
  </si>
  <si>
    <t>CBU: 0720558388000000755768</t>
  </si>
  <si>
    <t>PIÑERO BIBIANA PATRICIA</t>
  </si>
  <si>
    <t>OBRA SOCIAL DE LOS MEDICOS DE LA CIUDAD</t>
  </si>
  <si>
    <t>Suplente eventual</t>
  </si>
  <si>
    <t>CBU:0720326688000037550686</t>
  </si>
  <si>
    <t>TORRES ORTIZ DENIS RAMON</t>
  </si>
  <si>
    <t>MACRO</t>
  </si>
  <si>
    <t>CBU: 2850930740001996453014</t>
  </si>
  <si>
    <t>LIMA CENTURION RONAL DEJESUS</t>
  </si>
  <si>
    <t>CBU:0070039930004046286135</t>
  </si>
  <si>
    <t>VERON CARLOS ALBERTO</t>
  </si>
  <si>
    <t>O.S. LOS EMPL. DE COMERCIO Y ACTIVIDADES CIVILES</t>
  </si>
  <si>
    <t>CBU:0070156930004014368580</t>
  </si>
  <si>
    <t>CORONEL CARLOS EMIGDIO</t>
  </si>
  <si>
    <t>277/095/001</t>
  </si>
  <si>
    <t>DOMICILIO DEL CONSORCIO</t>
  </si>
  <si>
    <t>CODIGO POSTAL</t>
  </si>
  <si>
    <t>N° CTA SUTERH</t>
  </si>
  <si>
    <t xml:space="preserve">UF </t>
  </si>
  <si>
    <t>COCHERA</t>
  </si>
  <si>
    <t>MOVIMIENTO DE COCHES</t>
  </si>
  <si>
    <t>JARDIN</t>
  </si>
  <si>
    <t>ZONA DESFAVORABLE</t>
  </si>
  <si>
    <t>PILETA</t>
  </si>
  <si>
    <t>CONS PROP SGO DEL ESTERO 336 46 CAP FED</t>
  </si>
  <si>
    <t>Santiago del Estero 336/38/46 C.A.B.A.</t>
  </si>
  <si>
    <t>3° Cat.</t>
  </si>
  <si>
    <t>CONSORCIO DE PROPIETARIOS LIMA 461/67/73</t>
  </si>
  <si>
    <t>Lima 467 C.A.B.A.</t>
  </si>
  <si>
    <t>CONSORCIO DE PROPIETARIOS SAN JOSE 369</t>
  </si>
  <si>
    <t>San José 369 C.A.B.A.</t>
  </si>
  <si>
    <t>4° Cat.</t>
  </si>
  <si>
    <t>CONS DE PROP AV BELGRANO 1266/70/76</t>
  </si>
  <si>
    <t>Av. Belgrano 1266/70/76 C.A.B.A.</t>
  </si>
  <si>
    <t>1° Cat.</t>
  </si>
  <si>
    <t>CONSORCIO DE PROPIETARIOS RODRIGUEZ PEÑA 1351</t>
  </si>
  <si>
    <t>Rodriguez Peña 1331/51 C.A.B.A</t>
  </si>
  <si>
    <t>2° Cat.</t>
  </si>
  <si>
    <t>CONSORCIO DE COPROPIETARIOS ARENALES 2120 24</t>
  </si>
  <si>
    <t>Arenales 2120 C.A.B.A.</t>
  </si>
  <si>
    <t>CONSORCIO DE PROPIETARIOS DEL EDIFICIO PALOS 285</t>
  </si>
  <si>
    <t>Palos 285 C.A.B.A.</t>
  </si>
  <si>
    <t>CONSORCIO DE PROPIETARIOS URUGUAY 1025 27 29</t>
  </si>
  <si>
    <t>Uruguay 1025 C.A.B.A.</t>
  </si>
  <si>
    <t>CONSORCIO DE PROPIETARIOS ALTE BROWN 720</t>
  </si>
  <si>
    <t>Av. Alte. Brown 720 C.A.B.A.</t>
  </si>
  <si>
    <t>CONSORCIO PROPIETARIOS DE LA FINCA CALLE ARENALES 1648 50</t>
  </si>
  <si>
    <t>Arenales 1648/50 C.A.B.A.</t>
  </si>
  <si>
    <t>CONSORCIO AV MONTES DE OCA 1068</t>
  </si>
  <si>
    <t>Montes de Oca 1068 C.A.B.A.</t>
  </si>
  <si>
    <t>CONS PROP DE LA AV HIPOLITO YRIGOYEN 3601 11 ESQ BOEDO 197 197A</t>
  </si>
  <si>
    <t>H. Yrigoyen 3611 C.A.B.A.</t>
  </si>
  <si>
    <t>CONSORCIO DE PROPIETARIOS SALTA 555 59</t>
  </si>
  <si>
    <t>Salta 555 C.A.B.A.</t>
  </si>
  <si>
    <t>CONSORCIO DE PROPIETARIOS AZCUENAGA 1570 IQ-RECOLETA</t>
  </si>
  <si>
    <t>Azcuenaga 1570 C.A.B.A.</t>
  </si>
  <si>
    <t>CONSORCIO DE PROPIETARIOS CALLE SANCHEZ DE BUSTAMANTE 2466,2468 Y 2472, CABA</t>
  </si>
  <si>
    <t>Sanchez de Bustamante  2466 C.A.B.A.</t>
  </si>
  <si>
    <t>Retiro de residuos por unidad destinada a vivienda u oficina</t>
  </si>
  <si>
    <t>Clasificación de residuos Resol. 2013 243 SSRT-GCABA</t>
  </si>
  <si>
    <t>Ayudante Permanente con vivienda</t>
  </si>
  <si>
    <t>Valor vivienda</t>
  </si>
  <si>
    <t>Ayudante Permanente sin vivienda</t>
  </si>
  <si>
    <t>Personal Asimilado Con vivienda</t>
  </si>
  <si>
    <t>Personal Asimilado Sin vivienda</t>
  </si>
  <si>
    <t>Plus moviemiento de coches – hasta 20 unidades</t>
  </si>
  <si>
    <t>Mayordomo Con vivienda</t>
  </si>
  <si>
    <t>Mayordomo Sin vivienda</t>
  </si>
  <si>
    <t>Intendente</t>
  </si>
  <si>
    <t>Personal con mas 1 Funcion con vivienda</t>
  </si>
  <si>
    <t>Personal con mas 1 Funcion sin vivienda</t>
  </si>
  <si>
    <t>Encargado Guardacoches con vivienda</t>
  </si>
  <si>
    <t>Adicional Remuneratorio Mensual</t>
  </si>
  <si>
    <t>Encargado Guardacoches sin vivienda</t>
  </si>
  <si>
    <t>Personal Vigilancia Media Jornada</t>
  </si>
  <si>
    <t>Encargado No Permanente Con vivienda</t>
  </si>
  <si>
    <t>Ayudante Temporario</t>
  </si>
  <si>
    <t>Ayudante Temporario Media Jornada</t>
  </si>
  <si>
    <t>Personal Jornalizado no mas 18 horas ( según ART. 7 INC. P HORA)</t>
  </si>
  <si>
    <t>Apellido y Nombre</t>
  </si>
  <si>
    <t>Corresponde Reducción?</t>
  </si>
  <si>
    <t>Con Cobertura S.C.V.O.?</t>
  </si>
  <si>
    <t>Situación</t>
  </si>
  <si>
    <t>Condición</t>
  </si>
  <si>
    <t>Actividad</t>
  </si>
  <si>
    <t>Modalidad de Contrato</t>
  </si>
  <si>
    <t>Código de siniestrado</t>
  </si>
  <si>
    <t>Localidad</t>
  </si>
  <si>
    <t>% de Reducción</t>
  </si>
  <si>
    <t>Cónyuge</t>
  </si>
  <si>
    <t>Hijos</t>
  </si>
  <si>
    <t>Adherentes</t>
  </si>
  <si>
    <t>Remuneración Total</t>
  </si>
  <si>
    <t>Remuneración 1</t>
  </si>
  <si>
    <t>Remuneración 2</t>
  </si>
  <si>
    <t>Remuneración 3</t>
  </si>
  <si>
    <t>Remuneración 4</t>
  </si>
  <si>
    <t>Remuneración 5</t>
  </si>
  <si>
    <t>Remuneración 6</t>
  </si>
  <si>
    <t>Remuneración 7</t>
  </si>
  <si>
    <t>Remuneración 8</t>
  </si>
  <si>
    <t>Remuneración 9</t>
  </si>
  <si>
    <t>Remuneración 10</t>
  </si>
  <si>
    <t>Importe a detraer</t>
  </si>
  <si>
    <t>Situación de revista del período 1</t>
  </si>
  <si>
    <t>Día de inicio situación de revista 1</t>
  </si>
  <si>
    <t>Situación de revista del período 2</t>
  </si>
  <si>
    <t>Día de inicio situación de revista 2</t>
  </si>
  <si>
    <t>Situación de revista del período 3</t>
  </si>
  <si>
    <t>Día de inicio situación de revista 3</t>
  </si>
  <si>
    <t>Cantidad de días trabajados</t>
  </si>
  <si>
    <t>Horas trabajadas</t>
  </si>
  <si>
    <t>Sueldo</t>
  </si>
  <si>
    <t>Adicionales</t>
  </si>
  <si>
    <t>Cantidad Horas Extras</t>
  </si>
  <si>
    <t>Importe Horas Extras</t>
  </si>
  <si>
    <t>Plus por zona desfavorable</t>
  </si>
  <si>
    <t>SAC</t>
  </si>
  <si>
    <t>Vacaciones</t>
  </si>
  <si>
    <t>Premios</t>
  </si>
  <si>
    <t>Conceptos no remun.</t>
  </si>
  <si>
    <t>Incremento Salarial</t>
  </si>
  <si>
    <t>Maternidad / Art 13 - Ley 27.674</t>
  </si>
  <si>
    <t>Rectificación remuneración</t>
  </si>
  <si>
    <t>Asig. Familiares Pagadas</t>
  </si>
  <si>
    <t>Contribución Previsional</t>
  </si>
  <si>
    <t>Contribución PAMI</t>
  </si>
  <si>
    <t>Contrib. Tarea Dif. (*)</t>
  </si>
  <si>
    <t>INSSJP Dto 1273-2641/02</t>
  </si>
  <si>
    <t>Fondo Nac. de Empleo</t>
  </si>
  <si>
    <t>Contribución ANSSAL</t>
  </si>
  <si>
    <t>Contribución Asig. Familiares</t>
  </si>
  <si>
    <t>Total Contribuciones SS</t>
  </si>
  <si>
    <t>* porcentaje aplicado</t>
  </si>
  <si>
    <t>Contribución RENATEA</t>
  </si>
  <si>
    <t>Aportes RENATEA</t>
  </si>
  <si>
    <t>Aporte Previsional</t>
  </si>
  <si>
    <t>Aporte PAMI</t>
  </si>
  <si>
    <t>Aporte Adicional SS (*)</t>
  </si>
  <si>
    <t>Aporte ANSSAL</t>
  </si>
  <si>
    <t>Decreto 788/05</t>
  </si>
  <si>
    <t>Ap. personal Reg. esp.</t>
  </si>
  <si>
    <t>Excedentes Aportes SS</t>
  </si>
  <si>
    <t>Aporte Diferencial Prev</t>
  </si>
  <si>
    <t>Total Aportes SS</t>
  </si>
  <si>
    <t>* porcentaje aplicado2</t>
  </si>
  <si>
    <t>Contribución OS</t>
  </si>
  <si>
    <t>Contribución Adicional OS</t>
  </si>
  <si>
    <t>Dto. 1273-2641/02</t>
  </si>
  <si>
    <t>Total Contribuciones OS</t>
  </si>
  <si>
    <t>Aporte OS</t>
  </si>
  <si>
    <t>Aporte Adicional de OS</t>
  </si>
  <si>
    <t>Excedentes Aportes OS</t>
  </si>
  <si>
    <t>Total Aportes OS</t>
  </si>
  <si>
    <t>Periodo</t>
  </si>
  <si>
    <t>Periodo2</t>
  </si>
  <si>
    <t>DENIS RAMON TORRES ORTIZ</t>
  </si>
  <si>
    <t>No</t>
  </si>
  <si>
    <t>Si</t>
  </si>
  <si>
    <t>04 2026</t>
  </si>
  <si>
    <t>CONSORCIO</t>
  </si>
  <si>
    <t>PERIODO</t>
  </si>
  <si>
    <t>CONCEPTOS</t>
  </si>
  <si>
    <t xml:space="preserve"> %</t>
  </si>
  <si>
    <t>CONT SOLIDARIA PERMANENTE $</t>
  </si>
  <si>
    <t>CONT SOLIDARIA MEDIA</t>
  </si>
  <si>
    <t>CONT SOLIDARIA POR HORAS</t>
  </si>
  <si>
    <t>SERACARH</t>
  </si>
  <si>
    <t>% VARIABLE</t>
  </si>
  <si>
    <t>FIJO</t>
  </si>
  <si>
    <t>FFEP</t>
  </si>
  <si>
    <t>CANT CUILES</t>
  </si>
  <si>
    <t>BERKLEY</t>
  </si>
  <si>
    <t>ASOCIART</t>
  </si>
  <si>
    <t>EXPERTA ART</t>
  </si>
  <si>
    <t>CANT DE CUILES</t>
  </si>
  <si>
    <t xml:space="preserve">COSTO DE EMISION </t>
  </si>
  <si>
    <t>CIA de seguro ART</t>
  </si>
  <si>
    <t>RENUEVA EN</t>
  </si>
  <si>
    <t>CIA de seguro de vida obligatorio</t>
  </si>
  <si>
    <t>Unidad</t>
  </si>
  <si>
    <t>Redondeo</t>
  </si>
  <si>
    <t>Sueldo Neto</t>
  </si>
  <si>
    <t>CBU: 0150528301000112724198</t>
  </si>
  <si>
    <t>CALIFICACION PROFESIONAL</t>
  </si>
  <si>
    <t>FECHA DE PAGO</t>
  </si>
  <si>
    <t>No remunerativos</t>
  </si>
  <si>
    <t>DIAS TRABAJADO SUPLENTE</t>
  </si>
  <si>
    <t>Desc. Vivienda</t>
  </si>
  <si>
    <t>Desc. vivienda</t>
  </si>
  <si>
    <t>Firma del Empleador</t>
  </si>
  <si>
    <t>Horas extras al 50%</t>
  </si>
  <si>
    <t>Horas extras al 100%</t>
  </si>
  <si>
    <t>Feriados trabajados hs</t>
  </si>
  <si>
    <t>HORAS EXTRAS al 50% [HS]</t>
  </si>
  <si>
    <t>HORAS EXTRAS al 100% [HS]</t>
  </si>
  <si>
    <t>FERIADOS TRABAJADOS [HS]</t>
  </si>
  <si>
    <t>Plus vacacional</t>
  </si>
  <si>
    <t>PLUS VACACIONES [DIAS]</t>
  </si>
  <si>
    <t>Sueldo Básico</t>
  </si>
  <si>
    <t>Embargo</t>
  </si>
  <si>
    <t>Horas extras</t>
  </si>
  <si>
    <t>Días no trabajados</t>
  </si>
  <si>
    <t>Licencia por enfermedad</t>
  </si>
  <si>
    <t>HORAS TOTALES</t>
  </si>
  <si>
    <t>Horas JORNADA [HS]</t>
  </si>
  <si>
    <t>Obra Social Empleador</t>
  </si>
  <si>
    <t>PIÑERO CLAUDIA ELIZABET</t>
  </si>
  <si>
    <t>O.S.DEL PERSONAL CIVIL DE LA NACION</t>
  </si>
  <si>
    <t>CBU:0720010688000038532122</t>
  </si>
  <si>
    <t>Columna1</t>
  </si>
  <si>
    <t>Suplencia al 100%</t>
  </si>
  <si>
    <t>Suplencia al 100% [hs]</t>
  </si>
  <si>
    <t>Anticipo</t>
  </si>
  <si>
    <t>Columna2</t>
  </si>
  <si>
    <t>Columna3</t>
  </si>
  <si>
    <t>SAC proporcional</t>
  </si>
  <si>
    <t>Vacaciones no gozadas</t>
  </si>
  <si>
    <t>SAC s/vacaciones no gozadas</t>
  </si>
  <si>
    <t>Indemnización por antigüedad</t>
  </si>
  <si>
    <t>SAC s/Preaviso</t>
  </si>
  <si>
    <t>Preaviso</t>
  </si>
  <si>
    <t>REMUNERATIVO</t>
  </si>
  <si>
    <t>Sueldo anual complementario</t>
  </si>
  <si>
    <t xml:space="preserve">Bonificación </t>
  </si>
  <si>
    <t>ES LA MITAD DE LA MEJOR REMUNERACIÓN BRUTA DEVENGADA EN EL SEMESTRE (EN JUNIO- DE ENERO A JUNIO) Y EN DICIEMBRE COMO SE PAGA EL 18/12 ES JULIO A NOV</t>
  </si>
  <si>
    <t>ES EL 20% DEL SUELDO BÁSICO DE ESCALA ( SE COMPLICA CON LOS SUPLENTES ES EL 20% DEL SUELDO DE ESE MES)</t>
  </si>
  <si>
    <t>PLANILLA DE VACACIONES AÑO 2025</t>
  </si>
  <si>
    <t xml:space="preserve">Queda reservado al empleador, dentro del plazo comprendido desde el 1º de octubre hasta el 30 de abril, señalar la época en que se </t>
  </si>
  <si>
    <t>acordarán las vacaciones, debiendo dar aviso al/la empleado/a u obrero/a con anticipación de cuarenta y cinco (45) días.</t>
  </si>
  <si>
    <t>EMPLEADO</t>
  </si>
  <si>
    <t>AL 31/12/2025</t>
  </si>
  <si>
    <t>DÍAS DE VACACIONES</t>
  </si>
  <si>
    <t>FECHA DE VACACIONES</t>
  </si>
  <si>
    <t>PENDIENTES</t>
  </si>
  <si>
    <t>ALTE BROWN 720</t>
  </si>
  <si>
    <t>28 días</t>
  </si>
  <si>
    <t>del 12/01 al 31/01</t>
  </si>
  <si>
    <t>ARENALES 1650</t>
  </si>
  <si>
    <t>ESTIGARRIBIA</t>
  </si>
  <si>
    <t>24 días</t>
  </si>
  <si>
    <t>del 12/01 al 25/01</t>
  </si>
  <si>
    <t>ROJAS</t>
  </si>
  <si>
    <t>ARENALES 2120</t>
  </si>
  <si>
    <t>02/02 al 22/02</t>
  </si>
  <si>
    <t>AZCUENAGA 1570</t>
  </si>
  <si>
    <t>LIMA CENTURION, RONAL DEJESUS</t>
  </si>
  <si>
    <t>VERON CARLOS A.</t>
  </si>
  <si>
    <t>18/02 al 17/03</t>
  </si>
  <si>
    <t>BELGRANO 1270</t>
  </si>
  <si>
    <t>02/03 al 18/03</t>
  </si>
  <si>
    <t>BUSTAMANTE</t>
  </si>
  <si>
    <t>CORONEL, CARLOS EMIGDIO</t>
  </si>
  <si>
    <t>desde el 30/12 al 14/01</t>
  </si>
  <si>
    <t>LIMA 467</t>
  </si>
  <si>
    <t>GIACOMO SEBASTIAN LUIS</t>
  </si>
  <si>
    <t>desde el 29/12 al 16/01</t>
  </si>
  <si>
    <t>PALOS 285</t>
  </si>
  <si>
    <t>LEDESMA. SANTIAGO DAVID</t>
  </si>
  <si>
    <t>23/03 al 08/04</t>
  </si>
  <si>
    <t>ROD. PEÑA 1351</t>
  </si>
  <si>
    <t>PIÑERO SONIA</t>
  </si>
  <si>
    <t>12 dias</t>
  </si>
  <si>
    <t>SALTA 555</t>
  </si>
  <si>
    <t>SGO DEL ESTERO 338</t>
  </si>
  <si>
    <t>RIOS LUIS</t>
  </si>
  <si>
    <t>02/03/26 AL 21/03/26</t>
  </si>
  <si>
    <t>RIOS MATIAS</t>
  </si>
  <si>
    <t>12 días</t>
  </si>
  <si>
    <t>URUGUAY 1025</t>
  </si>
  <si>
    <t>CORONEL EDGARDO DARIO</t>
  </si>
  <si>
    <t>19/01/26 AL 31/01/26</t>
  </si>
  <si>
    <t>HASTA 5 AÑOS</t>
  </si>
  <si>
    <t>12 DÍAS HÁBILES</t>
  </si>
  <si>
    <t>SUPLENTE: SI TRABAJA MAS DE LA MITAD IGUAL AL RESTO SINO 1 CADA 20 DÍAS</t>
  </si>
  <si>
    <t>DE + DE 5 HASTA 10</t>
  </si>
  <si>
    <t>20 DIAS HÁBILES</t>
  </si>
  <si>
    <t>DE + DE 10 HASTA 20</t>
  </si>
  <si>
    <t>24 DIAS HÁBILES</t>
  </si>
  <si>
    <t>DE + DE 20</t>
  </si>
  <si>
    <t>28 DIAS HÁBILES</t>
  </si>
  <si>
    <t>Estatuto del Encargado : Ley 12981</t>
  </si>
  <si>
    <t xml:space="preserve">Cuando el período vacacional fuera de veinte (20) días o más, el trabajador podrá solicitar el fraccionamiento del mismo en dos (2) lapsos. El empleador deberá otorgar las vacaciones de cada año dentro del período comprendido entre el 1ro. de octubre y el 30 de abril del año siguiente. En caso de fraccionamiento, uno de los lapsos podrá otorgarse fuera del plazo previsto precedentemente, a solicitud del trabajador. Queda reservado al empleador fijar la fecha de iniciación de las vacaciones, la que deberá ser comunicada al trabajador con una anticipación no menor de treinta (30) días. Será de aplicación supletoria en cuanto no se oponga a las disposiciones anteriores lo establecido en el título V del régimen de contrato de trabajo, aprobado por ley 20.744. </t>
  </si>
  <si>
    <t>Los/as trabajadores/as suplentes gozarán de las vacaciones totales establecidas en el inciso c) cuando trabajen más de la mitad de los días laborables comprendidos en el año calendario o aniversario de trabajo de conformidad con las normas legales vigentes. Los/as trabajadores/as suplentes que no reúnan el tiempo mínimo percibirán en concepto de vacaciones el salario correspondiente a un día por cada veinte días efectivamente trabajados o fracción mayor de quince días hasta los cinco años de antigüedad. Luego de cinco años de antigüedad y hasta los diez el salario por vacaciones se duplicará y desde los diez años en adelante se triplicará.</t>
  </si>
  <si>
    <t>01/06 al 29/06</t>
  </si>
  <si>
    <t>04/05/2026 al 01/06/2026</t>
  </si>
  <si>
    <t>02/06 al15/06</t>
  </si>
  <si>
    <t>CONCEPTO</t>
  </si>
  <si>
    <t>VALOR</t>
  </si>
  <si>
    <t>DESCUENTOS</t>
  </si>
  <si>
    <t>VALOR %</t>
  </si>
  <si>
    <t>Diferencia SAC</t>
  </si>
  <si>
    <t>Bonificación</t>
  </si>
  <si>
    <t>COSORCIO</t>
  </si>
  <si>
    <t>Indemnización por muerte</t>
  </si>
  <si>
    <t>Muerte</t>
  </si>
  <si>
    <t>50 %</t>
  </si>
  <si>
    <t>10 %</t>
  </si>
  <si>
    <t>% CONTRIBUCION JUBILACION</t>
  </si>
  <si>
    <t>%CONTRIBUCION OBRA SOCIAL</t>
  </si>
  <si>
    <t>$ SEGURO VIDA FIJO</t>
  </si>
  <si>
    <t>% COSTO DEL CCT SUTERH</t>
  </si>
  <si>
    <t>% COSTO DEL CCT FATERYH</t>
  </si>
  <si>
    <t>% COSTO DEL CCT SERACARH</t>
  </si>
  <si>
    <t>COSTO FIJO FATERYH JORNADA COMPLETA</t>
  </si>
  <si>
    <t>COSTO FIJO MEDIA JORNADA</t>
  </si>
  <si>
    <t>COSTO FIJO POR HORA SUPLENTE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</si>
</sst>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 #,##0.00;\-&quot;$&quot;\ #,##0.00"/>
    <numFmt numFmtId="44" formatCode="_-&quot;$&quot;\ * #,##0.00_-;\-&quot;$&quot;\ * #,##0.00_-;_-&quot;$&quot;\ * &quot;-&quot;??_-;_-@_-"/>
    <numFmt numFmtId="43" formatCode="_-* #,##0.00_-;\-* #,##0.00_-;_-* &quot;-&quot;??_-;_-@_-"/>
    <numFmt numFmtId="164" formatCode="##\-########\-#"/>
    <numFmt numFmtId="165" formatCode="dd\-mm\-yyyy"/>
    <numFmt numFmtId="166" formatCode="\$#,##0.00"/>
    <numFmt numFmtId="167" formatCode="mmmm\ yyyy"/>
    <numFmt numFmtId="168" formatCode="m/d/yyyy"/>
    <numFmt numFmtId="169" formatCode="mm/yyyy"/>
    <numFmt numFmtId="170" formatCode="######################"/>
    <numFmt numFmtId="171" formatCode="_-* #,##0_-;\-* #,##0_-;_-* &quot;-&quot;??_-;_-@_-"/>
  </numFmts>
  <fonts count="32" x14ac:knownFonts="1">
    <font>
      <sz val="11"/>
      <color theme="1"/>
      <name val="Calibri"/>
      <family val="2"/>
      <charset val="1"/>
    </font>
    <font>
      <b/>
      <sz val="18"/>
      <color rgb="FFFFFFFF"/>
      <name val="Calibri"/>
      <family val="2"/>
      <charset val="1"/>
    </font>
    <font>
      <b/>
      <sz val="14"/>
      <color theme="1"/>
      <name val="Calibri"/>
      <family val="2"/>
      <charset val="1"/>
    </font>
    <font>
      <sz val="14"/>
      <color theme="1"/>
      <name val="Calibri"/>
      <family val="2"/>
      <charset val="1"/>
    </font>
    <font>
      <b/>
      <sz val="9"/>
      <color rgb="FF1F3864"/>
      <name val="Calibri"/>
      <family val="2"/>
      <charset val="1"/>
    </font>
    <font>
      <b/>
      <sz val="11"/>
      <color rgb="FF1F3864"/>
      <name val="Calibri"/>
      <family val="2"/>
      <charset val="1"/>
    </font>
    <font>
      <b/>
      <sz val="11"/>
      <color rgb="FF1F4E79"/>
      <name val="Calibri"/>
      <family val="2"/>
      <charset val="1"/>
    </font>
    <font>
      <b/>
      <sz val="11"/>
      <color theme="3"/>
      <name val="Calibri"/>
      <family val="2"/>
      <charset val="1"/>
    </font>
    <font>
      <sz val="11"/>
      <color rgb="FF1F3864"/>
      <name val="Calibri"/>
      <family val="2"/>
      <charset val="1"/>
    </font>
    <font>
      <b/>
      <sz val="11"/>
      <color rgb="FFFFFFFF"/>
      <name val="Calibri"/>
      <family val="2"/>
      <charset val="1"/>
    </font>
    <font>
      <b/>
      <sz val="10"/>
      <color rgb="FF1F3864"/>
      <name val="Calibri"/>
      <family val="2"/>
      <charset val="1"/>
    </font>
    <font>
      <sz val="10"/>
      <color rgb="FF1F1F1F"/>
      <name val="Calibri"/>
      <family val="2"/>
      <charset val="1"/>
    </font>
    <font>
      <i/>
      <sz val="9"/>
      <color rgb="FF595959"/>
      <name val="Calibri"/>
      <family val="2"/>
      <charset val="1"/>
    </font>
    <font>
      <b/>
      <sz val="12"/>
      <color rgb="FFFFFFFF"/>
      <name val="Calibri"/>
      <family val="2"/>
      <charset val="1"/>
    </font>
    <font>
      <b/>
      <sz val="16"/>
      <color rgb="FF8B4513"/>
      <name val="Calibri"/>
      <family val="2"/>
      <charset val="1"/>
    </font>
    <font>
      <i/>
      <sz val="8"/>
      <color rgb="FF595959"/>
      <name val="Calibri"/>
      <family val="2"/>
      <charset val="1"/>
    </font>
    <font>
      <b/>
      <sz val="10"/>
      <color rgb="FF1F1F1F"/>
      <name val="Calibri"/>
      <family val="2"/>
      <charset val="1"/>
    </font>
    <font>
      <sz val="10"/>
      <name val="Arial"/>
      <family val="2"/>
    </font>
    <font>
      <b/>
      <sz val="11"/>
      <color theme="1"/>
      <name val="Calibri"/>
      <family val="2"/>
      <charset val="1"/>
    </font>
    <font>
      <b/>
      <sz val="11"/>
      <color theme="0"/>
      <name val="Calibri"/>
      <family val="2"/>
      <charset val="1"/>
    </font>
    <font>
      <sz val="11"/>
      <color theme="1"/>
      <name val="Calibri"/>
      <family val="2"/>
      <charset val="1"/>
    </font>
    <font>
      <sz val="9"/>
      <color indexed="81"/>
      <name val="Tahoma"/>
      <family val="2"/>
    </font>
    <font>
      <b/>
      <sz val="9"/>
      <color indexed="81"/>
      <name val="Tahoma"/>
      <family val="2"/>
    </font>
    <font>
      <b/>
      <sz val="11"/>
      <color rgb="FF1F3864"/>
      <name val="Calibri"/>
      <family val="2"/>
    </font>
    <font>
      <b/>
      <sz val="11"/>
      <color rgb="FF1F4E79"/>
      <name val="Calibri"/>
      <family val="2"/>
    </font>
    <font>
      <sz val="11"/>
      <color rgb="FF1F1F1F"/>
      <name val="Calibri"/>
      <family val="2"/>
      <charset val="1"/>
    </font>
    <font>
      <sz val="12"/>
      <color theme="1"/>
      <name val="Calibri"/>
      <family val="2"/>
      <scheme val="minor"/>
    </font>
    <font>
      <b/>
      <u/>
      <sz val="12"/>
      <name val="Arial"/>
      <family val="2"/>
    </font>
    <font>
      <b/>
      <sz val="11"/>
      <name val="Arial"/>
      <family val="2"/>
    </font>
    <font>
      <b/>
      <sz val="10"/>
      <name val="Arial"/>
      <family val="2"/>
    </font>
    <font>
      <b/>
      <sz val="11"/>
      <color theme="1"/>
      <name val="Calibri"/>
      <family val="2"/>
    </font>
    <font>
      <b/>
      <sz val="11"/>
      <color theme="0"/>
      <name val="Calibri"/>
      <family val="2"/>
    </font>
  </fonts>
  <fills count="27">
    <fill>
      <patternFill patternType="none"/>
    </fill>
    <fill>
      <patternFill patternType="gray125"/>
    </fill>
    <fill>
      <patternFill patternType="solid">
        <fgColor rgb="FF1F3864"/>
        <bgColor rgb="FF1F4E79"/>
      </patternFill>
    </fill>
    <fill>
      <patternFill patternType="solid">
        <fgColor rgb="FFD9E1F2"/>
        <bgColor rgb="FFDAE3F3"/>
      </patternFill>
    </fill>
    <fill>
      <patternFill patternType="solid">
        <fgColor rgb="FF2E5597"/>
        <bgColor rgb="FF1F4E79"/>
      </patternFill>
    </fill>
    <fill>
      <patternFill patternType="solid">
        <fgColor rgb="FFBDD7EE"/>
        <bgColor rgb="FFD9E1F2"/>
      </patternFill>
    </fill>
    <fill>
      <patternFill patternType="solid">
        <fgColor rgb="FF8FAADC"/>
        <bgColor rgb="FFA6A6A6"/>
      </patternFill>
    </fill>
    <fill>
      <patternFill patternType="solid">
        <fgColor rgb="FFFFE699"/>
        <bgColor rgb="FFFFCC99"/>
      </patternFill>
    </fill>
    <fill>
      <patternFill patternType="solid">
        <fgColor rgb="FFEDEDED"/>
        <bgColor rgb="FFDAE3F3"/>
      </patternFill>
    </fill>
    <fill>
      <patternFill patternType="solid">
        <fgColor rgb="FFFF0000"/>
        <bgColor rgb="FF800000"/>
      </patternFill>
    </fill>
    <fill>
      <patternFill patternType="solid">
        <fgColor theme="4"/>
        <bgColor rgb="FF2E5597"/>
      </patternFill>
    </fill>
    <fill>
      <patternFill patternType="solid">
        <fgColor theme="1"/>
        <bgColor rgb="FF1F1F1F"/>
      </patternFill>
    </fill>
    <fill>
      <patternFill patternType="solid">
        <fgColor rgb="FFFFFF00"/>
        <bgColor indexed="64"/>
      </patternFill>
    </fill>
    <fill>
      <patternFill patternType="solid">
        <fgColor theme="4" tint="0.79998168889431442"/>
        <bgColor indexed="64"/>
      </patternFill>
    </fill>
    <fill>
      <patternFill patternType="solid">
        <fgColor rgb="FFD9E1F2"/>
        <bgColor rgb="FFE2EFDA"/>
      </patternFill>
    </fill>
    <fill>
      <patternFill patternType="solid">
        <fgColor theme="5"/>
        <bgColor indexed="64"/>
      </patternFill>
    </fill>
    <fill>
      <patternFill patternType="solid">
        <fgColor rgb="FFFFC000"/>
        <bgColor indexed="64"/>
      </patternFill>
    </fill>
    <fill>
      <patternFill patternType="solid">
        <fgColor theme="3" tint="0.79998168889431442"/>
        <bgColor indexed="64"/>
      </patternFill>
    </fill>
    <fill>
      <patternFill patternType="solid">
        <fgColor rgb="FFD4D4D4"/>
        <bgColor indexed="64"/>
      </patternFill>
    </fill>
    <fill>
      <patternFill patternType="solid">
        <fgColor rgb="FF92D050"/>
        <bgColor indexed="64"/>
      </patternFill>
    </fill>
    <fill>
      <patternFill patternType="solid">
        <fgColor theme="0"/>
        <bgColor indexed="64"/>
      </patternFill>
    </fill>
    <fill>
      <patternFill patternType="solid">
        <fgColor theme="4"/>
        <bgColor indexed="64"/>
      </patternFill>
    </fill>
    <fill>
      <patternFill patternType="solid">
        <fgColor theme="7"/>
        <bgColor indexed="64"/>
      </patternFill>
    </fill>
    <fill>
      <patternFill patternType="solid">
        <fgColor theme="4"/>
        <bgColor rgb="FF1F1F1F"/>
      </patternFill>
    </fill>
    <fill>
      <patternFill patternType="solid">
        <fgColor theme="1"/>
        <bgColor indexed="64"/>
      </patternFill>
    </fill>
    <fill>
      <patternFill patternType="solid">
        <fgColor rgb="FF000000"/>
        <bgColor indexed="64"/>
      </patternFill>
    </fill>
    <fill>
      <patternFill patternType="solid">
        <fgColor theme="9" tint="0.39997558519241921"/>
        <bgColor indexed="64"/>
      </patternFill>
    </fill>
  </fills>
  <borders count="36">
    <border>
      <left/>
      <right/>
      <top/>
      <bottom/>
      <diagonal/>
    </border>
    <border>
      <left style="thin">
        <color theme="3"/>
      </left>
      <right style="thin">
        <color theme="3"/>
      </right>
      <top style="thin">
        <color theme="3"/>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rgb="FF1F3864"/>
      </left>
      <right/>
      <top style="medium">
        <color rgb="FF1F3864"/>
      </top>
      <bottom style="medium">
        <color rgb="FF1F3864"/>
      </bottom>
      <diagonal/>
    </border>
    <border>
      <left style="thick">
        <color rgb="FF1F3864"/>
      </left>
      <right/>
      <top style="thick">
        <color rgb="FF1F3864"/>
      </top>
      <bottom style="thick">
        <color rgb="FF1F3864"/>
      </bottom>
      <diagonal/>
    </border>
    <border>
      <left style="medium">
        <color rgb="FF1F3864"/>
      </left>
      <right style="medium">
        <color rgb="FF1F3864"/>
      </right>
      <top style="medium">
        <color rgb="FF1F3864"/>
      </top>
      <bottom style="medium">
        <color rgb="FF1F3864"/>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style="thin">
        <color rgb="FF7F7F7F"/>
      </bottom>
      <diagonal/>
    </border>
    <border>
      <left style="thick">
        <color rgb="FF1F3864"/>
      </left>
      <right style="thick">
        <color rgb="FF1F3864"/>
      </right>
      <top style="thick">
        <color rgb="FF1F3864"/>
      </top>
      <bottom style="thick">
        <color rgb="FF1F3864"/>
      </bottom>
      <diagonal/>
    </border>
    <border>
      <left/>
      <right/>
      <top/>
      <bottom style="thin">
        <color theme="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theme="4" tint="0.39988402966399123"/>
      </top>
      <bottom style="thin">
        <color theme="4" tint="0.39988402966399123"/>
      </bottom>
      <diagonal/>
    </border>
    <border>
      <left/>
      <right/>
      <top style="thin">
        <color theme="1"/>
      </top>
      <bottom style="thin">
        <color theme="1"/>
      </bottom>
      <diagonal/>
    </border>
    <border>
      <left/>
      <right/>
      <top style="thin">
        <color theme="4" tint="0.39988402966399123"/>
      </top>
      <bottom style="thin">
        <color theme="4" tint="0.39988402966399123"/>
      </bottom>
      <diagonal/>
    </border>
    <border>
      <left/>
      <right style="thin">
        <color theme="3"/>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
    <xf numFmtId="0" fontId="0" fillId="0" borderId="0"/>
    <xf numFmtId="0" fontId="20" fillId="0" borderId="0"/>
    <xf numFmtId="44" fontId="20" fillId="0" borderId="0" applyFont="0" applyFill="0" applyBorder="0" applyAlignment="0" applyProtection="0"/>
    <xf numFmtId="43" fontId="20" fillId="0" borderId="0" applyFont="0" applyFill="0" applyBorder="0" applyAlignment="0" applyProtection="0"/>
  </cellStyleXfs>
  <cellXfs count="224">
    <xf numFmtId="0" fontId="0" fillId="0" borderId="0" xfId="0"/>
    <xf numFmtId="0" fontId="10" fillId="3"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5" fillId="3" borderId="1" xfId="0" applyFont="1" applyFill="1" applyBorder="1" applyAlignment="1">
      <alignment horizontal="center" vertical="center" wrapText="1"/>
    </xf>
    <xf numFmtId="0" fontId="2" fillId="0" borderId="0" xfId="0" applyFont="1"/>
    <xf numFmtId="0" fontId="3" fillId="0" borderId="0" xfId="0" applyFont="1"/>
    <xf numFmtId="165" fontId="6" fillId="0" borderId="1" xfId="0" applyNumberFormat="1" applyFont="1" applyBorder="1" applyAlignment="1">
      <alignment horizontal="center" vertical="center" wrapText="1"/>
    </xf>
    <xf numFmtId="1" fontId="6" fillId="0" borderId="1" xfId="0" applyNumberFormat="1" applyFont="1" applyBorder="1" applyAlignment="1">
      <alignment horizontal="center" vertical="center" wrapText="1"/>
    </xf>
    <xf numFmtId="0" fontId="0" fillId="0" borderId="0" xfId="0" applyAlignment="1">
      <alignment horizontal="right" vertical="center" indent="1"/>
    </xf>
    <xf numFmtId="0" fontId="11" fillId="0" borderId="2" xfId="0" applyFont="1" applyBorder="1" applyAlignment="1">
      <alignment horizontal="left" vertical="center"/>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0" fillId="3" borderId="7" xfId="0" applyFont="1" applyFill="1" applyBorder="1" applyAlignment="1">
      <alignment horizontal="center" vertical="center" wrapText="1"/>
    </xf>
    <xf numFmtId="10" fontId="11" fillId="8" borderId="9" xfId="0" applyNumberFormat="1" applyFont="1" applyFill="1" applyBorder="1" applyAlignment="1">
      <alignment horizontal="center" vertical="center" wrapText="1"/>
    </xf>
    <xf numFmtId="166" fontId="16" fillId="8" borderId="9" xfId="0" applyNumberFormat="1" applyFont="1" applyFill="1" applyBorder="1" applyAlignment="1">
      <alignment horizontal="right" vertical="center" indent="1"/>
    </xf>
    <xf numFmtId="166" fontId="5" fillId="6" borderId="7" xfId="0" applyNumberFormat="1" applyFont="1" applyFill="1" applyBorder="1" applyAlignment="1">
      <alignment horizontal="right" vertical="center" indent="1"/>
    </xf>
    <xf numFmtId="166" fontId="13" fillId="4" borderId="10" xfId="0" applyNumberFormat="1" applyFont="1" applyFill="1" applyBorder="1" applyAlignment="1">
      <alignment horizontal="right" vertical="center" indent="1"/>
    </xf>
    <xf numFmtId="0" fontId="0" fillId="0" borderId="0" xfId="0" applyAlignment="1">
      <alignment horizontal="center" vertical="center"/>
    </xf>
    <xf numFmtId="168" fontId="0" fillId="0" borderId="0" xfId="0" applyNumberFormat="1"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4" fontId="0" fillId="0" borderId="0" xfId="0" applyNumberFormat="1"/>
    <xf numFmtId="9" fontId="0" fillId="0" borderId="0" xfId="0" applyNumberFormat="1"/>
    <xf numFmtId="10" fontId="0" fillId="0" borderId="0" xfId="0" applyNumberFormat="1"/>
    <xf numFmtId="0" fontId="18" fillId="0" borderId="12"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14"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4" fontId="0" fillId="0" borderId="13" xfId="0" applyNumberFormat="1" applyBorder="1" applyAlignment="1">
      <alignment horizontal="right" wrapText="1"/>
    </xf>
    <xf numFmtId="0" fontId="0" fillId="0" borderId="13" xfId="0" applyBorder="1" applyAlignment="1">
      <alignment horizontal="right" wrapText="1"/>
    </xf>
    <xf numFmtId="0" fontId="0" fillId="0" borderId="0" xfId="0" applyAlignment="1">
      <alignment wrapText="1"/>
    </xf>
    <xf numFmtId="0" fontId="19" fillId="10" borderId="14" xfId="0" applyFont="1" applyFill="1" applyBorder="1" applyAlignment="1">
      <alignment horizontal="center" vertical="center" wrapText="1"/>
    </xf>
    <xf numFmtId="0" fontId="19" fillId="10" borderId="15" xfId="0" applyFont="1" applyFill="1" applyBorder="1" applyAlignment="1">
      <alignment horizontal="center" vertical="center" wrapText="1"/>
    </xf>
    <xf numFmtId="17" fontId="0" fillId="0" borderId="0" xfId="0" applyNumberFormat="1"/>
    <xf numFmtId="17" fontId="0" fillId="9" borderId="0" xfId="0" applyNumberFormat="1" applyFill="1"/>
    <xf numFmtId="0" fontId="19" fillId="11" borderId="16" xfId="0" applyFont="1" applyFill="1" applyBorder="1"/>
    <xf numFmtId="166" fontId="11" fillId="8" borderId="8" xfId="0" applyNumberFormat="1" applyFont="1" applyFill="1" applyBorder="1" applyAlignment="1">
      <alignment horizontal="right" vertical="center" indent="1"/>
    </xf>
    <xf numFmtId="0" fontId="10" fillId="3" borderId="5" xfId="0" applyFont="1" applyFill="1" applyBorder="1" applyAlignment="1">
      <alignment horizontal="center" vertical="center" wrapText="1"/>
    </xf>
    <xf numFmtId="0" fontId="9" fillId="4" borderId="6" xfId="0" applyFont="1" applyFill="1" applyBorder="1" applyAlignment="1">
      <alignment horizontal="right" vertical="center" indent="1"/>
    </xf>
    <xf numFmtId="0" fontId="5" fillId="6" borderId="5" xfId="0" applyFont="1" applyFill="1" applyBorder="1" applyAlignment="1">
      <alignment horizontal="right" vertical="center" indent="1"/>
    </xf>
    <xf numFmtId="0" fontId="0" fillId="12" borderId="0" xfId="0" applyFill="1"/>
    <xf numFmtId="170" fontId="0" fillId="0" borderId="0" xfId="0" applyNumberFormat="1" applyAlignment="1">
      <alignment horizontal="center" vertical="center"/>
    </xf>
    <xf numFmtId="0" fontId="0" fillId="0" borderId="1" xfId="0" applyBorder="1" applyAlignment="1">
      <alignment horizontal="center" vertical="center" wrapText="1"/>
    </xf>
    <xf numFmtId="4" fontId="25" fillId="0" borderId="1" xfId="0" applyNumberFormat="1" applyFont="1" applyBorder="1" applyAlignment="1">
      <alignment horizontal="right" vertical="center"/>
    </xf>
    <xf numFmtId="0" fontId="0" fillId="0" borderId="1" xfId="0" applyBorder="1" applyAlignment="1">
      <alignment horizontal="right" vertical="center" indent="1"/>
    </xf>
    <xf numFmtId="0" fontId="0" fillId="0" borderId="2" xfId="0" applyBorder="1" applyAlignment="1">
      <alignment horizontal="center" vertical="center"/>
    </xf>
    <xf numFmtId="10" fontId="0" fillId="0" borderId="1" xfId="0" applyNumberFormat="1" applyBorder="1" applyAlignment="1">
      <alignment horizontal="center" vertical="center"/>
    </xf>
    <xf numFmtId="0" fontId="0" fillId="0" borderId="2" xfId="0" applyBorder="1" applyAlignment="1">
      <alignment horizontal="right" vertical="center" indent="1"/>
    </xf>
    <xf numFmtId="166" fontId="6" fillId="0" borderId="1" xfId="0" applyNumberFormat="1" applyFont="1" applyBorder="1" applyAlignment="1">
      <alignment horizontal="center" vertical="center"/>
    </xf>
    <xf numFmtId="4" fontId="25" fillId="0" borderId="2" xfId="0" applyNumberFormat="1" applyFont="1" applyBorder="1" applyAlignment="1">
      <alignment horizontal="right" vertical="center"/>
    </xf>
    <xf numFmtId="0" fontId="11" fillId="0" borderId="2" xfId="0" applyFont="1" applyBorder="1" applyAlignment="1">
      <alignment vertical="center"/>
    </xf>
    <xf numFmtId="0" fontId="11" fillId="0" borderId="3" xfId="0" applyFont="1" applyBorder="1" applyAlignment="1">
      <alignment vertical="center"/>
    </xf>
    <xf numFmtId="0" fontId="11" fillId="0" borderId="4" xfId="0" applyFont="1" applyBorder="1" applyAlignment="1">
      <alignment vertical="center"/>
    </xf>
    <xf numFmtId="0" fontId="0" fillId="0" borderId="13" xfId="0" applyBorder="1" applyAlignment="1">
      <alignment horizontal="center" vertical="center"/>
    </xf>
    <xf numFmtId="0" fontId="19" fillId="15" borderId="13" xfId="0" applyFont="1" applyFill="1" applyBorder="1"/>
    <xf numFmtId="0" fontId="0" fillId="0" borderId="13" xfId="0" applyBorder="1"/>
    <xf numFmtId="0" fontId="0" fillId="0" borderId="0" xfId="0" applyAlignment="1">
      <alignment horizontal="center"/>
    </xf>
    <xf numFmtId="0" fontId="0" fillId="0" borderId="19" xfId="0" applyBorder="1" applyAlignment="1">
      <alignment horizontal="center" vertical="center"/>
    </xf>
    <xf numFmtId="0" fontId="19" fillId="15" borderId="19" xfId="0" applyFont="1" applyFill="1" applyBorder="1"/>
    <xf numFmtId="0" fontId="0" fillId="0" borderId="19" xfId="0" applyBorder="1"/>
    <xf numFmtId="0" fontId="0" fillId="0" borderId="13" xfId="0" applyBorder="1" applyAlignment="1">
      <alignment horizontal="center"/>
    </xf>
    <xf numFmtId="17" fontId="0" fillId="0" borderId="13" xfId="0" applyNumberFormat="1" applyBorder="1" applyAlignment="1">
      <alignment horizontal="center"/>
    </xf>
    <xf numFmtId="4" fontId="0" fillId="0" borderId="13" xfId="0" applyNumberFormat="1" applyBorder="1" applyAlignment="1">
      <alignment horizontal="center"/>
    </xf>
    <xf numFmtId="44" fontId="0" fillId="0" borderId="13" xfId="2" applyFont="1" applyBorder="1" applyAlignment="1">
      <alignment horizontal="center"/>
    </xf>
    <xf numFmtId="0" fontId="0" fillId="16" borderId="0" xfId="0" applyFill="1"/>
    <xf numFmtId="0" fontId="19" fillId="11" borderId="0" xfId="0" applyFont="1" applyFill="1"/>
    <xf numFmtId="0" fontId="0" fillId="17" borderId="0" xfId="0" applyFill="1" applyAlignment="1">
      <alignment horizontal="left"/>
    </xf>
    <xf numFmtId="0" fontId="0" fillId="17" borderId="0" xfId="0" applyFill="1" applyAlignment="1">
      <alignment horizontal="center" vertical="center"/>
    </xf>
    <xf numFmtId="17" fontId="0" fillId="17" borderId="0" xfId="0" applyNumberFormat="1" applyFill="1"/>
    <xf numFmtId="0" fontId="0" fillId="0" borderId="0" xfId="0" applyAlignment="1">
      <alignment horizontal="left"/>
    </xf>
    <xf numFmtId="0" fontId="0" fillId="0" borderId="0" xfId="0" applyAlignment="1">
      <alignment horizontal="left" vertical="center"/>
    </xf>
    <xf numFmtId="14" fontId="0" fillId="0" borderId="0" xfId="0" applyNumberFormat="1" applyAlignment="1">
      <alignment horizontal="center" vertical="center"/>
    </xf>
    <xf numFmtId="14" fontId="19" fillId="15" borderId="0" xfId="0" applyNumberFormat="1" applyFont="1" applyFill="1"/>
    <xf numFmtId="2" fontId="26" fillId="16" borderId="0" xfId="0" applyNumberFormat="1" applyFont="1" applyFill="1"/>
    <xf numFmtId="0" fontId="26" fillId="16" borderId="0" xfId="0" applyFont="1" applyFill="1"/>
    <xf numFmtId="0" fontId="27" fillId="0" borderId="0" xfId="0" applyFont="1"/>
    <xf numFmtId="0" fontId="17" fillId="0" borderId="20" xfId="0" applyFont="1" applyBorder="1"/>
    <xf numFmtId="0" fontId="17" fillId="0" borderId="21" xfId="0" applyFont="1" applyBorder="1"/>
    <xf numFmtId="0" fontId="17" fillId="0" borderId="22" xfId="0" applyFont="1" applyBorder="1"/>
    <xf numFmtId="0" fontId="17" fillId="0" borderId="23" xfId="0" applyFont="1" applyBorder="1"/>
    <xf numFmtId="0" fontId="17" fillId="0" borderId="24" xfId="0" applyFont="1" applyBorder="1"/>
    <xf numFmtId="0" fontId="17" fillId="0" borderId="25" xfId="0" applyFont="1" applyBorder="1"/>
    <xf numFmtId="0" fontId="0" fillId="18" borderId="26" xfId="0" applyFill="1" applyBorder="1"/>
    <xf numFmtId="0" fontId="0" fillId="18" borderId="26" xfId="0" applyFill="1" applyBorder="1" applyAlignment="1">
      <alignment horizontal="center" wrapText="1"/>
    </xf>
    <xf numFmtId="14" fontId="17" fillId="18" borderId="26" xfId="0" applyNumberFormat="1" applyFont="1" applyFill="1" applyBorder="1" applyAlignment="1">
      <alignment horizontal="center" wrapText="1"/>
    </xf>
    <xf numFmtId="0" fontId="0" fillId="18" borderId="22" xfId="0" applyFill="1" applyBorder="1" applyAlignment="1">
      <alignment horizontal="center" wrapText="1"/>
    </xf>
    <xf numFmtId="0" fontId="0" fillId="16" borderId="27" xfId="0" applyFill="1" applyBorder="1"/>
    <xf numFmtId="0" fontId="17" fillId="16" borderId="13" xfId="0" applyFont="1" applyFill="1" applyBorder="1"/>
    <xf numFmtId="14" fontId="0" fillId="16" borderId="13" xfId="0" applyNumberFormat="1" applyFill="1" applyBorder="1"/>
    <xf numFmtId="14" fontId="0" fillId="16" borderId="13" xfId="0" applyNumberFormat="1" applyFill="1" applyBorder="1" applyAlignment="1">
      <alignment horizontal="center"/>
    </xf>
    <xf numFmtId="2" fontId="0" fillId="16" borderId="13" xfId="0" applyNumberFormat="1" applyFill="1" applyBorder="1" applyAlignment="1">
      <alignment horizontal="center"/>
    </xf>
    <xf numFmtId="0" fontId="17" fillId="16" borderId="13" xfId="0" applyFont="1" applyFill="1" applyBorder="1" applyAlignment="1">
      <alignment horizontal="center"/>
    </xf>
    <xf numFmtId="16" fontId="17" fillId="16" borderId="13" xfId="0" applyNumberFormat="1" applyFont="1" applyFill="1" applyBorder="1"/>
    <xf numFmtId="0" fontId="0" fillId="16" borderId="13" xfId="0" applyFill="1" applyBorder="1"/>
    <xf numFmtId="0" fontId="0" fillId="0" borderId="27" xfId="0" applyBorder="1"/>
    <xf numFmtId="14" fontId="0" fillId="0" borderId="13" xfId="0" applyNumberFormat="1" applyBorder="1"/>
    <xf numFmtId="14" fontId="0" fillId="0" borderId="13" xfId="0" applyNumberFormat="1" applyBorder="1" applyAlignment="1">
      <alignment horizontal="center"/>
    </xf>
    <xf numFmtId="2" fontId="0" fillId="0" borderId="13" xfId="0" applyNumberFormat="1" applyBorder="1" applyAlignment="1">
      <alignment horizontal="center"/>
    </xf>
    <xf numFmtId="0" fontId="17" fillId="0" borderId="13" xfId="0" applyFont="1" applyBorder="1" applyAlignment="1">
      <alignment horizontal="center"/>
    </xf>
    <xf numFmtId="0" fontId="17" fillId="0" borderId="13" xfId="0" applyFont="1" applyBorder="1"/>
    <xf numFmtId="0" fontId="17" fillId="16" borderId="27" xfId="0" applyFont="1" applyFill="1" applyBorder="1"/>
    <xf numFmtId="0" fontId="0" fillId="16" borderId="13" xfId="0" applyFill="1" applyBorder="1" applyAlignment="1">
      <alignment horizontal="center"/>
    </xf>
    <xf numFmtId="0" fontId="17" fillId="12" borderId="27" xfId="0" applyFont="1" applyFill="1" applyBorder="1"/>
    <xf numFmtId="0" fontId="0" fillId="12" borderId="13" xfId="0" applyFill="1" applyBorder="1"/>
    <xf numFmtId="14" fontId="0" fillId="12" borderId="13" xfId="0" applyNumberFormat="1" applyFill="1" applyBorder="1" applyAlignment="1">
      <alignment horizontal="center"/>
    </xf>
    <xf numFmtId="2" fontId="0" fillId="12" borderId="13" xfId="0" applyNumberFormat="1" applyFill="1" applyBorder="1" applyAlignment="1">
      <alignment horizontal="center"/>
    </xf>
    <xf numFmtId="0" fontId="0" fillId="12" borderId="13" xfId="0" applyFill="1" applyBorder="1" applyAlignment="1">
      <alignment horizontal="center"/>
    </xf>
    <xf numFmtId="0" fontId="17" fillId="12" borderId="13" xfId="0" applyFont="1" applyFill="1" applyBorder="1"/>
    <xf numFmtId="0" fontId="17" fillId="12" borderId="13" xfId="0" applyFont="1" applyFill="1" applyBorder="1" applyAlignment="1">
      <alignment horizontal="center"/>
    </xf>
    <xf numFmtId="0" fontId="0" fillId="12" borderId="27" xfId="0" applyFill="1" applyBorder="1"/>
    <xf numFmtId="16" fontId="17" fillId="12" borderId="13" xfId="0" applyNumberFormat="1" applyFont="1" applyFill="1" applyBorder="1"/>
    <xf numFmtId="14" fontId="0" fillId="12" borderId="13" xfId="0" applyNumberFormat="1" applyFill="1" applyBorder="1"/>
    <xf numFmtId="14" fontId="0" fillId="0" borderId="0" xfId="0" applyNumberFormat="1"/>
    <xf numFmtId="2" fontId="0" fillId="0" borderId="0" xfId="0" applyNumberFormat="1" applyAlignment="1">
      <alignment horizontal="center"/>
    </xf>
    <xf numFmtId="0" fontId="0" fillId="0" borderId="20" xfId="0" applyBorder="1"/>
    <xf numFmtId="0" fontId="0" fillId="0" borderId="28" xfId="0" applyBorder="1"/>
    <xf numFmtId="0" fontId="17" fillId="0" borderId="29" xfId="0" applyFont="1" applyBorder="1"/>
    <xf numFmtId="0" fontId="17" fillId="0" borderId="0" xfId="0" applyFont="1"/>
    <xf numFmtId="0" fontId="0" fillId="0" borderId="23" xfId="0" applyBorder="1"/>
    <xf numFmtId="0" fontId="17" fillId="0" borderId="20" xfId="0" applyFont="1" applyBorder="1" applyAlignment="1">
      <alignment wrapText="1"/>
    </xf>
    <xf numFmtId="0" fontId="0" fillId="0" borderId="21" xfId="0" applyBorder="1" applyAlignment="1">
      <alignment wrapText="1"/>
    </xf>
    <xf numFmtId="0" fontId="0" fillId="0" borderId="22" xfId="0" applyBorder="1" applyAlignment="1">
      <alignment wrapText="1"/>
    </xf>
    <xf numFmtId="0" fontId="0" fillId="19" borderId="0" xfId="0" applyFill="1"/>
    <xf numFmtId="0" fontId="17" fillId="19" borderId="27" xfId="0" applyFont="1" applyFill="1" applyBorder="1"/>
    <xf numFmtId="0" fontId="0" fillId="19" borderId="13" xfId="0" applyFill="1" applyBorder="1"/>
    <xf numFmtId="14" fontId="0" fillId="19" borderId="13" xfId="0" applyNumberFormat="1" applyFill="1" applyBorder="1" applyAlignment="1">
      <alignment horizontal="center"/>
    </xf>
    <xf numFmtId="2" fontId="0" fillId="19" borderId="13" xfId="0" applyNumberFormat="1" applyFill="1" applyBorder="1" applyAlignment="1">
      <alignment horizontal="center"/>
    </xf>
    <xf numFmtId="0" fontId="0" fillId="19" borderId="13" xfId="0" applyFill="1" applyBorder="1" applyAlignment="1">
      <alignment horizontal="center"/>
    </xf>
    <xf numFmtId="0" fontId="17" fillId="19" borderId="13" xfId="0" applyFont="1" applyFill="1" applyBorder="1"/>
    <xf numFmtId="0" fontId="17" fillId="19" borderId="13" xfId="0" applyFont="1" applyFill="1" applyBorder="1" applyAlignment="1">
      <alignment horizontal="center"/>
    </xf>
    <xf numFmtId="171" fontId="0" fillId="0" borderId="0" xfId="3" applyNumberFormat="1" applyFont="1"/>
    <xf numFmtId="0" fontId="0" fillId="20" borderId="0" xfId="0" applyFill="1" applyAlignment="1">
      <alignment horizontal="center" vertical="center"/>
    </xf>
    <xf numFmtId="0" fontId="0" fillId="20" borderId="0" xfId="0" applyFill="1" applyAlignment="1">
      <alignment horizontal="left"/>
    </xf>
    <xf numFmtId="17" fontId="0" fillId="20" borderId="0" xfId="0" applyNumberFormat="1" applyFill="1"/>
    <xf numFmtId="0" fontId="0" fillId="20" borderId="17" xfId="0" applyFill="1" applyBorder="1" applyAlignment="1">
      <alignment horizontal="center" vertical="center"/>
    </xf>
    <xf numFmtId="0" fontId="0" fillId="21" borderId="0" xfId="0" applyFill="1"/>
    <xf numFmtId="0" fontId="0" fillId="0" borderId="12" xfId="0" applyBorder="1"/>
    <xf numFmtId="3" fontId="0" fillId="0" borderId="13" xfId="0" applyNumberFormat="1" applyBorder="1"/>
    <xf numFmtId="3" fontId="0" fillId="0" borderId="32" xfId="0" applyNumberFormat="1" applyBorder="1"/>
    <xf numFmtId="0" fontId="0" fillId="0" borderId="33" xfId="0" applyBorder="1"/>
    <xf numFmtId="3" fontId="0" fillId="16" borderId="34" xfId="0" applyNumberFormat="1" applyFill="1" applyBorder="1"/>
    <xf numFmtId="9" fontId="0" fillId="0" borderId="32" xfId="0" applyNumberFormat="1" applyBorder="1" applyAlignment="1">
      <alignment horizontal="center"/>
    </xf>
    <xf numFmtId="4" fontId="0" fillId="0" borderId="32" xfId="0" applyNumberFormat="1" applyBorder="1" applyAlignment="1">
      <alignment horizontal="center"/>
    </xf>
    <xf numFmtId="0" fontId="0" fillId="22" borderId="33" xfId="0" applyFill="1" applyBorder="1"/>
    <xf numFmtId="10" fontId="0" fillId="0" borderId="32" xfId="0" applyNumberFormat="1" applyBorder="1" applyAlignment="1">
      <alignment horizontal="center"/>
    </xf>
    <xf numFmtId="4" fontId="0" fillId="0" borderId="35" xfId="0" applyNumberFormat="1" applyBorder="1" applyAlignment="1">
      <alignment horizontal="center"/>
    </xf>
    <xf numFmtId="0" fontId="19" fillId="23" borderId="16" xfId="0" applyFont="1" applyFill="1" applyBorder="1"/>
    <xf numFmtId="0" fontId="30" fillId="21" borderId="0" xfId="0" applyFont="1" applyFill="1" applyAlignment="1">
      <alignment horizontal="center" vertical="center"/>
    </xf>
    <xf numFmtId="0" fontId="31" fillId="24" borderId="0" xfId="0" applyFont="1" applyFill="1" applyAlignment="1">
      <alignment horizontal="center" vertical="center"/>
    </xf>
    <xf numFmtId="0" fontId="30" fillId="0" borderId="0" xfId="0" applyFont="1" applyAlignment="1">
      <alignment horizontal="center" vertical="center"/>
    </xf>
    <xf numFmtId="0" fontId="31" fillId="24" borderId="11" xfId="0" applyFont="1" applyFill="1" applyBorder="1" applyAlignment="1">
      <alignment horizontal="center" vertical="center"/>
    </xf>
    <xf numFmtId="0" fontId="30" fillId="21" borderId="19" xfId="0" applyFont="1" applyFill="1" applyBorder="1" applyAlignment="1">
      <alignment horizontal="center"/>
    </xf>
    <xf numFmtId="0" fontId="30" fillId="21" borderId="31" xfId="0" applyFont="1" applyFill="1" applyBorder="1" applyAlignment="1">
      <alignment horizontal="center"/>
    </xf>
    <xf numFmtId="0" fontId="31" fillId="24" borderId="30" xfId="0" applyFont="1" applyFill="1" applyBorder="1" applyAlignment="1">
      <alignment horizontal="center"/>
    </xf>
    <xf numFmtId="3" fontId="0" fillId="0" borderId="35" xfId="0" applyNumberFormat="1" applyBorder="1" applyAlignment="1">
      <alignment horizontal="center"/>
    </xf>
    <xf numFmtId="4" fontId="0" fillId="21" borderId="31" xfId="0" applyNumberFormat="1" applyFill="1" applyBorder="1" applyAlignment="1">
      <alignment horizontal="center"/>
    </xf>
    <xf numFmtId="0" fontId="31" fillId="24" borderId="30" xfId="0" applyFont="1" applyFill="1" applyBorder="1" applyAlignment="1">
      <alignment horizontal="center" vertical="center"/>
    </xf>
    <xf numFmtId="7" fontId="0" fillId="0" borderId="0" xfId="0" applyNumberFormat="1" applyAlignment="1">
      <alignment horizontal="center"/>
    </xf>
    <xf numFmtId="0" fontId="0" fillId="21" borderId="0" xfId="0" applyFill="1" applyAlignment="1">
      <alignment horizontal="center"/>
    </xf>
    <xf numFmtId="165" fontId="8" fillId="0" borderId="1" xfId="0" applyNumberFormat="1" applyFont="1" applyBorder="1" applyAlignment="1">
      <alignment horizontal="center" vertical="center" wrapText="1"/>
    </xf>
    <xf numFmtId="167" fontId="8" fillId="0" borderId="1" xfId="0" applyNumberFormat="1" applyFont="1" applyBorder="1" applyAlignment="1">
      <alignment horizontal="center" vertical="center" wrapText="1"/>
    </xf>
    <xf numFmtId="0" fontId="5" fillId="13" borderId="1" xfId="0" applyFont="1" applyFill="1" applyBorder="1" applyAlignment="1">
      <alignment horizontal="center" vertical="center" wrapText="1"/>
    </xf>
    <xf numFmtId="169" fontId="0" fillId="0" borderId="0" xfId="0" applyNumberFormat="1"/>
    <xf numFmtId="168" fontId="0" fillId="0" borderId="0" xfId="0" applyNumberFormat="1"/>
    <xf numFmtId="0" fontId="0" fillId="25" borderId="0" xfId="0" applyFill="1"/>
    <xf numFmtId="7" fontId="0" fillId="26" borderId="0" xfId="0" applyNumberFormat="1" applyFill="1" applyAlignment="1">
      <alignment horizontal="center"/>
    </xf>
    <xf numFmtId="7" fontId="0" fillId="19" borderId="0" xfId="0" applyNumberFormat="1" applyFill="1" applyAlignment="1">
      <alignment horizontal="center"/>
    </xf>
    <xf numFmtId="4" fontId="25" fillId="0" borderId="1" xfId="0" applyNumberFormat="1" applyFont="1" applyBorder="1" applyAlignment="1">
      <alignment horizontal="right" vertical="center" wrapText="1"/>
    </xf>
    <xf numFmtId="0" fontId="1" fillId="2" borderId="0" xfId="0" applyFont="1" applyFill="1" applyAlignment="1">
      <alignment horizontal="center" vertical="center" wrapText="1"/>
    </xf>
    <xf numFmtId="0" fontId="5" fillId="3" borderId="1" xfId="0" applyFont="1" applyFill="1" applyBorder="1" applyAlignment="1">
      <alignment horizontal="center" vertical="center" wrapText="1"/>
    </xf>
    <xf numFmtId="0" fontId="3" fillId="0" borderId="0" xfId="0" applyFont="1" applyAlignment="1">
      <alignment horizontal="right"/>
    </xf>
    <xf numFmtId="0" fontId="3" fillId="0" borderId="18" xfId="0" applyFont="1" applyBorder="1" applyAlignment="1">
      <alignment horizontal="right"/>
    </xf>
    <xf numFmtId="0" fontId="5" fillId="3" borderId="2" xfId="0" applyFont="1" applyFill="1" applyBorder="1" applyAlignment="1">
      <alignment horizontal="center" vertical="center" wrapText="1"/>
    </xf>
    <xf numFmtId="0" fontId="5" fillId="3" borderId="4" xfId="0" applyFont="1" applyFill="1" applyBorder="1" applyAlignment="1">
      <alignment horizontal="center" vertical="center" wrapText="1"/>
    </xf>
    <xf numFmtId="14" fontId="6" fillId="0" borderId="2" xfId="0" applyNumberFormat="1" applyFont="1" applyBorder="1" applyAlignment="1">
      <alignment horizontal="center" vertical="center" wrapText="1"/>
    </xf>
    <xf numFmtId="0" fontId="6" fillId="0" borderId="4" xfId="0" applyFont="1" applyBorder="1" applyAlignment="1">
      <alignment horizontal="center" vertical="center" wrapText="1"/>
    </xf>
    <xf numFmtId="0" fontId="6" fillId="0" borderId="1" xfId="0" applyFont="1" applyBorder="1" applyAlignment="1">
      <alignment horizontal="center" vertical="center" wrapText="1"/>
    </xf>
    <xf numFmtId="0" fontId="5" fillId="13"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7" fillId="0" borderId="1" xfId="0" applyFont="1" applyBorder="1" applyAlignment="1">
      <alignment horizontal="center" vertical="center" wrapText="1"/>
    </xf>
    <xf numFmtId="164" fontId="6" fillId="0" borderId="2" xfId="0" applyNumberFormat="1" applyFont="1" applyBorder="1" applyAlignment="1">
      <alignment horizontal="center" vertical="center" wrapText="1"/>
    </xf>
    <xf numFmtId="164" fontId="6" fillId="0" borderId="4" xfId="0" applyNumberFormat="1" applyFont="1" applyBorder="1" applyAlignment="1">
      <alignment horizontal="center" vertical="center" wrapText="1"/>
    </xf>
    <xf numFmtId="0" fontId="23" fillId="14" borderId="1" xfId="1" applyFont="1" applyFill="1" applyBorder="1" applyAlignment="1">
      <alignment horizontal="center" vertical="center" wrapText="1"/>
    </xf>
    <xf numFmtId="0" fontId="24" fillId="0" borderId="1" xfId="1" applyFont="1" applyBorder="1" applyAlignment="1">
      <alignment horizontal="center" vertical="center" wrapText="1"/>
    </xf>
    <xf numFmtId="17" fontId="19" fillId="21" borderId="2" xfId="0" applyNumberFormat="1" applyFont="1" applyFill="1" applyBorder="1" applyAlignment="1">
      <alignment horizontal="center" vertical="center" wrapText="1"/>
    </xf>
    <xf numFmtId="17" fontId="19" fillId="21" borderId="4" xfId="0" applyNumberFormat="1" applyFont="1" applyFill="1" applyBorder="1" applyAlignment="1">
      <alignment horizontal="center" vertical="center" wrapText="1"/>
    </xf>
    <xf numFmtId="166" fontId="5" fillId="6" borderId="1" xfId="0" applyNumberFormat="1" applyFont="1" applyFill="1" applyBorder="1" applyAlignment="1">
      <alignment horizontal="center" vertical="center" wrapText="1"/>
    </xf>
    <xf numFmtId="0" fontId="10" fillId="5"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1" fillId="0" borderId="1" xfId="0" applyFont="1" applyBorder="1" applyAlignment="1">
      <alignment horizontal="left" vertical="center" wrapText="1"/>
    </xf>
    <xf numFmtId="0" fontId="10" fillId="3" borderId="5" xfId="0" applyFont="1" applyFill="1" applyBorder="1" applyAlignment="1">
      <alignment horizontal="center" vertical="center" wrapText="1"/>
    </xf>
    <xf numFmtId="0" fontId="11" fillId="8" borderId="8" xfId="0" applyFont="1" applyFill="1" applyBorder="1" applyAlignment="1">
      <alignment horizontal="left" vertical="center" wrapText="1" indent="1"/>
    </xf>
    <xf numFmtId="0" fontId="12" fillId="13" borderId="1" xfId="0" applyFont="1" applyFill="1" applyBorder="1" applyAlignment="1">
      <alignment horizontal="left" vertical="top" wrapText="1"/>
    </xf>
    <xf numFmtId="0" fontId="13" fillId="4" borderId="1" xfId="0" applyFont="1" applyFill="1" applyBorder="1" applyAlignment="1">
      <alignment horizontal="center" vertical="center" wrapText="1"/>
    </xf>
    <xf numFmtId="166" fontId="14" fillId="7" borderId="1" xfId="0" applyNumberFormat="1" applyFont="1" applyFill="1" applyBorder="1" applyAlignment="1">
      <alignment horizontal="center" vertical="center" wrapText="1"/>
    </xf>
    <xf numFmtId="0" fontId="9" fillId="4" borderId="0" xfId="0" applyFont="1" applyFill="1" applyAlignment="1">
      <alignment horizontal="center" vertical="center" wrapText="1"/>
    </xf>
    <xf numFmtId="0" fontId="15" fillId="8" borderId="0" xfId="0" applyFont="1" applyFill="1" applyAlignment="1">
      <alignment horizontal="center" vertical="center" wrapText="1"/>
    </xf>
    <xf numFmtId="0" fontId="5" fillId="6" borderId="5" xfId="0" applyFont="1" applyFill="1" applyBorder="1" applyAlignment="1">
      <alignment horizontal="right" vertical="center" indent="1"/>
    </xf>
    <xf numFmtId="0" fontId="15" fillId="0" borderId="0" xfId="0" applyFont="1" applyAlignment="1">
      <alignment horizontal="center" vertical="center" wrapText="1"/>
    </xf>
    <xf numFmtId="0" fontId="9" fillId="4" borderId="6" xfId="0" applyFont="1" applyFill="1" applyBorder="1" applyAlignment="1">
      <alignment horizontal="right" vertical="center" indent="1"/>
    </xf>
    <xf numFmtId="0" fontId="11" fillId="0" borderId="0" xfId="0" applyFont="1" applyAlignment="1">
      <alignment horizontal="center" vertical="center" wrapText="1"/>
    </xf>
    <xf numFmtId="0" fontId="4" fillId="0" borderId="0" xfId="0" applyFont="1" applyAlignment="1">
      <alignment horizontal="center" vertical="center" wrapText="1"/>
    </xf>
    <xf numFmtId="0" fontId="28" fillId="0" borderId="20" xfId="0" applyFont="1" applyBorder="1" applyAlignment="1">
      <alignment horizontal="center" wrapText="1"/>
    </xf>
    <xf numFmtId="0" fontId="28" fillId="0" borderId="21" xfId="0" applyFont="1" applyBorder="1" applyAlignment="1">
      <alignment horizontal="center" wrapText="1"/>
    </xf>
    <xf numFmtId="0" fontId="28" fillId="0" borderId="22" xfId="0" applyFont="1" applyBorder="1" applyAlignment="1">
      <alignment horizontal="center" wrapText="1"/>
    </xf>
    <xf numFmtId="0" fontId="28" fillId="0" borderId="28" xfId="0" applyFont="1" applyBorder="1" applyAlignment="1">
      <alignment horizontal="center" wrapText="1"/>
    </xf>
    <xf numFmtId="0" fontId="28" fillId="0" borderId="0" xfId="0" applyFont="1" applyAlignment="1">
      <alignment horizontal="center" wrapText="1"/>
    </xf>
    <xf numFmtId="0" fontId="28" fillId="0" borderId="29" xfId="0" applyFont="1" applyBorder="1" applyAlignment="1">
      <alignment horizontal="center" wrapText="1"/>
    </xf>
    <xf numFmtId="0" fontId="28" fillId="0" borderId="23" xfId="0" applyFont="1" applyBorder="1" applyAlignment="1">
      <alignment horizontal="center" wrapText="1"/>
    </xf>
    <xf numFmtId="0" fontId="28" fillId="0" borderId="24" xfId="0" applyFont="1" applyBorder="1" applyAlignment="1">
      <alignment horizontal="center" wrapText="1"/>
    </xf>
    <xf numFmtId="0" fontId="28" fillId="0" borderId="25" xfId="0" applyFont="1" applyBorder="1" applyAlignment="1">
      <alignment horizontal="center" wrapText="1"/>
    </xf>
    <xf numFmtId="14" fontId="29" fillId="0" borderId="20" xfId="0" applyNumberFormat="1" applyFont="1" applyBorder="1" applyAlignment="1">
      <alignment horizontal="center" wrapText="1"/>
    </xf>
    <xf numFmtId="14" fontId="29" fillId="0" borderId="21" xfId="0" applyNumberFormat="1" applyFont="1" applyBorder="1" applyAlignment="1">
      <alignment horizontal="center" wrapText="1"/>
    </xf>
    <xf numFmtId="14" fontId="29" fillId="0" borderId="22" xfId="0" applyNumberFormat="1" applyFont="1" applyBorder="1" applyAlignment="1">
      <alignment horizontal="center" wrapText="1"/>
    </xf>
    <xf numFmtId="14" fontId="29" fillId="0" borderId="28" xfId="0" applyNumberFormat="1" applyFont="1" applyBorder="1" applyAlignment="1">
      <alignment horizontal="center" wrapText="1"/>
    </xf>
    <xf numFmtId="14" fontId="29" fillId="0" borderId="0" xfId="0" applyNumberFormat="1" applyFont="1" applyAlignment="1">
      <alignment horizontal="center" wrapText="1"/>
    </xf>
    <xf numFmtId="14" fontId="29" fillId="0" borderId="29" xfId="0" applyNumberFormat="1" applyFont="1" applyBorder="1" applyAlignment="1">
      <alignment horizontal="center" wrapText="1"/>
    </xf>
    <xf numFmtId="14" fontId="29" fillId="0" borderId="23" xfId="0" applyNumberFormat="1" applyFont="1" applyBorder="1" applyAlignment="1">
      <alignment horizontal="center" wrapText="1"/>
    </xf>
    <xf numFmtId="14" fontId="29" fillId="0" borderId="24" xfId="0" applyNumberFormat="1" applyFont="1" applyBorder="1" applyAlignment="1">
      <alignment horizontal="center" wrapText="1"/>
    </xf>
    <xf numFmtId="14" fontId="29" fillId="0" borderId="25" xfId="0" applyNumberFormat="1" applyFont="1" applyBorder="1" applyAlignment="1">
      <alignment horizontal="center" wrapText="1"/>
    </xf>
    <xf numFmtId="10" fontId="0" fillId="16" borderId="0" xfId="0" applyNumberFormat="1" applyFill="1"/>
    <xf numFmtId="44" fontId="0" fillId="16" borderId="0" xfId="2" applyFont="1" applyFill="1"/>
  </cellXfs>
  <cellStyles count="4">
    <cellStyle name="Millares" xfId="3" builtinId="3"/>
    <cellStyle name="Moneda" xfId="2" builtinId="4"/>
    <cellStyle name="Normal" xfId="0" builtinId="0"/>
    <cellStyle name="Normal 2" xfId="1" xr:uid="{00000000-0005-0000-0000-000006000000}"/>
  </cellStyles>
  <dxfs count="89">
    <dxf>
      <numFmt numFmtId="14" formatCode="0.00%"/>
      <fill>
        <patternFill patternType="solid">
          <fgColor indexed="64"/>
          <bgColor rgb="FFFFC000"/>
        </patternFill>
      </fill>
    </dxf>
    <dxf>
      <numFmt numFmtId="14" formatCode="0.00%"/>
      <fill>
        <patternFill patternType="solid">
          <fgColor indexed="64"/>
          <bgColor rgb="FFFFC000"/>
        </patternFill>
      </fill>
    </dxf>
    <dxf>
      <numFmt numFmtId="14" formatCode="0.00%"/>
      <fill>
        <patternFill patternType="solid">
          <fgColor indexed="64"/>
          <bgColor rgb="FFFFC000"/>
        </patternFill>
      </fill>
    </dxf>
    <dxf>
      <numFmt numFmtId="14" formatCode="0.00%"/>
    </dxf>
    <dxf>
      <numFmt numFmtId="14" formatCode="0.00%"/>
    </dxf>
    <dxf>
      <numFmt numFmtId="14" formatCode="0.00%"/>
    </dxf>
    <dxf>
      <alignment horizontal="center" vertical="bottom" textRotation="0" wrapText="0" indent="0" justifyLastLine="0" shrinkToFit="0" readingOrder="0"/>
    </dxf>
    <dxf>
      <numFmt numFmtId="0" formatCode="General"/>
    </dxf>
    <dxf>
      <numFmt numFmtId="22" formatCode="mmm\-yy"/>
    </dxf>
    <dxf>
      <alignment horizontal="left" textRotation="0" wrapText="0" indent="0" justifyLastLine="0" shrinkToFit="0" readingOrder="0"/>
    </dxf>
    <dxf>
      <numFmt numFmtId="168" formatCode="m/d/yyyy"/>
      <fill>
        <patternFill patternType="none">
          <fgColor indexed="64"/>
          <bgColor indexed="65"/>
        </patternFill>
      </fill>
    </dxf>
    <dxf>
      <fill>
        <patternFill patternType="none">
          <fgColor indexed="64"/>
          <bgColor auto="1"/>
        </patternFill>
      </fill>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dxf>
    <dxf>
      <numFmt numFmtId="0" formatCode="General"/>
    </dxf>
    <dxf>
      <numFmt numFmtId="170" formatCode="######################"/>
    </dxf>
    <dxf>
      <numFmt numFmtId="19" formatCode="dd/mm/yyyy"/>
    </dxf>
    <dxf>
      <font>
        <b/>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border outline="0">
        <bottom style="thin">
          <color auto="1"/>
        </bottom>
      </border>
    </dxf>
    <dxf>
      <border diagonalUp="0" diagonalDown="0" outline="0">
        <left style="thin">
          <color auto="1"/>
        </left>
        <right style="thin">
          <color auto="1"/>
        </right>
        <top/>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8FAADC"/>
      <rgbColor rgb="FF993366"/>
      <rgbColor rgb="FFEDEDED"/>
      <rgbColor rgb="FFDAE3F3"/>
      <rgbColor rgb="FF660066"/>
      <rgbColor rgb="FFFF8080"/>
      <rgbColor rgb="FF2E5597"/>
      <rgbColor rgb="FFBDD7EE"/>
      <rgbColor rgb="FF000080"/>
      <rgbColor rgb="FFFF00FF"/>
      <rgbColor rgb="FFFFFF00"/>
      <rgbColor rgb="FF00FFFF"/>
      <rgbColor rgb="FF800080"/>
      <rgbColor rgb="FF800000"/>
      <rgbColor rgb="FF008080"/>
      <rgbColor rgb="FF0000FF"/>
      <rgbColor rgb="FF00CCFF"/>
      <rgbColor rgb="FFD9E1F2"/>
      <rgbColor rgb="FFCCFFCC"/>
      <rgbColor rgb="FFFFE699"/>
      <rgbColor rgb="FF99CCFF"/>
      <rgbColor rgb="FFFFA2A1"/>
      <rgbColor rgb="FFCC99FF"/>
      <rgbColor rgb="FFFFCC99"/>
      <rgbColor rgb="FF4472C4"/>
      <rgbColor rgb="FF33CCCC"/>
      <rgbColor rgb="FF99CC00"/>
      <rgbColor rgb="FFFFC000"/>
      <rgbColor rgb="FFFF9900"/>
      <rgbColor rgb="FFFF6600"/>
      <rgbColor rgb="FF595959"/>
      <rgbColor rgb="FFA6A6A6"/>
      <rgbColor rgb="FF1F3864"/>
      <rgbColor rgb="FF339966"/>
      <rgbColor rgb="FF003300"/>
      <rgbColor rgb="FF44546A"/>
      <rgbColor rgb="FF8B4513"/>
      <rgbColor rgb="FF993366"/>
      <rgbColor rgb="FF1F4E79"/>
      <rgbColor rgb="FF1F1F1F"/>
      <rgbColor rgb="00003366"/>
      <rgbColor rgb="00339966"/>
      <rgbColor rgb="00003300"/>
      <rgbColor rgb="00333300"/>
      <rgbColor rgb="00993300"/>
      <rgbColor rgb="00993366"/>
      <rgbColor rgb="00333399"/>
      <rgbColor rgb="00333333"/>
    </indexed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34849</xdr:colOff>
      <xdr:row>83</xdr:row>
      <xdr:rowOff>27101</xdr:rowOff>
    </xdr:from>
    <xdr:to>
      <xdr:col>8</xdr:col>
      <xdr:colOff>1289361</xdr:colOff>
      <xdr:row>87</xdr:row>
      <xdr:rowOff>120027</xdr:rowOff>
    </xdr:to>
    <xdr:pic>
      <xdr:nvPicPr>
        <xdr:cNvPr id="7" name="Imagen 6">
          <a:extLst>
            <a:ext uri="{FF2B5EF4-FFF2-40B4-BE49-F238E27FC236}">
              <a16:creationId xmlns:a16="http://schemas.microsoft.com/office/drawing/2014/main" id="{33848651-021B-B7B0-4FAA-A684484D09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62440" y="15743351"/>
          <a:ext cx="1254512" cy="836341"/>
        </a:xfrm>
        <a:prstGeom prst="rect">
          <a:avLst/>
        </a:prstGeom>
      </xdr:spPr>
    </xdr:pic>
    <xdr:clientData/>
  </xdr:twoCellAnchor>
  <xdr:twoCellAnchor>
    <xdr:from>
      <xdr:col>13</xdr:col>
      <xdr:colOff>11616</xdr:colOff>
      <xdr:row>7</xdr:row>
      <xdr:rowOff>220701</xdr:rowOff>
    </xdr:from>
    <xdr:to>
      <xdr:col>14</xdr:col>
      <xdr:colOff>1</xdr:colOff>
      <xdr:row>10</xdr:row>
      <xdr:rowOff>139390</xdr:rowOff>
    </xdr:to>
    <xdr:sp macro="[0]!GenerarRecibosEnBD" textlink="">
      <xdr:nvSpPr>
        <xdr:cNvPr id="2" name="Rectángulo 1">
          <a:extLst>
            <a:ext uri="{FF2B5EF4-FFF2-40B4-BE49-F238E27FC236}">
              <a16:creationId xmlns:a16="http://schemas.microsoft.com/office/drawing/2014/main" id="{04AD0A85-EAB8-268D-02DB-B337EFCB1D6F}"/>
            </a:ext>
          </a:extLst>
        </xdr:cNvPr>
        <xdr:cNvSpPr/>
      </xdr:nvSpPr>
      <xdr:spPr>
        <a:xfrm>
          <a:off x="10616890" y="1974695"/>
          <a:ext cx="1800459" cy="789878"/>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AR" sz="2000"/>
            <a:t>IMPRIMIR!</a:t>
          </a:r>
        </a:p>
      </xdr:txBody>
    </xdr:sp>
    <xdr:clientData/>
  </xdr:twoCellAnchor>
  <xdr:twoCellAnchor>
    <xdr:from>
      <xdr:col>13</xdr:col>
      <xdr:colOff>23231</xdr:colOff>
      <xdr:row>11</xdr:row>
      <xdr:rowOff>92927</xdr:rowOff>
    </xdr:from>
    <xdr:to>
      <xdr:col>13</xdr:col>
      <xdr:colOff>1805102</xdr:colOff>
      <xdr:row>15</xdr:row>
      <xdr:rowOff>127774</xdr:rowOff>
    </xdr:to>
    <xdr:sp macro="[0]!GuardarBD" textlink="">
      <xdr:nvSpPr>
        <xdr:cNvPr id="3" name="Elipse 2">
          <a:extLst>
            <a:ext uri="{FF2B5EF4-FFF2-40B4-BE49-F238E27FC236}">
              <a16:creationId xmlns:a16="http://schemas.microsoft.com/office/drawing/2014/main" id="{38D54862-43F9-890C-712E-E3C1B3E58FCB}"/>
            </a:ext>
          </a:extLst>
        </xdr:cNvPr>
        <xdr:cNvSpPr/>
      </xdr:nvSpPr>
      <xdr:spPr>
        <a:xfrm>
          <a:off x="10628505" y="3031738"/>
          <a:ext cx="1781871" cy="917652"/>
        </a:xfrm>
        <a:prstGeom prst="ellipse">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800" b="1"/>
            <a:t>GUARDAR</a:t>
          </a:r>
          <a:endParaRPr lang="es-AR" sz="1600" b="1"/>
        </a:p>
      </xdr:txBody>
    </xdr:sp>
    <xdr:clientData/>
  </xdr:twoCellAnchor>
  <xdr:twoCellAnchor>
    <xdr:from>
      <xdr:col>14</xdr:col>
      <xdr:colOff>371706</xdr:colOff>
      <xdr:row>8</xdr:row>
      <xdr:rowOff>224694</xdr:rowOff>
    </xdr:from>
    <xdr:to>
      <xdr:col>14</xdr:col>
      <xdr:colOff>1417134</xdr:colOff>
      <xdr:row>10</xdr:row>
      <xdr:rowOff>92927</xdr:rowOff>
    </xdr:to>
    <xdr:sp macro="[0]!EjecutarMostrarFilas" textlink="">
      <xdr:nvSpPr>
        <xdr:cNvPr id="4" name="Rectángulo 3">
          <a:extLst>
            <a:ext uri="{FF2B5EF4-FFF2-40B4-BE49-F238E27FC236}">
              <a16:creationId xmlns:a16="http://schemas.microsoft.com/office/drawing/2014/main" id="{436ABB57-1FF6-2485-093C-0B16C97BB55C}"/>
            </a:ext>
          </a:extLst>
        </xdr:cNvPr>
        <xdr:cNvSpPr/>
      </xdr:nvSpPr>
      <xdr:spPr>
        <a:xfrm>
          <a:off x="12789054" y="2257468"/>
          <a:ext cx="1045428" cy="46064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t>MOSTRAR</a:t>
          </a:r>
        </a:p>
      </xdr:txBody>
    </xdr:sp>
    <xdr:clientData/>
  </xdr:twoCellAnchor>
  <xdr:twoCellAnchor>
    <xdr:from>
      <xdr:col>14</xdr:col>
      <xdr:colOff>371707</xdr:colOff>
      <xdr:row>6</xdr:row>
      <xdr:rowOff>220701</xdr:rowOff>
    </xdr:from>
    <xdr:to>
      <xdr:col>14</xdr:col>
      <xdr:colOff>1393902</xdr:colOff>
      <xdr:row>8</xdr:row>
      <xdr:rowOff>139391</xdr:rowOff>
    </xdr:to>
    <xdr:sp macro="[0]!EjecutarOcultarFilas" textlink="">
      <xdr:nvSpPr>
        <xdr:cNvPr id="5" name="Rectángulo 4">
          <a:extLst>
            <a:ext uri="{FF2B5EF4-FFF2-40B4-BE49-F238E27FC236}">
              <a16:creationId xmlns:a16="http://schemas.microsoft.com/office/drawing/2014/main" id="{5450BD44-FF94-4F07-9DBF-E40EB1FEC078}"/>
            </a:ext>
          </a:extLst>
        </xdr:cNvPr>
        <xdr:cNvSpPr/>
      </xdr:nvSpPr>
      <xdr:spPr>
        <a:xfrm>
          <a:off x="12789055" y="1695914"/>
          <a:ext cx="1022195" cy="476251"/>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t>OCULTAR</a:t>
          </a:r>
        </a:p>
      </xdr:txBody>
    </xdr:sp>
    <xdr:clientData/>
  </xdr:twoCellAnchor>
  <xdr:twoCellAnchor>
    <xdr:from>
      <xdr:col>14</xdr:col>
      <xdr:colOff>1521677</xdr:colOff>
      <xdr:row>7</xdr:row>
      <xdr:rowOff>185854</xdr:rowOff>
    </xdr:from>
    <xdr:to>
      <xdr:col>14</xdr:col>
      <xdr:colOff>3322136</xdr:colOff>
      <xdr:row>10</xdr:row>
      <xdr:rowOff>104543</xdr:rowOff>
    </xdr:to>
    <xdr:sp macro="[0]!GuardarBDConPausa" textlink="">
      <xdr:nvSpPr>
        <xdr:cNvPr id="6" name="Rectángulo 5">
          <a:extLst>
            <a:ext uri="{FF2B5EF4-FFF2-40B4-BE49-F238E27FC236}">
              <a16:creationId xmlns:a16="http://schemas.microsoft.com/office/drawing/2014/main" id="{86B438CF-D2E8-4254-A041-87854A1DB6E6}"/>
            </a:ext>
          </a:extLst>
        </xdr:cNvPr>
        <xdr:cNvSpPr/>
      </xdr:nvSpPr>
      <xdr:spPr>
        <a:xfrm>
          <a:off x="13939025" y="1939848"/>
          <a:ext cx="1800459" cy="789878"/>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AR" sz="2000"/>
            <a:t>VERIFICACION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A0AC3D-B2A1-4514-8E17-1D56F8564BFF}" name="BD_Recibo" displayName="BD_Recibo" ref="A4:BA99" totalsRowShown="0" headerRowDxfId="88" headerRowBorderDxfId="87" tableBorderDxfId="86">
  <autoFilter ref="A4:BA99" xr:uid="{0EA0AC3D-B2A1-4514-8E17-1D56F8564BFF}">
    <filterColumn colId="3">
      <filters>
        <dateGroupItem year="2026" month="4" dateTimeGrouping="month"/>
      </filters>
    </filterColumn>
  </autoFilter>
  <sortState xmlns:xlrd2="http://schemas.microsoft.com/office/spreadsheetml/2017/richdata2" ref="A5:BA73">
    <sortCondition ref="D4:D73"/>
  </sortState>
  <tableColumns count="53">
    <tableColumn id="42" xr3:uid="{26F05EFE-7138-4619-A49D-0EB0431EC4C6}" name="CONSORCIO"/>
    <tableColumn id="1" xr3:uid="{E2E20EEC-3CCE-43BB-B6E4-632F8CCD4105}" name="CUIL"/>
    <tableColumn id="2" xr3:uid="{B44D47DB-D911-4A71-B816-C191FAF1ECA1}" name="APELLIDO Y NOMBRE"/>
    <tableColumn id="3" xr3:uid="{CB029959-EBA3-4756-9B29-7EE47FDB1365}" name="PERIODO"/>
    <tableColumn id="4" xr3:uid="{E8FCFCC9-6843-4B84-A132-0BBA50DE4268}" name="CALIFICACION PROFESIONAL"/>
    <tableColumn id="5" xr3:uid="{D9464E0D-FF71-427B-B5FE-3F2C2CEBBA36}" name="Sueldo Básico" dataDxfId="85"/>
    <tableColumn id="40" xr3:uid="{D3134F1F-34DF-4422-BFE1-0E72087D25D8}" name="Columna1" dataDxfId="84"/>
    <tableColumn id="6" xr3:uid="{61C2442D-4518-4361-B09D-965B228E1383}" name="Retiro de residuos por unidad destinada a vivienda u oficina" dataDxfId="83"/>
    <tableColumn id="7" xr3:uid="{1B4E0405-42DF-4972-9F48-21AE828D6E05}" name="Clasificación de residuos Resol. 2013 243 SSRT-GCABA" dataDxfId="82"/>
    <tableColumn id="8" xr3:uid="{5BFA8218-838D-41D5-AA1E-94437E5B2E76}" name="Valor vivienda" dataDxfId="81"/>
    <tableColumn id="9" xr3:uid="{C4D3B3A0-E06D-431F-8428-1256E5201EFE}" name="Plus por antigüedad conf. Resoluc. 106/09 – inc. D, e, h, n y p del art. 7 y 8 por año ( 1%)" dataDxfId="80"/>
    <tableColumn id="10" xr3:uid="{68D4B66C-9B8C-434D-B93C-98BCB19AEFB1}" name="Plus por antigüedad – por año ART. 11 ( 2%)" dataDxfId="79"/>
    <tableColumn id="11" xr3:uid="{23C6FD5E-A82A-4EAD-B238-427F9B7A02B5}" name="Plus limpieza de cocheras" dataDxfId="78"/>
    <tableColumn id="12" xr3:uid="{A4FF47CC-E6B8-4CAE-B7D1-0222298427FE}" name="Plus moviemiento de coches – hasta 20 unidades" dataDxfId="77"/>
    <tableColumn id="13" xr3:uid="{2C34F9EE-DAB4-483D-BB60-2E031F5E4331}" name="Plus Jardin" dataDxfId="76"/>
    <tableColumn id="14" xr3:uid="{B0DC56DE-BF9F-4CCC-B503-BBDBD61458CB}" name="Plus Zona Desfavorable" dataDxfId="75"/>
    <tableColumn id="15" xr3:uid="{EE238664-5DB2-42A5-B3A2-A98879C41D1A}" name="Titulo de Encargado Integral de Edificio" dataDxfId="74"/>
    <tableColumn id="16" xr3:uid="{2ACAC179-DB24-4789-9627-10CCAF772B2E}" name="Plus limpieza de piletas y mantenimiento del agua" dataDxfId="73"/>
    <tableColumn id="17" xr3:uid="{75B4AFEE-949A-4B75-9494-5259148908E6}" name="Adicional voluntario" dataDxfId="72"/>
    <tableColumn id="18" xr3:uid="{FD5BD8D5-BE25-4CF9-9CC1-668C24465393}" name="Horas extras al 50%" dataDxfId="71"/>
    <tableColumn id="19" xr3:uid="{63FB2925-759D-4A7B-BA8B-5C18C9011DD2}" name="Horas extras al 100%" dataDxfId="70"/>
    <tableColumn id="41" xr3:uid="{4C6874A0-0E4F-40F5-8771-26FD7C8F7BE9}" name="Horas extras" dataDxfId="69"/>
    <tableColumn id="20" xr3:uid="{1892C775-6C31-478F-84B7-77AD7FA38758}" name="Feriados trabajados hs" dataDxfId="68"/>
    <tableColumn id="44" xr3:uid="{17A5C169-01BB-4180-BF9C-A954FF9D0ADC}" name="Columna3" dataDxfId="67"/>
    <tableColumn id="43" xr3:uid="{6F9DA671-3C39-4BA1-8FA3-66C822781696}" name="Columna2" dataDxfId="66"/>
    <tableColumn id="21" xr3:uid="{54E5B6DC-6D57-4E61-84D8-619965CF04F4}" name="Plus vacacional" dataDxfId="65"/>
    <tableColumn id="22" xr3:uid="{3E71C8BF-0218-41F2-A8BF-51197803813F}" name="Adicional Viaticos" dataDxfId="64"/>
    <tableColumn id="23" xr3:uid="{9CFCCF77-D2A5-4060-9643-9397316B00DC}" name="Adicional Remuneratorio Mensual" dataDxfId="63"/>
    <tableColumn id="24" xr3:uid="{99234DA5-F168-4C64-A9D3-E1477F40A6BE}" name="Jubilación" dataDxfId="62"/>
    <tableColumn id="25" xr3:uid="{5F7E4970-2485-43D9-ACAF-FFE618C47C8C}" name="Ley 19032" dataDxfId="61"/>
    <tableColumn id="26" xr3:uid="{4F6FE5AF-D7E3-43BD-B68A-5FE539B1BB2C}" name="Obra Social" dataDxfId="60"/>
    <tableColumn id="27" xr3:uid="{AF336720-2A77-4991-B8DC-9EABE86A104F}" name="Diferencia Obra Social Ley 26475" dataDxfId="59"/>
    <tableColumn id="28" xr3:uid="{1FC7ACEA-299B-41AB-B526-3D5E967BBDA6}" name="SUTERH" dataDxfId="58"/>
    <tableColumn id="29" xr3:uid="{98C619DF-2C5D-4D92-8970-D7A90898E879}" name="Caja Prot. Flia." dataDxfId="57"/>
    <tableColumn id="30" xr3:uid="{4874E6DA-4363-4C8D-93A0-B83D03934A48}" name="FATERYH" dataDxfId="56"/>
    <tableColumn id="31" xr3:uid="{34143887-F3DB-4990-A429-10ED25510CE9}" name="Seguro vitalicio - Art. 27 bis CCT 589/10" dataDxfId="55"/>
    <tableColumn id="32" xr3:uid="{B1900092-D4CA-44A1-844A-73E9D6655005}" name="Desc. vivienda" dataDxfId="54"/>
    <tableColumn id="39" xr3:uid="{D70953B1-D83C-4E0A-8F6D-8F349BDEC2FF}" name="Embargo" dataDxfId="53"/>
    <tableColumn id="33" xr3:uid="{7F742FB0-8F2D-48E8-8A97-35DCD0AD50EC}" name="Redondeo" dataDxfId="52"/>
    <tableColumn id="34" xr3:uid="{CA9D1827-9C87-411D-A008-227AC353458E}" name="Haberes c/Aportes" dataDxfId="51"/>
    <tableColumn id="35" xr3:uid="{474337B7-A757-4CB7-894F-DD90A669A7CD}" name="Haberes s/Aportes" dataDxfId="50"/>
    <tableColumn id="36" xr3:uid="{A34F7192-88F4-48EA-B228-D5CEBAC9D7EF}" name="Total Haberes (BRUTO)" dataDxfId="49"/>
    <tableColumn id="37" xr3:uid="{43C2A8CA-DA2F-480E-A117-E1AF46D7DC4F}" name="Total Descuentos" dataDxfId="48"/>
    <tableColumn id="38" xr3:uid="{C91B6B8A-34C2-4E1C-91FA-AC5AAE348BE9}" name="Sueldo Neto" dataDxfId="47"/>
    <tableColumn id="45" xr3:uid="{13AB7698-1CAB-4B4C-8B37-6F3958C03263}" name="Sueldo anual complementario" dataDxfId="46"/>
    <tableColumn id="46" xr3:uid="{21FDD9E1-2EE5-4E52-9A77-051744C0D070}" name="Diferencia SAC" dataDxfId="45"/>
    <tableColumn id="47" xr3:uid="{B4545299-1F83-4CEB-9A95-1552EDF3F8D1}" name="Bonificación" dataDxfId="44"/>
    <tableColumn id="48" xr3:uid="{9418CDFC-6DC0-42A2-9451-E77A99DDBB5C}" name="Preaviso" dataDxfId="43"/>
    <tableColumn id="49" xr3:uid="{13087E2F-6326-4036-B4DC-9227BBE60547}" name="SAC s/Preaviso" dataDxfId="42"/>
    <tableColumn id="50" xr3:uid="{8E22B084-0339-4450-AF2F-EAEB8319A75C}" name="Indemnización por antigüedad" dataDxfId="41"/>
    <tableColumn id="51" xr3:uid="{EA8039C0-0A35-4E78-A8CF-F321A8BE4331}" name="SAC proporcional" dataDxfId="40"/>
    <tableColumn id="52" xr3:uid="{9F2C9A68-B038-4AAA-8A9F-CB0529EB5953}" name="Vacaciones no gozadas" dataDxfId="39"/>
    <tableColumn id="53" xr3:uid="{3EDFF817-12FC-4FE6-A05F-3023A4E51806}" name="SAC s/vacaciones no gozadas" dataDxfId="3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Empleados" displayName="Empleados" ref="A1:AL20" totalsRowShown="0" headerRowDxfId="37">
  <autoFilter ref="A1:AL20" xr:uid="{00000000-0009-0000-0100-000004000000}"/>
  <tableColumns count="38">
    <tableColumn id="1" xr3:uid="{00000000-0010-0000-0000-000001000000}" name="CUIL"/>
    <tableColumn id="2" xr3:uid="{00000000-0010-0000-0000-000002000000}" name="APELLIDO Y NOMBRE"/>
    <tableColumn id="3" xr3:uid="{00000000-0010-0000-0000-000003000000}" name="LEGAJO"/>
    <tableColumn id="4" xr3:uid="{00000000-0010-0000-0000-000004000000}" name="FECHA DE NAC"/>
    <tableColumn id="5" xr3:uid="{00000000-0010-0000-0000-000005000000}" name="FECHA DE INGRESO" dataDxfId="36"/>
    <tableColumn id="6" xr3:uid="{00000000-0010-0000-0000-000006000000}" name="CUIT"/>
    <tableColumn id="7" xr3:uid="{00000000-0010-0000-0000-000007000000}" name="RAZON SOCIAL"/>
    <tableColumn id="8" xr3:uid="{00000000-0010-0000-0000-000008000000}" name="OBRA SOCIAL"/>
    <tableColumn id="9" xr3:uid="{00000000-0010-0000-0000-000009000000}" name="COD OBRA SOCIAL"/>
    <tableColumn id="10" xr3:uid="{00000000-0010-0000-0000-00000A000000}" name="FUNCION"/>
    <tableColumn id="11" xr3:uid="{00000000-0010-0000-0000-00000B000000}" name="Funcion2"/>
    <tableColumn id="12" xr3:uid="{00000000-0010-0000-0000-00000C000000}" name="JORNADA"/>
    <tableColumn id="13" xr3:uid="{00000000-0010-0000-0000-00000D000000}" name="Vivienda"/>
    <tableColumn id="14" xr3:uid="{00000000-0010-0000-0000-00000E000000}" name="Adicional remuneratorio"/>
    <tableColumn id="15" xr3:uid="{00000000-0010-0000-0000-00000F000000}" name="CATEGORIA EDIFICIO "/>
    <tableColumn id="16" xr3:uid="{00000000-0010-0000-0000-000010000000}" name="AUX Sueldo Basico"/>
    <tableColumn id="17" xr3:uid="{00000000-0010-0000-0000-000011000000}" name="BANCO DEPOSITO"/>
    <tableColumn id="18" xr3:uid="{00000000-0010-0000-0000-000012000000}" name="CBU" dataDxfId="35"/>
    <tableColumn id="19" xr3:uid="{00000000-0010-0000-0000-000013000000}" name="CAJA DE AHORRO"/>
    <tableColumn id="20" xr3:uid="{00000000-0010-0000-0000-000014000000}" name="Antiguedad"/>
    <tableColumn id="21" xr3:uid="{00000000-0010-0000-0000-000015000000}" name="Viaticos"/>
    <tableColumn id="22" xr3:uid="{00000000-0010-0000-0000-000016000000}" name="Adicional Viaticos"/>
    <tableColumn id="23" xr3:uid="{00000000-0010-0000-0000-000017000000}" name="Retiro de Residuos"/>
    <tableColumn id="24" xr3:uid="{00000000-0010-0000-0000-000018000000}" name="Retiro de residuos por UF"/>
    <tableColumn id="25" xr3:uid="{00000000-0010-0000-0000-000019000000}" name="Clasificacion de residuos"/>
    <tableColumn id="26" xr3:uid="{00000000-0010-0000-0000-00001A000000}" name="Valor Vivienda"/>
    <tableColumn id="27" xr3:uid="{00000000-0010-0000-0000-00001B000000}" name="Descuento vivienda"/>
    <tableColumn id="28" xr3:uid="{00000000-0010-0000-0000-00001C000000}" name="AUX Diferencia Obra Social Ley 26475"/>
    <tableColumn id="29" xr3:uid="{00000000-0010-0000-0000-00001D000000}" name="Plus por antigüedad conf. Resoluc. 106/09 – inc. D, e, h, n y p del art. 7 y 8 por año ( 1%)"/>
    <tableColumn id="30" xr3:uid="{00000000-0010-0000-0000-00001E000000}" name="Plus por antigüedad – por año ART. 11 ( 2%)" dataDxfId="34">
      <calculatedColumnFormula>+IF(Empleados[[#This Row],[JORNADA]]="Suplente","",Escalas!$H$6*Empleados[[#This Row],[Antiguedad]])</calculatedColumnFormula>
    </tableColumn>
    <tableColumn id="31" xr3:uid="{00000000-0010-0000-0000-00001F000000}" name="Plus limpieza de cocheras"/>
    <tableColumn id="32" xr3:uid="{00000000-0010-0000-0000-000020000000}" name="Plus movimiento de coches – hasta 20 unidades"/>
    <tableColumn id="33" xr3:uid="{00000000-0010-0000-0000-000021000000}" name="Plus Jardin"/>
    <tableColumn id="34" xr3:uid="{00000000-0010-0000-0000-000022000000}" name="Plus Zona Desfavorable"/>
    <tableColumn id="35" xr3:uid="{00000000-0010-0000-0000-000023000000}" name="TITULO"/>
    <tableColumn id="36" xr3:uid="{00000000-0010-0000-0000-000024000000}" name="Titulo de Encargado Integral de Edificio"/>
    <tableColumn id="37" xr3:uid="{00000000-0010-0000-0000-000025000000}" name="Plus limpieza de piletas y mantenimiento del agua"/>
    <tableColumn id="38" xr3:uid="{00000000-0010-0000-0000-000026000000}" name="Adicional voluntario" dataDxfId="3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Empleador" displayName="Empleador" ref="A1:AE16" totalsRowShown="0">
  <autoFilter ref="A1:AE16" xr:uid="{00000000-0009-0000-0100-000003000000}"/>
  <tableColumns count="31">
    <tableColumn id="1" xr3:uid="{00000000-0010-0000-0100-000001000000}" name="CUIT"/>
    <tableColumn id="2" xr3:uid="{00000000-0010-0000-0100-000002000000}" name="RAZON SOCIAL"/>
    <tableColumn id="3" xr3:uid="{00000000-0010-0000-0100-000003000000}" name="DOMICILIO DEL CONSORCIO"/>
    <tableColumn id="4" xr3:uid="{00000000-0010-0000-0100-000004000000}" name="CODIGO POSTAL"/>
    <tableColumn id="5" xr3:uid="{00000000-0010-0000-0100-000005000000}" name="N° CTA SUTERH"/>
    <tableColumn id="6" xr3:uid="{00000000-0010-0000-0100-000006000000}" name="UF "/>
    <tableColumn id="7" xr3:uid="{00000000-0010-0000-0100-000007000000}" name="COCHERA"/>
    <tableColumn id="8" xr3:uid="{00000000-0010-0000-0100-000008000000}" name="MOVIMIENTO DE COCHES"/>
    <tableColumn id="9" xr3:uid="{00000000-0010-0000-0100-000009000000}" name="JARDIN"/>
    <tableColumn id="10" xr3:uid="{00000000-0010-0000-0100-00000A000000}" name="ZONA DESFAVORABLE"/>
    <tableColumn id="11" xr3:uid="{00000000-0010-0000-0100-00000B000000}" name="PILETA"/>
    <tableColumn id="12" xr3:uid="{00000000-0010-0000-0100-00000C000000}" name="CATEGORIA EDIFICIO "/>
    <tableColumn id="13" xr3:uid="{00000000-0010-0000-0100-00000D000000}" name="BANCO"/>
    <tableColumn id="14" xr3:uid="{B02D5B9C-0B6D-4900-A06F-C44D02C14FAA}" name="CIA de seguro ART"/>
    <tableColumn id="15" xr3:uid="{E54F9F7C-5E0E-41B7-BABD-AF0EF34B98B4}" name="% VARIABLE"/>
    <tableColumn id="16" xr3:uid="{5A061AA0-0E8F-4BA2-BB18-6D5E37D110C7}" name="FIJO"/>
    <tableColumn id="17" xr3:uid="{5AD79182-D5BF-47DD-95F5-390854DADE70}" name="FFEP"/>
    <tableColumn id="18" xr3:uid="{27E13725-1234-445A-8CD0-643433BC2110}" name="CANT CUILES"/>
    <tableColumn id="19" xr3:uid="{759E951D-0CCF-443C-B303-6100E082AF3D}" name="$ SEGURO VIDA FIJO"/>
    <tableColumn id="20" xr3:uid="{66025329-75F3-43A7-80D9-F3C8DE9B9D2C}" name="CANT DE CUILES"/>
    <tableColumn id="21" xr3:uid="{2110284D-C8DF-49CA-B679-CE5946F3606A}" name="COSTO DE EMISION "/>
    <tableColumn id="22" xr3:uid="{6ED2E29D-46D0-4179-ACA4-BDAE7D1CFEEE}" name="RENUEVA EN"/>
    <tableColumn id="24" xr3:uid="{73056306-5106-44AA-BFBE-55BE0369B5ED}" name="CIA de seguro de vida obligatorio"/>
    <tableColumn id="23" xr3:uid="{20B05E45-704F-40C8-B522-7251D3D35F59}" name="% CONTRIBUCION JUBILACION"/>
    <tableColumn id="25" xr3:uid="{B6C2AA38-C046-40C4-871B-1432D87B6BB5}" name="%CONTRIBUCION OBRA SOCIAL"/>
    <tableColumn id="26" xr3:uid="{35C7B685-EE6E-403A-A2BD-8D573C276416}" name="% COSTO DEL CCT SUTERH" dataDxfId="4"/>
    <tableColumn id="27" xr3:uid="{8E85E888-ADAA-410B-A867-7F6150A4D6FB}" name="% COSTO DEL CCT FATERYH" dataDxfId="5"/>
    <tableColumn id="28" xr3:uid="{0A8B96C4-5528-469F-BC4B-8B27FCC4B74F}" name="% COSTO DEL CCT SERACARH" dataDxfId="3"/>
    <tableColumn id="29" xr3:uid="{1F64DB90-6D7D-40A0-9D29-563C30F0956D}" name="COSTO FIJO FATERYH JORNADA COMPLETA" dataDxfId="2"/>
    <tableColumn id="30" xr3:uid="{F32B48C2-8B0A-4D7F-BE8C-2A7E50680FA0}" name="COSTO FIJO MEDIA JORNADA" dataDxfId="1" dataCellStyle="Moneda">
      <calculatedColumnFormula>+Empleador[[#This Row],[COSTO FIJO FATERYH JORNADA COMPLETA]]/2</calculatedColumnFormula>
    </tableColumn>
    <tableColumn id="31" xr3:uid="{6210FC28-A2F3-499B-90C5-6D42C6B18873}" name="COSTO FIJO POR HORA SUPLENTE" dataDxfId="0" dataCellStyle="Moneda">
      <calculatedColumnFormula>+Empleador[[#This Row],[COSTO FIJO FATERYH JORNADA COMPLETA]]/200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Escala_Adicionales" displayName="Escala_Adicionales" ref="G1:H14" totalsRowShown="0" headerRowDxfId="32" headerRowBorderDxfId="31" tableBorderDxfId="30" totalsRowBorderDxfId="29">
  <autoFilter ref="G1:H14" xr:uid="{00000000-0009-0000-0100-000005000000}"/>
  <tableColumns count="2">
    <tableColumn id="1" xr3:uid="{00000000-0010-0000-0200-000001000000}" name="CONCEPTO" dataDxfId="28"/>
    <tableColumn id="2" xr3:uid="{00000000-0010-0000-0200-000002000000}" name="VALOR" dataDxfId="2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Escala_Salarial" displayName="Escala_Salarial" ref="A1:E25" totalsRowShown="0" headerRowDxfId="26" headerRowBorderDxfId="25" tableBorderDxfId="24" totalsRowBorderDxfId="23">
  <autoFilter ref="A1:E25" xr:uid="{00000000-0009-0000-0100-000006000000}"/>
  <tableColumns count="5">
    <tableColumn id="1" xr3:uid="{00000000-0010-0000-0300-000001000000}" name="FUNCION" dataDxfId="22"/>
    <tableColumn id="2" xr3:uid="{00000000-0010-0000-0300-000002000000}" name="1° Cat." dataDxfId="21"/>
    <tableColumn id="3" xr3:uid="{00000000-0010-0000-0300-000003000000}" name="2° Cat." dataDxfId="20"/>
    <tableColumn id="4" xr3:uid="{00000000-0010-0000-0300-000004000000}" name="3° Cat." dataDxfId="19"/>
    <tableColumn id="5" xr3:uid="{00000000-0010-0000-0300-000005000000}" name="4° Cat." dataDxfId="18"/>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Descuentos" displayName="Descuentos" ref="A1:B10" totalsRowShown="0" headerRowDxfId="17" headerRowBorderDxfId="16" tableBorderDxfId="15" totalsRowBorderDxfId="14">
  <autoFilter ref="A1:B10" xr:uid="{00000000-0009-0000-0100-000002000000}"/>
  <tableColumns count="2">
    <tableColumn id="1" xr3:uid="{00000000-0010-0000-0400-000001000000}" name="DESCUENTOS" dataDxfId="13"/>
    <tableColumn id="2" xr3:uid="{00000000-0010-0000-0400-000002000000}" name="VALOR %" dataDxfId="1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Contribuciones_SS" displayName="Contribuciones_SS" ref="A1:CA2" totalsRowShown="0">
  <autoFilter ref="A1:CA2" xr:uid="{00000000-0009-0000-0100-000001000000}"/>
  <tableColumns count="79">
    <tableColumn id="1" xr3:uid="{00000000-0010-0000-0500-000001000000}" name="CUIL"/>
    <tableColumn id="2" xr3:uid="{00000000-0010-0000-0500-000002000000}" name="Apellido y Nombre"/>
    <tableColumn id="3" xr3:uid="{00000000-0010-0000-0500-000003000000}" name="Obra Social"/>
    <tableColumn id="4" xr3:uid="{00000000-0010-0000-0500-000004000000}" name="Corresponde Reducción?"/>
    <tableColumn id="5" xr3:uid="{00000000-0010-0000-0500-000005000000}" name="Con Cobertura S.C.V.O.?"/>
    <tableColumn id="6" xr3:uid="{00000000-0010-0000-0500-000006000000}" name="Situación"/>
    <tableColumn id="7" xr3:uid="{00000000-0010-0000-0500-000007000000}" name="Condición"/>
    <tableColumn id="8" xr3:uid="{00000000-0010-0000-0500-000008000000}" name="Actividad"/>
    <tableColumn id="9" xr3:uid="{00000000-0010-0000-0500-000009000000}" name="Modalidad de Contrato"/>
    <tableColumn id="10" xr3:uid="{00000000-0010-0000-0500-00000A000000}" name="Código de siniestrado"/>
    <tableColumn id="11" xr3:uid="{00000000-0010-0000-0500-00000B000000}" name="Localidad"/>
    <tableColumn id="12" xr3:uid="{00000000-0010-0000-0500-00000C000000}" name="% de Reducción"/>
    <tableColumn id="13" xr3:uid="{00000000-0010-0000-0500-00000D000000}" name="Cónyuge"/>
    <tableColumn id="14" xr3:uid="{00000000-0010-0000-0500-00000E000000}" name="Hijos"/>
    <tableColumn id="15" xr3:uid="{00000000-0010-0000-0500-00000F000000}" name="Adherentes"/>
    <tableColumn id="16" xr3:uid="{00000000-0010-0000-0500-000010000000}" name="Remuneración Total"/>
    <tableColumn id="17" xr3:uid="{00000000-0010-0000-0500-000011000000}" name="Remuneración 1"/>
    <tableColumn id="18" xr3:uid="{00000000-0010-0000-0500-000012000000}" name="Remuneración 2"/>
    <tableColumn id="19" xr3:uid="{00000000-0010-0000-0500-000013000000}" name="Remuneración 3"/>
    <tableColumn id="20" xr3:uid="{00000000-0010-0000-0500-000014000000}" name="Remuneración 4"/>
    <tableColumn id="21" xr3:uid="{00000000-0010-0000-0500-000015000000}" name="Remuneración 5"/>
    <tableColumn id="22" xr3:uid="{00000000-0010-0000-0500-000016000000}" name="Remuneración 6"/>
    <tableColumn id="23" xr3:uid="{00000000-0010-0000-0500-000017000000}" name="Remuneración 7"/>
    <tableColumn id="24" xr3:uid="{00000000-0010-0000-0500-000018000000}" name="Remuneración 8"/>
    <tableColumn id="25" xr3:uid="{00000000-0010-0000-0500-000019000000}" name="Remuneración 9"/>
    <tableColumn id="26" xr3:uid="{00000000-0010-0000-0500-00001A000000}" name="Remuneración 10"/>
    <tableColumn id="27" xr3:uid="{00000000-0010-0000-0500-00001B000000}" name="Importe a detraer"/>
    <tableColumn id="28" xr3:uid="{00000000-0010-0000-0500-00001C000000}" name="Situación de revista del período 1"/>
    <tableColumn id="29" xr3:uid="{00000000-0010-0000-0500-00001D000000}" name="Día de inicio situación de revista 1"/>
    <tableColumn id="30" xr3:uid="{00000000-0010-0000-0500-00001E000000}" name="Situación de revista del período 2"/>
    <tableColumn id="31" xr3:uid="{00000000-0010-0000-0500-00001F000000}" name="Día de inicio situación de revista 2"/>
    <tableColumn id="32" xr3:uid="{00000000-0010-0000-0500-000020000000}" name="Situación de revista del período 3"/>
    <tableColumn id="33" xr3:uid="{00000000-0010-0000-0500-000021000000}" name="Día de inicio situación de revista 3"/>
    <tableColumn id="34" xr3:uid="{00000000-0010-0000-0500-000022000000}" name="Cantidad de días trabajados"/>
    <tableColumn id="35" xr3:uid="{00000000-0010-0000-0500-000023000000}" name="Horas trabajadas"/>
    <tableColumn id="36" xr3:uid="{00000000-0010-0000-0500-000024000000}" name="Sueldo"/>
    <tableColumn id="37" xr3:uid="{00000000-0010-0000-0500-000025000000}" name="Adicionales"/>
    <tableColumn id="38" xr3:uid="{00000000-0010-0000-0500-000026000000}" name="Cantidad Horas Extras"/>
    <tableColumn id="39" xr3:uid="{00000000-0010-0000-0500-000027000000}" name="Importe Horas Extras"/>
    <tableColumn id="40" xr3:uid="{00000000-0010-0000-0500-000028000000}" name="Plus por zona desfavorable"/>
    <tableColumn id="41" xr3:uid="{00000000-0010-0000-0500-000029000000}" name="SAC"/>
    <tableColumn id="42" xr3:uid="{00000000-0010-0000-0500-00002A000000}" name="Vacaciones"/>
    <tableColumn id="43" xr3:uid="{00000000-0010-0000-0500-00002B000000}" name="Premios"/>
    <tableColumn id="44" xr3:uid="{00000000-0010-0000-0500-00002C000000}" name="Conceptos no remun."/>
    <tableColumn id="45" xr3:uid="{00000000-0010-0000-0500-00002D000000}" name="Incremento Salarial"/>
    <tableColumn id="46" xr3:uid="{00000000-0010-0000-0500-00002E000000}" name="Maternidad / Art 13 - Ley 27.674"/>
    <tableColumn id="47" xr3:uid="{00000000-0010-0000-0500-00002F000000}" name="Rectificación remuneración"/>
    <tableColumn id="48" xr3:uid="{00000000-0010-0000-0500-000030000000}" name="Asig. Familiares Pagadas"/>
    <tableColumn id="49" xr3:uid="{00000000-0010-0000-0500-000031000000}" name="Contribución Previsional"/>
    <tableColumn id="50" xr3:uid="{00000000-0010-0000-0500-000032000000}" name="Contribución PAMI"/>
    <tableColumn id="51" xr3:uid="{00000000-0010-0000-0500-000033000000}" name="Contrib. Tarea Dif. (*)"/>
    <tableColumn id="52" xr3:uid="{00000000-0010-0000-0500-000034000000}" name="INSSJP Dto 1273-2641/02"/>
    <tableColumn id="53" xr3:uid="{00000000-0010-0000-0500-000035000000}" name="Fondo Nac. de Empleo"/>
    <tableColumn id="54" xr3:uid="{00000000-0010-0000-0500-000036000000}" name="Contribución ANSSAL"/>
    <tableColumn id="55" xr3:uid="{00000000-0010-0000-0500-000037000000}" name="Contribución Asig. Familiares"/>
    <tableColumn id="56" xr3:uid="{00000000-0010-0000-0500-000038000000}" name="Total Contribuciones SS"/>
    <tableColumn id="57" xr3:uid="{00000000-0010-0000-0500-000039000000}" name="* porcentaje aplicado"/>
    <tableColumn id="58" xr3:uid="{00000000-0010-0000-0500-00003A000000}" name="Contribución RENATEA"/>
    <tableColumn id="59" xr3:uid="{00000000-0010-0000-0500-00003B000000}" name="Aportes RENATEA"/>
    <tableColumn id="60" xr3:uid="{00000000-0010-0000-0500-00003C000000}" name="Aporte Previsional"/>
    <tableColumn id="61" xr3:uid="{00000000-0010-0000-0500-00003D000000}" name="Aporte PAMI"/>
    <tableColumn id="62" xr3:uid="{00000000-0010-0000-0500-00003E000000}" name="Aporte Adicional SS (*)"/>
    <tableColumn id="63" xr3:uid="{00000000-0010-0000-0500-00003F000000}" name="Aporte ANSSAL"/>
    <tableColumn id="64" xr3:uid="{00000000-0010-0000-0500-000040000000}" name="Decreto 788/05"/>
    <tableColumn id="65" xr3:uid="{00000000-0010-0000-0500-000041000000}" name="Ap. personal Reg. esp."/>
    <tableColumn id="66" xr3:uid="{00000000-0010-0000-0500-000042000000}" name="Excedentes Aportes SS"/>
    <tableColumn id="67" xr3:uid="{00000000-0010-0000-0500-000043000000}" name="Aporte Diferencial Prev"/>
    <tableColumn id="68" xr3:uid="{00000000-0010-0000-0500-000044000000}" name="Total Aportes SS"/>
    <tableColumn id="69" xr3:uid="{00000000-0010-0000-0500-000045000000}" name="* porcentaje aplicado2"/>
    <tableColumn id="70" xr3:uid="{00000000-0010-0000-0500-000046000000}" name="Contribución OS"/>
    <tableColumn id="71" xr3:uid="{00000000-0010-0000-0500-000047000000}" name="Contribución Adicional OS"/>
    <tableColumn id="72" xr3:uid="{00000000-0010-0000-0500-000048000000}" name="Dto. 1273-2641/02"/>
    <tableColumn id="73" xr3:uid="{00000000-0010-0000-0500-000049000000}" name="Total Contribuciones OS"/>
    <tableColumn id="74" xr3:uid="{00000000-0010-0000-0500-00004A000000}" name="Aporte OS"/>
    <tableColumn id="75" xr3:uid="{00000000-0010-0000-0500-00004B000000}" name="Aporte Adicional de OS"/>
    <tableColumn id="76" xr3:uid="{00000000-0010-0000-0500-00004C000000}" name="Excedentes Aportes OS"/>
    <tableColumn id="77" xr3:uid="{00000000-0010-0000-0500-00004D000000}" name="Total Aportes OS"/>
    <tableColumn id="78" xr3:uid="{00000000-0010-0000-0500-00004E000000}" name="Periodo"/>
    <tableColumn id="79" xr3:uid="{00000000-0010-0000-0500-00004F000000}" name="Periodo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PAGOS" displayName="PAGOS" ref="A1:E18" totalsRowShown="0">
  <autoFilter ref="A1:E18" xr:uid="{00000000-0009-0000-0100-000007000000}"/>
  <tableColumns count="5">
    <tableColumn id="1" xr3:uid="{00000000-0010-0000-0600-000001000000}" name="CUIT"/>
    <tableColumn id="2" xr3:uid="{00000000-0010-0000-0600-000002000000}" name="CONSORCIO"/>
    <tableColumn id="3" xr3:uid="{00000000-0010-0000-0600-000003000000}" name="PERIODO" dataDxfId="11"/>
    <tableColumn id="4" xr3:uid="{00000000-0010-0000-0600-000004000000}" name="FECHA" dataDxfId="10"/>
    <tableColumn id="5" xr3:uid="{00000000-0010-0000-0600-000005000000}" name="BANCO"/>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Novedades" displayName="Novedades" ref="A1:R222" totalsRowShown="0">
  <autoFilter ref="A1:R222" xr:uid="{00000000-0009-0000-0100-000008000000}">
    <filterColumn colId="3">
      <filters>
        <dateGroupItem year="2026" month="4" dateTimeGrouping="month"/>
      </filters>
    </filterColumn>
  </autoFilter>
  <sortState xmlns:xlrd2="http://schemas.microsoft.com/office/spreadsheetml/2017/richdata2" ref="A2:Q222">
    <sortCondition ref="D2:D222"/>
    <sortCondition ref="C2:C222"/>
  </sortState>
  <tableColumns count="18">
    <tableColumn id="1" xr3:uid="{00000000-0010-0000-0700-000001000000}" name="CUIL"/>
    <tableColumn id="2" xr3:uid="{00000000-0010-0000-0700-000002000000}" name="APELLIDO Y NOMBRE" dataDxfId="9"/>
    <tableColumn id="15" xr3:uid="{8126B0F1-063F-44A5-A1DB-82D24C7AB616}" name="CUIT"/>
    <tableColumn id="3" xr3:uid="{00000000-0010-0000-0700-000003000000}" name="PERIODO" dataDxfId="8"/>
    <tableColumn id="4" xr3:uid="{00000000-0010-0000-0700-000004000000}" name="DIAS TRABAJADO SUPLENTE"/>
    <tableColumn id="5" xr3:uid="{00000000-0010-0000-0700-000005000000}" name="HORAS TOTALES" dataDxfId="7">
      <calculatedColumnFormula>+Novedades[[#This Row],[DIAS TRABAJADO SUPLENTE]]*Novedades[[#This Row],[Horas JORNADA '[HS']]]+Novedades[[#This Row],[HORAS EXTRAS al 50% '[HS']]]+Novedades[[#This Row],[HORAS EXTRAS al 100% '[HS']]]+Novedades[[#This Row],[FERIADOS TRABAJADOS '[HS']]]</calculatedColumnFormula>
    </tableColumn>
    <tableColumn id="14" xr3:uid="{A691ACBD-E80B-4922-AD47-7A8533AED10B}" name="Horas JORNADA [HS]"/>
    <tableColumn id="6" xr3:uid="{00000000-0010-0000-0700-000006000000}" name="HORAS EXTRAS al 50% [HS]"/>
    <tableColumn id="7" xr3:uid="{00000000-0010-0000-0700-000007000000}" name="HORAS EXTRAS al 100% [HS]"/>
    <tableColumn id="8" xr3:uid="{00000000-0010-0000-0700-000008000000}" name="FERIADOS TRABAJADOS [HS]"/>
    <tableColumn id="9" xr3:uid="{00000000-0010-0000-0700-000009000000}" name="PLUS VACACIONES [DIAS]"/>
    <tableColumn id="10" xr3:uid="{00000000-0010-0000-0700-00000A000000}" name="Adicional voluntario"/>
    <tableColumn id="11" xr3:uid="{2F1C9541-1AD7-4C73-8884-14C3444DF3A3}" name="Embargo"/>
    <tableColumn id="12" xr3:uid="{A7CE3A44-B60C-4CF2-9852-5B2EB7B85905}" name="Días no trabajados"/>
    <tableColumn id="13" xr3:uid="{61DED144-959D-434D-AE35-BC04BD55F208}" name="Licencia por enfermedad"/>
    <tableColumn id="16" xr3:uid="{CABBA76A-EE24-4B17-BD24-4889ADCFE3C5}" name="Suplencia al 100% [hs]"/>
    <tableColumn id="17" xr3:uid="{B328DDD6-3CB0-4487-891A-C56E305C2DA4}" name="Anticipo"/>
    <tableColumn id="19" xr3:uid="{7AD70B8F-E75C-4CCF-A3FB-380DE0D95873}" name="Muerte" dataDxfId="6"/>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vmlDrawing" Target="../drawings/vmlDrawing4.v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0"/>
  <dimension ref="B1:O97"/>
  <sheetViews>
    <sheetView showGridLines="0" tabSelected="1" topLeftCell="A13" zoomScaleNormal="100" workbookViewId="0">
      <selection activeCell="I12" sqref="I12"/>
    </sheetView>
  </sheetViews>
  <sheetFormatPr baseColWidth="10" defaultColWidth="8.7109375" defaultRowHeight="15" x14ac:dyDescent="0.25"/>
  <cols>
    <col min="1" max="1" width="5.5703125" customWidth="1"/>
    <col min="2" max="2" width="2.28515625" customWidth="1"/>
    <col min="3" max="4" width="20.7109375" customWidth="1"/>
    <col min="5" max="5" width="10.7109375" customWidth="1"/>
    <col min="6" max="6" width="11.85546875" bestFit="1" customWidth="1"/>
    <col min="7" max="7" width="13.5703125" bestFit="1" customWidth="1"/>
    <col min="8" max="8" width="18.140625" customWidth="1"/>
    <col min="9" max="9" width="19.7109375" customWidth="1"/>
    <col min="10" max="10" width="16.7109375" customWidth="1"/>
    <col min="11" max="11" width="2.28515625" customWidth="1"/>
    <col min="12" max="12" width="5.42578125" customWidth="1"/>
    <col min="13" max="13" width="11.28515625" bestFit="1" customWidth="1"/>
    <col min="14" max="14" width="27.140625" customWidth="1"/>
    <col min="15" max="15" width="51.7109375" bestFit="1" customWidth="1"/>
    <col min="16" max="16" width="11.85546875" customWidth="1"/>
    <col min="17" max="17" width="9.28515625" bestFit="1" customWidth="1"/>
  </cols>
  <sheetData>
    <row r="1" spans="2:15" ht="15.75" customHeight="1" x14ac:dyDescent="0.25"/>
    <row r="2" spans="2:15" ht="33.75" customHeight="1" x14ac:dyDescent="0.25">
      <c r="B2" s="169" t="s">
        <v>0</v>
      </c>
      <c r="C2" s="169"/>
      <c r="D2" s="169"/>
      <c r="E2" s="169"/>
      <c r="F2" s="169"/>
      <c r="G2" s="169"/>
      <c r="H2" s="169"/>
      <c r="I2" s="169"/>
      <c r="J2" s="169"/>
      <c r="K2" s="169"/>
      <c r="N2" s="54" t="s">
        <v>1</v>
      </c>
      <c r="O2" s="54" t="s">
        <v>413</v>
      </c>
    </row>
    <row r="3" spans="2:15" ht="19.5" customHeight="1" x14ac:dyDescent="0.3">
      <c r="C3" s="4" t="str">
        <f>IF($N$3="","",IFERROR(VLOOKUP($N$3,Empleador!$A:$L,2,FALSE()),""))</f>
        <v>CONS PROP SGO DEL ESTERO 336 46 CAP FED</v>
      </c>
      <c r="N3" s="54">
        <v>30519077635</v>
      </c>
      <c r="O3" s="56" t="str">
        <f>IF($N$3="","",IFERROR(VLOOKUP($N$3,Empleador!$A:$L,2,FALSE()),""))</f>
        <v>CONS PROP SGO DEL ESTERO 336 46 CAP FED</v>
      </c>
    </row>
    <row r="4" spans="2:15" ht="18.75" customHeight="1" x14ac:dyDescent="0.3">
      <c r="C4" s="5" t="str">
        <f>IF($N$3="","",IFERROR(VLOOKUP($N$3,Empleador!$A:$L,3,FALSE()),""))</f>
        <v>Santiago del Estero 336/38/46 C.A.B.A.</v>
      </c>
      <c r="I4" s="173" t="s">
        <v>305</v>
      </c>
      <c r="J4" s="174"/>
    </row>
    <row r="5" spans="2:15" ht="18.75" customHeight="1" x14ac:dyDescent="0.3">
      <c r="C5" s="5" t="str">
        <f>_xlfn.CONCAT("CUIT: ",LEFT(N3,2),"-",MID(N3,3,8),"-",RIGHT(N3,1))</f>
        <v>CUIT: 30-51907763-5</v>
      </c>
      <c r="F5" s="171" t="str">
        <f>IF($N$3="","",IFERROR("Nº Cuenta SUTERH: " &amp; VLOOKUP($N$3,Empleador!$A:$L,5,FALSE()),""))</f>
        <v>Nº Cuenta SUTERH: 5183</v>
      </c>
      <c r="G5" s="171"/>
      <c r="H5" s="172"/>
      <c r="I5" s="175">
        <v>46142</v>
      </c>
      <c r="J5" s="176"/>
      <c r="N5" s="54">
        <f>INDEX(Empleador!$A:$A,MATCH(O5,Empleador!$B:$B,0))</f>
        <v>30559333022</v>
      </c>
      <c r="O5" s="54" t="s">
        <v>160</v>
      </c>
    </row>
    <row r="6" spans="2:15" ht="9" customHeight="1" x14ac:dyDescent="0.25"/>
    <row r="7" spans="2:15" ht="21.75" customHeight="1" x14ac:dyDescent="0.25">
      <c r="C7" s="3" t="s">
        <v>2</v>
      </c>
      <c r="D7" s="170" t="s">
        <v>3</v>
      </c>
      <c r="E7" s="170"/>
      <c r="F7" s="170"/>
      <c r="G7" s="173" t="s">
        <v>4</v>
      </c>
      <c r="H7" s="174"/>
      <c r="I7" s="173" t="s">
        <v>5</v>
      </c>
      <c r="J7" s="174"/>
    </row>
    <row r="8" spans="2:15" ht="21.75" customHeight="1" x14ac:dyDescent="0.25">
      <c r="C8" s="2">
        <f>IF($G$8="","",IFERROR(VLOOKUP($G$8,Empleados!$A:$AL,3,FALSE()),""))</f>
        <v>3</v>
      </c>
      <c r="D8" s="180" t="str">
        <f>IF($G$8="","",IFERROR(VLOOKUP($G$8,Empleados!$A:$AL,2,FALSE()),""))</f>
        <v>RIOS LUIS ALBERTO</v>
      </c>
      <c r="E8" s="180"/>
      <c r="F8" s="180"/>
      <c r="G8" s="181">
        <v>20283772323</v>
      </c>
      <c r="H8" s="182"/>
      <c r="I8" s="185">
        <v>46113</v>
      </c>
      <c r="J8" s="186"/>
    </row>
    <row r="9" spans="2:15" ht="24.75" customHeight="1" x14ac:dyDescent="0.25">
      <c r="C9" s="3" t="s">
        <v>6</v>
      </c>
      <c r="D9" s="3" t="s">
        <v>7</v>
      </c>
      <c r="E9" s="170" t="s">
        <v>8</v>
      </c>
      <c r="F9" s="170"/>
      <c r="G9" s="3" t="s">
        <v>9</v>
      </c>
      <c r="H9" s="183" t="s">
        <v>304</v>
      </c>
      <c r="I9" s="183"/>
      <c r="J9" s="3" t="s">
        <v>10</v>
      </c>
    </row>
    <row r="10" spans="2:15" ht="21.75" customHeight="1" x14ac:dyDescent="0.25">
      <c r="C10" s="6">
        <f>IF($G$8="","",IFERROR(VLOOKUP($G$8,Empleados!$A:$AL,5,FALSE()),""))</f>
        <v>39587</v>
      </c>
      <c r="D10" s="7">
        <f ca="1">IF($G$8="","",IFERROR(VLOOKUP($G$8,Empleados!$A:$AL,20,FALSE()),""))</f>
        <v>18</v>
      </c>
      <c r="E10" s="177"/>
      <c r="F10" s="177"/>
      <c r="G10" s="2" t="str">
        <f>IF($N$3="","",IFERROR(VLOOKUP($N$3,Empleador!$A:$L,12,FALSE()),""))</f>
        <v>3° Cat.</v>
      </c>
      <c r="H10" s="184" t="str">
        <f>IF($G$8="","",IF(VLOOKUP($G$8,Empleados[],10,FALSE)="Suplente eventual","Suplente con horario por dia",IFERROR(VLOOKUP($G$8,Empleados[],10,FALSE),"")))</f>
        <v>Encargado Permanente con vivienda</v>
      </c>
      <c r="I10" s="184"/>
      <c r="J10" s="49">
        <f>IF($G$8="","",IFERROR(VLOOKUP($G$8,Empleados[#All],16,FALSE()),""))</f>
        <v>957382</v>
      </c>
    </row>
    <row r="11" spans="2:15" ht="24.75" customHeight="1" x14ac:dyDescent="0.25">
      <c r="C11" s="170" t="s">
        <v>11</v>
      </c>
      <c r="D11" s="170"/>
      <c r="E11" s="170"/>
      <c r="F11" s="170"/>
      <c r="G11" s="170"/>
    </row>
    <row r="12" spans="2:15" ht="15" customHeight="1" x14ac:dyDescent="0.25">
      <c r="C12" s="162" t="s">
        <v>12</v>
      </c>
      <c r="D12" s="162" t="s">
        <v>5</v>
      </c>
      <c r="E12" s="178" t="s">
        <v>13</v>
      </c>
      <c r="F12" s="178"/>
      <c r="G12" s="178"/>
    </row>
    <row r="13" spans="2:15" ht="15" customHeight="1" x14ac:dyDescent="0.25">
      <c r="C13" s="160">
        <f>IF($N$3="","",IFERROR(VLOOKUP($N$3,PAGOS[#All],4,FALSE()),""))</f>
        <v>46028</v>
      </c>
      <c r="D13" s="161">
        <f>IF($N$3="","",IFERROR(VLOOKUP($N$3,PAGOS[#All],3,FALSE()),""))</f>
        <v>45992</v>
      </c>
      <c r="E13" s="179" t="str">
        <f>IF($N$3="","",IFERROR(VLOOKUP($N$3,PAGOS[#All],5,FALSE()),""))</f>
        <v>GALICIA</v>
      </c>
      <c r="F13" s="179"/>
      <c r="G13" s="179"/>
    </row>
    <row r="14" spans="2:15" ht="21.75" customHeight="1" x14ac:dyDescent="0.25"/>
    <row r="15" spans="2:15" ht="18" customHeight="1" x14ac:dyDescent="0.25">
      <c r="C15" s="189" t="s">
        <v>14</v>
      </c>
      <c r="D15" s="189"/>
      <c r="E15" s="189"/>
      <c r="F15" s="189"/>
      <c r="G15" s="189"/>
      <c r="H15" s="189"/>
      <c r="I15" s="189"/>
      <c r="J15" s="189"/>
      <c r="K15" s="8"/>
    </row>
    <row r="16" spans="2:15" ht="18" customHeight="1" x14ac:dyDescent="0.25">
      <c r="C16" s="190" t="s">
        <v>15</v>
      </c>
      <c r="D16" s="190"/>
      <c r="E16" s="190"/>
      <c r="F16" s="1" t="s">
        <v>300</v>
      </c>
      <c r="G16" s="1" t="s">
        <v>16</v>
      </c>
      <c r="H16" s="1" t="s">
        <v>17</v>
      </c>
      <c r="I16" s="1" t="s">
        <v>306</v>
      </c>
      <c r="J16" s="1" t="s">
        <v>18</v>
      </c>
      <c r="K16" s="8"/>
    </row>
    <row r="17" spans="3:14" ht="18" customHeight="1" x14ac:dyDescent="0.25">
      <c r="C17" s="9" t="str">
        <f>IF($N$3="","",IF(H10="suplente con horario por dia","Suplencia","Sueldo Básico"))</f>
        <v>Sueldo Básico</v>
      </c>
      <c r="D17" s="10"/>
      <c r="E17" s="11"/>
      <c r="F17" s="43" t="str">
        <f>IF(ISNUMBER(SEARCH("Suplente",H10)),SUMIFS(Novedades[DIAS TRABAJADO SUPLENTE],Novedades[CUIL],G8,Novedades[CUIT],N3,Novedades[PERIODO],I8),"")</f>
        <v/>
      </c>
      <c r="G17" s="44" t="str">
        <f>IFERROR(IF(ISNUMBER(SEARCH("Suplente",$H$10)),VLOOKUP($G$8,Empleados[#All],16,FALSE)/8*AVERAGEIFS(Novedades[Horas JORNADA '[HS']],Novedades[CUIL],Recibo!$G$8,Novedades[CUIT],Recibo!$N$3,Novedades[PERIODO],Recibo!$I$8),""),0)</f>
        <v/>
      </c>
      <c r="H17" s="44">
        <f>IF(OR($I$8="SAC 1°",$I$8="SAC 2°"),"",IFERROR(IF($G$8="","",IF(ISNUMBER(SEARCH("Suplente",$H$10)),G17*F17,IFERROR(VLOOKUP($G$8,Empleados[#All],16,FALSE),""))),0))</f>
        <v>957382</v>
      </c>
      <c r="I17" s="44"/>
      <c r="J17" s="45"/>
      <c r="K17" s="8"/>
    </row>
    <row r="18" spans="3:14" ht="18" customHeight="1" x14ac:dyDescent="0.25">
      <c r="C18" s="9" t="s">
        <v>331</v>
      </c>
      <c r="D18" s="10"/>
      <c r="E18" s="11"/>
      <c r="F18" s="43" t="str">
        <f>IF(ISNUMBER(SEARCH("Suplente",H10)),SUMIFS(Novedades[Suplencia al 100% '[hs']],Novedades[CUIL],G8,Novedades[CUIT],N3,Novedades[PERIODO],I8),"")</f>
        <v/>
      </c>
      <c r="G18" s="44" t="str">
        <f>IFERROR(IF(ISNUMBER(SEARCH("Suplente",$H$10)),VLOOKUP($G$8,Empleados[#All],16,FALSE)/8*2,""),0)</f>
        <v/>
      </c>
      <c r="H18" s="44" t="str">
        <f>IF(OR($I$8="SAC 1°",$I$8="SAC 2°"),"",IF(SUMIFS(Novedades[Suplencia al 100% '[hs']],Novedades[CUIL],G8,Novedades[CUIT],N3,Novedades[PERIODO],I8)=0,"",IFERROR(IF($G$8="","",IF(ISNUMBER(SEARCH("Suplente",$H$10)),G18*F18,IFERROR(VLOOKUP($G$8,Empleados[#All],16,FALSE),""))),0)))</f>
        <v/>
      </c>
      <c r="I18" s="44"/>
      <c r="J18" s="45"/>
      <c r="K18" s="8"/>
    </row>
    <row r="19" spans="3:14" ht="18" customHeight="1" x14ac:dyDescent="0.25">
      <c r="C19" s="9" t="str">
        <f>Escalas!$G$2</f>
        <v>Retiro de residuos por unidad destinada a vivienda u oficina</v>
      </c>
      <c r="D19" s="10"/>
      <c r="E19" s="11"/>
      <c r="F19" s="43">
        <f>IF($N$3="","",IFERROR(VLOOKUP($N$3,Empleador[],6,FALSE()),""))</f>
        <v>79</v>
      </c>
      <c r="G19" s="44">
        <f>+Escalas!$H$2</f>
        <v>1860.2</v>
      </c>
      <c r="H19" s="44">
        <f>IF(OR($I$8="SAC 1°",$I$8="SAC 2°"),"",IF(VLOOKUP($G$8,Empleados[#All],23,FALSE)="NO","",F19*G19))</f>
        <v>146955.80000000002</v>
      </c>
      <c r="I19" s="44"/>
      <c r="J19" s="45"/>
      <c r="K19" s="8"/>
    </row>
    <row r="20" spans="3:14" ht="18" customHeight="1" x14ac:dyDescent="0.25">
      <c r="C20" s="9" t="str">
        <f>Escalas!$G$3</f>
        <v>Clasificación de residuos Resol. 2013 243 SSRT-GCABA</v>
      </c>
      <c r="D20" s="10"/>
      <c r="E20" s="11"/>
      <c r="F20" s="43"/>
      <c r="G20" s="44"/>
      <c r="H20" s="44">
        <f>IF($G$8="","",IFERROR(VLOOKUP($G$8,Empleados[#All],25,FALSE()),""))</f>
        <v>55107.423999999999</v>
      </c>
      <c r="I20" s="44"/>
      <c r="J20" s="45"/>
      <c r="K20" s="8"/>
    </row>
    <row r="21" spans="3:14" ht="18" customHeight="1" x14ac:dyDescent="0.25">
      <c r="C21" s="9" t="str">
        <f>Escalas!$G$4</f>
        <v>Valor vivienda</v>
      </c>
      <c r="D21" s="10"/>
      <c r="E21" s="11"/>
      <c r="F21" s="43"/>
      <c r="G21" s="44"/>
      <c r="H21" s="44">
        <f>IF(OR($I$8="SAC 1°",$I$8="SAC 2°"),"",IF($G$8="","",IFERROR(VLOOKUP($G$8,Empleados[#All],26,FALSE()),"")))</f>
        <v>6833.8</v>
      </c>
      <c r="I21" s="44"/>
      <c r="J21" s="45"/>
      <c r="K21" s="8"/>
    </row>
    <row r="22" spans="3:14" ht="30" customHeight="1" x14ac:dyDescent="0.25">
      <c r="C22" s="191" t="str">
        <f>Escalas!$G$5</f>
        <v>Plus por antigüedad conf. Resoluc. 106/09 – inc. D, e, h, n y p del art. 7 y 8 por año ( 1%)</v>
      </c>
      <c r="D22" s="191"/>
      <c r="E22" s="191"/>
      <c r="F22" s="43">
        <f ca="1">IF($G$8="","",IFERROR(VLOOKUP($G$8,Empleados[#All],20,FALSE()),""))</f>
        <v>18</v>
      </c>
      <c r="G22" s="44">
        <f>+Escalas!$H$5</f>
        <v>10099.799999999999</v>
      </c>
      <c r="H22" s="44" t="str">
        <f>IF(OR($I$8="SAC 1°",$I$8="SAC 2°"),"",IF($G$8="","",IFERROR(VLOOKUP($G$8,Empleados[#All],29,FALSE()),"")))</f>
        <v/>
      </c>
      <c r="I22" s="44"/>
      <c r="J22" s="45"/>
      <c r="K22" s="8"/>
    </row>
    <row r="23" spans="3:14" ht="18" customHeight="1" x14ac:dyDescent="0.25">
      <c r="C23" s="9" t="str">
        <f>Escalas!$G$6</f>
        <v>Plus por antigüedad – por año ART. 11 ( 2%)</v>
      </c>
      <c r="D23" s="10"/>
      <c r="E23" s="11"/>
      <c r="F23" s="43">
        <f>IF($G$8="","",DATEDIF(DATE(YEAR(VLOOKUP(G8,Empleados[],5,FALSE)),MONTH(VLOOKUP(G8,Empleados[],5,FALSE)),1),$I$8,"Y"))</f>
        <v>17</v>
      </c>
      <c r="G23" s="44">
        <f>+Escalas!$H$6</f>
        <v>20199.599999999999</v>
      </c>
      <c r="H23" s="44">
        <f>IF(OR($I$8="SAC 1°",$I$8="SAC 2°"),"",+IF(F23="","",F23*G23))</f>
        <v>343393.19999999995</v>
      </c>
      <c r="I23" s="44"/>
      <c r="J23" s="45"/>
      <c r="K23" s="8"/>
    </row>
    <row r="24" spans="3:14" ht="18" customHeight="1" x14ac:dyDescent="0.25">
      <c r="C24" s="9" t="str">
        <f>Escalas!$G$7</f>
        <v>Plus limpieza de cocheras</v>
      </c>
      <c r="D24" s="10"/>
      <c r="E24" s="11"/>
      <c r="F24" s="43"/>
      <c r="G24" s="46"/>
      <c r="H24" s="44" t="str">
        <f>IF(OR($I$8="SAC 1°",$I$8="SAC 2°"),"",IF($G$8="","",IFERROR(VLOOKUP($G$8,Empleados[#All],31,FALSE()),"")))</f>
        <v/>
      </c>
      <c r="I24" s="44"/>
      <c r="J24" s="45"/>
      <c r="K24" s="8"/>
    </row>
    <row r="25" spans="3:14" ht="18" customHeight="1" x14ac:dyDescent="0.25">
      <c r="C25" s="9" t="str">
        <f>Escalas!$G$8</f>
        <v>Plus moviemiento de coches – hasta 20 unidades</v>
      </c>
      <c r="D25" s="10"/>
      <c r="E25" s="11"/>
      <c r="F25" s="43"/>
      <c r="G25" s="46"/>
      <c r="H25" s="44" t="str">
        <f>IF(OR($I$8="SAC 1°",$I$8="SAC 2°"),"",IF($G$8="","",IFERROR(VLOOKUP($G$8,Empleados[#All],32,FALSE()),"")))</f>
        <v/>
      </c>
      <c r="I25" s="44"/>
      <c r="J25" s="45"/>
      <c r="K25" s="8"/>
    </row>
    <row r="26" spans="3:14" ht="18" customHeight="1" x14ac:dyDescent="0.25">
      <c r="C26" s="9" t="str">
        <f>Escalas!$G$9</f>
        <v>Plus Jardin</v>
      </c>
      <c r="D26" s="10"/>
      <c r="E26" s="11"/>
      <c r="F26" s="43"/>
      <c r="G26" s="46"/>
      <c r="H26" s="44" t="str">
        <f>IF(OR($I$8="SAC 1°",$I$8="SAC 2°"),"",IF($G$8="","",IFERROR(VLOOKUP($G$8,Empleados[#All],33,FALSE()),"")))</f>
        <v/>
      </c>
      <c r="I26" s="44"/>
      <c r="J26" s="45"/>
      <c r="K26" s="8"/>
    </row>
    <row r="27" spans="3:14" ht="18" customHeight="1" x14ac:dyDescent="0.25">
      <c r="C27" s="9" t="str">
        <f>Escalas!$G$10</f>
        <v>Plus Zona Desfavorable</v>
      </c>
      <c r="D27" s="10"/>
      <c r="E27" s="11"/>
      <c r="F27" s="43"/>
      <c r="G27" s="46"/>
      <c r="H27" s="44" t="str">
        <f>IF(OR($I$8="SAC 1°",$I$8="SAC 2°"),"",IF($G$8="","",IFERROR(VLOOKUP($G$8,Empleados[#All],34,FALSE()),"")))</f>
        <v/>
      </c>
      <c r="I27" s="44"/>
      <c r="J27" s="45"/>
      <c r="K27" s="8"/>
    </row>
    <row r="28" spans="3:14" ht="18" customHeight="1" x14ac:dyDescent="0.25">
      <c r="C28" s="9" t="str">
        <f>Escalas!$G$11</f>
        <v>Titulo de Encargado Integral de Edificio</v>
      </c>
      <c r="D28" s="10"/>
      <c r="E28" s="11"/>
      <c r="F28" s="43"/>
      <c r="G28" s="46"/>
      <c r="H28" s="44" t="str">
        <f>IF(OR($I$8="SAC 1°",$I$8="SAC 2°"),"",IF($G$8="","",IFERROR(VLOOKUP($G$8,Empleados[#All],36,FALSE()),"")))</f>
        <v/>
      </c>
      <c r="I28" s="44"/>
      <c r="J28" s="45"/>
      <c r="K28" s="8"/>
    </row>
    <row r="29" spans="3:14" ht="18" customHeight="1" x14ac:dyDescent="0.25">
      <c r="C29" s="9" t="str">
        <f>Escalas!$G$12</f>
        <v>Plus limpieza de piletas y mantenimiento del agua</v>
      </c>
      <c r="D29" s="10"/>
      <c r="E29" s="11"/>
      <c r="F29" s="43"/>
      <c r="G29" s="46"/>
      <c r="H29" s="44" t="str">
        <f>IF(OR($I$8="SAC 1°",$I$8="SAC 2°"),"",IF($G$8="","",IFERROR(VLOOKUP($G$8,Empleados[#All],37,FALSE()),"")))</f>
        <v/>
      </c>
      <c r="I29" s="44"/>
      <c r="J29" s="45"/>
      <c r="K29" s="8"/>
    </row>
    <row r="30" spans="3:14" ht="18" customHeight="1" x14ac:dyDescent="0.25">
      <c r="C30" s="9" t="s">
        <v>19</v>
      </c>
      <c r="D30" s="10"/>
      <c r="E30" s="11"/>
      <c r="F30" s="43"/>
      <c r="G30" s="46"/>
      <c r="H30" s="44">
        <f>IF(OR($I$8="SAC 1°",$I$8="SAC 2°"),"",IF($G$8="","",IFERROR(SUMIFS(Novedades[Adicional voluntario],Novedades[CUIL],Recibo!$G$8,Novedades[PERIODO],Recibo!$I$8,Novedades[CUIT],$N$3),"")))</f>
        <v>0</v>
      </c>
      <c r="I30" s="44"/>
      <c r="J30" s="45"/>
      <c r="K30" s="8"/>
    </row>
    <row r="31" spans="3:14" ht="18" customHeight="1" x14ac:dyDescent="0.25">
      <c r="C31" s="9" t="str">
        <f>Escalas!$G$13</f>
        <v>Adicional Viaticos</v>
      </c>
      <c r="D31" s="10"/>
      <c r="E31" s="11"/>
      <c r="F31" s="43"/>
      <c r="G31" s="46"/>
      <c r="H31" s="44" t="str">
        <f>IF(OR($I$8="SAC 1°",$I$8="SAC 2°"),"",IF($G$8="","",IFERROR(VLOOKUP($G$8,Empleados[#All],22,FALSE()),"")))</f>
        <v/>
      </c>
      <c r="I31" s="44"/>
      <c r="J31" s="45"/>
      <c r="K31" s="8"/>
      <c r="M31" s="21"/>
    </row>
    <row r="32" spans="3:14" ht="18" customHeight="1" x14ac:dyDescent="0.25">
      <c r="C32" s="9" t="s">
        <v>311</v>
      </c>
      <c r="D32" s="10"/>
      <c r="E32" s="11"/>
      <c r="F32" s="43" t="str">
        <f>+IF(SUMIFS(Novedades[HORAS EXTRAS al 50% '[HS']],Novedades[CUIL],Recibo!$G$8,Novedades[PERIODO],Recibo!$I$8,Novedades[CUIT],N3)=0,"",SUMIFS(Novedades[HORAS EXTRAS al 50% '[HS']],Novedades[CUIL],Recibo!$G$8,Novedades[PERIODO],Recibo!$I$8,Novedades[CUIT],N3))</f>
        <v/>
      </c>
      <c r="G32" s="44" t="str">
        <f>+IF(SUMIFS(Novedades[HORAS EXTRAS al 50% '[HS']],Novedades[CUIL],Recibo!$G$8,Novedades[PERIODO],Recibo!$I$8,Novedades[CUIT],N3)=0,"",IF(ISNUMBER(SEARCH("Media Jornada",$H$10)),($H$17/100+SUM($H$19:$H$30)/200)*1.5,IF($H$10="Personal Vigilancia Nocturna",SUM($H$17:$H$30)/175*1.5,SUM($H$17:$H$30)/200*1.5)))</f>
        <v/>
      </c>
      <c r="H32" s="44" t="str">
        <f>IF(OR($I$8="SAC 1°",$I$8="SAC 2°"),"",IFERROR(F32*G32,""))</f>
        <v/>
      </c>
      <c r="I32" s="44"/>
      <c r="J32" s="45"/>
      <c r="K32" s="8"/>
      <c r="N32">
        <v>82464.160000000003</v>
      </c>
    </row>
    <row r="33" spans="3:14" ht="18" customHeight="1" x14ac:dyDescent="0.25">
      <c r="C33" s="9" t="s">
        <v>312</v>
      </c>
      <c r="D33" s="10"/>
      <c r="E33" s="11"/>
      <c r="F33" s="43">
        <f>+IF(SUMIFS(Novedades[HORAS EXTRAS al 100% '[HS']],Novedades[CUIL],Recibo!$G$8,Novedades[PERIODO],Recibo!$I$8,Novedades[CUIT],$N$3)=0,"",SUMIFS(Novedades[HORAS EXTRAS al 100% '[HS']],Novedades[CUIL],Recibo!$G$8,Novedades[PERIODO],Recibo!$I$8,Novedades[CUIT],$N$3))</f>
        <v>12</v>
      </c>
      <c r="G33" s="44">
        <f>+IF(SUMIFS(Novedades[HORAS EXTRAS al 100% '[HS']],Novedades[CUIL],Recibo!$G$8,Novedades[PERIODO],Recibo!$I$8,Novedades[CUIT],$N$3)=0,"",IF(ISNUMBER(SEARCH("Media Jornada",$H$10)),($H$17/100+SUM($H$19:$H$30)/200)*2,IF($H$10="Personal Vigilancia Nocturna",SUM($H$17:$H$30)/175*2,SUM($H$17:$H$30)/200*2)))</f>
        <v>15096.722239999999</v>
      </c>
      <c r="H33" s="44">
        <f>IF(OR($I$8="SAC 1°",$I$8="SAC 2°"),"",IFERROR(F33*G33,""))</f>
        <v>181160.66687999998</v>
      </c>
      <c r="I33" s="44"/>
      <c r="J33" s="45"/>
      <c r="K33" s="8"/>
    </row>
    <row r="34" spans="3:14" ht="18" customHeight="1" x14ac:dyDescent="0.25">
      <c r="C34" s="9" t="s">
        <v>313</v>
      </c>
      <c r="D34" s="10"/>
      <c r="E34" s="11"/>
      <c r="F34" s="43" t="str">
        <f>+IF(SUMIFS(Novedades[FERIADOS TRABAJADOS '[HS']],Novedades[CUIL],Recibo!$G$8,Novedades[PERIODO],Recibo!$I$8,Novedades[CUIT],N3)=0,"",SUMIFS(Novedades[FERIADOS TRABAJADOS '[HS']],Novedades[CUIL],Recibo!$G$8,Novedades[PERIODO],Recibo!$I$8,Novedades[CUIT],N3))</f>
        <v/>
      </c>
      <c r="G34" s="44" t="str">
        <f>+IF(SUMIFS(Novedades[FERIADOS TRABAJADOS '[HS']],Novedades[CUIL],Recibo!$G$8,Novedades[PERIODO],Recibo!$I$8,Novedades[CUIT],N3)=0,"",IF(ISNUMBER(SEARCH("Suplente",H10)),VLOOKUP($G$8,Empleados[#All],16,FALSE)/8*2,IF(OR(ISNUMBER(SEARCH("Media Jornada",$H$10)),ISNUMBER(SEARCH("No Permanente",$H$10))),($H$17/100+SUM($H$19:$H$30)/200)*2,IF($H$10="Personal Vigilancia Nocturna",SUM($H$17:$H$30)/175*2,SUM($H$17:$H$30)/200*2))))</f>
        <v/>
      </c>
      <c r="H34" s="44" t="str">
        <f>IF(OR($I$8="SAC 1°",$I$8="SAC 2°"),"",IFERROR(F34*G34,""))</f>
        <v/>
      </c>
      <c r="I34" s="44"/>
      <c r="J34" s="45"/>
      <c r="K34" s="8"/>
      <c r="N34">
        <v>60000</v>
      </c>
    </row>
    <row r="35" spans="3:14" ht="18" customHeight="1" x14ac:dyDescent="0.25">
      <c r="C35" s="9" t="str">
        <f>Escalas!$G$14</f>
        <v>Adicional Remuneratorio Mensual</v>
      </c>
      <c r="D35" s="10"/>
      <c r="E35" s="11"/>
      <c r="F35" s="43"/>
      <c r="G35" s="46"/>
      <c r="H35" s="44">
        <f>IF(OR($I$8="SAC 1°",$I$8="SAC 2°"),"",IF($G$8="","",IF(ISNUMBER(SEARCH("Suplente",H10)),IFERROR(VLOOKUP($G$8,Empleados[#All],14,FALSE)*(SUMIFS(Novedades[HORAS TOTALES],Novedades[CUIL],Recibo!$G$8,Novedades[CUIT],Recibo!$N$3,Novedades[PERIODO],Recibo!$I$8)+SUMIFS(Novedades[Suplencia al 100% '[hs']],Novedades[CUIL],Recibo!$G$8,Novedades[CUIT],Recibo!$N$3,Novedades[PERIODO],Recibo!$I$8)),""),IFERROR(VLOOKUP($G$8,Empleados[#All],14,FALSE()),""))))</f>
        <v>100000</v>
      </c>
      <c r="I35" s="44"/>
      <c r="J35" s="45"/>
      <c r="K35" s="8"/>
    </row>
    <row r="36" spans="3:14" ht="18" customHeight="1" x14ac:dyDescent="0.25">
      <c r="C36" s="9" t="s">
        <v>322</v>
      </c>
      <c r="D36" s="10"/>
      <c r="E36" s="11"/>
      <c r="F36" s="43" t="str">
        <f>+IF(SUMIFS(Novedades[Días no trabajados],Novedades[CUIL],Recibo!$G$8,Novedades[PERIODO],Recibo!$I$8,Novedades[CUIT],N3)=0,"",SUMIFS(Novedades[Días no trabajados],Novedades[CUIL],Recibo!$G$8,Novedades[PERIODO],Recibo!$I$8,Novedades[CUIT],N3))</f>
        <v/>
      </c>
      <c r="G36" s="44" t="str">
        <f>+IF(SUMIFS(Novedades[Días no trabajados],Novedades[CUIL],Recibo!$G$8,Novedades[PERIODO],Recibo!$I$8,Novedades[CUIT],N3)=0,"",SUM($H$17:$H$30)/30)</f>
        <v/>
      </c>
      <c r="H36" s="44" t="str">
        <f>IF(OR($I$8="SAC 1°",$I$8="SAC 2°"),"",IFERROR(-F36*G36,""))</f>
        <v/>
      </c>
      <c r="I36" s="44"/>
      <c r="J36" s="45"/>
      <c r="K36" s="8"/>
    </row>
    <row r="37" spans="3:14" ht="18" customHeight="1" x14ac:dyDescent="0.25">
      <c r="C37" s="9" t="s">
        <v>323</v>
      </c>
      <c r="D37" s="10"/>
      <c r="E37" s="11"/>
      <c r="F37" s="43" t="str">
        <f>+IF(SUMIFS(Novedades[Licencia por enfermedad],Novedades[CUIL],Recibo!$G$8,Novedades[PERIODO],Recibo!$I$8,Novedades[CUIT],N3)=0,"",SUMIFS(Novedades[Licencia por enfermedad],Novedades[CUIL],Recibo!$G$8,Novedades[PERIODO],Recibo!$I$8,Novedades[CUIT],N3))</f>
        <v/>
      </c>
      <c r="G37" s="44" t="str">
        <f>+IF(SUMIFS(Novedades[Licencia por enfermedad],Novedades[CUIL],Recibo!$G$8,Novedades[PERIODO],Recibo!$I$8,Novedades[CUIT],N3)=0,"",SUM($H$17:$H$30)/30)</f>
        <v/>
      </c>
      <c r="H37" s="44" t="str">
        <f>IF(OR($I$8="SAC 1°",$I$8="SAC 2°"),"",IFERROR(F37*G37,""))</f>
        <v/>
      </c>
      <c r="I37" s="44"/>
      <c r="J37" s="45"/>
      <c r="K37" s="8"/>
    </row>
    <row r="38" spans="3:14" ht="18" customHeight="1" x14ac:dyDescent="0.25">
      <c r="C38" s="9" t="s">
        <v>317</v>
      </c>
      <c r="D38" s="10"/>
      <c r="E38" s="11"/>
      <c r="F38" s="43" t="str">
        <f>+IF(SUMIFS(Novedades[PLUS VACACIONES '[DIAS']],Novedades[CUIL],Recibo!$G$8,Novedades[PERIODO],Recibo!$I$8,Novedades[CUIT],N3)=0,"",SUMIFS(Novedades[PLUS VACACIONES '[DIAS']],Novedades[CUIL],Recibo!$G$8,Novedades[PERIODO],Recibo!$I$8,Novedades[CUIT],N3))</f>
        <v/>
      </c>
      <c r="G38" s="168" t="str">
        <f>IF(
SUMIFS(
Novedades[PLUS VACACIONES '[DIAS']],
Novedades[CUIL],Recibo!$G$8,
Novedades[PERIODO],Recibo!$I$8,Novedades[CUIT],N3
)=0,
"",
IF(
MIN(
SUMIFS(BD_Recibo[Horas extras],BD_Recibo[CUIL],Recibo!$G$8,BD_Recibo[PERIODO],EDATE(Recibo!$I$8,-1)),
SUMIFS(BD_Recibo[Horas extras],BD_Recibo[CUIL],Recibo!$G$8,BD_Recibo[PERIODO],EDATE(Recibo!$I$8,-2)),
SUMIFS(BD_Recibo[Horas extras],BD_Recibo[CUIL],Recibo!$G$8,BD_Recibo[PERIODO],EDATE(Recibo!$I$8,-3)),
SUMIFS(BD_Recibo[Horas extras],BD_Recibo[CUIL],Recibo!$G$8,BD_Recibo[PERIODO],EDATE(Recibo!$I$8,-4)),
SUMIFS(BD_Recibo[Horas extras],BD_Recibo[CUIL],Recibo!$G$8,BD_Recibo[PERIODO],EDATE(Recibo!$I$8,-5)),
SUMIFS(BD_Recibo[Horas extras],BD_Recibo[CUIL],Recibo!$G$8,BD_Recibo[PERIODO],EDATE(Recibo!$I$8,-6))
)=0,
SUM($H$17:$H$31)/25-SUM($H$17:$H$31)/30,
(
SUM($H$17:$H$31)+
AVERAGE(
SUMIFS(BD_Recibo[Horas extras],BD_Recibo[CUIL],Recibo!$G$8,BD_Recibo[PERIODO],EDATE(Recibo!$I$8,-1)),
SUMIFS(BD_Recibo[Horas extras],BD_Recibo[CUIL],Recibo!$G$8,BD_Recibo[PERIODO],EDATE(Recibo!$I$8,-2)),
SUMIFS(BD_Recibo[Horas extras],BD_Recibo[CUIL],Recibo!$G$8,BD_Recibo[PERIODO],EDATE(Recibo!$I$8,-3)),
SUMIFS(BD_Recibo[Horas extras],BD_Recibo[CUIL],Recibo!$G$8,BD_Recibo[PERIODO],EDATE(Recibo!$I$8,-4)),
SUMIFS(BD_Recibo[Horas extras],BD_Recibo[CUIL],Recibo!$G$8,BD_Recibo[PERIODO],EDATE(Recibo!$I$8,-5)),
SUMIFS(BD_Recibo[Horas extras],BD_Recibo[CUIL],Recibo!$G$8,BD_Recibo[PERIODO],EDATE(Recibo!$I$8,-6))
)
)/25-SUM($H$17:$H$31)/30
))</f>
        <v/>
      </c>
      <c r="H38" s="44" t="str">
        <f>IF(OR($I$8="SAC 1°",$I$8="SAC 2°"),"",+IF(F38="","",F38*G38))</f>
        <v/>
      </c>
      <c r="I38" s="44"/>
      <c r="J38" s="45"/>
      <c r="K38" s="8"/>
    </row>
    <row r="39" spans="3:14" ht="18" customHeight="1" x14ac:dyDescent="0.25">
      <c r="C39" s="9" t="s">
        <v>343</v>
      </c>
      <c r="D39" s="10"/>
      <c r="E39" s="11"/>
      <c r="F39" s="43"/>
      <c r="G39" s="46"/>
      <c r="H39" s="44" t="str">
        <f>IF(OR($I$8="SAC 1°",$I$8="SAC 2°"),
  MAX(
    SUMIFS(BD_Recibo[Haberes c/Aportes],BD_Recibo[CUIL],$G$8,BD_Recibo[CONSORCIO],$C$3,BD_Recibo[PERIODO],DATE(YEAR($I$5),1,1)),
    SUMIFS(BD_Recibo[Haberes c/Aportes],BD_Recibo[CUIL],$G$8,BD_Recibo[CONSORCIO],$C$3,BD_Recibo[PERIODO],DATE(YEAR($I$5),2,1)),
    SUMIFS(BD_Recibo[Haberes c/Aportes],BD_Recibo[CUIL],$G$8,BD_Recibo[CONSORCIO],$C$3,BD_Recibo[PERIODO],DATE(YEAR($I$5),3,1)),
    SUMIFS(BD_Recibo[Haberes c/Aportes],BD_Recibo[CUIL],$G$8,BD_Recibo[CONSORCIO],$C$3,BD_Recibo[PERIODO],DATE(YEAR($I$5),4,1)),
    SUMIFS(BD_Recibo[Haberes c/Aportes],BD_Recibo[CUIL],$G$8,BD_Recibo[CONSORCIO],$C$3,BD_Recibo[PERIODO],DATE(YEAR($I$5),5,1)),
    SUMIFS(BD_Recibo[Haberes c/Aportes],BD_Recibo[CUIL],$G$8,BD_Recibo[CONSORCIO],$C$3,BD_Recibo[PERIODO],DATE(YEAR($I$5),6,1)),
    IF($I$8="SAC 2°",SUMIFS(BD_Recibo[Haberes c/Aportes],BD_Recibo[CUIL],$G$8,BD_Recibo[CONSORCIO],$C$3,BD_Recibo[PERIODO],DATE(YEAR($I$5),7,1)),0),
    IF($I$8="SAC 2°",SUMIFS(BD_Recibo[Haberes c/Aportes],BD_Recibo[CUIL],$G$8,BD_Recibo[CONSORCIO],$C$3,BD_Recibo[PERIODO],DATE(YEAR($I$5),8,1)),0),
    IF($I$8="SAC 2°",SUMIFS(BD_Recibo[Haberes c/Aportes],BD_Recibo[CUIL],$G$8,BD_Recibo[CONSORCIO],$C$3,BD_Recibo[PERIODO],DATE(YEAR($I$5),9,1)),0),
    IF($I$8="SAC 2°",SUMIFS(BD_Recibo[Haberes c/Aportes],BD_Recibo[CUIL],$G$8,BD_Recibo[CONSORCIO],$C$3,BD_Recibo[PERIODO],DATE(YEAR($I$5),10,1)),0),
    IF($I$8="SAC 2°",SUMIFS(BD_Recibo[Haberes c/Aportes],BD_Recibo[CUIL],$G$8,BD_Recibo[CONSORCIO],$C$3,BD_Recibo[PERIODO],DATE(YEAR($I$5),11,1)),0)
  )/2,
"")</f>
        <v/>
      </c>
      <c r="I39" s="44"/>
      <c r="J39" s="45"/>
      <c r="K39" s="8"/>
    </row>
    <row r="40" spans="3:14" ht="18" customHeight="1" x14ac:dyDescent="0.25">
      <c r="C40" s="9" t="s">
        <v>411</v>
      </c>
      <c r="D40" s="10"/>
      <c r="E40" s="11"/>
      <c r="F40" s="43"/>
      <c r="G40" s="46"/>
      <c r="H40" s="44"/>
      <c r="I40" s="44"/>
      <c r="J40" s="45"/>
      <c r="K40" s="8"/>
    </row>
    <row r="41" spans="3:14" ht="18" customHeight="1" x14ac:dyDescent="0.25">
      <c r="C41" s="9" t="s">
        <v>412</v>
      </c>
      <c r="D41" s="10"/>
      <c r="E41" s="11"/>
      <c r="F41" s="43"/>
      <c r="G41" s="46"/>
      <c r="H41" s="44" t="str">
        <f>IF($I$8="SAC 2°",VLOOKUP($G$8,Empleados[#All],16,FALSE())*0.2,"")</f>
        <v/>
      </c>
      <c r="I41" s="44"/>
      <c r="J41" s="45"/>
      <c r="K41" s="8"/>
    </row>
    <row r="42" spans="3:14" ht="18" customHeight="1" x14ac:dyDescent="0.25">
      <c r="C42" s="9" t="s">
        <v>341</v>
      </c>
      <c r="D42" s="10"/>
      <c r="E42" s="11"/>
      <c r="F42" s="43"/>
      <c r="G42" s="46"/>
      <c r="H42" s="44" t="str">
        <f>IF($I$8="LIQUIDACION FINAL",IF($G$8="","",$N$42*3),"")</f>
        <v/>
      </c>
      <c r="I42" s="44"/>
      <c r="J42" s="45"/>
      <c r="K42" s="8"/>
      <c r="N42">
        <f>IF($G$8="","",MAX(
  SUMIFS(BD_Recibo[Haberes c/Aportes],BD_Recibo[CUIL],$G$8,BD_Recibo[CONSORCIO],$C$3,BD_Recibo[PERIODO],EDATE($I$5,-1)),
  SUMIFS(BD_Recibo[Haberes c/Aportes],BD_Recibo[CUIL],$G$8,BD_Recibo[CONSORCIO],$C$3,BD_Recibo[PERIODO],EDATE($I$5,-2)),
  SUMIFS(BD_Recibo[Haberes c/Aportes],BD_Recibo[CUIL],$G$8,BD_Recibo[CONSORCIO],$C$3,BD_Recibo[PERIODO],EDATE($I$5,-3)),
  SUMIFS(BD_Recibo[Haberes c/Aportes],BD_Recibo[CUIL],$G$8,BD_Recibo[CONSORCIO],$C$3,BD_Recibo[PERIODO],EDATE($I$5,-4)),
  SUMIFS(BD_Recibo[Haberes c/Aportes],BD_Recibo[CUIL],$G$8,BD_Recibo[CONSORCIO],$C$3,BD_Recibo[PERIODO],EDATE($I$5,-5)),
  SUMIFS(BD_Recibo[Haberes c/Aportes],BD_Recibo[CUIL],$G$8,BD_Recibo[CONSORCIO],$C$3,BD_Recibo[PERIODO],EDATE($I$5,-6))
))</f>
        <v>0</v>
      </c>
    </row>
    <row r="43" spans="3:14" ht="18" customHeight="1" x14ac:dyDescent="0.25">
      <c r="C43" s="9" t="s">
        <v>340</v>
      </c>
      <c r="D43" s="10"/>
      <c r="E43" s="11"/>
      <c r="F43" s="43"/>
      <c r="G43" s="46"/>
      <c r="H43" s="44" t="str">
        <f>IF($I$8="LIQUIDACION FINAL",IF($G$8="","",$H$42/12),"")</f>
        <v/>
      </c>
      <c r="I43" s="44"/>
      <c r="J43" s="45"/>
      <c r="K43" s="8"/>
    </row>
    <row r="44" spans="3:14" ht="18" customHeight="1" x14ac:dyDescent="0.25">
      <c r="C44" s="9" t="s">
        <v>339</v>
      </c>
      <c r="D44" s="10"/>
      <c r="E44" s="11"/>
      <c r="F44" s="43"/>
      <c r="G44" s="46"/>
      <c r="H44" s="44" t="str">
        <f>IF($I$8="LIQUIDACION FINAL",
  IF(SUMIFS(Novedades[Muerte],Novedades[CUIL],$G$8,Novedades[CUIT],$N$3,Novedades[PERIODO],$I$8)="SI","",
    IF($G$8="","",$N$42*MAX(1,DATEDIF(VLOOKUP($G$8,Empleados[#All],5,FALSE()),$I$5,"Y")))
  ),
"")</f>
        <v/>
      </c>
      <c r="I44" s="44"/>
      <c r="J44" s="45"/>
      <c r="K44" s="8"/>
    </row>
    <row r="45" spans="3:14" ht="18" customHeight="1" x14ac:dyDescent="0.25">
      <c r="C45" s="9" t="s">
        <v>336</v>
      </c>
      <c r="D45" s="10"/>
      <c r="E45" s="11"/>
      <c r="F45" s="43"/>
      <c r="G45" s="46"/>
      <c r="H45" s="44" t="str">
        <f>IF($I$8="LIQUIDACION FINAL",IF($G$8="","",$N$42/360*_xlfn.DAYS($I$5,IF(MONTH($I$5)&lt;=6,DATE(YEAR($I$5),1,1),DATE(YEAR($I$5),7,1)))),"")</f>
        <v/>
      </c>
      <c r="I45" s="44"/>
      <c r="J45" s="45"/>
      <c r="K45" s="8"/>
    </row>
    <row r="46" spans="3:14" ht="18" customHeight="1" x14ac:dyDescent="0.25">
      <c r="C46" s="9" t="s">
        <v>337</v>
      </c>
      <c r="D46" s="10"/>
      <c r="E46" s="11"/>
      <c r="F46" s="43"/>
      <c r="G46" s="46"/>
      <c r="H46" s="44" t="str">
        <f>IF($I$8="LIQUIDACION FINAL",IF(OR($G$8="",F46=""),"",F46*$N$42/25),"")</f>
        <v/>
      </c>
      <c r="I46" s="44"/>
      <c r="J46" s="45"/>
      <c r="K46" s="8"/>
    </row>
    <row r="47" spans="3:14" ht="18" customHeight="1" x14ac:dyDescent="0.25">
      <c r="C47" s="9" t="s">
        <v>338</v>
      </c>
      <c r="D47" s="10"/>
      <c r="E47" s="11"/>
      <c r="F47" s="43"/>
      <c r="G47" s="46"/>
      <c r="H47" s="44" t="str">
        <f>IF($I$8="LIQUIDACION FINAL",IF($G$8="","",$H$46/12),"")</f>
        <v/>
      </c>
      <c r="I47" s="44"/>
      <c r="J47" s="45"/>
      <c r="K47" s="8"/>
    </row>
    <row r="48" spans="3:14" ht="18" customHeight="1" x14ac:dyDescent="0.25">
      <c r="C48" s="9" t="s">
        <v>414</v>
      </c>
      <c r="D48" s="10"/>
      <c r="E48" s="11"/>
      <c r="F48" s="43"/>
      <c r="G48" s="46"/>
      <c r="H48" s="44" t="str">
        <f>IF($I$8="LIQUIDACION FINAL",
  IF(SUMIFS(Novedades[Muerte],Novedades[CUIL],$G$8,Novedades[CUIT],$N$3,Novedades[PERIODO],$I$8)="SI",
    IF($G$8="","",$N$42*MAX(1,DATEDIF(VLOOKUP($G$8,Empleados[#All],5,FALSE()),$I$5,"Y"))/2),
    ""
  ),
"")</f>
        <v/>
      </c>
      <c r="I48" s="44"/>
      <c r="J48" s="45"/>
      <c r="K48" s="8"/>
    </row>
    <row r="49" spans="3:11" ht="18" customHeight="1" x14ac:dyDescent="0.25">
      <c r="C49" s="9"/>
      <c r="D49" s="10"/>
      <c r="E49" s="11"/>
      <c r="F49" s="43"/>
      <c r="G49" s="46"/>
      <c r="H49" s="44" t="str">
        <f>IF(C49="","",IF(AND(F49="",G49=""),"",IF(F49="",G49,IF(G49="",F49,F49*G49))))</f>
        <v/>
      </c>
      <c r="I49" s="44"/>
      <c r="J49" s="45"/>
      <c r="K49" s="8"/>
    </row>
    <row r="50" spans="3:11" ht="18" customHeight="1" x14ac:dyDescent="0.25">
      <c r="C50" s="9"/>
      <c r="D50" s="10"/>
      <c r="E50" s="11"/>
      <c r="F50" s="43"/>
      <c r="G50" s="46"/>
      <c r="H50" s="44" t="str">
        <f>IF(C50="","",IF(AND(F50="",G50=""),"",IF(F50="",G50,IF(G50="",F50,F50*G50))))</f>
        <v/>
      </c>
      <c r="I50" s="44"/>
      <c r="J50" s="45"/>
      <c r="K50" s="8"/>
    </row>
    <row r="51" spans="3:11" ht="18" customHeight="1" x14ac:dyDescent="0.25">
      <c r="C51" s="9"/>
      <c r="D51" s="10"/>
      <c r="E51" s="11"/>
      <c r="F51" s="43"/>
      <c r="G51" s="46"/>
      <c r="H51" s="44" t="str">
        <f>IF(C51="","",IF(AND(F51="",G51=""),"",IF(F51="",G51,IF(G51="",F51,F51*G51))))</f>
        <v/>
      </c>
      <c r="I51" s="44"/>
      <c r="J51" s="45"/>
      <c r="K51" s="8"/>
    </row>
    <row r="52" spans="3:11" ht="18" customHeight="1" x14ac:dyDescent="0.25">
      <c r="C52" s="9" t="s">
        <v>20</v>
      </c>
      <c r="D52" s="10"/>
      <c r="E52" s="11"/>
      <c r="F52" s="47">
        <f>VLOOKUP("Jubilación",Descuentos!$A:$B,2,FALSE())</f>
        <v>0.11</v>
      </c>
      <c r="G52" s="44"/>
      <c r="H52" s="44"/>
      <c r="I52" s="44"/>
      <c r="J52" s="44">
        <f>IF($G$8="","",$C$67*F52)</f>
        <v>196991.61799679999</v>
      </c>
      <c r="K52" s="8"/>
    </row>
    <row r="53" spans="3:11" ht="18" customHeight="1" x14ac:dyDescent="0.25">
      <c r="C53" s="9" t="s">
        <v>21</v>
      </c>
      <c r="D53" s="10"/>
      <c r="E53" s="11"/>
      <c r="F53" s="47">
        <f>VLOOKUP("Ley 19032",Descuentos!$A:$B,2,FALSE())</f>
        <v>0.03</v>
      </c>
      <c r="G53" s="44"/>
      <c r="H53" s="44"/>
      <c r="I53" s="44"/>
      <c r="J53" s="44">
        <f>IF($G$8="","",$C$67*F53)</f>
        <v>53724.986726399991</v>
      </c>
      <c r="K53" s="8"/>
    </row>
    <row r="54" spans="3:11" ht="18" customHeight="1" x14ac:dyDescent="0.25">
      <c r="C54" s="9" t="s">
        <v>22</v>
      </c>
      <c r="D54" s="10"/>
      <c r="E54" s="11"/>
      <c r="F54" s="47">
        <f>VLOOKUP("Obra Social",Descuentos!$A:$B,2,FALSE())</f>
        <v>0.03</v>
      </c>
      <c r="G54" s="44"/>
      <c r="H54" s="44"/>
      <c r="I54" s="44"/>
      <c r="J54" s="44">
        <f>IF($G$8="","",$C$67*F54)</f>
        <v>53724.986726399991</v>
      </c>
      <c r="K54" s="8"/>
    </row>
    <row r="55" spans="3:11" ht="18" customHeight="1" x14ac:dyDescent="0.25">
      <c r="C55" s="9" t="s">
        <v>23</v>
      </c>
      <c r="D55" s="10"/>
      <c r="E55" s="11"/>
      <c r="F55" s="47"/>
      <c r="G55" s="44"/>
      <c r="H55" s="44"/>
      <c r="I55" s="44"/>
      <c r="J55" s="44">
        <f>IFERROR(
IF($G$8="",0,
   IF($I$8="SAC 2°",0,
      IF($I$8="SAC 1°",
         MAX(0,
            VLOOKUP($G$8,Empleados[#All],28,FALSE())
            -Descuentos!$B$4*SUM($H$17:$H$39)
            -SUMIFS(BD_Recibo[Obra Social],BD_Recibo[CUIL],$G$8,BD_Recibo[CONSORCIO],$C$3,BD_Recibo[PERIODO],DATE(YEAR($I$5),6,1))
         ),
         IF(MONTH($I$5)=12,
            MAX(0,
               VLOOKUP($G$8,Empleados[#All],28,FALSE())
               -Descuentos!$B$4*SUM($H$17:$H$39)
               -SUMIFS(BD_Recibo[Obra Social],BD_Recibo[CUIL],$G$8,BD_Recibo[CONSORCIO],$C$3,BD_Recibo[PERIODO],DATE(YEAR($I$5),12,1))
            ),
            IFERROR(
               IF(VLOOKUP($G$8,Empleados[#All],28,FALSE())="",0,
                  MAX(0,
                     VLOOKUP($G$8,Empleados[#All],28,FALSE())
                     -Descuentos!$B$4*SUM(H17:H38)
                  )
               ),
            0)
         )
      )
   )
),
"")</f>
        <v>0</v>
      </c>
      <c r="K55" s="8"/>
    </row>
    <row r="56" spans="3:11" ht="18" customHeight="1" x14ac:dyDescent="0.25">
      <c r="C56" s="9" t="s">
        <v>24</v>
      </c>
      <c r="D56" s="10"/>
      <c r="E56" s="11"/>
      <c r="F56" s="47">
        <f>VLOOKUP("SUTERH",Descuentos!$A:$B,2,FALSE())</f>
        <v>0.02</v>
      </c>
      <c r="G56" s="44"/>
      <c r="H56" s="44"/>
      <c r="I56" s="44"/>
      <c r="J56" s="44">
        <f>IF(VLOOKUP(Recibo!$G$8,Empleados[],10,FALSE)="Suplente eventual","",IF($G$8="","",F56*SUM($H$17:$H$39)))</f>
        <v>35816.657817599997</v>
      </c>
      <c r="K56" s="8"/>
    </row>
    <row r="57" spans="3:11" ht="18" customHeight="1" x14ac:dyDescent="0.25">
      <c r="C57" s="9" t="s">
        <v>25</v>
      </c>
      <c r="D57" s="10"/>
      <c r="E57" s="11"/>
      <c r="F57" s="47">
        <f>VLOOKUP("Caja Prot. Flia.",Descuentos!$A:$B,2,FALSE())</f>
        <v>0.01</v>
      </c>
      <c r="G57" s="44"/>
      <c r="H57" s="44"/>
      <c r="I57" s="44"/>
      <c r="J57" s="44">
        <f>IF($G$8="","",F57*$C$67)</f>
        <v>17908.328908799998</v>
      </c>
      <c r="K57" s="8"/>
    </row>
    <row r="58" spans="3:11" ht="18" customHeight="1" x14ac:dyDescent="0.25">
      <c r="C58" s="9" t="s">
        <v>26</v>
      </c>
      <c r="D58" s="10"/>
      <c r="E58" s="11"/>
      <c r="F58" s="47">
        <f>VLOOKUP("FATERYH",Descuentos!$A:$B,2,FALSE())</f>
        <v>0.01</v>
      </c>
      <c r="G58" s="44"/>
      <c r="H58" s="44"/>
      <c r="I58" s="44"/>
      <c r="J58" s="44">
        <f>IF(VLOOKUP(Recibo!$G$8,Empleados[],10,FALSE)="Suplente eventual","",IF($G$8="","",F58*SUM($H$17:$H$39)))</f>
        <v>17908.328908799998</v>
      </c>
      <c r="K58" s="8"/>
    </row>
    <row r="59" spans="3:11" ht="18" customHeight="1" x14ac:dyDescent="0.25">
      <c r="C59" s="9" t="s">
        <v>27</v>
      </c>
      <c r="D59" s="10"/>
      <c r="E59" s="11"/>
      <c r="F59" s="47">
        <f>VLOOKUP("Seguro vitalicio - Art. 27 bis CCT 589/10",Descuentos!$A:$B,2,FALSE())</f>
        <v>7.4999999999999997E-3</v>
      </c>
      <c r="G59" s="44"/>
      <c r="H59" s="44"/>
      <c r="I59" s="44"/>
      <c r="J59" s="44">
        <f>IF($G$8="","",F59*$C$67)</f>
        <v>13431.246681599998</v>
      </c>
      <c r="K59" s="8"/>
    </row>
    <row r="60" spans="3:11" ht="18" customHeight="1" x14ac:dyDescent="0.25">
      <c r="C60" s="51" t="s">
        <v>309</v>
      </c>
      <c r="D60" s="52"/>
      <c r="E60" s="53"/>
      <c r="F60" s="47"/>
      <c r="G60" s="50"/>
      <c r="H60" s="44"/>
      <c r="I60" s="44"/>
      <c r="J60" s="44">
        <f>IF($G$8="","",IFERROR(VLOOKUP($G$8,Empleados[#All],26,FALSE()),""))</f>
        <v>6833.8</v>
      </c>
      <c r="K60" s="8"/>
    </row>
    <row r="61" spans="3:11" ht="18" customHeight="1" x14ac:dyDescent="0.25">
      <c r="C61" s="51" t="s">
        <v>320</v>
      </c>
      <c r="D61" s="52"/>
      <c r="E61" s="53"/>
      <c r="F61" s="47"/>
      <c r="G61" s="50"/>
      <c r="H61" s="44"/>
      <c r="I61" s="44"/>
      <c r="J61" s="44" t="str">
        <f>+IF(SUMIFS(Novedades[Embargo],Novedades[CUIL],Recibo!$G$8,Novedades[PERIODO],Recibo!$I$8)=0,"",SUMIFS(Novedades[Embargo],Novedades[CUIL],Recibo!$G$8,Novedades[PERIODO],Recibo!$I$8))</f>
        <v/>
      </c>
      <c r="K61" s="8"/>
    </row>
    <row r="62" spans="3:11" ht="18" customHeight="1" x14ac:dyDescent="0.25">
      <c r="C62" s="9"/>
      <c r="D62" s="52"/>
      <c r="E62" s="53"/>
      <c r="F62" s="47"/>
      <c r="G62" s="50"/>
      <c r="H62" s="44"/>
      <c r="I62" s="44"/>
      <c r="J62" s="44" t="str">
        <f>IF(C62="","",$C$67*F62)</f>
        <v/>
      </c>
      <c r="K62" s="8"/>
    </row>
    <row r="63" spans="3:11" ht="18" customHeight="1" x14ac:dyDescent="0.25">
      <c r="C63" s="51"/>
      <c r="D63" s="52"/>
      <c r="E63" s="53"/>
      <c r="F63" s="47"/>
      <c r="G63" s="50"/>
      <c r="H63" s="44"/>
      <c r="I63" s="44"/>
      <c r="J63" s="44" t="str">
        <f>IF(C63="","",$C$67*F63)</f>
        <v/>
      </c>
      <c r="K63" s="8"/>
    </row>
    <row r="64" spans="3:11" ht="18" customHeight="1" x14ac:dyDescent="0.25">
      <c r="C64" s="9" t="s">
        <v>301</v>
      </c>
      <c r="D64" s="10"/>
      <c r="E64" s="11"/>
      <c r="F64" s="43"/>
      <c r="G64" s="48"/>
      <c r="H64" s="44"/>
      <c r="I64" s="44">
        <f>ROUNDUP((SUM(H17:H64)+SUM(I17:I59))-SUM(J17:J64),0)-(((SUM(H17:H64)+SUM(I17:I59))-SUM(J17:J64)))</f>
        <v>6.2886400148272514E-2</v>
      </c>
      <c r="J64" s="45" t="str">
        <f>IF(C64="","",IF(AND(F64="",G64=""),"",IF(F64="",G64,IF(G64="",F64,F64*G64))))</f>
        <v/>
      </c>
      <c r="K64" s="8"/>
    </row>
    <row r="65" spans="3:15" ht="15.75" customHeight="1" x14ac:dyDescent="0.25"/>
    <row r="66" spans="3:15" x14ac:dyDescent="0.25">
      <c r="C66" s="188" t="s">
        <v>28</v>
      </c>
      <c r="D66" s="188"/>
      <c r="E66" s="188" t="s">
        <v>29</v>
      </c>
      <c r="F66" s="188"/>
      <c r="G66" s="188" t="s">
        <v>30</v>
      </c>
      <c r="H66" s="188"/>
      <c r="I66" s="188" t="s">
        <v>31</v>
      </c>
      <c r="J66" s="188"/>
    </row>
    <row r="67" spans="3:15" x14ac:dyDescent="0.25">
      <c r="C67" s="187">
        <f>SUM(H17:H64)</f>
        <v>1790832.8908799998</v>
      </c>
      <c r="D67" s="187"/>
      <c r="E67" s="187">
        <f>SUM(I17:I64)</f>
        <v>6.2886400148272514E-2</v>
      </c>
      <c r="F67" s="187"/>
      <c r="G67" s="187">
        <f>C67+E67</f>
        <v>1790832.9537664</v>
      </c>
      <c r="H67" s="187"/>
      <c r="I67" s="187">
        <f>SUM(J17:J64)</f>
        <v>396339.95376639988</v>
      </c>
      <c r="J67" s="187"/>
    </row>
    <row r="69" spans="3:15" ht="18.75" customHeight="1" x14ac:dyDescent="0.25">
      <c r="C69" s="194" t="str">
        <f>+_xlfn.CONCAT("Recibí el pago de la presente liquidación  —  Son ",NumeroALetras($H$70),"
","Depósito bancario: ",IF($G$8="","",IFERROR(VLOOKUP($G$8,Empleados[],18,FALSE()),"")))</f>
        <v>Recibí el pago de la presente liquidación  —  Son pesos un millon trescientos noventa y cuatro mil cuatrocientos noventa y tres con 00/100
Depósito bancario: CBU:0070004730004030834139</v>
      </c>
      <c r="D69" s="194"/>
      <c r="E69" s="194"/>
      <c r="F69" s="194"/>
      <c r="G69" s="194"/>
      <c r="H69" s="195" t="s">
        <v>302</v>
      </c>
      <c r="I69" s="195"/>
      <c r="J69" s="195"/>
    </row>
    <row r="70" spans="3:15" ht="21" x14ac:dyDescent="0.25">
      <c r="C70" s="194"/>
      <c r="D70" s="194"/>
      <c r="E70" s="194"/>
      <c r="F70" s="194"/>
      <c r="G70" s="194"/>
      <c r="H70" s="196">
        <f>G67-I67</f>
        <v>1394493</v>
      </c>
      <c r="I70" s="196"/>
      <c r="J70" s="196"/>
      <c r="O70" s="21"/>
    </row>
    <row r="72" spans="3:15" ht="16.5" hidden="1" customHeight="1" x14ac:dyDescent="0.25">
      <c r="C72" s="197" t="s">
        <v>32</v>
      </c>
      <c r="D72" s="197"/>
      <c r="E72" s="197"/>
      <c r="F72" s="197"/>
      <c r="G72" s="197"/>
      <c r="H72" s="197"/>
      <c r="I72" s="197"/>
      <c r="J72" s="197"/>
    </row>
    <row r="73" spans="3:15" ht="15.75" hidden="1" customHeight="1" thickBot="1" x14ac:dyDescent="0.3">
      <c r="C73" s="198" t="s">
        <v>33</v>
      </c>
      <c r="D73" s="198"/>
      <c r="E73" s="198"/>
      <c r="F73" s="198"/>
      <c r="G73" s="198"/>
      <c r="H73" s="198"/>
      <c r="I73" s="198"/>
      <c r="J73" s="198"/>
    </row>
    <row r="74" spans="3:15" ht="18" hidden="1" customHeight="1" thickBot="1" x14ac:dyDescent="0.3">
      <c r="C74" s="192" t="s">
        <v>15</v>
      </c>
      <c r="D74" s="192"/>
      <c r="E74" s="192"/>
      <c r="F74" s="192"/>
      <c r="G74" s="12" t="s">
        <v>34</v>
      </c>
      <c r="H74" s="38"/>
      <c r="I74" s="38"/>
      <c r="J74" s="12" t="s">
        <v>35</v>
      </c>
    </row>
    <row r="75" spans="3:15" ht="18" hidden="1" customHeight="1" x14ac:dyDescent="0.25">
      <c r="C75" s="193" t="s">
        <v>36</v>
      </c>
      <c r="D75" s="193"/>
      <c r="E75" s="193"/>
      <c r="F75" s="193"/>
      <c r="G75" s="13">
        <v>0.18720000000000001</v>
      </c>
      <c r="H75" s="37"/>
      <c r="I75" s="37"/>
      <c r="J75" s="14">
        <f>G67*$G$75</f>
        <v>335243.92894507007</v>
      </c>
    </row>
    <row r="76" spans="3:15" ht="15" hidden="1" customHeight="1" x14ac:dyDescent="0.25">
      <c r="C76" s="193" t="s">
        <v>326</v>
      </c>
      <c r="D76" s="193"/>
      <c r="E76" s="193"/>
      <c r="F76" s="193"/>
      <c r="G76" s="13">
        <v>5.0999999999999997E-2</v>
      </c>
      <c r="H76" s="37"/>
      <c r="I76" s="37"/>
      <c r="J76" s="14">
        <f>G67*$G$76</f>
        <v>91332.48064208639</v>
      </c>
      <c r="M76" s="21"/>
    </row>
    <row r="77" spans="3:15" ht="15" hidden="1" customHeight="1" x14ac:dyDescent="0.25">
      <c r="C77" s="193" t="s">
        <v>37</v>
      </c>
      <c r="D77" s="193"/>
      <c r="E77" s="193"/>
      <c r="F77" s="193"/>
      <c r="G77" s="13">
        <f>IF($N$3="","",IFERROR(VLOOKUP($N$3,Empleador[],15,FALSE()),""))</f>
        <v>0.12139999999999999</v>
      </c>
      <c r="H77" s="37"/>
      <c r="I77" s="37"/>
      <c r="J77" s="14">
        <f>IF($G$8="","",IFERROR($G$77*$C$67,""))</f>
        <v>217407.11295283196</v>
      </c>
    </row>
    <row r="78" spans="3:15" ht="15" hidden="1" customHeight="1" x14ac:dyDescent="0.25">
      <c r="C78" s="193" t="s">
        <v>38</v>
      </c>
      <c r="D78" s="193"/>
      <c r="E78" s="193"/>
      <c r="F78" s="193"/>
      <c r="G78" s="13"/>
      <c r="H78" s="37"/>
      <c r="I78" s="37"/>
      <c r="J78" s="14">
        <f>IF($N$3="","",IFERROR(VLOOKUP($N$3,Empleador[],19,FALSE()),""))</f>
        <v>424.62</v>
      </c>
    </row>
    <row r="79" spans="3:15" ht="18" hidden="1" customHeight="1" x14ac:dyDescent="0.25">
      <c r="C79" s="193" t="s">
        <v>39</v>
      </c>
      <c r="D79" s="193"/>
      <c r="E79" s="193"/>
      <c r="F79" s="193"/>
      <c r="G79" s="13">
        <v>1.4999999999999999E-2</v>
      </c>
      <c r="H79" s="37"/>
      <c r="I79" s="37"/>
      <c r="J79" s="14">
        <f>G67*$G$79</f>
        <v>26862.494306495999</v>
      </c>
    </row>
    <row r="80" spans="3:15" ht="15" hidden="1" customHeight="1" x14ac:dyDescent="0.25">
      <c r="C80" s="193" t="s">
        <v>40</v>
      </c>
      <c r="D80" s="193"/>
      <c r="E80" s="193"/>
      <c r="F80" s="193"/>
      <c r="G80" s="13">
        <v>5.0000000000000001E-3</v>
      </c>
      <c r="H80" s="37"/>
      <c r="I80" s="37"/>
      <c r="J80" s="14">
        <f>G67*$G$80</f>
        <v>8954.1647688320008</v>
      </c>
    </row>
    <row r="81" spans="3:10" ht="15.75" hidden="1" customHeight="1" thickBot="1" x14ac:dyDescent="0.3">
      <c r="C81" s="193" t="s">
        <v>41</v>
      </c>
      <c r="D81" s="193"/>
      <c r="E81" s="193"/>
      <c r="F81" s="193"/>
      <c r="G81" s="13">
        <v>4.7500000000000001E-2</v>
      </c>
      <c r="H81" s="37"/>
      <c r="I81" s="37"/>
      <c r="J81" s="14">
        <f>G67*$G$81</f>
        <v>85064.565303904004</v>
      </c>
    </row>
    <row r="82" spans="3:10" ht="15" hidden="1" customHeight="1" thickBot="1" x14ac:dyDescent="0.3">
      <c r="C82" s="199" t="s">
        <v>42</v>
      </c>
      <c r="D82" s="199"/>
      <c r="E82" s="199"/>
      <c r="F82" s="199"/>
      <c r="G82" s="199"/>
      <c r="H82" s="199"/>
      <c r="I82" s="40"/>
      <c r="J82" s="15">
        <f>SUM(J75:J81)</f>
        <v>765289.36691922043</v>
      </c>
    </row>
    <row r="83" spans="3:10" ht="15.75" hidden="1" customHeight="1" thickTop="1" thickBot="1" x14ac:dyDescent="0.3">
      <c r="C83" s="201" t="s">
        <v>43</v>
      </c>
      <c r="D83" s="201"/>
      <c r="E83" s="201"/>
      <c r="F83" s="201"/>
      <c r="G83" s="201"/>
      <c r="H83" s="201"/>
      <c r="I83" s="39"/>
      <c r="J83" s="16">
        <f>G67+J82</f>
        <v>2556122.3206856204</v>
      </c>
    </row>
    <row r="85" spans="3:10" ht="15" customHeight="1" x14ac:dyDescent="0.25"/>
    <row r="86" spans="3:10" ht="15" customHeight="1" x14ac:dyDescent="0.25"/>
    <row r="87" spans="3:10" ht="15" customHeight="1" x14ac:dyDescent="0.25">
      <c r="C87" s="202" t="s">
        <v>44</v>
      </c>
      <c r="D87" s="202"/>
      <c r="E87" s="202"/>
      <c r="H87" s="202" t="s">
        <v>44</v>
      </c>
      <c r="I87" s="202"/>
      <c r="J87" s="202"/>
    </row>
    <row r="88" spans="3:10" ht="15" customHeight="1" x14ac:dyDescent="0.25">
      <c r="C88" s="203" t="s">
        <v>45</v>
      </c>
      <c r="D88" s="203"/>
      <c r="E88" s="203"/>
      <c r="H88" s="203" t="s">
        <v>310</v>
      </c>
      <c r="I88" s="203"/>
      <c r="J88" s="203"/>
    </row>
    <row r="89" spans="3:10" ht="18" customHeight="1" x14ac:dyDescent="0.25">
      <c r="C89" s="200" t="str">
        <f>IF($G$8="","Recibí conforme — DNI ____________","Recibí conforme — DNI " &amp; TEXT(MID(TEXT($G$8,"00000000000"),3,8)*1,"##.###.###"))</f>
        <v>Recibí conforme — DNI 28.377.232</v>
      </c>
      <c r="D89" s="200"/>
      <c r="E89" s="200"/>
      <c r="H89" s="200"/>
      <c r="I89" s="200"/>
      <c r="J89" s="200"/>
    </row>
    <row r="90" spans="3:10" ht="13.5" customHeight="1" x14ac:dyDescent="0.25"/>
    <row r="91" spans="3:10" ht="13.5" customHeight="1" x14ac:dyDescent="0.25"/>
    <row r="92" spans="3:10" ht="13.5" customHeight="1" x14ac:dyDescent="0.25"/>
    <row r="93" spans="3:10" ht="13.5" customHeight="1" x14ac:dyDescent="0.25"/>
    <row r="94" spans="3:10" ht="13.5" customHeight="1" x14ac:dyDescent="0.25"/>
    <row r="95" spans="3:10" ht="13.5" customHeight="1" x14ac:dyDescent="0.25"/>
    <row r="96" spans="3:10" ht="15" customHeight="1" x14ac:dyDescent="0.25"/>
    <row r="97" ht="15" customHeight="1" x14ac:dyDescent="0.25"/>
  </sheetData>
  <sortState xmlns:xlrd2="http://schemas.microsoft.com/office/spreadsheetml/2017/richdata2" ref="K9:M27">
    <sortCondition ref="K9"/>
  </sortState>
  <mergeCells count="49">
    <mergeCell ref="C89:E89"/>
    <mergeCell ref="H89:J89"/>
    <mergeCell ref="C83:H83"/>
    <mergeCell ref="C87:E87"/>
    <mergeCell ref="H87:J87"/>
    <mergeCell ref="C88:E88"/>
    <mergeCell ref="H88:J88"/>
    <mergeCell ref="C80:F80"/>
    <mergeCell ref="C81:F81"/>
    <mergeCell ref="C82:H82"/>
    <mergeCell ref="C77:F77"/>
    <mergeCell ref="C78:F78"/>
    <mergeCell ref="C79:F79"/>
    <mergeCell ref="C74:F74"/>
    <mergeCell ref="C75:F75"/>
    <mergeCell ref="C76:F76"/>
    <mergeCell ref="C69:G70"/>
    <mergeCell ref="H69:J69"/>
    <mergeCell ref="H70:J70"/>
    <mergeCell ref="C72:J72"/>
    <mergeCell ref="C73:J73"/>
    <mergeCell ref="I67:J67"/>
    <mergeCell ref="I66:J66"/>
    <mergeCell ref="C15:J15"/>
    <mergeCell ref="C16:E16"/>
    <mergeCell ref="C22:E22"/>
    <mergeCell ref="C67:D67"/>
    <mergeCell ref="E67:F67"/>
    <mergeCell ref="C66:D66"/>
    <mergeCell ref="E66:F66"/>
    <mergeCell ref="G66:H66"/>
    <mergeCell ref="G67:H67"/>
    <mergeCell ref="E10:F10"/>
    <mergeCell ref="C11:G11"/>
    <mergeCell ref="E12:G12"/>
    <mergeCell ref="E13:G13"/>
    <mergeCell ref="D8:F8"/>
    <mergeCell ref="E9:F9"/>
    <mergeCell ref="G8:H8"/>
    <mergeCell ref="H9:I9"/>
    <mergeCell ref="H10:I10"/>
    <mergeCell ref="I8:J8"/>
    <mergeCell ref="B2:K2"/>
    <mergeCell ref="D7:F7"/>
    <mergeCell ref="F5:H5"/>
    <mergeCell ref="I7:J7"/>
    <mergeCell ref="G7:H7"/>
    <mergeCell ref="I4:J4"/>
    <mergeCell ref="I5:J5"/>
  </mergeCells>
  <dataValidations disablePrompts="1" count="2">
    <dataValidation type="list" allowBlank="1" promptTitle="CUIL Empleado" prompt="Seleccioná el CUIL del empleado (filtrado por CUIT)" sqref="G8" xr:uid="{00000000-0002-0000-0000-000000000000}">
      <formula1>CUILs_Filtrados</formula1>
      <formula2>0</formula2>
    </dataValidation>
    <dataValidation type="list" allowBlank="1" promptTitle="CUIT Empleador" prompt="Seleccioná el CUIT del consorcio" sqref="N3" xr:uid="{00000000-0002-0000-0000-000001000000}">
      <formula1>INDIRECT("Empleador[CUIT]")</formula1>
      <formula2>0</formula2>
    </dataValidation>
  </dataValidations>
  <printOptions horizontalCentered="1"/>
  <pageMargins left="0.4" right="0.4" top="0.4" bottom="0.4" header="0.511811023622047" footer="0.511811023622047"/>
  <pageSetup paperSize="9" scale="85" fitToHeight="0" orientation="portrait" horizontalDpi="300" verticalDpi="300"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7BDE237-311F-4F4A-8575-AFE390F97079}">
          <x14:formula1>
            <xm:f>Empleador!$B$2:$B$16</xm:f>
          </x14:formula1>
          <xm:sqref>O5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B2D9E-0183-4317-BD90-4FD0388EE3E3}">
  <sheetPr codeName="Hoja19"/>
  <dimension ref="A1:BA109"/>
  <sheetViews>
    <sheetView workbookViewId="0">
      <pane xSplit="3" ySplit="42" topLeftCell="F87" activePane="bottomRight" state="frozen"/>
      <selection pane="topRight" activeCell="D1" sqref="D1"/>
      <selection pane="bottomLeft" activeCell="A43" sqref="A43"/>
      <selection pane="bottomRight" activeCell="C81" sqref="C81:C99"/>
    </sheetView>
  </sheetViews>
  <sheetFormatPr baseColWidth="10" defaultRowHeight="15" x14ac:dyDescent="0.25"/>
  <cols>
    <col min="1" max="1" width="79.7109375" bestFit="1" customWidth="1"/>
    <col min="2" max="2" width="13.42578125" customWidth="1"/>
    <col min="3" max="3" width="31" bestFit="1" customWidth="1"/>
    <col min="4" max="4" width="11.140625" customWidth="1"/>
    <col min="5" max="5" width="36.140625" bestFit="1" customWidth="1"/>
    <col min="6" max="7" width="15.28515625" customWidth="1"/>
    <col min="8" max="8" width="55.85546875" customWidth="1"/>
    <col min="9" max="9" width="50.140625" customWidth="1"/>
    <col min="10" max="10" width="15.85546875" customWidth="1"/>
    <col min="11" max="11" width="78.5703125" bestFit="1" customWidth="1"/>
    <col min="12" max="12" width="41" customWidth="1"/>
    <col min="13" max="13" width="25.7109375" customWidth="1"/>
    <col min="14" max="14" width="46" customWidth="1"/>
    <col min="15" max="15" width="12.5703125" customWidth="1"/>
    <col min="16" max="16" width="23.7109375" customWidth="1"/>
    <col min="17" max="17" width="37.42578125" customWidth="1"/>
    <col min="18" max="18" width="47.5703125" customWidth="1"/>
    <col min="19" max="19" width="21" customWidth="1"/>
    <col min="20" max="20" width="20" customWidth="1"/>
    <col min="21" max="22" width="21" customWidth="1"/>
    <col min="23" max="25" width="22.85546875" customWidth="1"/>
    <col min="26" max="26" width="16.42578125" customWidth="1"/>
    <col min="27" max="27" width="18.85546875" customWidth="1"/>
    <col min="28" max="28" width="33.42578125" customWidth="1"/>
    <col min="29" max="29" width="12" customWidth="1"/>
    <col min="30" max="30" width="11.5703125" customWidth="1"/>
    <col min="31" max="31" width="13" customWidth="1"/>
    <col min="32" max="32" width="31.42578125" customWidth="1"/>
    <col min="33" max="33" width="10" customWidth="1"/>
    <col min="34" max="34" width="15.7109375" customWidth="1"/>
    <col min="35" max="35" width="11" customWidth="1"/>
    <col min="36" max="36" width="37" customWidth="1"/>
    <col min="37" max="38" width="15.85546875" customWidth="1"/>
    <col min="39" max="39" width="12.28515625" customWidth="1"/>
    <col min="40" max="41" width="19.5703125" customWidth="1"/>
    <col min="42" max="42" width="23.28515625" customWidth="1"/>
    <col min="43" max="43" width="18.28515625" customWidth="1"/>
    <col min="44" max="44" width="15.5703125" customWidth="1"/>
    <col min="45" max="45" width="28" bestFit="1" customWidth="1"/>
    <col min="46" max="46" width="14" bestFit="1" customWidth="1"/>
    <col min="47" max="47" width="11.85546875" bestFit="1" customWidth="1"/>
    <col min="48" max="48" width="8.5703125" bestFit="1" customWidth="1"/>
    <col min="49" max="49" width="14.140625" bestFit="1" customWidth="1"/>
    <col min="50" max="50" width="28.28515625" bestFit="1" customWidth="1"/>
    <col min="51" max="51" width="16.28515625" bestFit="1" customWidth="1"/>
    <col min="52" max="52" width="21.28515625" bestFit="1" customWidth="1"/>
    <col min="53" max="53" width="26.7109375" bestFit="1" customWidth="1"/>
  </cols>
  <sheetData>
    <row r="1" spans="1:53" ht="15" customHeight="1" x14ac:dyDescent="0.25">
      <c r="A1" s="54" t="s">
        <v>280</v>
      </c>
      <c r="B1" s="54" t="s">
        <v>4</v>
      </c>
      <c r="C1" s="54" t="s">
        <v>3</v>
      </c>
      <c r="D1" s="55" t="s">
        <v>281</v>
      </c>
      <c r="E1" s="56" t="s">
        <v>304</v>
      </c>
      <c r="F1" s="56" t="s">
        <v>319</v>
      </c>
      <c r="G1" s="56" t="s">
        <v>331</v>
      </c>
      <c r="H1" s="56" t="s">
        <v>178</v>
      </c>
      <c r="I1" s="56" t="s">
        <v>179</v>
      </c>
      <c r="J1" s="56" t="s">
        <v>181</v>
      </c>
      <c r="K1" s="56" t="s">
        <v>69</v>
      </c>
      <c r="L1" s="56" t="s">
        <v>70</v>
      </c>
      <c r="M1" s="56" t="s">
        <v>71</v>
      </c>
      <c r="N1" s="56" t="s">
        <v>185</v>
      </c>
      <c r="O1" s="56" t="s">
        <v>73</v>
      </c>
      <c r="P1" s="56" t="s">
        <v>74</v>
      </c>
      <c r="Q1" s="56" t="s">
        <v>76</v>
      </c>
      <c r="R1" s="56" t="s">
        <v>77</v>
      </c>
      <c r="S1" s="56" t="s">
        <v>19</v>
      </c>
      <c r="T1" s="56" t="s">
        <v>311</v>
      </c>
      <c r="U1" s="56" t="s">
        <v>312</v>
      </c>
      <c r="V1" s="56" t="s">
        <v>321</v>
      </c>
      <c r="W1" s="56" t="s">
        <v>313</v>
      </c>
      <c r="X1" s="56" t="s">
        <v>323</v>
      </c>
      <c r="Y1" s="56" t="s">
        <v>322</v>
      </c>
      <c r="Z1" s="56" t="s">
        <v>317</v>
      </c>
      <c r="AA1" s="56" t="s">
        <v>62</v>
      </c>
      <c r="AB1" s="56" t="s">
        <v>192</v>
      </c>
      <c r="AC1" s="56" t="s">
        <v>20</v>
      </c>
      <c r="AD1" s="56" t="s">
        <v>21</v>
      </c>
      <c r="AE1" s="56" t="s">
        <v>22</v>
      </c>
      <c r="AF1" s="56" t="s">
        <v>23</v>
      </c>
      <c r="AG1" s="56" t="s">
        <v>24</v>
      </c>
      <c r="AH1" s="56" t="s">
        <v>25</v>
      </c>
      <c r="AI1" s="56" t="s">
        <v>26</v>
      </c>
      <c r="AJ1" s="56" t="s">
        <v>27</v>
      </c>
      <c r="AK1" s="56" t="s">
        <v>309</v>
      </c>
      <c r="AL1" s="56" t="s">
        <v>320</v>
      </c>
      <c r="AM1" s="56" t="s">
        <v>301</v>
      </c>
      <c r="AN1" s="56" t="s">
        <v>28</v>
      </c>
      <c r="AO1" s="56" t="s">
        <v>29</v>
      </c>
      <c r="AP1" s="56" t="s">
        <v>30</v>
      </c>
      <c r="AQ1" s="56" t="s">
        <v>31</v>
      </c>
      <c r="AR1" s="56" t="s">
        <v>302</v>
      </c>
      <c r="AS1" s="56" t="s">
        <v>343</v>
      </c>
      <c r="AT1" s="56" t="s">
        <v>411</v>
      </c>
      <c r="AU1" s="56" t="s">
        <v>412</v>
      </c>
      <c r="AV1" s="56" t="s">
        <v>341</v>
      </c>
      <c r="AW1" s="56" t="s">
        <v>340</v>
      </c>
      <c r="AX1" s="56" t="s">
        <v>339</v>
      </c>
      <c r="AY1" s="56" t="s">
        <v>336</v>
      </c>
      <c r="AZ1" s="56" t="s">
        <v>337</v>
      </c>
      <c r="BA1" s="56" t="s">
        <v>338</v>
      </c>
    </row>
    <row r="2" spans="1:53" s="57" customFormat="1" x14ac:dyDescent="0.25">
      <c r="A2" s="61" t="str">
        <f>+Recibo!C3</f>
        <v>CONS PROP SGO DEL ESTERO 336 46 CAP FED</v>
      </c>
      <c r="B2" s="54">
        <f>+Recibo!G8</f>
        <v>20283772323</v>
      </c>
      <c r="C2" s="61" t="str">
        <f>+Recibo!D8</f>
        <v>RIOS LUIS ALBERTO</v>
      </c>
      <c r="D2" s="62">
        <f>+Recibo!I8</f>
        <v>46113</v>
      </c>
      <c r="E2" s="61" t="str">
        <f>+Recibo!H10</f>
        <v>Encargado Permanente con vivienda</v>
      </c>
      <c r="F2" s="61">
        <f>+Recibo!J10</f>
        <v>957382</v>
      </c>
      <c r="G2" s="63" t="str">
        <f>+Recibo!H18</f>
        <v/>
      </c>
      <c r="H2" s="63">
        <f>+Recibo!H19</f>
        <v>146955.80000000002</v>
      </c>
      <c r="I2" s="63">
        <f>+Recibo!H20</f>
        <v>55107.423999999999</v>
      </c>
      <c r="J2" s="63">
        <f>+Recibo!H21</f>
        <v>6833.8</v>
      </c>
      <c r="K2" s="63" t="str">
        <f>+Recibo!H22</f>
        <v/>
      </c>
      <c r="L2" s="63">
        <f>+Recibo!H23</f>
        <v>343393.19999999995</v>
      </c>
      <c r="M2" s="63" t="str">
        <f>+Recibo!H24</f>
        <v/>
      </c>
      <c r="N2" s="63" t="str">
        <f>+Recibo!H25</f>
        <v/>
      </c>
      <c r="O2" s="63" t="str">
        <f>+Recibo!H26</f>
        <v/>
      </c>
      <c r="P2" s="63" t="str">
        <f>+Recibo!H27</f>
        <v/>
      </c>
      <c r="Q2" s="63" t="str">
        <f>+Recibo!H28</f>
        <v/>
      </c>
      <c r="R2" s="63" t="str">
        <f>+Recibo!H29</f>
        <v/>
      </c>
      <c r="S2" s="63">
        <f>+Recibo!H30</f>
        <v>0</v>
      </c>
      <c r="T2" s="63" t="str">
        <f>+Recibo!H32</f>
        <v/>
      </c>
      <c r="U2" s="63">
        <f>+Recibo!H33</f>
        <v>181160.66687999998</v>
      </c>
      <c r="V2" s="63" t="str">
        <f>IFERROR(U2+T2,"")</f>
        <v/>
      </c>
      <c r="W2" s="63" t="str">
        <f>+Recibo!H34</f>
        <v/>
      </c>
      <c r="X2" s="63" t="str">
        <f>+Recibo!H37</f>
        <v/>
      </c>
      <c r="Y2" s="63" t="str">
        <f>+Recibo!H36</f>
        <v/>
      </c>
      <c r="Z2" s="63" t="str">
        <f>+Recibo!H38</f>
        <v/>
      </c>
      <c r="AA2" s="63" t="str">
        <f>+Recibo!H31</f>
        <v/>
      </c>
      <c r="AB2" s="63">
        <f>+Recibo!H35</f>
        <v>100000</v>
      </c>
      <c r="AC2" s="63">
        <f>+Recibo!J52</f>
        <v>196991.61799679999</v>
      </c>
      <c r="AD2" s="63">
        <f>+Recibo!J53</f>
        <v>53724.986726399991</v>
      </c>
      <c r="AE2" s="63">
        <f>+Recibo!J54</f>
        <v>53724.986726399991</v>
      </c>
      <c r="AF2" s="63">
        <f>+Recibo!J55</f>
        <v>0</v>
      </c>
      <c r="AG2" s="63">
        <f>+Recibo!J56</f>
        <v>35816.657817599997</v>
      </c>
      <c r="AH2" s="63">
        <f>+Recibo!J57</f>
        <v>17908.328908799998</v>
      </c>
      <c r="AI2" s="63">
        <f>+Recibo!J58</f>
        <v>17908.328908799998</v>
      </c>
      <c r="AJ2" s="63">
        <f>+Recibo!J59</f>
        <v>13431.246681599998</v>
      </c>
      <c r="AK2" s="63">
        <f>+Recibo!J60</f>
        <v>6833.8</v>
      </c>
      <c r="AL2" s="63" t="str">
        <f>+Recibo!J61</f>
        <v/>
      </c>
      <c r="AM2" s="63">
        <f>+Recibo!I64</f>
        <v>6.2886400148272514E-2</v>
      </c>
      <c r="AN2" s="64">
        <f>+Recibo!C67</f>
        <v>1790832.8908799998</v>
      </c>
      <c r="AO2" s="64">
        <f>+Recibo!E67</f>
        <v>6.2886400148272514E-2</v>
      </c>
      <c r="AP2" s="64">
        <f>+Recibo!G67</f>
        <v>1790832.9537664</v>
      </c>
      <c r="AQ2" s="64">
        <f>+Recibo!I67</f>
        <v>396339.95376639988</v>
      </c>
      <c r="AR2" s="64">
        <f>+Recibo!H70</f>
        <v>1394493</v>
      </c>
      <c r="AS2" s="63" t="str">
        <f>+Recibo!H39</f>
        <v/>
      </c>
      <c r="AT2" s="63">
        <f>+Recibo!H40</f>
        <v>0</v>
      </c>
      <c r="AU2" s="63" t="str">
        <f>+Recibo!H41</f>
        <v/>
      </c>
      <c r="AV2" s="63">
        <f>+Recibo!I42</f>
        <v>0</v>
      </c>
      <c r="AW2" s="63">
        <f>+Recibo!I43</f>
        <v>0</v>
      </c>
      <c r="AX2" s="63">
        <f>+Recibo!I44</f>
        <v>0</v>
      </c>
      <c r="AY2" s="63" t="str">
        <f>+Recibo!H45</f>
        <v/>
      </c>
      <c r="AZ2" s="63">
        <f>+Recibo!I46</f>
        <v>0</v>
      </c>
      <c r="BA2" s="63">
        <f>+Recibo!I47</f>
        <v>0</v>
      </c>
    </row>
    <row r="3" spans="1:53" x14ac:dyDescent="0.25">
      <c r="B3" s="17"/>
    </row>
    <row r="4" spans="1:53" x14ac:dyDescent="0.25">
      <c r="A4" s="58" t="s">
        <v>280</v>
      </c>
      <c r="B4" s="58" t="s">
        <v>4</v>
      </c>
      <c r="C4" s="58" t="s">
        <v>3</v>
      </c>
      <c r="D4" s="59" t="s">
        <v>281</v>
      </c>
      <c r="E4" s="60" t="s">
        <v>304</v>
      </c>
      <c r="F4" s="60" t="s">
        <v>319</v>
      </c>
      <c r="G4" s="60" t="s">
        <v>330</v>
      </c>
      <c r="H4" s="60" t="s">
        <v>178</v>
      </c>
      <c r="I4" s="60" t="s">
        <v>179</v>
      </c>
      <c r="J4" s="60" t="s">
        <v>181</v>
      </c>
      <c r="K4" s="60" t="s">
        <v>69</v>
      </c>
      <c r="L4" s="60" t="s">
        <v>70</v>
      </c>
      <c r="M4" s="60" t="s">
        <v>71</v>
      </c>
      <c r="N4" s="60" t="s">
        <v>185</v>
      </c>
      <c r="O4" s="60" t="s">
        <v>73</v>
      </c>
      <c r="P4" s="60" t="s">
        <v>74</v>
      </c>
      <c r="Q4" s="60" t="s">
        <v>76</v>
      </c>
      <c r="R4" s="60" t="s">
        <v>77</v>
      </c>
      <c r="S4" s="60" t="s">
        <v>19</v>
      </c>
      <c r="T4" s="60" t="s">
        <v>311</v>
      </c>
      <c r="U4" s="60" t="s">
        <v>312</v>
      </c>
      <c r="V4" s="56" t="s">
        <v>321</v>
      </c>
      <c r="W4" s="60" t="s">
        <v>313</v>
      </c>
      <c r="X4" s="60" t="s">
        <v>335</v>
      </c>
      <c r="Y4" s="60" t="s">
        <v>334</v>
      </c>
      <c r="Z4" s="60" t="s">
        <v>317</v>
      </c>
      <c r="AA4" s="60" t="s">
        <v>62</v>
      </c>
      <c r="AB4" s="60" t="s">
        <v>192</v>
      </c>
      <c r="AC4" s="60" t="s">
        <v>20</v>
      </c>
      <c r="AD4" s="60" t="s">
        <v>21</v>
      </c>
      <c r="AE4" s="60" t="s">
        <v>22</v>
      </c>
      <c r="AF4" s="60" t="s">
        <v>23</v>
      </c>
      <c r="AG4" s="60" t="s">
        <v>24</v>
      </c>
      <c r="AH4" s="60" t="s">
        <v>25</v>
      </c>
      <c r="AI4" s="60" t="s">
        <v>26</v>
      </c>
      <c r="AJ4" s="60" t="s">
        <v>27</v>
      </c>
      <c r="AK4" s="60" t="s">
        <v>309</v>
      </c>
      <c r="AL4" s="56" t="s">
        <v>320</v>
      </c>
      <c r="AM4" s="60" t="s">
        <v>301</v>
      </c>
      <c r="AN4" s="60" t="s">
        <v>28</v>
      </c>
      <c r="AO4" s="60" t="s">
        <v>29</v>
      </c>
      <c r="AP4" s="60" t="s">
        <v>30</v>
      </c>
      <c r="AQ4" s="60" t="s">
        <v>31</v>
      </c>
      <c r="AR4" s="60" t="s">
        <v>302</v>
      </c>
      <c r="AS4" s="60" t="s">
        <v>343</v>
      </c>
      <c r="AT4" s="60" t="s">
        <v>411</v>
      </c>
      <c r="AU4" s="60" t="s">
        <v>412</v>
      </c>
      <c r="AV4" s="60" t="s">
        <v>341</v>
      </c>
      <c r="AW4" s="60" t="s">
        <v>340</v>
      </c>
      <c r="AX4" s="60" t="s">
        <v>339</v>
      </c>
      <c r="AY4" s="60" t="s">
        <v>336</v>
      </c>
      <c r="AZ4" s="60" t="s">
        <v>337</v>
      </c>
      <c r="BA4" s="60" t="s">
        <v>338</v>
      </c>
    </row>
    <row r="5" spans="1:53" hidden="1" x14ac:dyDescent="0.25">
      <c r="A5" s="17" t="s">
        <v>144</v>
      </c>
      <c r="B5" s="17">
        <v>20283772323</v>
      </c>
      <c r="C5" s="17" t="s">
        <v>78</v>
      </c>
      <c r="D5" s="73">
        <v>46023</v>
      </c>
      <c r="E5" t="s">
        <v>80</v>
      </c>
      <c r="F5" s="57">
        <v>885351</v>
      </c>
      <c r="G5" s="57"/>
      <c r="H5" s="57">
        <v>136354</v>
      </c>
      <c r="I5" s="57">
        <v>47564.45</v>
      </c>
      <c r="J5" s="57">
        <v>6340.8</v>
      </c>
      <c r="K5" s="57"/>
      <c r="L5" s="57">
        <v>318612.30000000005</v>
      </c>
      <c r="M5" s="57"/>
      <c r="N5" s="57"/>
      <c r="O5" s="57"/>
      <c r="P5" s="57"/>
      <c r="Q5" s="57"/>
      <c r="R5" s="57"/>
      <c r="S5" s="57">
        <v>0</v>
      </c>
      <c r="T5" s="57"/>
      <c r="U5" s="57">
        <v>111537.804</v>
      </c>
      <c r="V5" s="57"/>
      <c r="W5" s="57"/>
      <c r="X5" s="57"/>
      <c r="Y5" s="57"/>
      <c r="Z5" s="57"/>
      <c r="AA5" s="57"/>
      <c r="AB5" s="57">
        <v>120000</v>
      </c>
      <c r="AC5" s="57">
        <v>178833.63894</v>
      </c>
      <c r="AD5" s="57">
        <v>48772.810619999997</v>
      </c>
      <c r="AE5" s="57">
        <v>48772.810619999997</v>
      </c>
      <c r="AF5" s="57">
        <v>0</v>
      </c>
      <c r="AG5" s="57">
        <v>32515.20708</v>
      </c>
      <c r="AH5" s="57">
        <v>16257.60354</v>
      </c>
      <c r="AI5" s="57">
        <v>16257.60354</v>
      </c>
      <c r="AJ5" s="57">
        <v>12193.202654999999</v>
      </c>
      <c r="AK5" s="57">
        <v>6340.8</v>
      </c>
      <c r="AL5" s="57"/>
      <c r="AM5" s="57">
        <v>0.53007499990053475</v>
      </c>
      <c r="AN5" s="158">
        <v>1625760.35</v>
      </c>
      <c r="AO5" s="158">
        <v>0.53</v>
      </c>
      <c r="AP5" s="158">
        <v>1625760.88</v>
      </c>
      <c r="AQ5" s="158">
        <v>392458.88</v>
      </c>
      <c r="AR5" s="158">
        <v>1233302</v>
      </c>
      <c r="AS5" s="57"/>
      <c r="AT5" s="57"/>
      <c r="AU5" s="57"/>
      <c r="AV5" s="57"/>
      <c r="AW5" s="57"/>
      <c r="AX5" s="57"/>
      <c r="AY5" s="57"/>
      <c r="AZ5" s="57"/>
      <c r="BA5" s="57"/>
    </row>
    <row r="6" spans="1:53" hidden="1" x14ac:dyDescent="0.25">
      <c r="A6" s="17" t="s">
        <v>144</v>
      </c>
      <c r="B6" s="17">
        <v>20338776390</v>
      </c>
      <c r="C6" s="17" t="s">
        <v>85</v>
      </c>
      <c r="D6" s="73">
        <v>46023</v>
      </c>
      <c r="E6" t="s">
        <v>86</v>
      </c>
      <c r="F6" s="57">
        <v>515401</v>
      </c>
      <c r="G6" s="57"/>
      <c r="H6" s="57"/>
      <c r="I6" s="57"/>
      <c r="J6" s="57"/>
      <c r="K6" s="57"/>
      <c r="L6" s="57">
        <v>0</v>
      </c>
      <c r="M6" s="57"/>
      <c r="N6" s="57"/>
      <c r="O6" s="57"/>
      <c r="P6" s="57"/>
      <c r="Q6" s="57"/>
      <c r="R6" s="57"/>
      <c r="S6" s="57">
        <v>0</v>
      </c>
      <c r="T6" s="57"/>
      <c r="U6" s="57">
        <v>82464.160000000003</v>
      </c>
      <c r="V6" s="57"/>
      <c r="W6" s="57"/>
      <c r="X6" s="57"/>
      <c r="Y6" s="57"/>
      <c r="Z6" s="57"/>
      <c r="AA6" s="57">
        <v>65596.5</v>
      </c>
      <c r="AB6" s="57">
        <v>60000</v>
      </c>
      <c r="AC6" s="57">
        <v>79580.782600000006</v>
      </c>
      <c r="AD6" s="57">
        <v>21703.8498</v>
      </c>
      <c r="AE6" s="57">
        <v>21703.8498</v>
      </c>
      <c r="AF6" s="57">
        <v>9220.2101999999977</v>
      </c>
      <c r="AG6" s="57">
        <v>14469.233200000001</v>
      </c>
      <c r="AH6" s="57">
        <v>7234.6166000000003</v>
      </c>
      <c r="AI6" s="57">
        <v>7234.6166000000003</v>
      </c>
      <c r="AJ6" s="57">
        <v>5425.96245</v>
      </c>
      <c r="AK6" s="57"/>
      <c r="AL6" s="57"/>
      <c r="AM6" s="57">
        <v>0.69444999995175749</v>
      </c>
      <c r="AN6" s="158">
        <v>723461.66</v>
      </c>
      <c r="AO6" s="158">
        <v>0.69</v>
      </c>
      <c r="AP6" s="158">
        <v>723462.35</v>
      </c>
      <c r="AQ6" s="158">
        <v>181042.35</v>
      </c>
      <c r="AR6" s="158">
        <v>542420</v>
      </c>
      <c r="AS6" s="57"/>
      <c r="AT6" s="57"/>
      <c r="AU6" s="57"/>
      <c r="AV6" s="57"/>
      <c r="AW6" s="57"/>
      <c r="AX6" s="57"/>
      <c r="AY6" s="57"/>
      <c r="AZ6" s="57"/>
      <c r="BA6" s="57"/>
    </row>
    <row r="7" spans="1:53" hidden="1" x14ac:dyDescent="0.25">
      <c r="A7" s="17" t="s">
        <v>147</v>
      </c>
      <c r="B7" s="17">
        <v>20360647774</v>
      </c>
      <c r="C7" s="17" t="s">
        <v>89</v>
      </c>
      <c r="D7" s="73">
        <v>46023</v>
      </c>
      <c r="E7" t="s">
        <v>90</v>
      </c>
      <c r="F7" s="57">
        <v>517465</v>
      </c>
      <c r="G7" s="57"/>
      <c r="H7" s="57">
        <v>13808</v>
      </c>
      <c r="I7" s="57">
        <v>29727.8</v>
      </c>
      <c r="J7" s="57"/>
      <c r="K7" s="57"/>
      <c r="L7" s="57">
        <v>224902.80000000002</v>
      </c>
      <c r="M7" s="57"/>
      <c r="N7" s="57"/>
      <c r="O7" s="57"/>
      <c r="P7" s="57"/>
      <c r="Q7" s="57"/>
      <c r="R7" s="57"/>
      <c r="S7" s="57">
        <v>0</v>
      </c>
      <c r="T7" s="57"/>
      <c r="U7" s="57"/>
      <c r="V7" s="57"/>
      <c r="W7" s="57"/>
      <c r="X7" s="57"/>
      <c r="Y7" s="57"/>
      <c r="Z7" s="57">
        <v>62872.288</v>
      </c>
      <c r="AA7" s="57">
        <v>65596.5</v>
      </c>
      <c r="AB7" s="57">
        <v>60000</v>
      </c>
      <c r="AC7" s="57">
        <v>107180.96268000001</v>
      </c>
      <c r="AD7" s="57">
        <v>29231.17164</v>
      </c>
      <c r="AE7" s="57">
        <v>29231.17164</v>
      </c>
      <c r="AF7" s="57">
        <v>1692.8883599999972</v>
      </c>
      <c r="AG7" s="57">
        <v>19487.447760000003</v>
      </c>
      <c r="AH7" s="57">
        <v>9743.7238800000014</v>
      </c>
      <c r="AI7" s="57">
        <v>9743.7238800000014</v>
      </c>
      <c r="AJ7" s="57">
        <v>7307.7929100000001</v>
      </c>
      <c r="AK7" s="57"/>
      <c r="AL7" s="57"/>
      <c r="AM7" s="57">
        <v>0.94250999996438622</v>
      </c>
      <c r="AN7" s="158">
        <v>974372.39</v>
      </c>
      <c r="AO7" s="158">
        <v>0.94</v>
      </c>
      <c r="AP7" s="158">
        <v>974373.33</v>
      </c>
      <c r="AQ7" s="158">
        <v>233106.33</v>
      </c>
      <c r="AR7" s="158">
        <v>741267</v>
      </c>
      <c r="AS7" s="57"/>
      <c r="AT7" s="57"/>
      <c r="AU7" s="57"/>
      <c r="AV7" s="57"/>
      <c r="AW7" s="57"/>
      <c r="AX7" s="57"/>
      <c r="AY7" s="57"/>
      <c r="AZ7" s="57"/>
      <c r="BA7" s="57"/>
    </row>
    <row r="8" spans="1:53" hidden="1" x14ac:dyDescent="0.25">
      <c r="A8" s="17" t="s">
        <v>152</v>
      </c>
      <c r="B8" s="17">
        <v>20175464299</v>
      </c>
      <c r="C8" s="17" t="s">
        <v>93</v>
      </c>
      <c r="D8" s="73">
        <v>46023</v>
      </c>
      <c r="E8" t="s">
        <v>80</v>
      </c>
      <c r="F8" s="57">
        <v>965838</v>
      </c>
      <c r="G8" s="57"/>
      <c r="H8" s="57">
        <v>41424</v>
      </c>
      <c r="I8" s="57">
        <v>29727.8</v>
      </c>
      <c r="J8" s="57">
        <v>6340.8</v>
      </c>
      <c r="K8" s="57"/>
      <c r="L8" s="57">
        <v>337354.2</v>
      </c>
      <c r="M8" s="57"/>
      <c r="N8" s="57"/>
      <c r="O8" s="57"/>
      <c r="P8" s="57"/>
      <c r="Q8" s="57"/>
      <c r="R8" s="57"/>
      <c r="S8" s="57">
        <v>0</v>
      </c>
      <c r="T8" s="57"/>
      <c r="U8" s="57"/>
      <c r="V8" s="57"/>
      <c r="W8" s="57"/>
      <c r="X8" s="57"/>
      <c r="Y8" s="57"/>
      <c r="Z8" s="57"/>
      <c r="AA8" s="57"/>
      <c r="AB8" s="57">
        <v>120000</v>
      </c>
      <c r="AC8" s="57">
        <v>165075.32800000001</v>
      </c>
      <c r="AD8" s="57">
        <v>45020.544000000002</v>
      </c>
      <c r="AE8" s="57">
        <v>45020.544000000002</v>
      </c>
      <c r="AF8" s="57">
        <v>0</v>
      </c>
      <c r="AG8" s="57">
        <v>30013.696</v>
      </c>
      <c r="AH8" s="57">
        <v>15006.848</v>
      </c>
      <c r="AI8" s="57">
        <v>15006.848</v>
      </c>
      <c r="AJ8" s="57">
        <v>11255.136</v>
      </c>
      <c r="AK8" s="57">
        <v>6340.8</v>
      </c>
      <c r="AL8" s="57"/>
      <c r="AM8" s="57">
        <v>0.63999999989755452</v>
      </c>
      <c r="AN8" s="158">
        <v>1500684.8</v>
      </c>
      <c r="AO8" s="158">
        <v>0.64</v>
      </c>
      <c r="AP8" s="158">
        <v>1500685.44</v>
      </c>
      <c r="AQ8" s="158">
        <v>362753.44</v>
      </c>
      <c r="AR8" s="158">
        <v>1137932</v>
      </c>
      <c r="AS8" s="57"/>
      <c r="AT8" s="57"/>
      <c r="AU8" s="57"/>
      <c r="AV8" s="57"/>
      <c r="AW8" s="57"/>
      <c r="AX8" s="57"/>
      <c r="AY8" s="57"/>
      <c r="AZ8" s="57"/>
      <c r="BA8" s="57"/>
    </row>
    <row r="9" spans="1:53" hidden="1" x14ac:dyDescent="0.25">
      <c r="A9" s="17" t="s">
        <v>155</v>
      </c>
      <c r="B9" s="17">
        <v>23289923934</v>
      </c>
      <c r="C9" s="17" t="s">
        <v>96</v>
      </c>
      <c r="D9" s="73">
        <v>46023</v>
      </c>
      <c r="E9" t="s">
        <v>90</v>
      </c>
      <c r="F9" s="57">
        <v>517465</v>
      </c>
      <c r="G9" s="57"/>
      <c r="H9" s="57">
        <v>12082</v>
      </c>
      <c r="I9" s="57">
        <v>29727.8</v>
      </c>
      <c r="J9" s="57"/>
      <c r="K9" s="57"/>
      <c r="L9" s="57">
        <v>37483.800000000003</v>
      </c>
      <c r="M9" s="57"/>
      <c r="N9" s="57"/>
      <c r="O9" s="57"/>
      <c r="P9" s="57"/>
      <c r="Q9" s="57"/>
      <c r="R9" s="57"/>
      <c r="S9" s="57">
        <v>0</v>
      </c>
      <c r="T9" s="57"/>
      <c r="U9" s="57"/>
      <c r="V9" s="57"/>
      <c r="W9" s="57"/>
      <c r="X9" s="57"/>
      <c r="Y9" s="57"/>
      <c r="Z9" s="57"/>
      <c r="AA9" s="57">
        <v>65596.5</v>
      </c>
      <c r="AB9" s="57">
        <v>60000</v>
      </c>
      <c r="AC9" s="57">
        <v>79459.061000000016</v>
      </c>
      <c r="AD9" s="57">
        <v>21670.653000000002</v>
      </c>
      <c r="AE9" s="57">
        <v>21670.653000000002</v>
      </c>
      <c r="AF9" s="57">
        <v>10659.056999999997</v>
      </c>
      <c r="AG9" s="57">
        <v>14447.102000000003</v>
      </c>
      <c r="AH9" s="57">
        <v>7223.5510000000013</v>
      </c>
      <c r="AI9" s="57">
        <v>7223.5510000000013</v>
      </c>
      <c r="AJ9" s="57">
        <v>5417.6632500000005</v>
      </c>
      <c r="AK9" s="57"/>
      <c r="AL9" s="57"/>
      <c r="AM9" s="57">
        <v>0.29324999998789281</v>
      </c>
      <c r="AN9" s="158">
        <v>722355.1</v>
      </c>
      <c r="AO9" s="158">
        <v>0.28999999999999998</v>
      </c>
      <c r="AP9" s="158">
        <v>722355.39</v>
      </c>
      <c r="AQ9" s="158">
        <v>182218.39</v>
      </c>
      <c r="AR9" s="158">
        <v>540137</v>
      </c>
      <c r="AS9" s="57"/>
      <c r="AT9" s="57"/>
      <c r="AU9" s="57"/>
      <c r="AV9" s="57"/>
      <c r="AW9" s="57"/>
      <c r="AX9" s="57"/>
      <c r="AY9" s="57"/>
      <c r="AZ9" s="57"/>
      <c r="BA9" s="57"/>
    </row>
    <row r="10" spans="1:53" hidden="1" x14ac:dyDescent="0.25">
      <c r="A10" s="17" t="s">
        <v>155</v>
      </c>
      <c r="B10" s="17">
        <v>24269272801</v>
      </c>
      <c r="C10" s="17" t="s">
        <v>327</v>
      </c>
      <c r="D10" s="73">
        <v>46023</v>
      </c>
      <c r="E10" t="s">
        <v>98</v>
      </c>
      <c r="F10" s="57">
        <v>42120.2</v>
      </c>
      <c r="G10" s="57"/>
      <c r="H10" s="57"/>
      <c r="I10" s="57">
        <v>0</v>
      </c>
      <c r="J10" s="57">
        <v>0</v>
      </c>
      <c r="K10" s="57">
        <v>0</v>
      </c>
      <c r="L10" s="57" t="e">
        <v>#NUM!</v>
      </c>
      <c r="M10" s="57">
        <v>0</v>
      </c>
      <c r="N10" s="57">
        <v>0</v>
      </c>
      <c r="O10" s="57">
        <v>0</v>
      </c>
      <c r="P10" s="57">
        <v>0</v>
      </c>
      <c r="Q10" s="57">
        <v>0</v>
      </c>
      <c r="R10" s="57">
        <v>0</v>
      </c>
      <c r="S10" s="57">
        <v>0</v>
      </c>
      <c r="T10" s="57"/>
      <c r="U10" s="57"/>
      <c r="V10" s="57"/>
      <c r="W10" s="57"/>
      <c r="X10" s="57"/>
      <c r="Y10" s="57"/>
      <c r="Z10" s="57"/>
      <c r="AA10" s="57">
        <v>0</v>
      </c>
      <c r="AB10" s="57">
        <v>0</v>
      </c>
      <c r="AC10" s="57" t="e">
        <v>#NUM!</v>
      </c>
      <c r="AD10" s="57" t="e">
        <v>#NUM!</v>
      </c>
      <c r="AE10" s="57" t="e">
        <v>#NUM!</v>
      </c>
      <c r="AF10" s="57">
        <v>0</v>
      </c>
      <c r="AG10" s="57"/>
      <c r="AH10" s="57" t="e">
        <v>#NUM!</v>
      </c>
      <c r="AI10" s="57"/>
      <c r="AJ10" s="57" t="e">
        <v>#NUM!</v>
      </c>
      <c r="AK10" s="57">
        <v>0</v>
      </c>
      <c r="AL10" s="57"/>
      <c r="AM10" s="57" t="e">
        <v>#NUM!</v>
      </c>
      <c r="AN10" s="158" t="e">
        <v>#NUM!</v>
      </c>
      <c r="AO10" s="158" t="e">
        <v>#NUM!</v>
      </c>
      <c r="AP10" s="158" t="e">
        <v>#NUM!</v>
      </c>
      <c r="AQ10" s="158" t="e">
        <v>#NUM!</v>
      </c>
      <c r="AR10" s="158" t="e">
        <v>#NUM!</v>
      </c>
      <c r="AS10" s="57"/>
      <c r="AT10" s="57"/>
      <c r="AU10" s="57"/>
      <c r="AV10" s="57"/>
      <c r="AW10" s="57"/>
      <c r="AX10" s="57"/>
      <c r="AY10" s="57"/>
      <c r="AZ10" s="57"/>
      <c r="BA10" s="57"/>
    </row>
    <row r="11" spans="1:53" hidden="1" x14ac:dyDescent="0.25">
      <c r="A11" s="17" t="s">
        <v>158</v>
      </c>
      <c r="B11" s="17">
        <v>20204210749</v>
      </c>
      <c r="C11" s="17" t="s">
        <v>99</v>
      </c>
      <c r="D11" s="73">
        <v>46023</v>
      </c>
      <c r="E11" t="s">
        <v>80</v>
      </c>
      <c r="F11" s="57">
        <v>965838</v>
      </c>
      <c r="G11" s="57"/>
      <c r="H11" s="57">
        <v>31068</v>
      </c>
      <c r="I11" s="57">
        <v>29727.8</v>
      </c>
      <c r="J11" s="57">
        <v>6340.8</v>
      </c>
      <c r="K11" s="57"/>
      <c r="L11" s="57">
        <v>449805.60000000003</v>
      </c>
      <c r="M11" s="57"/>
      <c r="N11" s="57"/>
      <c r="O11" s="57"/>
      <c r="P11" s="57"/>
      <c r="Q11" s="57"/>
      <c r="R11" s="57"/>
      <c r="S11" s="57">
        <v>0</v>
      </c>
      <c r="T11" s="57"/>
      <c r="U11" s="57"/>
      <c r="V11" s="57"/>
      <c r="W11" s="57"/>
      <c r="X11" s="57"/>
      <c r="Y11" s="57"/>
      <c r="Z11" s="57"/>
      <c r="AA11" s="57"/>
      <c r="AB11" s="57">
        <v>120000</v>
      </c>
      <c r="AC11" s="57">
        <v>176305.82200000001</v>
      </c>
      <c r="AD11" s="57">
        <v>48083.406000000003</v>
      </c>
      <c r="AE11" s="57">
        <v>48083.406000000003</v>
      </c>
      <c r="AF11" s="57">
        <v>0</v>
      </c>
      <c r="AG11" s="57">
        <v>32055.604000000003</v>
      </c>
      <c r="AH11" s="57">
        <v>16027.802000000001</v>
      </c>
      <c r="AI11" s="57">
        <v>16027.802000000001</v>
      </c>
      <c r="AJ11" s="57">
        <v>12020.851500000001</v>
      </c>
      <c r="AK11" s="57">
        <v>6340.8</v>
      </c>
      <c r="AL11" s="57"/>
      <c r="AM11" s="57">
        <v>0.8974999999627471</v>
      </c>
      <c r="AN11" s="158">
        <v>1602780.2</v>
      </c>
      <c r="AO11" s="158">
        <v>0.9</v>
      </c>
      <c r="AP11" s="158">
        <v>1602781.1</v>
      </c>
      <c r="AQ11" s="158">
        <v>387001.1</v>
      </c>
      <c r="AR11" s="158">
        <v>1215780</v>
      </c>
      <c r="AS11" s="57"/>
      <c r="AT11" s="57"/>
      <c r="AU11" s="57"/>
      <c r="AV11" s="57"/>
      <c r="AW11" s="57"/>
      <c r="AX11" s="57"/>
      <c r="AY11" s="57"/>
      <c r="AZ11" s="57"/>
      <c r="BA11" s="57"/>
    </row>
    <row r="12" spans="1:53" hidden="1" x14ac:dyDescent="0.25">
      <c r="A12" s="17" t="s">
        <v>160</v>
      </c>
      <c r="B12" s="17">
        <v>20263485409</v>
      </c>
      <c r="C12" s="17" t="s">
        <v>101</v>
      </c>
      <c r="D12" s="73">
        <v>46023</v>
      </c>
      <c r="E12" t="s">
        <v>90</v>
      </c>
      <c r="F12" s="57">
        <v>517465</v>
      </c>
      <c r="G12" s="57"/>
      <c r="H12" s="57"/>
      <c r="I12" s="57"/>
      <c r="J12" s="57"/>
      <c r="K12" s="57"/>
      <c r="L12" s="57">
        <v>206160.90000000002</v>
      </c>
      <c r="M12" s="57"/>
      <c r="N12" s="57"/>
      <c r="O12" s="57"/>
      <c r="P12" s="57"/>
      <c r="Q12" s="57"/>
      <c r="R12" s="57"/>
      <c r="S12" s="57">
        <v>0</v>
      </c>
      <c r="T12" s="57"/>
      <c r="U12" s="57"/>
      <c r="V12" s="57"/>
      <c r="W12" s="57"/>
      <c r="X12" s="57"/>
      <c r="Y12" s="57"/>
      <c r="Z12" s="57"/>
      <c r="AA12" s="57">
        <v>65596.5</v>
      </c>
      <c r="AB12" s="57">
        <v>60000</v>
      </c>
      <c r="AC12" s="57">
        <v>93414.464000000007</v>
      </c>
      <c r="AD12" s="57">
        <v>25476.671999999999</v>
      </c>
      <c r="AE12" s="57">
        <v>25476.671999999999</v>
      </c>
      <c r="AF12" s="57">
        <v>5447.387999999999</v>
      </c>
      <c r="AG12" s="57">
        <v>16984.448</v>
      </c>
      <c r="AH12" s="57">
        <v>8492.2240000000002</v>
      </c>
      <c r="AI12" s="57">
        <v>8492.2240000000002</v>
      </c>
      <c r="AJ12" s="57">
        <v>6369.1679999999997</v>
      </c>
      <c r="AK12" s="57"/>
      <c r="AL12" s="57"/>
      <c r="AM12" s="57">
        <v>0.30799999996088445</v>
      </c>
      <c r="AN12" s="158">
        <v>849222.4</v>
      </c>
      <c r="AO12" s="158">
        <v>0.31</v>
      </c>
      <c r="AP12" s="158">
        <v>849222.71</v>
      </c>
      <c r="AQ12" s="158">
        <v>207137.71</v>
      </c>
      <c r="AR12" s="158">
        <v>642085</v>
      </c>
      <c r="AS12" s="57"/>
      <c r="AT12" s="57"/>
      <c r="AU12" s="57"/>
      <c r="AV12" s="57"/>
      <c r="AW12" s="57"/>
      <c r="AX12" s="57"/>
      <c r="AY12" s="57"/>
      <c r="AZ12" s="57"/>
      <c r="BA12" s="57"/>
    </row>
    <row r="13" spans="1:53" hidden="1" x14ac:dyDescent="0.25">
      <c r="A13" s="17" t="s">
        <v>162</v>
      </c>
      <c r="B13" s="17">
        <v>20275890074</v>
      </c>
      <c r="C13" s="17" t="s">
        <v>104</v>
      </c>
      <c r="D13" s="73">
        <v>46023</v>
      </c>
      <c r="E13" t="s">
        <v>80</v>
      </c>
      <c r="F13" s="57">
        <v>965838</v>
      </c>
      <c r="G13" s="57"/>
      <c r="H13" s="57">
        <v>18986</v>
      </c>
      <c r="I13" s="57">
        <v>29727.8</v>
      </c>
      <c r="J13" s="57">
        <v>6340.8</v>
      </c>
      <c r="K13" s="57"/>
      <c r="L13" s="57">
        <v>262386.60000000003</v>
      </c>
      <c r="M13" s="57"/>
      <c r="N13" s="57"/>
      <c r="O13" s="57"/>
      <c r="P13" s="57"/>
      <c r="Q13" s="57"/>
      <c r="R13" s="57"/>
      <c r="S13" s="57">
        <v>0</v>
      </c>
      <c r="T13" s="57"/>
      <c r="U13" s="57"/>
      <c r="V13" s="57"/>
      <c r="W13" s="57"/>
      <c r="X13" s="57"/>
      <c r="Y13" s="57"/>
      <c r="Z13" s="57">
        <v>102662.33599999995</v>
      </c>
      <c r="AA13" s="57"/>
      <c r="AB13" s="57">
        <v>120000</v>
      </c>
      <c r="AC13" s="57">
        <v>165653.56896</v>
      </c>
      <c r="AD13" s="57">
        <v>45178.246079999997</v>
      </c>
      <c r="AE13" s="57">
        <v>45178.246079999997</v>
      </c>
      <c r="AF13" s="57">
        <v>0</v>
      </c>
      <c r="AG13" s="57">
        <v>30118.830720000002</v>
      </c>
      <c r="AH13" s="57">
        <v>15059.415360000001</v>
      </c>
      <c r="AI13" s="57">
        <v>15059.415360000001</v>
      </c>
      <c r="AJ13" s="57">
        <v>11294.561519999999</v>
      </c>
      <c r="AK13" s="57">
        <v>6340.8</v>
      </c>
      <c r="AL13" s="57"/>
      <c r="AM13" s="57">
        <v>0.37880000006407499</v>
      </c>
      <c r="AN13" s="158">
        <v>1505941.54</v>
      </c>
      <c r="AO13" s="158">
        <v>0.38</v>
      </c>
      <c r="AP13" s="158">
        <v>1505941.91</v>
      </c>
      <c r="AQ13" s="158">
        <v>364001.91</v>
      </c>
      <c r="AR13" s="158">
        <v>1141940</v>
      </c>
      <c r="AS13" s="57"/>
      <c r="AT13" s="57"/>
      <c r="AU13" s="57"/>
      <c r="AV13" s="57"/>
      <c r="AW13" s="57"/>
      <c r="AX13" s="57"/>
      <c r="AY13" s="57"/>
      <c r="AZ13" s="57"/>
      <c r="BA13" s="57"/>
    </row>
    <row r="14" spans="1:53" hidden="1" x14ac:dyDescent="0.25">
      <c r="A14" s="17" t="s">
        <v>162</v>
      </c>
      <c r="B14" s="17">
        <v>20331992314</v>
      </c>
      <c r="C14" s="17" t="s">
        <v>108</v>
      </c>
      <c r="D14" s="73">
        <v>46023</v>
      </c>
      <c r="E14" t="s">
        <v>109</v>
      </c>
      <c r="F14" s="57">
        <v>942893</v>
      </c>
      <c r="G14" s="57"/>
      <c r="H14" s="57"/>
      <c r="I14" s="57"/>
      <c r="J14" s="57"/>
      <c r="K14" s="57"/>
      <c r="L14" s="57">
        <v>281128.5</v>
      </c>
      <c r="M14" s="57"/>
      <c r="N14" s="57"/>
      <c r="O14" s="57"/>
      <c r="P14" s="57"/>
      <c r="Q14" s="57"/>
      <c r="R14" s="57"/>
      <c r="S14" s="57">
        <v>0</v>
      </c>
      <c r="T14" s="57">
        <v>532449.35250000004</v>
      </c>
      <c r="U14" s="57"/>
      <c r="V14" s="57"/>
      <c r="W14" s="57"/>
      <c r="X14" s="57"/>
      <c r="Y14" s="57"/>
      <c r="Z14" s="57"/>
      <c r="AA14" s="57">
        <v>65596.5</v>
      </c>
      <c r="AB14" s="57">
        <v>120000</v>
      </c>
      <c r="AC14" s="57">
        <v>213627.40877500002</v>
      </c>
      <c r="AD14" s="57">
        <v>58262.020575000002</v>
      </c>
      <c r="AE14" s="57">
        <v>58262.020575000002</v>
      </c>
      <c r="AF14" s="57">
        <v>0</v>
      </c>
      <c r="AG14" s="57">
        <v>38841.347050000004</v>
      </c>
      <c r="AH14" s="57">
        <v>19420.673525000002</v>
      </c>
      <c r="AI14" s="57">
        <v>19420.673525000002</v>
      </c>
      <c r="AJ14" s="57">
        <v>14565.505143750001</v>
      </c>
      <c r="AK14" s="57"/>
      <c r="AL14" s="57"/>
      <c r="AM14" s="57">
        <v>0.64371874975040555</v>
      </c>
      <c r="AN14" s="158">
        <v>1942067.35</v>
      </c>
      <c r="AO14" s="158">
        <v>0.64</v>
      </c>
      <c r="AP14" s="158">
        <v>1942068</v>
      </c>
      <c r="AQ14" s="158">
        <v>461241</v>
      </c>
      <c r="AR14" s="158">
        <v>1480827</v>
      </c>
      <c r="AS14" s="57"/>
      <c r="AT14" s="57"/>
      <c r="AU14" s="57"/>
      <c r="AV14" s="57"/>
      <c r="AW14" s="57"/>
      <c r="AX14" s="57"/>
      <c r="AY14" s="57"/>
      <c r="AZ14" s="57"/>
      <c r="BA14" s="57"/>
    </row>
    <row r="15" spans="1:53" hidden="1" x14ac:dyDescent="0.25">
      <c r="A15" s="17" t="s">
        <v>164</v>
      </c>
      <c r="B15" s="17">
        <v>27174620410</v>
      </c>
      <c r="C15" s="17" t="s">
        <v>112</v>
      </c>
      <c r="D15" s="73">
        <v>46023</v>
      </c>
      <c r="E15" t="s">
        <v>80</v>
      </c>
      <c r="F15" s="57">
        <v>885351</v>
      </c>
      <c r="G15" s="57"/>
      <c r="H15" s="57">
        <v>67314</v>
      </c>
      <c r="I15" s="57">
        <v>35276.989333333331</v>
      </c>
      <c r="J15" s="57">
        <v>6340.8</v>
      </c>
      <c r="K15" s="57"/>
      <c r="L15" s="57">
        <v>487289.4</v>
      </c>
      <c r="M15" s="57"/>
      <c r="N15" s="57"/>
      <c r="O15" s="57"/>
      <c r="P15" s="57"/>
      <c r="Q15" s="57"/>
      <c r="R15" s="57"/>
      <c r="S15" s="57">
        <v>0</v>
      </c>
      <c r="T15" s="57"/>
      <c r="U15" s="57"/>
      <c r="V15" s="57"/>
      <c r="W15" s="57"/>
      <c r="X15" s="57"/>
      <c r="Y15" s="57"/>
      <c r="Z15" s="57">
        <v>177788.66271999996</v>
      </c>
      <c r="AA15" s="57"/>
      <c r="AB15" s="57">
        <v>120000</v>
      </c>
      <c r="AC15" s="57">
        <v>195729.69372586667</v>
      </c>
      <c r="AD15" s="57">
        <v>53380.825561599995</v>
      </c>
      <c r="AE15" s="57">
        <v>53380.825561599995</v>
      </c>
      <c r="AF15" s="57">
        <v>0</v>
      </c>
      <c r="AG15" s="57">
        <v>35587.217041066666</v>
      </c>
      <c r="AH15" s="57">
        <v>17793.608520533333</v>
      </c>
      <c r="AI15" s="57">
        <v>17793.608520533333</v>
      </c>
      <c r="AJ15" s="57">
        <v>13345.206390399999</v>
      </c>
      <c r="AK15" s="57">
        <v>6340.8</v>
      </c>
      <c r="AL15" s="57"/>
      <c r="AM15" s="57">
        <v>0.15030933334492147</v>
      </c>
      <c r="AN15" s="158">
        <v>1779360.85</v>
      </c>
      <c r="AO15" s="158">
        <v>0.15</v>
      </c>
      <c r="AP15" s="158">
        <v>1779361</v>
      </c>
      <c r="AQ15" s="158">
        <v>428939</v>
      </c>
      <c r="AR15" s="158">
        <v>1350422</v>
      </c>
      <c r="AS15" s="57"/>
      <c r="AT15" s="57"/>
      <c r="AU15" s="57"/>
      <c r="AV15" s="57"/>
      <c r="AW15" s="57"/>
      <c r="AX15" s="57"/>
      <c r="AY15" s="57"/>
      <c r="AZ15" s="57"/>
      <c r="BA15" s="57"/>
    </row>
    <row r="16" spans="1:53" hidden="1" x14ac:dyDescent="0.25">
      <c r="A16" s="17" t="s">
        <v>166</v>
      </c>
      <c r="B16" s="17">
        <v>20176328399</v>
      </c>
      <c r="C16" s="17" t="s">
        <v>114</v>
      </c>
      <c r="D16" s="73">
        <v>46023</v>
      </c>
      <c r="E16" t="s">
        <v>116</v>
      </c>
      <c r="F16" s="57">
        <v>1124512</v>
      </c>
      <c r="G16" s="57"/>
      <c r="H16" s="57">
        <v>55232</v>
      </c>
      <c r="I16" s="57">
        <v>32502.394666666667</v>
      </c>
      <c r="J16" s="57"/>
      <c r="K16" s="57"/>
      <c r="L16" s="57">
        <v>412321.80000000005</v>
      </c>
      <c r="M16" s="57">
        <v>23553.4</v>
      </c>
      <c r="N16" s="57">
        <v>34873.300000000003</v>
      </c>
      <c r="O16" s="57"/>
      <c r="P16" s="57"/>
      <c r="Q16" s="57"/>
      <c r="R16" s="57"/>
      <c r="S16" s="57">
        <v>0</v>
      </c>
      <c r="T16" s="57"/>
      <c r="U16" s="57"/>
      <c r="V16" s="57"/>
      <c r="W16" s="57"/>
      <c r="X16" s="57">
        <v>1682994.8946666666</v>
      </c>
      <c r="Y16" s="57">
        <v>-1682994.8946666666</v>
      </c>
      <c r="Z16" s="57"/>
      <c r="AA16" s="57">
        <v>65596.5</v>
      </c>
      <c r="AB16" s="57">
        <v>120000</v>
      </c>
      <c r="AC16" s="57">
        <v>205545.05341333334</v>
      </c>
      <c r="AD16" s="57">
        <v>56057.741839999995</v>
      </c>
      <c r="AE16" s="57">
        <v>56057.741839999995</v>
      </c>
      <c r="AF16" s="57">
        <v>0</v>
      </c>
      <c r="AG16" s="57">
        <v>37371.827893333335</v>
      </c>
      <c r="AH16" s="57">
        <v>18685.913946666667</v>
      </c>
      <c r="AI16" s="57">
        <v>18685.913946666667</v>
      </c>
      <c r="AJ16" s="57">
        <v>14014.435459999999</v>
      </c>
      <c r="AK16" s="57"/>
      <c r="AL16" s="57"/>
      <c r="AM16" s="57">
        <v>6.1566666699945927E-2</v>
      </c>
      <c r="AN16" s="158">
        <v>1868591.39</v>
      </c>
      <c r="AO16" s="158">
        <v>0.06</v>
      </c>
      <c r="AP16" s="158">
        <v>1868591.46</v>
      </c>
      <c r="AQ16" s="158">
        <v>443790.46</v>
      </c>
      <c r="AR16" s="158">
        <v>1424801</v>
      </c>
      <c r="AS16" s="57"/>
      <c r="AT16" s="57"/>
      <c r="AU16" s="57"/>
      <c r="AV16" s="57"/>
      <c r="AW16" s="57"/>
      <c r="AX16" s="57"/>
      <c r="AY16" s="57"/>
      <c r="AZ16" s="57"/>
      <c r="BA16" s="57"/>
    </row>
    <row r="17" spans="1:53" hidden="1" x14ac:dyDescent="0.25">
      <c r="A17" s="17" t="s">
        <v>166</v>
      </c>
      <c r="B17" s="17">
        <v>20947260481</v>
      </c>
      <c r="C17" s="17" t="s">
        <v>118</v>
      </c>
      <c r="D17" s="73">
        <v>46023</v>
      </c>
      <c r="E17" t="s">
        <v>119</v>
      </c>
      <c r="F17" s="57">
        <v>1008959</v>
      </c>
      <c r="G17" s="57"/>
      <c r="H17" s="57"/>
      <c r="I17" s="57"/>
      <c r="J17" s="57"/>
      <c r="K17" s="57"/>
      <c r="L17" s="57">
        <v>337354.2</v>
      </c>
      <c r="M17" s="57"/>
      <c r="N17" s="57"/>
      <c r="O17" s="57"/>
      <c r="P17" s="57"/>
      <c r="Q17" s="57"/>
      <c r="R17" s="57"/>
      <c r="S17" s="57">
        <v>43617.26</v>
      </c>
      <c r="T17" s="57"/>
      <c r="U17" s="57">
        <v>63539.678171428568</v>
      </c>
      <c r="V17" s="57"/>
      <c r="W17" s="57"/>
      <c r="X17" s="57"/>
      <c r="Y17" s="57"/>
      <c r="Z17" s="57">
        <v>111194.43680000002</v>
      </c>
      <c r="AA17" s="57">
        <v>65596.5</v>
      </c>
      <c r="AB17" s="57">
        <v>120000</v>
      </c>
      <c r="AC17" s="57">
        <v>192528.71824685714</v>
      </c>
      <c r="AD17" s="57">
        <v>52507.832249142855</v>
      </c>
      <c r="AE17" s="57">
        <v>52507.832249142855</v>
      </c>
      <c r="AF17" s="57">
        <v>0</v>
      </c>
      <c r="AG17" s="57">
        <v>35005.221499428575</v>
      </c>
      <c r="AH17" s="57">
        <v>17502.610749714288</v>
      </c>
      <c r="AI17" s="57">
        <v>17502.610749714288</v>
      </c>
      <c r="AJ17" s="57">
        <v>13126.958062285714</v>
      </c>
      <c r="AK17" s="57"/>
      <c r="AL17" s="57"/>
      <c r="AM17" s="57">
        <v>0.93033428583294153</v>
      </c>
      <c r="AN17" s="158">
        <v>1750261.08</v>
      </c>
      <c r="AO17" s="158">
        <v>0.93</v>
      </c>
      <c r="AP17" s="158">
        <v>1750262.01</v>
      </c>
      <c r="AQ17" s="158">
        <v>415687.01</v>
      </c>
      <c r="AR17" s="158">
        <v>1334575</v>
      </c>
      <c r="AS17" s="57"/>
      <c r="AT17" s="57"/>
      <c r="AU17" s="57"/>
      <c r="AV17" s="57"/>
      <c r="AW17" s="57"/>
      <c r="AX17" s="57"/>
      <c r="AY17" s="57"/>
      <c r="AZ17" s="57"/>
      <c r="BA17" s="57"/>
    </row>
    <row r="18" spans="1:53" hidden="1" x14ac:dyDescent="0.25">
      <c r="A18" s="17" t="s">
        <v>166</v>
      </c>
      <c r="B18" s="17">
        <v>23250288794</v>
      </c>
      <c r="C18" s="17" t="s">
        <v>121</v>
      </c>
      <c r="D18" s="73">
        <v>46023</v>
      </c>
      <c r="E18" t="s">
        <v>98</v>
      </c>
      <c r="F18" s="57">
        <v>42120.2</v>
      </c>
      <c r="G18" s="57"/>
      <c r="H18" s="57"/>
      <c r="I18" s="57"/>
      <c r="J18" s="57"/>
      <c r="K18" s="57">
        <v>0</v>
      </c>
      <c r="L18" s="57">
        <v>0</v>
      </c>
      <c r="M18" s="57"/>
      <c r="N18" s="57"/>
      <c r="O18" s="57"/>
      <c r="P18" s="57"/>
      <c r="Q18" s="57"/>
      <c r="R18" s="57"/>
      <c r="S18" s="57">
        <v>0</v>
      </c>
      <c r="T18" s="57"/>
      <c r="U18" s="57"/>
      <c r="V18" s="57"/>
      <c r="W18" s="57"/>
      <c r="X18" s="57"/>
      <c r="Y18" s="57"/>
      <c r="Z18" s="57"/>
      <c r="AA18" s="57"/>
      <c r="AB18" s="57">
        <v>62400</v>
      </c>
      <c r="AC18" s="57">
        <v>67095.885999999999</v>
      </c>
      <c r="AD18" s="57">
        <v>18298.877999999997</v>
      </c>
      <c r="AE18" s="57">
        <v>18298.877999999997</v>
      </c>
      <c r="AF18" s="57">
        <v>0</v>
      </c>
      <c r="AG18" s="57"/>
      <c r="AH18" s="57">
        <v>6099.6260000000002</v>
      </c>
      <c r="AI18" s="57"/>
      <c r="AJ18" s="57">
        <v>4574.7194999999992</v>
      </c>
      <c r="AK18" s="57"/>
      <c r="AL18" s="57"/>
      <c r="AM18" s="57">
        <v>0.63950000004842877</v>
      </c>
      <c r="AN18" s="158">
        <v>609962.6</v>
      </c>
      <c r="AO18" s="158">
        <v>0.64</v>
      </c>
      <c r="AP18" s="158">
        <v>609963.24</v>
      </c>
      <c r="AQ18" s="158">
        <v>126567.24</v>
      </c>
      <c r="AR18" s="158">
        <v>483396</v>
      </c>
      <c r="AS18" s="57"/>
      <c r="AT18" s="57"/>
      <c r="AU18" s="57"/>
      <c r="AV18" s="57"/>
      <c r="AW18" s="57"/>
      <c r="AX18" s="57"/>
      <c r="AY18" s="57"/>
      <c r="AZ18" s="57"/>
      <c r="BA18" s="57"/>
    </row>
    <row r="19" spans="1:53" hidden="1" x14ac:dyDescent="0.25">
      <c r="A19" s="17" t="s">
        <v>172</v>
      </c>
      <c r="B19" s="17">
        <v>20942335351</v>
      </c>
      <c r="C19" s="17" t="s">
        <v>125</v>
      </c>
      <c r="D19" s="73">
        <v>46023</v>
      </c>
      <c r="E19" t="s">
        <v>116</v>
      </c>
      <c r="F19" s="57">
        <v>1030802</v>
      </c>
      <c r="G19" s="57"/>
      <c r="H19" s="57">
        <v>46602</v>
      </c>
      <c r="I19" s="57">
        <v>29727.8</v>
      </c>
      <c r="J19" s="57"/>
      <c r="K19" s="57"/>
      <c r="L19" s="57">
        <v>299870.40000000002</v>
      </c>
      <c r="M19" s="57"/>
      <c r="N19" s="57"/>
      <c r="O19" s="57"/>
      <c r="P19" s="57"/>
      <c r="Q19" s="57"/>
      <c r="R19" s="57"/>
      <c r="S19" s="57">
        <v>0</v>
      </c>
      <c r="T19" s="57"/>
      <c r="U19" s="57"/>
      <c r="V19" s="57"/>
      <c r="W19" s="57"/>
      <c r="X19" s="57"/>
      <c r="Y19" s="57"/>
      <c r="Z19" s="57"/>
      <c r="AA19" s="57">
        <v>65596.5</v>
      </c>
      <c r="AB19" s="57">
        <v>120000</v>
      </c>
      <c r="AC19" s="57">
        <v>175185.85700000002</v>
      </c>
      <c r="AD19" s="57">
        <v>47777.961000000003</v>
      </c>
      <c r="AE19" s="57">
        <v>47777.961000000003</v>
      </c>
      <c r="AF19" s="57">
        <v>0</v>
      </c>
      <c r="AG19" s="57">
        <v>31851.974000000006</v>
      </c>
      <c r="AH19" s="57">
        <v>15925.987000000003</v>
      </c>
      <c r="AI19" s="57">
        <v>15925.987000000003</v>
      </c>
      <c r="AJ19" s="57">
        <v>11944.490250000001</v>
      </c>
      <c r="AK19" s="57"/>
      <c r="AL19" s="57"/>
      <c r="AM19" s="57">
        <v>0.4912499999627471</v>
      </c>
      <c r="AN19" s="158">
        <v>1592598.7</v>
      </c>
      <c r="AO19" s="158">
        <v>0.49</v>
      </c>
      <c r="AP19" s="158">
        <v>1592599.19</v>
      </c>
      <c r="AQ19" s="158">
        <v>378242.19</v>
      </c>
      <c r="AR19" s="158">
        <v>1214357</v>
      </c>
      <c r="AS19" s="57"/>
      <c r="AT19" s="57"/>
      <c r="AU19" s="57"/>
      <c r="AV19" s="57"/>
      <c r="AW19" s="57"/>
      <c r="AX19" s="57"/>
      <c r="AY19" s="57"/>
      <c r="AZ19" s="57"/>
      <c r="BA19" s="57"/>
    </row>
    <row r="20" spans="1:53" hidden="1" x14ac:dyDescent="0.25">
      <c r="A20" s="17" t="s">
        <v>172</v>
      </c>
      <c r="B20" s="17">
        <v>24269272801</v>
      </c>
      <c r="C20" s="17" t="s">
        <v>327</v>
      </c>
      <c r="D20" s="73">
        <v>46023</v>
      </c>
      <c r="E20" t="s">
        <v>98</v>
      </c>
      <c r="F20" s="57">
        <v>42120.2</v>
      </c>
      <c r="G20" s="57"/>
      <c r="H20" s="57"/>
      <c r="I20" s="57">
        <v>29727.8</v>
      </c>
      <c r="J20" s="57">
        <v>0</v>
      </c>
      <c r="K20" s="57">
        <v>0</v>
      </c>
      <c r="L20" s="57" t="e">
        <v>#NUM!</v>
      </c>
      <c r="M20" s="57">
        <v>0</v>
      </c>
      <c r="N20" s="57">
        <v>0</v>
      </c>
      <c r="O20" s="57">
        <v>0</v>
      </c>
      <c r="P20" s="57">
        <v>0</v>
      </c>
      <c r="Q20" s="57">
        <v>0</v>
      </c>
      <c r="R20" s="57">
        <v>0</v>
      </c>
      <c r="S20" s="57">
        <v>0</v>
      </c>
      <c r="T20" s="57"/>
      <c r="U20" s="57"/>
      <c r="V20" s="57"/>
      <c r="W20" s="57"/>
      <c r="X20" s="57"/>
      <c r="Y20" s="57"/>
      <c r="Z20" s="57"/>
      <c r="AA20" s="57">
        <v>0</v>
      </c>
      <c r="AB20" s="57">
        <v>0</v>
      </c>
      <c r="AC20" s="57" t="e">
        <v>#NUM!</v>
      </c>
      <c r="AD20" s="57" t="e">
        <v>#NUM!</v>
      </c>
      <c r="AE20" s="57" t="e">
        <v>#NUM!</v>
      </c>
      <c r="AF20" s="57">
        <v>0</v>
      </c>
      <c r="AG20" s="57"/>
      <c r="AH20" s="57" t="e">
        <v>#NUM!</v>
      </c>
      <c r="AI20" s="57"/>
      <c r="AJ20" s="57" t="e">
        <v>#NUM!</v>
      </c>
      <c r="AK20" s="57">
        <v>0</v>
      </c>
      <c r="AL20" s="57"/>
      <c r="AM20" s="57" t="e">
        <v>#NUM!</v>
      </c>
      <c r="AN20" s="158" t="e">
        <v>#NUM!</v>
      </c>
      <c r="AO20" s="158" t="e">
        <v>#NUM!</v>
      </c>
      <c r="AP20" s="158" t="e">
        <v>#NUM!</v>
      </c>
      <c r="AQ20" s="158" t="e">
        <v>#NUM!</v>
      </c>
      <c r="AR20" s="158" t="e">
        <v>#NUM!</v>
      </c>
      <c r="AS20" s="57"/>
      <c r="AT20" s="57"/>
      <c r="AU20" s="57"/>
      <c r="AV20" s="57"/>
      <c r="AW20" s="57"/>
      <c r="AX20" s="57"/>
      <c r="AY20" s="57"/>
      <c r="AZ20" s="57"/>
      <c r="BA20" s="57"/>
    </row>
    <row r="21" spans="1:53" hidden="1" x14ac:dyDescent="0.25">
      <c r="A21" s="17" t="s">
        <v>174</v>
      </c>
      <c r="B21" s="17">
        <v>20942347643</v>
      </c>
      <c r="C21" s="17" t="s">
        <v>128</v>
      </c>
      <c r="D21" s="73">
        <v>46023</v>
      </c>
      <c r="E21" t="s">
        <v>80</v>
      </c>
      <c r="F21" s="57">
        <v>965838</v>
      </c>
      <c r="G21" s="57"/>
      <c r="H21" s="57">
        <v>51780</v>
      </c>
      <c r="I21" s="57">
        <v>29727.8</v>
      </c>
      <c r="J21" s="57">
        <v>6340.8</v>
      </c>
      <c r="K21" s="57"/>
      <c r="L21" s="57">
        <v>281128.5</v>
      </c>
      <c r="M21" s="57">
        <v>23553.4</v>
      </c>
      <c r="N21" s="57"/>
      <c r="O21" s="57">
        <v>23553.4</v>
      </c>
      <c r="P21" s="57"/>
      <c r="Q21" s="57"/>
      <c r="R21" s="57">
        <v>39622.699999999997</v>
      </c>
      <c r="S21" s="57">
        <v>0</v>
      </c>
      <c r="T21" s="57"/>
      <c r="U21" s="57"/>
      <c r="V21" s="57"/>
      <c r="W21" s="57"/>
      <c r="X21" s="57"/>
      <c r="Y21" s="57"/>
      <c r="Z21" s="57"/>
      <c r="AA21" s="57"/>
      <c r="AB21" s="57">
        <v>120000</v>
      </c>
      <c r="AC21" s="57">
        <v>169569.90599999999</v>
      </c>
      <c r="AD21" s="57">
        <v>46246.337999999996</v>
      </c>
      <c r="AE21" s="57">
        <v>46246.337999999996</v>
      </c>
      <c r="AF21" s="57">
        <v>0</v>
      </c>
      <c r="AG21" s="57">
        <v>30830.891999999996</v>
      </c>
      <c r="AH21" s="57">
        <v>15415.445999999998</v>
      </c>
      <c r="AI21" s="57">
        <v>15415.445999999998</v>
      </c>
      <c r="AJ21" s="57">
        <v>11561.584499999999</v>
      </c>
      <c r="AK21" s="57">
        <v>6340.8</v>
      </c>
      <c r="AL21" s="57">
        <v>240108.92</v>
      </c>
      <c r="AM21" s="57">
        <v>0.96250000013969839</v>
      </c>
      <c r="AN21" s="158">
        <v>1541544.6</v>
      </c>
      <c r="AO21" s="158">
        <v>0.96</v>
      </c>
      <c r="AP21" s="158">
        <v>1541545.56</v>
      </c>
      <c r="AQ21" s="158">
        <v>612566.56000000006</v>
      </c>
      <c r="AR21" s="158">
        <v>928979</v>
      </c>
      <c r="AS21" s="57"/>
      <c r="AT21" s="57"/>
      <c r="AU21" s="57"/>
      <c r="AV21" s="57"/>
      <c r="AW21" s="57"/>
      <c r="AX21" s="57"/>
      <c r="AY21" s="57"/>
      <c r="AZ21" s="57"/>
      <c r="BA21" s="57"/>
    </row>
    <row r="22" spans="1:53" hidden="1" x14ac:dyDescent="0.25">
      <c r="A22" s="17" t="s">
        <v>174</v>
      </c>
      <c r="B22" s="17">
        <v>20252571850</v>
      </c>
      <c r="C22" s="17" t="s">
        <v>130</v>
      </c>
      <c r="D22" s="73">
        <v>46023</v>
      </c>
      <c r="E22" t="s">
        <v>119</v>
      </c>
      <c r="F22" s="57">
        <v>1008959</v>
      </c>
      <c r="G22" s="57"/>
      <c r="H22" s="57"/>
      <c r="I22" s="57"/>
      <c r="J22" s="57"/>
      <c r="K22" s="57"/>
      <c r="L22" s="57">
        <v>262386.60000000003</v>
      </c>
      <c r="M22" s="57"/>
      <c r="N22" s="57"/>
      <c r="O22" s="57"/>
      <c r="P22" s="57"/>
      <c r="Q22" s="57"/>
      <c r="R22" s="57"/>
      <c r="S22" s="57">
        <v>0</v>
      </c>
      <c r="T22" s="57">
        <v>435889.91999999998</v>
      </c>
      <c r="U22" s="57">
        <v>130766.97600000001</v>
      </c>
      <c r="V22" s="57">
        <v>566656.89599999995</v>
      </c>
      <c r="W22" s="57"/>
      <c r="X22" s="57"/>
      <c r="Y22" s="57"/>
      <c r="Z22" s="57"/>
      <c r="AA22" s="57">
        <v>65596.5</v>
      </c>
      <c r="AB22" s="57">
        <v>120000</v>
      </c>
      <c r="AC22" s="57">
        <v>222595.88956000001</v>
      </c>
      <c r="AD22" s="57">
        <v>60707.969879999997</v>
      </c>
      <c r="AE22" s="57">
        <v>60707.969879999997</v>
      </c>
      <c r="AF22" s="57">
        <v>0</v>
      </c>
      <c r="AG22" s="57">
        <v>40471.979920000005</v>
      </c>
      <c r="AH22" s="57">
        <v>20235.989960000003</v>
      </c>
      <c r="AI22" s="57">
        <v>20235.989960000003</v>
      </c>
      <c r="AJ22" s="57">
        <v>15176.992469999999</v>
      </c>
      <c r="AK22" s="57"/>
      <c r="AL22" s="57"/>
      <c r="AM22" s="57">
        <v>0.76554999989457428</v>
      </c>
      <c r="AN22" s="158">
        <v>2023599</v>
      </c>
      <c r="AO22" s="158">
        <v>0.77</v>
      </c>
      <c r="AP22" s="158">
        <v>2023599.76</v>
      </c>
      <c r="AQ22" s="158">
        <v>480604.76</v>
      </c>
      <c r="AR22" s="158">
        <v>1542995</v>
      </c>
      <c r="AS22" s="57"/>
      <c r="AT22" s="57"/>
      <c r="AU22" s="57"/>
      <c r="AV22" s="57"/>
      <c r="AW22" s="57"/>
      <c r="AX22" s="57"/>
      <c r="AY22" s="57"/>
      <c r="AZ22" s="57"/>
      <c r="BA22" s="57"/>
    </row>
    <row r="23" spans="1:53" hidden="1" x14ac:dyDescent="0.25">
      <c r="A23" s="17" t="s">
        <v>176</v>
      </c>
      <c r="B23" s="17">
        <v>23175845879</v>
      </c>
      <c r="C23" s="17" t="s">
        <v>133</v>
      </c>
      <c r="D23" s="73">
        <v>46023</v>
      </c>
      <c r="E23" t="s">
        <v>80</v>
      </c>
      <c r="F23" s="57">
        <v>965838</v>
      </c>
      <c r="G23" s="57"/>
      <c r="H23" s="57">
        <v>27616</v>
      </c>
      <c r="I23" s="57">
        <v>29727.8</v>
      </c>
      <c r="J23" s="57">
        <v>6340.8</v>
      </c>
      <c r="K23" s="57"/>
      <c r="L23" s="57">
        <v>262386.60000000003</v>
      </c>
      <c r="M23" s="57">
        <v>23553.4</v>
      </c>
      <c r="N23" s="57"/>
      <c r="O23" s="57">
        <v>23553.4</v>
      </c>
      <c r="P23" s="57"/>
      <c r="Q23" s="57"/>
      <c r="R23" s="57">
        <v>39622.699999999997</v>
      </c>
      <c r="S23" s="57">
        <v>0</v>
      </c>
      <c r="T23" s="57">
        <v>299853.91724999994</v>
      </c>
      <c r="U23" s="57">
        <v>27572.773999999998</v>
      </c>
      <c r="V23" s="57">
        <v>327426.69124999992</v>
      </c>
      <c r="W23" s="57">
        <v>203117.70133333333</v>
      </c>
      <c r="X23" s="57"/>
      <c r="Y23" s="57"/>
      <c r="Z23" s="57"/>
      <c r="AA23" s="57"/>
      <c r="AB23" s="57">
        <v>120000</v>
      </c>
      <c r="AC23" s="57">
        <v>223210.14018416664</v>
      </c>
      <c r="AD23" s="57">
        <v>60875.492777499989</v>
      </c>
      <c r="AE23" s="57">
        <v>60875.492777499989</v>
      </c>
      <c r="AF23" s="57">
        <v>0</v>
      </c>
      <c r="AG23" s="57">
        <v>40583.661851666664</v>
      </c>
      <c r="AH23" s="57">
        <v>20291.830925833332</v>
      </c>
      <c r="AI23" s="57">
        <v>20291.830925833332</v>
      </c>
      <c r="AJ23" s="57">
        <v>15218.873194374997</v>
      </c>
      <c r="AK23" s="57">
        <v>6340.8</v>
      </c>
      <c r="AL23" s="57"/>
      <c r="AM23" s="57">
        <v>0.69190520839765668</v>
      </c>
      <c r="AN23" s="158">
        <v>2029183.09</v>
      </c>
      <c r="AO23" s="158">
        <v>0.69</v>
      </c>
      <c r="AP23" s="158">
        <v>2029183.78</v>
      </c>
      <c r="AQ23" s="158">
        <v>488271.78</v>
      </c>
      <c r="AR23" s="158">
        <v>1540912</v>
      </c>
      <c r="AS23" s="57"/>
      <c r="AT23" s="57"/>
      <c r="AU23" s="57"/>
      <c r="AV23" s="57"/>
      <c r="AW23" s="57"/>
      <c r="AX23" s="57"/>
      <c r="AY23" s="57"/>
      <c r="AZ23" s="57"/>
      <c r="BA23" s="57"/>
    </row>
    <row r="24" spans="1:53" hidden="1" x14ac:dyDescent="0.25">
      <c r="A24" s="17" t="s">
        <v>144</v>
      </c>
      <c r="B24" s="17">
        <v>20283772323</v>
      </c>
      <c r="C24" s="17" t="s">
        <v>78</v>
      </c>
      <c r="D24" s="73">
        <v>46054</v>
      </c>
      <c r="E24" t="s">
        <v>80</v>
      </c>
      <c r="F24" s="57">
        <v>901288</v>
      </c>
      <c r="G24" s="57"/>
      <c r="H24" s="57">
        <v>138803</v>
      </c>
      <c r="I24" s="57">
        <v>48420.4</v>
      </c>
      <c r="J24" s="57">
        <v>6454.9</v>
      </c>
      <c r="K24" s="57"/>
      <c r="L24" s="57">
        <v>324346.40000000002</v>
      </c>
      <c r="M24" s="57"/>
      <c r="N24" s="57"/>
      <c r="O24" s="57"/>
      <c r="P24" s="57"/>
      <c r="Q24" s="57"/>
      <c r="R24" s="57"/>
      <c r="S24" s="57">
        <v>0</v>
      </c>
      <c r="T24" s="57"/>
      <c r="U24" s="57">
        <v>170317.52399999998</v>
      </c>
      <c r="V24" s="57"/>
      <c r="W24" s="57"/>
      <c r="X24" s="57"/>
      <c r="Y24" s="57"/>
      <c r="Z24" s="57"/>
      <c r="AA24" s="57"/>
      <c r="AB24" s="57">
        <v>120000</v>
      </c>
      <c r="AC24" s="57">
        <v>188059.32463999998</v>
      </c>
      <c r="AD24" s="57">
        <v>51288.906719999992</v>
      </c>
      <c r="AE24" s="57">
        <v>51288.906719999992</v>
      </c>
      <c r="AF24" s="57">
        <v>0</v>
      </c>
      <c r="AG24" s="57">
        <v>34192.604479999995</v>
      </c>
      <c r="AH24" s="57">
        <v>17096.302239999997</v>
      </c>
      <c r="AI24" s="57">
        <v>17096.302239999997</v>
      </c>
      <c r="AJ24" s="57">
        <v>12822.226679999998</v>
      </c>
      <c r="AK24" s="57">
        <v>6454.9</v>
      </c>
      <c r="AL24" s="57"/>
      <c r="AM24" s="57">
        <v>0.24972000019624829</v>
      </c>
      <c r="AN24" s="158">
        <v>1709630.22</v>
      </c>
      <c r="AO24" s="158">
        <v>0.25</v>
      </c>
      <c r="AP24" s="158">
        <v>1709630.47</v>
      </c>
      <c r="AQ24" s="158">
        <v>378299.47</v>
      </c>
      <c r="AR24" s="158">
        <v>1331331</v>
      </c>
      <c r="AS24" s="57"/>
      <c r="AT24" s="57"/>
      <c r="AU24" s="57"/>
      <c r="AV24" s="57"/>
      <c r="AW24" s="57"/>
      <c r="AX24" s="57"/>
      <c r="AY24" s="57"/>
      <c r="AZ24" s="57"/>
      <c r="BA24" s="57"/>
    </row>
    <row r="25" spans="1:53" hidden="1" x14ac:dyDescent="0.25">
      <c r="A25" s="17" t="s">
        <v>144</v>
      </c>
      <c r="B25" s="17">
        <v>20338776390</v>
      </c>
      <c r="C25" s="17" t="s">
        <v>85</v>
      </c>
      <c r="D25" s="73">
        <v>46054</v>
      </c>
      <c r="E25" t="s">
        <v>86</v>
      </c>
      <c r="F25" s="57">
        <v>524678</v>
      </c>
      <c r="G25" s="57"/>
      <c r="H25" s="57"/>
      <c r="I25" s="57"/>
      <c r="J25" s="57"/>
      <c r="K25" s="57"/>
      <c r="L25" s="57">
        <v>0</v>
      </c>
      <c r="M25" s="57"/>
      <c r="N25" s="57"/>
      <c r="O25" s="57"/>
      <c r="P25" s="57"/>
      <c r="Q25" s="57"/>
      <c r="R25" s="57"/>
      <c r="S25" s="57">
        <v>0</v>
      </c>
      <c r="T25" s="57"/>
      <c r="U25" s="57">
        <v>125922.72</v>
      </c>
      <c r="V25" s="57"/>
      <c r="W25" s="57"/>
      <c r="X25" s="57"/>
      <c r="Y25" s="57"/>
      <c r="Z25" s="57"/>
      <c r="AA25" s="57">
        <v>66777.2</v>
      </c>
      <c r="AB25" s="57">
        <v>60000</v>
      </c>
      <c r="AC25" s="57">
        <v>85511.571199999991</v>
      </c>
      <c r="AD25" s="57">
        <v>23321.337599999995</v>
      </c>
      <c r="AE25" s="57">
        <v>23321.337599999995</v>
      </c>
      <c r="AF25" s="57">
        <v>8159.3724000000038</v>
      </c>
      <c r="AG25" s="57">
        <v>15547.558399999998</v>
      </c>
      <c r="AH25" s="57">
        <v>7773.779199999999</v>
      </c>
      <c r="AI25" s="57">
        <v>7773.779199999999</v>
      </c>
      <c r="AJ25" s="57">
        <v>5830.3343999999988</v>
      </c>
      <c r="AK25" s="57"/>
      <c r="AL25" s="57"/>
      <c r="AM25" s="57">
        <v>0.15000000002328306</v>
      </c>
      <c r="AN25" s="158">
        <v>777377.92</v>
      </c>
      <c r="AO25" s="158">
        <v>0.15</v>
      </c>
      <c r="AP25" s="158">
        <v>777378.07</v>
      </c>
      <c r="AQ25" s="158">
        <v>177239.07</v>
      </c>
      <c r="AR25" s="158">
        <v>600139</v>
      </c>
      <c r="AS25" s="57"/>
      <c r="AT25" s="57"/>
      <c r="AU25" s="57"/>
      <c r="AV25" s="57"/>
      <c r="AW25" s="57"/>
      <c r="AX25" s="57"/>
      <c r="AY25" s="57"/>
      <c r="AZ25" s="57"/>
      <c r="BA25" s="57"/>
    </row>
    <row r="26" spans="1:53" hidden="1" x14ac:dyDescent="0.25">
      <c r="A26" s="17" t="s">
        <v>147</v>
      </c>
      <c r="B26" s="17">
        <v>20360647774</v>
      </c>
      <c r="C26" s="17" t="s">
        <v>89</v>
      </c>
      <c r="D26" s="73">
        <v>46054</v>
      </c>
      <c r="E26" t="s">
        <v>90</v>
      </c>
      <c r="F26" s="57">
        <v>526779</v>
      </c>
      <c r="G26" s="57"/>
      <c r="H26" s="57">
        <v>14056</v>
      </c>
      <c r="I26" s="57">
        <v>30262.9</v>
      </c>
      <c r="J26" s="57"/>
      <c r="K26" s="57"/>
      <c r="L26" s="57">
        <v>228950.40000000002</v>
      </c>
      <c r="M26" s="57"/>
      <c r="N26" s="57"/>
      <c r="O26" s="57"/>
      <c r="P26" s="57"/>
      <c r="Q26" s="57"/>
      <c r="R26" s="57"/>
      <c r="S26" s="57">
        <v>0</v>
      </c>
      <c r="T26" s="57"/>
      <c r="U26" s="57"/>
      <c r="V26" s="57"/>
      <c r="W26" s="57"/>
      <c r="X26" s="57"/>
      <c r="Y26" s="57"/>
      <c r="Z26" s="57"/>
      <c r="AA26" s="57">
        <v>66777.2</v>
      </c>
      <c r="AB26" s="57">
        <v>60000</v>
      </c>
      <c r="AC26" s="57">
        <v>101950.80500000001</v>
      </c>
      <c r="AD26" s="57">
        <v>27804.764999999999</v>
      </c>
      <c r="AE26" s="57">
        <v>27804.764999999999</v>
      </c>
      <c r="AF26" s="57">
        <v>3675.9449999999997</v>
      </c>
      <c r="AG26" s="57">
        <v>18536.510000000002</v>
      </c>
      <c r="AH26" s="57">
        <v>9268.255000000001</v>
      </c>
      <c r="AI26" s="57">
        <v>9268.255000000001</v>
      </c>
      <c r="AJ26" s="57">
        <v>6951.1912499999999</v>
      </c>
      <c r="AK26" s="57"/>
      <c r="AL26" s="57"/>
      <c r="AM26" s="57">
        <v>0.99125000007916242</v>
      </c>
      <c r="AN26" s="158">
        <v>926825.5</v>
      </c>
      <c r="AO26" s="158">
        <v>0.99</v>
      </c>
      <c r="AP26" s="158">
        <v>926826.49</v>
      </c>
      <c r="AQ26" s="158">
        <v>205260.49</v>
      </c>
      <c r="AR26" s="158">
        <v>721566</v>
      </c>
      <c r="AS26" s="57"/>
      <c r="AT26" s="57"/>
      <c r="AU26" s="57"/>
      <c r="AV26" s="57"/>
      <c r="AW26" s="57"/>
      <c r="AX26" s="57"/>
      <c r="AY26" s="57"/>
      <c r="AZ26" s="57"/>
      <c r="BA26" s="57"/>
    </row>
    <row r="27" spans="1:53" hidden="1" x14ac:dyDescent="0.25">
      <c r="A27" s="17" t="s">
        <v>152</v>
      </c>
      <c r="B27" s="17">
        <v>20175464299</v>
      </c>
      <c r="C27" s="17" t="s">
        <v>93</v>
      </c>
      <c r="D27" s="73">
        <v>46054</v>
      </c>
      <c r="E27" t="s">
        <v>80</v>
      </c>
      <c r="F27" s="57">
        <v>983223</v>
      </c>
      <c r="G27" s="57"/>
      <c r="H27" s="57">
        <v>42168</v>
      </c>
      <c r="I27" s="57">
        <v>30262.9</v>
      </c>
      <c r="J27" s="57">
        <v>6454.9</v>
      </c>
      <c r="K27" s="57"/>
      <c r="L27" s="57">
        <v>343425.60000000003</v>
      </c>
      <c r="M27" s="57"/>
      <c r="N27" s="57"/>
      <c r="O27" s="57"/>
      <c r="P27" s="57"/>
      <c r="Q27" s="57"/>
      <c r="R27" s="57"/>
      <c r="S27" s="57">
        <v>0</v>
      </c>
      <c r="T27" s="57"/>
      <c r="U27" s="57"/>
      <c r="V27" s="57"/>
      <c r="W27" s="57"/>
      <c r="X27" s="57"/>
      <c r="Y27" s="57"/>
      <c r="Z27" s="57"/>
      <c r="AA27" s="57"/>
      <c r="AB27" s="57">
        <v>120000</v>
      </c>
      <c r="AC27" s="57">
        <v>167808.78399999999</v>
      </c>
      <c r="AD27" s="57">
        <v>45766.031999999992</v>
      </c>
      <c r="AE27" s="57">
        <v>45766.031999999992</v>
      </c>
      <c r="AF27" s="57">
        <v>0</v>
      </c>
      <c r="AG27" s="57">
        <v>30510.687999999998</v>
      </c>
      <c r="AH27" s="57">
        <v>15255.343999999999</v>
      </c>
      <c r="AI27" s="57">
        <v>15255.343999999999</v>
      </c>
      <c r="AJ27" s="57">
        <v>11441.507999999998</v>
      </c>
      <c r="AK27" s="57">
        <v>6454.9</v>
      </c>
      <c r="AL27" s="57"/>
      <c r="AM27" s="57">
        <v>0.23200000007636845</v>
      </c>
      <c r="AN27" s="158">
        <v>1525534.4</v>
      </c>
      <c r="AO27" s="158">
        <v>0.23</v>
      </c>
      <c r="AP27" s="158">
        <v>1525534.63</v>
      </c>
      <c r="AQ27" s="158">
        <v>338258.63</v>
      </c>
      <c r="AR27" s="158">
        <v>1187276</v>
      </c>
      <c r="AS27" s="57"/>
      <c r="AT27" s="57"/>
      <c r="AU27" s="57"/>
      <c r="AV27" s="57"/>
      <c r="AW27" s="57"/>
      <c r="AX27" s="57"/>
      <c r="AY27" s="57"/>
      <c r="AZ27" s="57"/>
      <c r="BA27" s="57"/>
    </row>
    <row r="28" spans="1:53" hidden="1" x14ac:dyDescent="0.25">
      <c r="A28" s="17" t="s">
        <v>155</v>
      </c>
      <c r="B28" s="17">
        <v>23289923934</v>
      </c>
      <c r="C28" s="17" t="s">
        <v>96</v>
      </c>
      <c r="D28" s="73">
        <v>46054</v>
      </c>
      <c r="E28" t="s">
        <v>90</v>
      </c>
      <c r="F28" s="57">
        <v>526779</v>
      </c>
      <c r="G28" s="57"/>
      <c r="H28" s="57">
        <v>12299</v>
      </c>
      <c r="I28" s="57">
        <v>30262.9</v>
      </c>
      <c r="J28" s="57"/>
      <c r="K28" s="57"/>
      <c r="L28" s="57">
        <v>38158.400000000001</v>
      </c>
      <c r="M28" s="57"/>
      <c r="N28" s="57"/>
      <c r="O28" s="57"/>
      <c r="P28" s="57"/>
      <c r="Q28" s="57"/>
      <c r="R28" s="57"/>
      <c r="S28" s="57">
        <v>0</v>
      </c>
      <c r="T28" s="57"/>
      <c r="U28" s="57"/>
      <c r="V28" s="57"/>
      <c r="W28" s="57">
        <v>90742.263999999996</v>
      </c>
      <c r="X28" s="57"/>
      <c r="Y28" s="57"/>
      <c r="Z28" s="57"/>
      <c r="AA28" s="57">
        <v>66777.2</v>
      </c>
      <c r="AB28" s="57">
        <v>60000</v>
      </c>
      <c r="AC28" s="57">
        <v>90752.064039999997</v>
      </c>
      <c r="AD28" s="57">
        <v>24750.562919999997</v>
      </c>
      <c r="AE28" s="57">
        <v>24750.562919999997</v>
      </c>
      <c r="AF28" s="57">
        <v>8161.0870800000048</v>
      </c>
      <c r="AG28" s="57">
        <v>16500.37528</v>
      </c>
      <c r="AH28" s="57">
        <v>8250.1876400000001</v>
      </c>
      <c r="AI28" s="57">
        <v>8250.1876400000001</v>
      </c>
      <c r="AJ28" s="57">
        <v>6187.6407299999992</v>
      </c>
      <c r="AK28" s="57"/>
      <c r="AL28" s="57"/>
      <c r="AM28" s="57">
        <v>0.90425000002142042</v>
      </c>
      <c r="AN28" s="158">
        <v>825018.76</v>
      </c>
      <c r="AO28" s="158">
        <v>0.9</v>
      </c>
      <c r="AP28" s="158">
        <v>825019.67</v>
      </c>
      <c r="AQ28" s="158">
        <v>187602.67</v>
      </c>
      <c r="AR28" s="158">
        <v>637417</v>
      </c>
      <c r="AS28" s="57"/>
      <c r="AT28" s="57"/>
      <c r="AU28" s="57"/>
      <c r="AV28" s="57"/>
      <c r="AW28" s="57"/>
      <c r="AX28" s="57"/>
      <c r="AY28" s="57"/>
      <c r="AZ28" s="57"/>
      <c r="BA28" s="57"/>
    </row>
    <row r="29" spans="1:53" hidden="1" x14ac:dyDescent="0.25">
      <c r="A29" s="17" t="s">
        <v>155</v>
      </c>
      <c r="B29" s="17">
        <v>24269272801</v>
      </c>
      <c r="C29" s="17" t="s">
        <v>327</v>
      </c>
      <c r="D29" s="73">
        <v>46054</v>
      </c>
      <c r="E29" t="s">
        <v>98</v>
      </c>
      <c r="F29" s="57">
        <v>42878.400000000001</v>
      </c>
      <c r="G29" s="57"/>
      <c r="H29" s="57"/>
      <c r="I29" s="57">
        <v>0</v>
      </c>
      <c r="J29" s="57">
        <v>0</v>
      </c>
      <c r="K29" s="57">
        <v>0</v>
      </c>
      <c r="L29" s="57" t="e">
        <v>#NUM!</v>
      </c>
      <c r="M29" s="57">
        <v>0</v>
      </c>
      <c r="N29" s="57">
        <v>0</v>
      </c>
      <c r="O29" s="57">
        <v>0</v>
      </c>
      <c r="P29" s="57">
        <v>0</v>
      </c>
      <c r="Q29" s="57">
        <v>0</v>
      </c>
      <c r="R29" s="57">
        <v>0</v>
      </c>
      <c r="S29" s="57">
        <v>0</v>
      </c>
      <c r="T29" s="57"/>
      <c r="U29" s="57"/>
      <c r="V29" s="57"/>
      <c r="W29" s="57"/>
      <c r="X29" s="57"/>
      <c r="Y29" s="57"/>
      <c r="Z29" s="57"/>
      <c r="AA29" s="57">
        <v>0</v>
      </c>
      <c r="AB29" s="57">
        <v>0</v>
      </c>
      <c r="AC29" s="57" t="e">
        <v>#NUM!</v>
      </c>
      <c r="AD29" s="57" t="e">
        <v>#NUM!</v>
      </c>
      <c r="AE29" s="57" t="e">
        <v>#NUM!</v>
      </c>
      <c r="AF29" s="57">
        <v>0</v>
      </c>
      <c r="AG29" s="57"/>
      <c r="AH29" s="57" t="e">
        <v>#NUM!</v>
      </c>
      <c r="AI29" s="57"/>
      <c r="AJ29" s="57" t="e">
        <v>#NUM!</v>
      </c>
      <c r="AK29" s="57">
        <v>0</v>
      </c>
      <c r="AL29" s="57"/>
      <c r="AM29" s="57" t="e">
        <v>#NUM!</v>
      </c>
      <c r="AN29" s="158" t="e">
        <v>#NUM!</v>
      </c>
      <c r="AO29" s="158" t="e">
        <v>#NUM!</v>
      </c>
      <c r="AP29" s="158" t="e">
        <v>#NUM!</v>
      </c>
      <c r="AQ29" s="158" t="e">
        <v>#NUM!</v>
      </c>
      <c r="AR29" s="158" t="e">
        <v>#NUM!</v>
      </c>
      <c r="AS29" s="57"/>
      <c r="AT29" s="57"/>
      <c r="AU29" s="57"/>
      <c r="AV29" s="57"/>
      <c r="AW29" s="57"/>
      <c r="AX29" s="57"/>
      <c r="AY29" s="57"/>
      <c r="AZ29" s="57"/>
      <c r="BA29" s="57"/>
    </row>
    <row r="30" spans="1:53" hidden="1" x14ac:dyDescent="0.25">
      <c r="A30" s="17" t="s">
        <v>158</v>
      </c>
      <c r="B30" s="17">
        <v>20204210749</v>
      </c>
      <c r="C30" s="17" t="s">
        <v>99</v>
      </c>
      <c r="D30" s="73">
        <v>46054</v>
      </c>
      <c r="E30" t="s">
        <v>80</v>
      </c>
      <c r="F30" s="57">
        <v>983223</v>
      </c>
      <c r="G30" s="57"/>
      <c r="H30" s="57">
        <v>31626</v>
      </c>
      <c r="I30" s="57">
        <v>30262.9</v>
      </c>
      <c r="J30" s="57">
        <v>6454.9</v>
      </c>
      <c r="K30" s="57"/>
      <c r="L30" s="57">
        <v>457900.80000000005</v>
      </c>
      <c r="M30" s="57"/>
      <c r="N30" s="57"/>
      <c r="O30" s="57"/>
      <c r="P30" s="57"/>
      <c r="Q30" s="57"/>
      <c r="R30" s="57"/>
      <c r="S30" s="57">
        <v>0</v>
      </c>
      <c r="T30" s="57"/>
      <c r="U30" s="57"/>
      <c r="V30" s="57"/>
      <c r="W30" s="57"/>
      <c r="X30" s="57"/>
      <c r="Y30" s="57"/>
      <c r="Z30" s="57">
        <v>161009.87733333337</v>
      </c>
      <c r="AA30" s="57"/>
      <c r="AB30" s="57">
        <v>120000</v>
      </c>
      <c r="AC30" s="57">
        <v>196952.52250666666</v>
      </c>
      <c r="AD30" s="57">
        <v>53714.32432</v>
      </c>
      <c r="AE30" s="57">
        <v>53714.32432</v>
      </c>
      <c r="AF30" s="57">
        <v>0</v>
      </c>
      <c r="AG30" s="57">
        <v>35809.549546666669</v>
      </c>
      <c r="AH30" s="57">
        <v>17904.774773333334</v>
      </c>
      <c r="AI30" s="57">
        <v>17904.774773333334</v>
      </c>
      <c r="AJ30" s="57">
        <v>13428.58108</v>
      </c>
      <c r="AK30" s="57">
        <v>6454.9</v>
      </c>
      <c r="AL30" s="57"/>
      <c r="AM30" s="57">
        <v>0.27398666669614613</v>
      </c>
      <c r="AN30" s="158">
        <v>1790477.48</v>
      </c>
      <c r="AO30" s="158">
        <v>0.27</v>
      </c>
      <c r="AP30" s="158">
        <v>1790477.75</v>
      </c>
      <c r="AQ30" s="158">
        <v>395883.75</v>
      </c>
      <c r="AR30" s="158">
        <v>1394594</v>
      </c>
      <c r="AS30" s="57"/>
      <c r="AT30" s="57"/>
      <c r="AU30" s="57"/>
      <c r="AV30" s="57"/>
      <c r="AW30" s="57"/>
      <c r="AX30" s="57"/>
      <c r="AY30" s="57"/>
      <c r="AZ30" s="57"/>
      <c r="BA30" s="57"/>
    </row>
    <row r="31" spans="1:53" hidden="1" x14ac:dyDescent="0.25">
      <c r="A31" s="17" t="s">
        <v>160</v>
      </c>
      <c r="B31" s="17">
        <v>20263485409</v>
      </c>
      <c r="C31" s="17" t="s">
        <v>101</v>
      </c>
      <c r="D31" s="73">
        <v>46054</v>
      </c>
      <c r="E31" t="s">
        <v>90</v>
      </c>
      <c r="F31" s="57">
        <v>526779</v>
      </c>
      <c r="G31" s="57"/>
      <c r="H31" s="57"/>
      <c r="I31" s="57"/>
      <c r="J31" s="57"/>
      <c r="K31" s="57"/>
      <c r="L31" s="57">
        <v>209871.2</v>
      </c>
      <c r="M31" s="57"/>
      <c r="N31" s="57"/>
      <c r="O31" s="57"/>
      <c r="P31" s="57"/>
      <c r="Q31" s="57"/>
      <c r="R31" s="57"/>
      <c r="S31" s="57">
        <v>0</v>
      </c>
      <c r="T31" s="57"/>
      <c r="U31" s="57"/>
      <c r="V31" s="57"/>
      <c r="W31" s="57"/>
      <c r="X31" s="57"/>
      <c r="Y31" s="57"/>
      <c r="Z31" s="57"/>
      <c r="AA31" s="57">
        <v>66777.2</v>
      </c>
      <c r="AB31" s="57">
        <v>60000</v>
      </c>
      <c r="AC31" s="57">
        <v>94977.013999999996</v>
      </c>
      <c r="AD31" s="57">
        <v>25902.821999999996</v>
      </c>
      <c r="AE31" s="57">
        <v>25902.821999999996</v>
      </c>
      <c r="AF31" s="57">
        <v>5577.8880000000026</v>
      </c>
      <c r="AG31" s="57">
        <v>17268.547999999999</v>
      </c>
      <c r="AH31" s="57">
        <v>8634.2739999999994</v>
      </c>
      <c r="AI31" s="57">
        <v>8634.2739999999994</v>
      </c>
      <c r="AJ31" s="57">
        <v>6475.7054999999991</v>
      </c>
      <c r="AK31" s="57"/>
      <c r="AL31" s="57"/>
      <c r="AM31" s="57">
        <v>0.94750000012572855</v>
      </c>
      <c r="AN31" s="158">
        <v>863427.4</v>
      </c>
      <c r="AO31" s="158">
        <v>0.95</v>
      </c>
      <c r="AP31" s="158">
        <v>863428.35</v>
      </c>
      <c r="AQ31" s="158">
        <v>193373.35</v>
      </c>
      <c r="AR31" s="158">
        <v>670055</v>
      </c>
      <c r="AS31" s="57"/>
      <c r="AT31" s="57"/>
      <c r="AU31" s="57"/>
      <c r="AV31" s="57"/>
      <c r="AW31" s="57"/>
      <c r="AX31" s="57"/>
      <c r="AY31" s="57"/>
      <c r="AZ31" s="57"/>
      <c r="BA31" s="57"/>
    </row>
    <row r="32" spans="1:53" hidden="1" x14ac:dyDescent="0.25">
      <c r="A32" s="17" t="s">
        <v>162</v>
      </c>
      <c r="B32" s="17">
        <v>20275890074</v>
      </c>
      <c r="C32" s="17" t="s">
        <v>104</v>
      </c>
      <c r="D32" s="73">
        <v>46054</v>
      </c>
      <c r="E32" t="s">
        <v>80</v>
      </c>
      <c r="F32" s="57">
        <v>983223</v>
      </c>
      <c r="G32" s="57"/>
      <c r="H32" s="57">
        <v>19327</v>
      </c>
      <c r="I32" s="57">
        <v>30262.9</v>
      </c>
      <c r="J32" s="57">
        <v>6454.9</v>
      </c>
      <c r="K32" s="57"/>
      <c r="L32" s="57">
        <v>286188</v>
      </c>
      <c r="M32" s="57"/>
      <c r="N32" s="57"/>
      <c r="O32" s="57"/>
      <c r="P32" s="57"/>
      <c r="Q32" s="57"/>
      <c r="R32" s="57"/>
      <c r="S32" s="57">
        <v>0</v>
      </c>
      <c r="T32" s="57"/>
      <c r="U32" s="57"/>
      <c r="V32" s="57"/>
      <c r="W32" s="57"/>
      <c r="X32" s="57"/>
      <c r="Y32" s="57"/>
      <c r="Z32" s="57"/>
      <c r="AA32" s="57"/>
      <c r="AB32" s="57">
        <v>120000</v>
      </c>
      <c r="AC32" s="57">
        <v>159000.13800000001</v>
      </c>
      <c r="AD32" s="57">
        <v>43363.673999999999</v>
      </c>
      <c r="AE32" s="57">
        <v>43363.673999999999</v>
      </c>
      <c r="AF32" s="57">
        <v>0</v>
      </c>
      <c r="AG32" s="57">
        <v>28909.116000000002</v>
      </c>
      <c r="AH32" s="57">
        <v>14454.558000000001</v>
      </c>
      <c r="AI32" s="57">
        <v>14454.558000000001</v>
      </c>
      <c r="AJ32" s="57">
        <v>10840.9185</v>
      </c>
      <c r="AK32" s="57">
        <v>6454.9</v>
      </c>
      <c r="AL32" s="57"/>
      <c r="AM32" s="57">
        <v>0.736500000115484</v>
      </c>
      <c r="AN32" s="158">
        <v>1445455.8</v>
      </c>
      <c r="AO32" s="158">
        <v>0.74</v>
      </c>
      <c r="AP32" s="158">
        <v>1445456.54</v>
      </c>
      <c r="AQ32" s="158">
        <v>320841.53999999998</v>
      </c>
      <c r="AR32" s="158">
        <v>1124615</v>
      </c>
      <c r="AS32" s="57"/>
      <c r="AT32" s="57"/>
      <c r="AU32" s="57"/>
      <c r="AV32" s="57"/>
      <c r="AW32" s="57"/>
      <c r="AX32" s="57"/>
      <c r="AY32" s="57"/>
      <c r="AZ32" s="57"/>
      <c r="BA32" s="57"/>
    </row>
    <row r="33" spans="1:53" hidden="1" x14ac:dyDescent="0.25">
      <c r="A33" s="17" t="s">
        <v>162</v>
      </c>
      <c r="B33" s="17">
        <v>20331992314</v>
      </c>
      <c r="C33" s="17" t="s">
        <v>108</v>
      </c>
      <c r="D33" s="73">
        <v>46054</v>
      </c>
      <c r="E33" t="s">
        <v>109</v>
      </c>
      <c r="F33" s="57">
        <v>959865</v>
      </c>
      <c r="G33" s="57"/>
      <c r="H33" s="57"/>
      <c r="I33" s="57"/>
      <c r="J33" s="57"/>
      <c r="K33" s="57"/>
      <c r="L33" s="57">
        <v>286188</v>
      </c>
      <c r="M33" s="57"/>
      <c r="N33" s="57"/>
      <c r="O33" s="57"/>
      <c r="P33" s="57"/>
      <c r="Q33" s="57"/>
      <c r="R33" s="57"/>
      <c r="S33" s="57">
        <v>0</v>
      </c>
      <c r="T33" s="57"/>
      <c r="U33" s="57"/>
      <c r="V33" s="57"/>
      <c r="W33" s="57"/>
      <c r="X33" s="57"/>
      <c r="Y33" s="57"/>
      <c r="Z33" s="57"/>
      <c r="AA33" s="57">
        <v>66777.2</v>
      </c>
      <c r="AB33" s="57">
        <v>120000</v>
      </c>
      <c r="AC33" s="57">
        <v>157611.32199999999</v>
      </c>
      <c r="AD33" s="57">
        <v>42984.905999999995</v>
      </c>
      <c r="AE33" s="57">
        <v>42984.905999999995</v>
      </c>
      <c r="AF33" s="57">
        <v>0</v>
      </c>
      <c r="AG33" s="57">
        <v>28656.603999999999</v>
      </c>
      <c r="AH33" s="57">
        <v>14328.302</v>
      </c>
      <c r="AI33" s="57">
        <v>14328.302</v>
      </c>
      <c r="AJ33" s="57">
        <v>10746.226499999999</v>
      </c>
      <c r="AK33" s="57"/>
      <c r="AL33" s="57"/>
      <c r="AM33" s="57">
        <v>0.36850000009872019</v>
      </c>
      <c r="AN33" s="158">
        <v>1432830.2</v>
      </c>
      <c r="AO33" s="158">
        <v>0.37</v>
      </c>
      <c r="AP33" s="158">
        <v>1432830.57</v>
      </c>
      <c r="AQ33" s="158">
        <v>311640.57</v>
      </c>
      <c r="AR33" s="158">
        <v>1121190</v>
      </c>
      <c r="AS33" s="57"/>
      <c r="AT33" s="57"/>
      <c r="AU33" s="57"/>
      <c r="AV33" s="57"/>
      <c r="AW33" s="57"/>
      <c r="AX33" s="57"/>
      <c r="AY33" s="57"/>
      <c r="AZ33" s="57"/>
      <c r="BA33" s="57"/>
    </row>
    <row r="34" spans="1:53" hidden="1" x14ac:dyDescent="0.25">
      <c r="A34" s="17" t="s">
        <v>164</v>
      </c>
      <c r="B34" s="17">
        <v>27174620410</v>
      </c>
      <c r="C34" s="17" t="s">
        <v>112</v>
      </c>
      <c r="D34" s="73">
        <v>46054</v>
      </c>
      <c r="E34" t="s">
        <v>80</v>
      </c>
      <c r="F34" s="57">
        <v>901288</v>
      </c>
      <c r="G34" s="57"/>
      <c r="H34" s="57">
        <v>68523</v>
      </c>
      <c r="I34" s="57">
        <v>35911.974666666669</v>
      </c>
      <c r="J34" s="57">
        <v>6454.9</v>
      </c>
      <c r="K34" s="57"/>
      <c r="L34" s="57">
        <v>496059.2</v>
      </c>
      <c r="M34" s="57"/>
      <c r="N34" s="57"/>
      <c r="O34" s="57"/>
      <c r="P34" s="57"/>
      <c r="Q34" s="57"/>
      <c r="R34" s="57"/>
      <c r="S34" s="57">
        <v>0</v>
      </c>
      <c r="T34" s="57"/>
      <c r="U34" s="57"/>
      <c r="V34" s="57"/>
      <c r="W34" s="57"/>
      <c r="X34" s="57"/>
      <c r="Y34" s="57"/>
      <c r="Z34" s="57"/>
      <c r="AA34" s="57"/>
      <c r="AB34" s="57">
        <v>120000</v>
      </c>
      <c r="AC34" s="57">
        <v>179106.07821333336</v>
      </c>
      <c r="AD34" s="57">
        <v>48847.112240000002</v>
      </c>
      <c r="AE34" s="57">
        <v>48847.112240000002</v>
      </c>
      <c r="AF34" s="57">
        <v>0</v>
      </c>
      <c r="AG34" s="57">
        <v>32564.741493333338</v>
      </c>
      <c r="AH34" s="57">
        <v>16282.370746666669</v>
      </c>
      <c r="AI34" s="57">
        <v>16282.370746666669</v>
      </c>
      <c r="AJ34" s="57">
        <v>12211.778060000001</v>
      </c>
      <c r="AK34" s="57">
        <v>6454.9</v>
      </c>
      <c r="AL34" s="57"/>
      <c r="AM34" s="57">
        <v>0.38907333323732018</v>
      </c>
      <c r="AN34" s="158">
        <v>1628237.07</v>
      </c>
      <c r="AO34" s="158">
        <v>0.39</v>
      </c>
      <c r="AP34" s="158">
        <v>1628237.46</v>
      </c>
      <c r="AQ34" s="158">
        <v>360596.46</v>
      </c>
      <c r="AR34" s="158">
        <v>1267641</v>
      </c>
      <c r="AS34" s="57"/>
      <c r="AT34" s="57"/>
      <c r="AU34" s="57"/>
      <c r="AV34" s="57"/>
      <c r="AW34" s="57"/>
      <c r="AX34" s="57"/>
      <c r="AY34" s="57"/>
      <c r="AZ34" s="57"/>
      <c r="BA34" s="57"/>
    </row>
    <row r="35" spans="1:53" hidden="1" x14ac:dyDescent="0.25">
      <c r="A35" s="17" t="s">
        <v>166</v>
      </c>
      <c r="B35" s="17">
        <v>20176328399</v>
      </c>
      <c r="C35" s="17" t="s">
        <v>114</v>
      </c>
      <c r="D35" s="73">
        <v>46054</v>
      </c>
      <c r="E35" t="s">
        <v>116</v>
      </c>
      <c r="F35" s="57">
        <v>1144753</v>
      </c>
      <c r="G35" s="57"/>
      <c r="H35" s="57">
        <v>56224</v>
      </c>
      <c r="I35" s="57">
        <v>33087.437333333335</v>
      </c>
      <c r="J35" s="57"/>
      <c r="K35" s="57"/>
      <c r="L35" s="57">
        <v>419742.4</v>
      </c>
      <c r="M35" s="57">
        <v>23977.4</v>
      </c>
      <c r="N35" s="57">
        <v>35501</v>
      </c>
      <c r="O35" s="57"/>
      <c r="P35" s="57"/>
      <c r="Q35" s="57"/>
      <c r="R35" s="57"/>
      <c r="S35" s="57">
        <v>0</v>
      </c>
      <c r="T35" s="57"/>
      <c r="U35" s="57"/>
      <c r="V35" s="57"/>
      <c r="W35" s="57"/>
      <c r="X35" s="57">
        <v>1713285.2373333331</v>
      </c>
      <c r="Y35" s="57">
        <v>-1713285.2373333331</v>
      </c>
      <c r="Z35" s="57"/>
      <c r="AA35" s="57">
        <v>66777.2</v>
      </c>
      <c r="AB35" s="57">
        <v>120000</v>
      </c>
      <c r="AC35" s="57">
        <v>209006.86810666663</v>
      </c>
      <c r="AD35" s="57">
        <v>57001.873119999989</v>
      </c>
      <c r="AE35" s="57">
        <v>57001.873119999989</v>
      </c>
      <c r="AF35" s="57">
        <v>0</v>
      </c>
      <c r="AG35" s="57">
        <v>38001.248746666664</v>
      </c>
      <c r="AH35" s="57">
        <v>19000.624373333332</v>
      </c>
      <c r="AI35" s="57">
        <v>19000.624373333332</v>
      </c>
      <c r="AJ35" s="57">
        <v>14250.468279999997</v>
      </c>
      <c r="AK35" s="57"/>
      <c r="AL35" s="57"/>
      <c r="AM35" s="57">
        <v>0.1427866667509079</v>
      </c>
      <c r="AN35" s="158">
        <v>1900062.44</v>
      </c>
      <c r="AO35" s="158">
        <v>0.14000000000000001</v>
      </c>
      <c r="AP35" s="158">
        <v>1900062.58</v>
      </c>
      <c r="AQ35" s="158">
        <v>413263.58</v>
      </c>
      <c r="AR35" s="158">
        <v>1486799</v>
      </c>
      <c r="AS35" s="57"/>
      <c r="AT35" s="57"/>
      <c r="AU35" s="57"/>
      <c r="AV35" s="57"/>
      <c r="AW35" s="57"/>
      <c r="AX35" s="57"/>
      <c r="AY35" s="57"/>
      <c r="AZ35" s="57"/>
      <c r="BA35" s="57"/>
    </row>
    <row r="36" spans="1:53" hidden="1" x14ac:dyDescent="0.25">
      <c r="A36" s="17" t="s">
        <v>166</v>
      </c>
      <c r="B36" s="17">
        <v>20947260481</v>
      </c>
      <c r="C36" s="17" t="s">
        <v>118</v>
      </c>
      <c r="D36" s="73">
        <v>46054</v>
      </c>
      <c r="E36" t="s">
        <v>119</v>
      </c>
      <c r="F36" s="57">
        <v>1027121</v>
      </c>
      <c r="G36" s="57"/>
      <c r="H36" s="57"/>
      <c r="I36" s="57"/>
      <c r="J36" s="57"/>
      <c r="K36" s="57"/>
      <c r="L36" s="57">
        <v>343425.60000000003</v>
      </c>
      <c r="M36" s="57"/>
      <c r="N36" s="57"/>
      <c r="O36" s="57"/>
      <c r="P36" s="57"/>
      <c r="Q36" s="57"/>
      <c r="R36" s="57"/>
      <c r="S36" s="57">
        <v>44402.37</v>
      </c>
      <c r="T36" s="57"/>
      <c r="U36" s="57">
        <v>64683.381485714293</v>
      </c>
      <c r="V36" s="57"/>
      <c r="W36" s="57"/>
      <c r="X36" s="57"/>
      <c r="Y36" s="57"/>
      <c r="Z36" s="57"/>
      <c r="AA36" s="57">
        <v>66777.2</v>
      </c>
      <c r="AB36" s="57">
        <v>120000</v>
      </c>
      <c r="AC36" s="57">
        <v>183305.05066342858</v>
      </c>
      <c r="AD36" s="57">
        <v>49992.286544571434</v>
      </c>
      <c r="AE36" s="57">
        <v>49992.286544571434</v>
      </c>
      <c r="AF36" s="57">
        <v>0</v>
      </c>
      <c r="AG36" s="57">
        <v>33328.191029714289</v>
      </c>
      <c r="AH36" s="57">
        <v>16664.095514857145</v>
      </c>
      <c r="AI36" s="57">
        <v>16664.095514857145</v>
      </c>
      <c r="AJ36" s="57">
        <v>12498.071636142859</v>
      </c>
      <c r="AK36" s="57"/>
      <c r="AL36" s="57"/>
      <c r="AM36" s="57">
        <v>0.52596242842264473</v>
      </c>
      <c r="AN36" s="158">
        <v>1666409.55</v>
      </c>
      <c r="AO36" s="158">
        <v>0.53</v>
      </c>
      <c r="AP36" s="158">
        <v>1666410.08</v>
      </c>
      <c r="AQ36" s="158">
        <v>362444.08</v>
      </c>
      <c r="AR36" s="158">
        <v>1303966</v>
      </c>
      <c r="AS36" s="57"/>
      <c r="AT36" s="57"/>
      <c r="AU36" s="57"/>
      <c r="AV36" s="57"/>
      <c r="AW36" s="57"/>
      <c r="AX36" s="57"/>
      <c r="AY36" s="57"/>
      <c r="AZ36" s="57"/>
      <c r="BA36" s="57"/>
    </row>
    <row r="37" spans="1:53" hidden="1" x14ac:dyDescent="0.25">
      <c r="A37" s="17" t="s">
        <v>166</v>
      </c>
      <c r="B37" s="17">
        <v>23250288794</v>
      </c>
      <c r="C37" s="17" t="s">
        <v>121</v>
      </c>
      <c r="D37" s="73">
        <v>46054</v>
      </c>
      <c r="E37" t="s">
        <v>98</v>
      </c>
      <c r="F37" s="57">
        <v>42878.400000000001</v>
      </c>
      <c r="G37" s="57"/>
      <c r="H37" s="57"/>
      <c r="I37" s="57"/>
      <c r="J37" s="57"/>
      <c r="K37" s="57">
        <v>0</v>
      </c>
      <c r="L37" s="57">
        <v>0</v>
      </c>
      <c r="M37" s="57"/>
      <c r="N37" s="57"/>
      <c r="O37" s="57"/>
      <c r="P37" s="57"/>
      <c r="Q37" s="57"/>
      <c r="R37" s="57"/>
      <c r="S37" s="57">
        <v>0</v>
      </c>
      <c r="T37" s="57"/>
      <c r="U37" s="57"/>
      <c r="V37" s="57"/>
      <c r="W37" s="57">
        <v>42878.400000000001</v>
      </c>
      <c r="X37" s="57"/>
      <c r="Y37" s="57"/>
      <c r="Z37" s="57"/>
      <c r="AA37" s="57"/>
      <c r="AB37" s="57">
        <v>55200</v>
      </c>
      <c r="AC37" s="57">
        <v>62671.488000000005</v>
      </c>
      <c r="AD37" s="57">
        <v>17092.224000000002</v>
      </c>
      <c r="AE37" s="57">
        <v>17092.224000000002</v>
      </c>
      <c r="AF37" s="57">
        <v>0</v>
      </c>
      <c r="AG37" s="57"/>
      <c r="AH37" s="57">
        <v>5697.4080000000004</v>
      </c>
      <c r="AI37" s="57"/>
      <c r="AJ37" s="57">
        <v>4273.0560000000005</v>
      </c>
      <c r="AK37" s="57"/>
      <c r="AL37" s="57"/>
      <c r="AM37" s="57">
        <v>0.59999999997671694</v>
      </c>
      <c r="AN37" s="158">
        <v>569740.80000000005</v>
      </c>
      <c r="AO37" s="158">
        <v>0.6</v>
      </c>
      <c r="AP37" s="158">
        <v>569741.4</v>
      </c>
      <c r="AQ37" s="158">
        <v>106826.4</v>
      </c>
      <c r="AR37" s="158">
        <v>462915</v>
      </c>
      <c r="AS37" s="57"/>
      <c r="AT37" s="57"/>
      <c r="AU37" s="57"/>
      <c r="AV37" s="57"/>
      <c r="AW37" s="57"/>
      <c r="AX37" s="57"/>
      <c r="AY37" s="57"/>
      <c r="AZ37" s="57"/>
      <c r="BA37" s="57"/>
    </row>
    <row r="38" spans="1:53" hidden="1" x14ac:dyDescent="0.25">
      <c r="A38" s="17" t="s">
        <v>172</v>
      </c>
      <c r="B38" s="17">
        <v>20942335351</v>
      </c>
      <c r="C38" s="17" t="s">
        <v>125</v>
      </c>
      <c r="D38" s="73">
        <v>46054</v>
      </c>
      <c r="E38" t="s">
        <v>116</v>
      </c>
      <c r="F38" s="57">
        <v>1049357</v>
      </c>
      <c r="G38" s="57"/>
      <c r="H38" s="57">
        <v>47439</v>
      </c>
      <c r="I38" s="57">
        <v>30262.9</v>
      </c>
      <c r="J38" s="57"/>
      <c r="K38" s="57"/>
      <c r="L38" s="57">
        <v>305267.20000000001</v>
      </c>
      <c r="M38" s="57"/>
      <c r="N38" s="57"/>
      <c r="O38" s="57"/>
      <c r="P38" s="57"/>
      <c r="Q38" s="57"/>
      <c r="R38" s="57"/>
      <c r="S38" s="57">
        <v>0</v>
      </c>
      <c r="T38" s="57"/>
      <c r="U38" s="57"/>
      <c r="V38" s="57"/>
      <c r="W38" s="57"/>
      <c r="X38" s="57"/>
      <c r="Y38" s="57"/>
      <c r="Z38" s="57"/>
      <c r="AA38" s="57">
        <v>66777.2</v>
      </c>
      <c r="AB38" s="57">
        <v>120000</v>
      </c>
      <c r="AC38" s="57">
        <v>178101.36299999998</v>
      </c>
      <c r="AD38" s="57">
        <v>48573.098999999995</v>
      </c>
      <c r="AE38" s="57">
        <v>48573.098999999995</v>
      </c>
      <c r="AF38" s="57">
        <v>0</v>
      </c>
      <c r="AG38" s="57">
        <v>32382.065999999995</v>
      </c>
      <c r="AH38" s="57">
        <v>16191.032999999998</v>
      </c>
      <c r="AI38" s="57">
        <v>16191.032999999998</v>
      </c>
      <c r="AJ38" s="57">
        <v>12143.274749999999</v>
      </c>
      <c r="AK38" s="57"/>
      <c r="AL38" s="57"/>
      <c r="AM38" s="57">
        <v>0.66775000002235174</v>
      </c>
      <c r="AN38" s="158">
        <v>1619103.3</v>
      </c>
      <c r="AO38" s="158">
        <v>0.67</v>
      </c>
      <c r="AP38" s="158">
        <v>1619103.97</v>
      </c>
      <c r="AQ38" s="158">
        <v>352154.97</v>
      </c>
      <c r="AR38" s="158">
        <v>1266949</v>
      </c>
      <c r="AS38" s="57"/>
      <c r="AT38" s="57"/>
      <c r="AU38" s="57"/>
      <c r="AV38" s="57"/>
      <c r="AW38" s="57"/>
      <c r="AX38" s="57"/>
      <c r="AY38" s="57"/>
      <c r="AZ38" s="57"/>
      <c r="BA38" s="57"/>
    </row>
    <row r="39" spans="1:53" hidden="1" x14ac:dyDescent="0.25">
      <c r="A39" s="17" t="s">
        <v>172</v>
      </c>
      <c r="B39" s="17">
        <v>24269272801</v>
      </c>
      <c r="C39" s="17" t="s">
        <v>327</v>
      </c>
      <c r="D39" s="73">
        <v>46054</v>
      </c>
      <c r="E39" t="s">
        <v>98</v>
      </c>
      <c r="F39" s="57">
        <v>42878.400000000001</v>
      </c>
      <c r="G39" s="57"/>
      <c r="H39" s="57"/>
      <c r="I39" s="57">
        <v>30262.9</v>
      </c>
      <c r="J39" s="57">
        <v>0</v>
      </c>
      <c r="K39" s="57">
        <v>0</v>
      </c>
      <c r="L39" s="57" t="e">
        <v>#NUM!</v>
      </c>
      <c r="M39" s="57">
        <v>0</v>
      </c>
      <c r="N39" s="57">
        <v>0</v>
      </c>
      <c r="O39" s="57">
        <v>0</v>
      </c>
      <c r="P39" s="57">
        <v>0</v>
      </c>
      <c r="Q39" s="57">
        <v>0</v>
      </c>
      <c r="R39" s="57">
        <v>0</v>
      </c>
      <c r="S39" s="57">
        <v>0</v>
      </c>
      <c r="T39" s="57"/>
      <c r="U39" s="57"/>
      <c r="V39" s="57"/>
      <c r="W39" s="57"/>
      <c r="X39" s="57"/>
      <c r="Y39" s="57"/>
      <c r="Z39" s="57"/>
      <c r="AA39" s="57">
        <v>0</v>
      </c>
      <c r="AB39" s="57">
        <v>0</v>
      </c>
      <c r="AC39" s="57" t="e">
        <v>#NUM!</v>
      </c>
      <c r="AD39" s="57" t="e">
        <v>#NUM!</v>
      </c>
      <c r="AE39" s="57" t="e">
        <v>#NUM!</v>
      </c>
      <c r="AF39" s="57">
        <v>0</v>
      </c>
      <c r="AG39" s="57"/>
      <c r="AH39" s="57" t="e">
        <v>#NUM!</v>
      </c>
      <c r="AI39" s="57"/>
      <c r="AJ39" s="57" t="e">
        <v>#NUM!</v>
      </c>
      <c r="AK39" s="57">
        <v>0</v>
      </c>
      <c r="AL39" s="57"/>
      <c r="AM39" s="57" t="e">
        <v>#NUM!</v>
      </c>
      <c r="AN39" s="158" t="e">
        <v>#NUM!</v>
      </c>
      <c r="AO39" s="158" t="e">
        <v>#NUM!</v>
      </c>
      <c r="AP39" s="158" t="e">
        <v>#NUM!</v>
      </c>
      <c r="AQ39" s="158" t="e">
        <v>#NUM!</v>
      </c>
      <c r="AR39" s="158" t="e">
        <v>#NUM!</v>
      </c>
      <c r="AS39" s="57"/>
      <c r="AT39" s="57"/>
      <c r="AU39" s="57"/>
      <c r="AV39" s="57"/>
      <c r="AW39" s="57"/>
      <c r="AX39" s="57"/>
      <c r="AY39" s="57"/>
      <c r="AZ39" s="57"/>
      <c r="BA39" s="57"/>
    </row>
    <row r="40" spans="1:53" hidden="1" x14ac:dyDescent="0.25">
      <c r="A40" s="17" t="s">
        <v>174</v>
      </c>
      <c r="B40" s="17">
        <v>20942347643</v>
      </c>
      <c r="C40" s="17" t="s">
        <v>128</v>
      </c>
      <c r="D40" s="73">
        <v>46054</v>
      </c>
      <c r="E40" t="s">
        <v>80</v>
      </c>
      <c r="F40" s="57">
        <v>983223</v>
      </c>
      <c r="G40" s="57"/>
      <c r="H40" s="57">
        <v>52710</v>
      </c>
      <c r="I40" s="57">
        <v>30262.9</v>
      </c>
      <c r="J40" s="57">
        <v>6454.9</v>
      </c>
      <c r="K40" s="57"/>
      <c r="L40" s="57">
        <v>286188</v>
      </c>
      <c r="M40" s="57">
        <v>23977.4</v>
      </c>
      <c r="N40" s="57"/>
      <c r="O40" s="57">
        <v>23977.4</v>
      </c>
      <c r="P40" s="57"/>
      <c r="Q40" s="57"/>
      <c r="R40" s="57">
        <v>40335.9</v>
      </c>
      <c r="S40" s="57">
        <v>0</v>
      </c>
      <c r="T40" s="57"/>
      <c r="U40" s="57"/>
      <c r="V40" s="57"/>
      <c r="W40" s="57"/>
      <c r="X40" s="57"/>
      <c r="Y40" s="57"/>
      <c r="Z40" s="57"/>
      <c r="AA40" s="57"/>
      <c r="AB40" s="57">
        <v>120000</v>
      </c>
      <c r="AC40" s="57">
        <v>172384.24499999994</v>
      </c>
      <c r="AD40" s="57">
        <v>47013.884999999987</v>
      </c>
      <c r="AE40" s="57">
        <v>47013.884999999987</v>
      </c>
      <c r="AF40" s="57">
        <v>0</v>
      </c>
      <c r="AG40" s="57">
        <v>31342.589999999993</v>
      </c>
      <c r="AH40" s="57">
        <v>15671.294999999996</v>
      </c>
      <c r="AI40" s="57">
        <v>15671.294999999996</v>
      </c>
      <c r="AJ40" s="57">
        <v>11753.471249999997</v>
      </c>
      <c r="AK40" s="57">
        <v>6454.9</v>
      </c>
      <c r="AL40" s="57">
        <v>244065.9</v>
      </c>
      <c r="AM40" s="57">
        <v>0.96625000028871</v>
      </c>
      <c r="AN40" s="158">
        <v>1567129.5</v>
      </c>
      <c r="AO40" s="158">
        <v>0.97</v>
      </c>
      <c r="AP40" s="158">
        <v>1567130.47</v>
      </c>
      <c r="AQ40" s="158">
        <v>591371.47</v>
      </c>
      <c r="AR40" s="158">
        <v>975759</v>
      </c>
      <c r="AS40" s="57"/>
      <c r="AT40" s="57"/>
      <c r="AU40" s="57"/>
      <c r="AV40" s="57"/>
      <c r="AW40" s="57"/>
      <c r="AX40" s="57"/>
      <c r="AY40" s="57"/>
      <c r="AZ40" s="57"/>
      <c r="BA40" s="57"/>
    </row>
    <row r="41" spans="1:53" hidden="1" x14ac:dyDescent="0.25">
      <c r="A41" s="17" t="s">
        <v>174</v>
      </c>
      <c r="B41" s="17">
        <v>20252571850</v>
      </c>
      <c r="C41" s="17" t="s">
        <v>130</v>
      </c>
      <c r="D41" s="73">
        <v>46054</v>
      </c>
      <c r="E41" t="s">
        <v>119</v>
      </c>
      <c r="F41" s="57">
        <v>1027121</v>
      </c>
      <c r="G41" s="57"/>
      <c r="H41" s="57"/>
      <c r="I41" s="57"/>
      <c r="J41" s="57"/>
      <c r="K41" s="57"/>
      <c r="L41" s="57">
        <v>267108.8</v>
      </c>
      <c r="M41" s="57"/>
      <c r="N41" s="57"/>
      <c r="O41" s="57"/>
      <c r="P41" s="57"/>
      <c r="Q41" s="57"/>
      <c r="R41" s="57"/>
      <c r="S41" s="57">
        <v>0</v>
      </c>
      <c r="T41" s="57">
        <v>221867.9657142857</v>
      </c>
      <c r="U41" s="57">
        <v>88747.186285714284</v>
      </c>
      <c r="V41" s="57">
        <v>310615.152</v>
      </c>
      <c r="W41" s="57"/>
      <c r="X41" s="57"/>
      <c r="Y41" s="57"/>
      <c r="Z41" s="57">
        <v>317913.38266666676</v>
      </c>
      <c r="AA41" s="57">
        <v>66777.2</v>
      </c>
      <c r="AB41" s="57">
        <v>120000</v>
      </c>
      <c r="AC41" s="57">
        <v>232048.90881333334</v>
      </c>
      <c r="AD41" s="57">
        <v>63286.066039999998</v>
      </c>
      <c r="AE41" s="57">
        <v>63286.066039999998</v>
      </c>
      <c r="AF41" s="57">
        <v>0</v>
      </c>
      <c r="AG41" s="57">
        <v>42190.710693333334</v>
      </c>
      <c r="AH41" s="57">
        <v>21095.355346666667</v>
      </c>
      <c r="AI41" s="57">
        <v>21095.355346666667</v>
      </c>
      <c r="AJ41" s="57">
        <v>15821.516509999999</v>
      </c>
      <c r="AK41" s="57"/>
      <c r="AL41" s="57"/>
      <c r="AM41" s="57">
        <v>0.44412333332002163</v>
      </c>
      <c r="AN41" s="158">
        <v>2109535.5299999998</v>
      </c>
      <c r="AO41" s="158">
        <v>0.44</v>
      </c>
      <c r="AP41" s="158">
        <v>2109535.98</v>
      </c>
      <c r="AQ41" s="158">
        <v>458823.98</v>
      </c>
      <c r="AR41" s="158">
        <v>1650712</v>
      </c>
      <c r="AS41" s="57"/>
      <c r="AT41" s="57"/>
      <c r="AU41" s="57"/>
      <c r="AV41" s="57"/>
      <c r="AW41" s="57"/>
      <c r="AX41" s="57"/>
      <c r="AY41" s="57"/>
      <c r="AZ41" s="57"/>
      <c r="BA41" s="57"/>
    </row>
    <row r="42" spans="1:53" hidden="1" x14ac:dyDescent="0.25">
      <c r="A42" s="17" t="s">
        <v>176</v>
      </c>
      <c r="B42" s="17">
        <v>23175845879</v>
      </c>
      <c r="C42" s="17" t="s">
        <v>133</v>
      </c>
      <c r="D42" s="73">
        <v>46054</v>
      </c>
      <c r="E42" t="s">
        <v>80</v>
      </c>
      <c r="F42" s="57">
        <v>983223</v>
      </c>
      <c r="G42" s="57"/>
      <c r="H42" s="57">
        <v>28112</v>
      </c>
      <c r="I42" s="57">
        <v>30262.9</v>
      </c>
      <c r="J42" s="57">
        <v>6454.9</v>
      </c>
      <c r="K42" s="57"/>
      <c r="L42" s="57">
        <v>267108.8</v>
      </c>
      <c r="M42" s="57">
        <v>23977.4</v>
      </c>
      <c r="N42" s="57"/>
      <c r="O42" s="57">
        <v>23977.4</v>
      </c>
      <c r="P42" s="57"/>
      <c r="Q42" s="57"/>
      <c r="R42" s="57">
        <v>40335.9</v>
      </c>
      <c r="S42" s="57">
        <v>0</v>
      </c>
      <c r="T42" s="57">
        <v>368406.22874999989</v>
      </c>
      <c r="U42" s="57">
        <v>84207.137999999977</v>
      </c>
      <c r="V42" s="57">
        <v>452613.36674999987</v>
      </c>
      <c r="W42" s="57"/>
      <c r="X42" s="57"/>
      <c r="Y42" s="57"/>
      <c r="Z42" s="57"/>
      <c r="AA42" s="57"/>
      <c r="AB42" s="57">
        <v>120000</v>
      </c>
      <c r="AC42" s="57">
        <v>217367.22334249996</v>
      </c>
      <c r="AD42" s="57">
        <v>59281.970002499984</v>
      </c>
      <c r="AE42" s="57">
        <v>59281.970002499984</v>
      </c>
      <c r="AF42" s="57">
        <v>0</v>
      </c>
      <c r="AG42" s="57">
        <v>39521.313334999992</v>
      </c>
      <c r="AH42" s="57">
        <v>19760.656667499996</v>
      </c>
      <c r="AI42" s="57">
        <v>19760.656667499996</v>
      </c>
      <c r="AJ42" s="57">
        <v>14820.492500624996</v>
      </c>
      <c r="AK42" s="57">
        <v>6454.9</v>
      </c>
      <c r="AL42" s="57"/>
      <c r="AM42" s="57">
        <v>0.51576812518760562</v>
      </c>
      <c r="AN42" s="158">
        <v>1976065.67</v>
      </c>
      <c r="AO42" s="158">
        <v>0.52</v>
      </c>
      <c r="AP42" s="158">
        <v>1976066.18</v>
      </c>
      <c r="AQ42" s="158">
        <v>436249.18</v>
      </c>
      <c r="AR42" s="158">
        <v>1539817</v>
      </c>
      <c r="AS42" s="57"/>
      <c r="AT42" s="57"/>
      <c r="AU42" s="57"/>
      <c r="AV42" s="57"/>
      <c r="AW42" s="57"/>
      <c r="AX42" s="57"/>
      <c r="AY42" s="57"/>
      <c r="AZ42" s="57"/>
      <c r="BA42" s="57"/>
    </row>
    <row r="43" spans="1:53" hidden="1" x14ac:dyDescent="0.25">
      <c r="A43" s="17" t="s">
        <v>147</v>
      </c>
      <c r="B43" s="17">
        <v>20360647774</v>
      </c>
      <c r="C43" s="17" t="s">
        <v>89</v>
      </c>
      <c r="D43" s="73">
        <v>46082</v>
      </c>
      <c r="E43" t="s">
        <v>90</v>
      </c>
      <c r="F43" s="57">
        <v>535735</v>
      </c>
      <c r="G43" s="57"/>
      <c r="H43" s="57">
        <v>14295.2</v>
      </c>
      <c r="I43" s="57">
        <v>30777.3</v>
      </c>
      <c r="J43" s="57"/>
      <c r="K43" s="57"/>
      <c r="L43" s="57">
        <v>232843.19999999998</v>
      </c>
      <c r="M43" s="57"/>
      <c r="N43" s="57"/>
      <c r="O43" s="57"/>
      <c r="P43" s="57"/>
      <c r="Q43" s="57"/>
      <c r="R43" s="57"/>
      <c r="S43" s="57">
        <v>0</v>
      </c>
      <c r="T43" s="57"/>
      <c r="U43" s="57"/>
      <c r="V43" s="57"/>
      <c r="W43" s="57"/>
      <c r="X43" s="57"/>
      <c r="Y43" s="57"/>
      <c r="Z43" s="57"/>
      <c r="AA43" s="57">
        <v>67912.5</v>
      </c>
      <c r="AB43" s="57">
        <v>60000</v>
      </c>
      <c r="AC43" s="57">
        <v>103571.95199999999</v>
      </c>
      <c r="AD43" s="57">
        <v>28246.895999999997</v>
      </c>
      <c r="AE43" s="57">
        <v>28246.895999999997</v>
      </c>
      <c r="AF43" s="57">
        <v>3768.9840000000004</v>
      </c>
      <c r="AG43" s="57">
        <v>18831.263999999999</v>
      </c>
      <c r="AH43" s="57">
        <v>9415.6319999999996</v>
      </c>
      <c r="AI43" s="57">
        <v>9415.6319999999996</v>
      </c>
      <c r="AJ43" s="57">
        <v>7061.7239999999993</v>
      </c>
      <c r="AK43" s="57"/>
      <c r="AL43" s="57"/>
      <c r="AM43" s="57">
        <v>0.78000000002793968</v>
      </c>
      <c r="AN43" s="158">
        <v>941563.2</v>
      </c>
      <c r="AO43" s="158">
        <v>0.78</v>
      </c>
      <c r="AP43" s="158">
        <v>941563.98</v>
      </c>
      <c r="AQ43" s="158">
        <v>208558.98</v>
      </c>
      <c r="AR43" s="166">
        <v>733005</v>
      </c>
      <c r="AS43" s="57"/>
      <c r="AT43" s="57"/>
      <c r="AU43" s="57"/>
      <c r="AV43" s="57"/>
      <c r="AW43" s="57"/>
      <c r="AX43" s="57"/>
      <c r="AY43" s="57"/>
      <c r="AZ43" s="57"/>
      <c r="BA43" s="57"/>
    </row>
    <row r="44" spans="1:53" hidden="1" x14ac:dyDescent="0.25">
      <c r="A44" s="17" t="s">
        <v>152</v>
      </c>
      <c r="B44" s="17">
        <v>20175464299</v>
      </c>
      <c r="C44" s="17" t="s">
        <v>93</v>
      </c>
      <c r="D44" s="73">
        <v>46082</v>
      </c>
      <c r="E44" t="s">
        <v>80</v>
      </c>
      <c r="F44" s="57">
        <v>999938</v>
      </c>
      <c r="G44" s="57"/>
      <c r="H44" s="57">
        <v>42885.600000000006</v>
      </c>
      <c r="I44" s="57">
        <v>30777.3</v>
      </c>
      <c r="J44" s="57">
        <v>6564.6</v>
      </c>
      <c r="K44" s="57"/>
      <c r="L44" s="57">
        <v>349264.8</v>
      </c>
      <c r="M44" s="57"/>
      <c r="N44" s="57"/>
      <c r="O44" s="57"/>
      <c r="P44" s="57"/>
      <c r="Q44" s="57"/>
      <c r="R44" s="57"/>
      <c r="S44" s="57">
        <v>0</v>
      </c>
      <c r="T44" s="57"/>
      <c r="U44" s="57"/>
      <c r="V44" s="57"/>
      <c r="W44" s="57"/>
      <c r="X44" s="57"/>
      <c r="Y44" s="57"/>
      <c r="Z44" s="57">
        <v>142943.03</v>
      </c>
      <c r="AA44" s="57"/>
      <c r="AB44" s="57">
        <v>120000</v>
      </c>
      <c r="AC44" s="57">
        <v>186161.06630000001</v>
      </c>
      <c r="AD44" s="57">
        <v>50771.1999</v>
      </c>
      <c r="AE44" s="57">
        <v>50771.1999</v>
      </c>
      <c r="AF44" s="57">
        <v>0</v>
      </c>
      <c r="AG44" s="57">
        <v>33847.4666</v>
      </c>
      <c r="AH44" s="57">
        <v>16923.7333</v>
      </c>
      <c r="AI44" s="57">
        <v>16923.7333</v>
      </c>
      <c r="AJ44" s="57">
        <v>12692.799975</v>
      </c>
      <c r="AK44" s="57">
        <v>6564.6</v>
      </c>
      <c r="AL44" s="57"/>
      <c r="AM44" s="57">
        <v>0.46927500003948808</v>
      </c>
      <c r="AN44" s="158">
        <v>1692373.33</v>
      </c>
      <c r="AO44" s="158">
        <v>0.47</v>
      </c>
      <c r="AP44" s="158">
        <v>1692373.8</v>
      </c>
      <c r="AQ44" s="158">
        <v>374655.8</v>
      </c>
      <c r="AR44" s="166">
        <v>1317718</v>
      </c>
      <c r="AS44" s="57"/>
      <c r="AT44" s="57"/>
      <c r="AU44" s="57"/>
      <c r="AV44" s="57"/>
      <c r="AW44" s="57"/>
      <c r="AX44" s="57"/>
      <c r="AY44" s="57"/>
      <c r="AZ44" s="57"/>
      <c r="BA44" s="57"/>
    </row>
    <row r="45" spans="1:53" hidden="1" x14ac:dyDescent="0.25">
      <c r="A45" s="17" t="s">
        <v>155</v>
      </c>
      <c r="B45" s="17">
        <v>23289923934</v>
      </c>
      <c r="C45" s="17" t="s">
        <v>96</v>
      </c>
      <c r="D45" s="73">
        <v>46082</v>
      </c>
      <c r="E45" t="s">
        <v>90</v>
      </c>
      <c r="F45" s="57">
        <v>535735</v>
      </c>
      <c r="G45" s="57"/>
      <c r="H45" s="57">
        <v>12508.300000000001</v>
      </c>
      <c r="I45" s="57">
        <v>30777.3</v>
      </c>
      <c r="J45" s="57"/>
      <c r="K45" s="57"/>
      <c r="L45" s="57">
        <v>38807.199999999997</v>
      </c>
      <c r="M45" s="57"/>
      <c r="N45" s="57"/>
      <c r="O45" s="57"/>
      <c r="P45" s="57"/>
      <c r="Q45" s="57"/>
      <c r="R45" s="57"/>
      <c r="S45" s="57">
        <v>0</v>
      </c>
      <c r="T45" s="57"/>
      <c r="U45" s="57"/>
      <c r="V45" s="57"/>
      <c r="W45" s="57">
        <v>46142.512000000002</v>
      </c>
      <c r="X45" s="57"/>
      <c r="Y45" s="57"/>
      <c r="Z45" s="57"/>
      <c r="AA45" s="57">
        <v>67912.5</v>
      </c>
      <c r="AB45" s="57">
        <v>60000</v>
      </c>
      <c r="AC45" s="57">
        <v>87107.109320000003</v>
      </c>
      <c r="AD45" s="57">
        <v>23756.484359999999</v>
      </c>
      <c r="AE45" s="57">
        <v>23756.484359999999</v>
      </c>
      <c r="AF45" s="57">
        <v>9714.6656400000029</v>
      </c>
      <c r="AG45" s="57">
        <v>15837.65624</v>
      </c>
      <c r="AH45" s="57">
        <v>7918.8281200000001</v>
      </c>
      <c r="AI45" s="57">
        <v>7918.8281200000001</v>
      </c>
      <c r="AJ45" s="57">
        <v>5939.1210899999996</v>
      </c>
      <c r="AK45" s="57"/>
      <c r="AL45" s="57"/>
      <c r="AM45" s="57">
        <v>0.36524999991524965</v>
      </c>
      <c r="AN45" s="158">
        <v>791882.81</v>
      </c>
      <c r="AO45" s="158">
        <v>0.37</v>
      </c>
      <c r="AP45" s="158">
        <v>791883.18</v>
      </c>
      <c r="AQ45" s="158">
        <v>181949.18</v>
      </c>
      <c r="AR45" s="166">
        <v>609934</v>
      </c>
      <c r="AS45" s="57"/>
      <c r="AT45" s="57"/>
      <c r="AU45" s="57"/>
      <c r="AV45" s="57"/>
      <c r="AW45" s="57"/>
      <c r="AX45" s="57"/>
      <c r="AY45" s="57"/>
      <c r="AZ45" s="57"/>
      <c r="BA45" s="57"/>
    </row>
    <row r="46" spans="1:53" hidden="1" x14ac:dyDescent="0.25">
      <c r="A46" s="17" t="s">
        <v>155</v>
      </c>
      <c r="B46" s="17">
        <v>24269272801</v>
      </c>
      <c r="C46" s="17" t="s">
        <v>327</v>
      </c>
      <c r="D46" s="73">
        <v>46082</v>
      </c>
      <c r="E46" t="s">
        <v>98</v>
      </c>
      <c r="F46" s="57">
        <v>43607.3</v>
      </c>
      <c r="G46" s="57"/>
      <c r="H46" s="57"/>
      <c r="I46" s="57">
        <v>0</v>
      </c>
      <c r="J46" s="57">
        <v>0</v>
      </c>
      <c r="K46" s="57">
        <v>0</v>
      </c>
      <c r="L46" s="57" t="e">
        <v>#NUM!</v>
      </c>
      <c r="M46" s="57">
        <v>0</v>
      </c>
      <c r="N46" s="57">
        <v>0</v>
      </c>
      <c r="O46" s="57">
        <v>0</v>
      </c>
      <c r="P46" s="57">
        <v>0</v>
      </c>
      <c r="Q46" s="57">
        <v>0</v>
      </c>
      <c r="R46" s="57">
        <v>0</v>
      </c>
      <c r="S46" s="57">
        <v>0</v>
      </c>
      <c r="T46" s="57"/>
      <c r="U46" s="57"/>
      <c r="V46" s="57"/>
      <c r="W46" s="57"/>
      <c r="X46" s="57"/>
      <c r="Y46" s="57"/>
      <c r="Z46" s="57"/>
      <c r="AA46" s="57">
        <v>0</v>
      </c>
      <c r="AB46" s="57">
        <v>0</v>
      </c>
      <c r="AC46" s="57" t="e">
        <v>#NUM!</v>
      </c>
      <c r="AD46" s="57" t="e">
        <v>#NUM!</v>
      </c>
      <c r="AE46" s="57" t="e">
        <v>#NUM!</v>
      </c>
      <c r="AF46" s="57">
        <v>0</v>
      </c>
      <c r="AG46" s="57"/>
      <c r="AH46" s="57" t="e">
        <v>#NUM!</v>
      </c>
      <c r="AI46" s="57"/>
      <c r="AJ46" s="57" t="e">
        <v>#NUM!</v>
      </c>
      <c r="AK46" s="57">
        <v>0</v>
      </c>
      <c r="AL46" s="57"/>
      <c r="AM46" s="57" t="e">
        <v>#NUM!</v>
      </c>
      <c r="AN46" s="158" t="e">
        <v>#NUM!</v>
      </c>
      <c r="AO46" s="158" t="e">
        <v>#NUM!</v>
      </c>
      <c r="AP46" s="158" t="e">
        <v>#NUM!</v>
      </c>
      <c r="AQ46" s="158" t="e">
        <v>#NUM!</v>
      </c>
      <c r="AR46" s="158" t="e">
        <v>#NUM!</v>
      </c>
      <c r="AS46" s="57"/>
      <c r="AT46" s="57"/>
      <c r="AU46" s="57"/>
      <c r="AV46" s="57"/>
      <c r="AW46" s="57"/>
      <c r="AX46" s="57"/>
      <c r="AY46" s="57"/>
      <c r="AZ46" s="57"/>
      <c r="BA46" s="57"/>
    </row>
    <row r="47" spans="1:53" hidden="1" x14ac:dyDescent="0.25">
      <c r="A47" s="17" t="s">
        <v>158</v>
      </c>
      <c r="B47" s="17">
        <v>20204210749</v>
      </c>
      <c r="C47" s="17" t="s">
        <v>99</v>
      </c>
      <c r="D47" s="73">
        <v>46082</v>
      </c>
      <c r="E47" t="s">
        <v>80</v>
      </c>
      <c r="F47" s="57">
        <v>999938</v>
      </c>
      <c r="G47" s="57"/>
      <c r="H47" s="57">
        <v>32164.2</v>
      </c>
      <c r="I47" s="57">
        <v>30777.3</v>
      </c>
      <c r="J47" s="57">
        <v>6564.6</v>
      </c>
      <c r="K47" s="57"/>
      <c r="L47" s="57">
        <v>465686.39999999997</v>
      </c>
      <c r="M47" s="57"/>
      <c r="N47" s="57"/>
      <c r="O47" s="57"/>
      <c r="P47" s="57"/>
      <c r="Q47" s="57"/>
      <c r="R47" s="57"/>
      <c r="S47" s="57">
        <v>0</v>
      </c>
      <c r="T47" s="57"/>
      <c r="U47" s="57"/>
      <c r="V47" s="57"/>
      <c r="W47" s="57"/>
      <c r="X47" s="57"/>
      <c r="Y47" s="57"/>
      <c r="Z47" s="57"/>
      <c r="AA47" s="57"/>
      <c r="AB47" s="57">
        <v>120000</v>
      </c>
      <c r="AC47" s="57">
        <v>182064.35500000001</v>
      </c>
      <c r="AD47" s="57">
        <v>49653.915000000001</v>
      </c>
      <c r="AE47" s="57">
        <v>49653.915000000001</v>
      </c>
      <c r="AF47" s="57">
        <v>0</v>
      </c>
      <c r="AG47" s="57">
        <v>33102.61</v>
      </c>
      <c r="AH47" s="57">
        <v>16551.305</v>
      </c>
      <c r="AI47" s="57">
        <v>16551.305</v>
      </c>
      <c r="AJ47" s="57">
        <v>12413.47875</v>
      </c>
      <c r="AK47" s="57">
        <v>6564.6</v>
      </c>
      <c r="AL47" s="57"/>
      <c r="AM47" s="57">
        <v>0.98374999989755452</v>
      </c>
      <c r="AN47" s="158">
        <v>1655130.5</v>
      </c>
      <c r="AO47" s="158">
        <v>0.98</v>
      </c>
      <c r="AP47" s="158">
        <v>1655131.48</v>
      </c>
      <c r="AQ47" s="158">
        <v>366555.48</v>
      </c>
      <c r="AR47" s="166">
        <v>1288576</v>
      </c>
      <c r="AS47" s="57"/>
      <c r="AT47" s="57"/>
      <c r="AU47" s="57"/>
      <c r="AV47" s="57"/>
      <c r="AW47" s="57"/>
      <c r="AX47" s="57"/>
      <c r="AY47" s="57"/>
      <c r="AZ47" s="57"/>
      <c r="BA47" s="57"/>
    </row>
    <row r="48" spans="1:53" hidden="1" x14ac:dyDescent="0.25">
      <c r="A48" s="17" t="s">
        <v>162</v>
      </c>
      <c r="B48" s="17">
        <v>20275890074</v>
      </c>
      <c r="C48" s="17" t="s">
        <v>104</v>
      </c>
      <c r="D48" s="73">
        <v>46082</v>
      </c>
      <c r="E48" t="s">
        <v>80</v>
      </c>
      <c r="F48" s="57">
        <v>999938</v>
      </c>
      <c r="G48" s="57"/>
      <c r="H48" s="57">
        <v>19655.900000000001</v>
      </c>
      <c r="I48" s="57">
        <v>30777.3</v>
      </c>
      <c r="J48" s="57">
        <v>6564.6</v>
      </c>
      <c r="K48" s="57"/>
      <c r="L48" s="57">
        <v>291054</v>
      </c>
      <c r="M48" s="57"/>
      <c r="N48" s="57"/>
      <c r="O48" s="57"/>
      <c r="P48" s="57"/>
      <c r="Q48" s="57"/>
      <c r="R48" s="57"/>
      <c r="S48" s="57">
        <v>0</v>
      </c>
      <c r="T48" s="57">
        <v>758244.26250000007</v>
      </c>
      <c r="U48" s="57"/>
      <c r="V48" s="57"/>
      <c r="W48" s="57"/>
      <c r="X48" s="57"/>
      <c r="Y48" s="57"/>
      <c r="Z48" s="57"/>
      <c r="AA48" s="57"/>
      <c r="AB48" s="57">
        <v>120000</v>
      </c>
      <c r="AC48" s="57">
        <v>244885.74687500001</v>
      </c>
      <c r="AD48" s="57">
        <v>66787.021874999991</v>
      </c>
      <c r="AE48" s="57">
        <v>66787.021874999991</v>
      </c>
      <c r="AF48" s="57">
        <v>0</v>
      </c>
      <c r="AG48" s="57">
        <v>44524.681250000001</v>
      </c>
      <c r="AH48" s="57">
        <v>22262.340625000001</v>
      </c>
      <c r="AI48" s="57">
        <v>22262.340625000001</v>
      </c>
      <c r="AJ48" s="57">
        <v>16696.755468749998</v>
      </c>
      <c r="AK48" s="57">
        <v>6564.6</v>
      </c>
      <c r="AL48" s="57"/>
      <c r="AM48" s="57">
        <v>0.44609374995343387</v>
      </c>
      <c r="AN48" s="158">
        <v>2226234.06</v>
      </c>
      <c r="AO48" s="158">
        <v>0.45</v>
      </c>
      <c r="AP48" s="158">
        <v>2226234.5099999998</v>
      </c>
      <c r="AQ48" s="158">
        <v>490770.51</v>
      </c>
      <c r="AR48" s="166">
        <v>1735464</v>
      </c>
      <c r="AS48" s="57"/>
      <c r="AT48" s="57"/>
      <c r="AU48" s="57"/>
      <c r="AV48" s="57"/>
      <c r="AW48" s="57"/>
      <c r="AX48" s="57"/>
      <c r="AY48" s="57"/>
      <c r="AZ48" s="57"/>
      <c r="BA48" s="57"/>
    </row>
    <row r="49" spans="1:53" hidden="1" x14ac:dyDescent="0.25">
      <c r="A49" s="17" t="s">
        <v>164</v>
      </c>
      <c r="B49" s="17">
        <v>27174620410</v>
      </c>
      <c r="C49" s="17" t="s">
        <v>112</v>
      </c>
      <c r="D49" s="73">
        <v>46082</v>
      </c>
      <c r="E49" t="s">
        <v>80</v>
      </c>
      <c r="F49" s="57">
        <v>916610</v>
      </c>
      <c r="G49" s="57"/>
      <c r="H49" s="57">
        <v>69689.100000000006</v>
      </c>
      <c r="I49" s="57">
        <v>36522.396000000001</v>
      </c>
      <c r="J49" s="57">
        <v>6564.6</v>
      </c>
      <c r="K49" s="57"/>
      <c r="L49" s="57">
        <v>504493.6</v>
      </c>
      <c r="M49" s="57"/>
      <c r="N49" s="57"/>
      <c r="O49" s="57"/>
      <c r="P49" s="57"/>
      <c r="Q49" s="57"/>
      <c r="R49" s="57"/>
      <c r="S49" s="57">
        <v>0</v>
      </c>
      <c r="T49" s="57"/>
      <c r="U49" s="57"/>
      <c r="V49" s="57"/>
      <c r="W49" s="57"/>
      <c r="X49" s="57"/>
      <c r="Y49" s="57"/>
      <c r="Z49" s="57"/>
      <c r="AA49" s="57"/>
      <c r="AB49" s="57">
        <v>120000</v>
      </c>
      <c r="AC49" s="57">
        <v>181926.76655999999</v>
      </c>
      <c r="AD49" s="57">
        <v>49616.390879999999</v>
      </c>
      <c r="AE49" s="57">
        <v>49616.390879999999</v>
      </c>
      <c r="AF49" s="57">
        <v>0</v>
      </c>
      <c r="AG49" s="57">
        <v>33077.593919999999</v>
      </c>
      <c r="AH49" s="57">
        <v>16538.79696</v>
      </c>
      <c r="AI49" s="57">
        <v>16538.79696</v>
      </c>
      <c r="AJ49" s="57">
        <v>12404.09772</v>
      </c>
      <c r="AK49" s="57">
        <v>6564.6</v>
      </c>
      <c r="AL49" s="57"/>
      <c r="AM49" s="57">
        <v>0.73787999991327524</v>
      </c>
      <c r="AN49" s="158">
        <v>1653879.7</v>
      </c>
      <c r="AO49" s="158">
        <v>0.74</v>
      </c>
      <c r="AP49" s="158">
        <v>1653880.43</v>
      </c>
      <c r="AQ49" s="158">
        <v>366283.43</v>
      </c>
      <c r="AR49" s="167">
        <v>1287597</v>
      </c>
      <c r="AS49" s="57"/>
      <c r="AT49" s="57"/>
      <c r="AU49" s="57"/>
      <c r="AV49" s="57"/>
      <c r="AW49" s="57"/>
      <c r="AX49" s="57"/>
      <c r="AY49" s="57"/>
      <c r="AZ49" s="57"/>
      <c r="BA49" s="57"/>
    </row>
    <row r="50" spans="1:53" hidden="1" x14ac:dyDescent="0.25">
      <c r="A50" s="17" t="s">
        <v>166</v>
      </c>
      <c r="B50" s="17">
        <v>20176328399</v>
      </c>
      <c r="C50" s="17" t="s">
        <v>114</v>
      </c>
      <c r="D50" s="73">
        <v>46082</v>
      </c>
      <c r="E50" t="s">
        <v>116</v>
      </c>
      <c r="F50" s="57">
        <v>1164214</v>
      </c>
      <c r="G50" s="57"/>
      <c r="H50" s="57">
        <v>57180.800000000003</v>
      </c>
      <c r="I50" s="57">
        <v>33649.847999999998</v>
      </c>
      <c r="J50" s="57"/>
      <c r="K50" s="57"/>
      <c r="L50" s="57">
        <v>426879.19999999995</v>
      </c>
      <c r="M50" s="57">
        <v>24385</v>
      </c>
      <c r="N50" s="57">
        <v>36104.6</v>
      </c>
      <c r="O50" s="57"/>
      <c r="P50" s="57"/>
      <c r="Q50" s="57"/>
      <c r="R50" s="57"/>
      <c r="S50" s="57">
        <v>0</v>
      </c>
      <c r="T50" s="57"/>
      <c r="U50" s="57"/>
      <c r="V50" s="57"/>
      <c r="W50" s="57"/>
      <c r="X50" s="57"/>
      <c r="Y50" s="57"/>
      <c r="Z50" s="57"/>
      <c r="AA50" s="57">
        <v>67912.5</v>
      </c>
      <c r="AB50" s="57">
        <v>120000</v>
      </c>
      <c r="AC50" s="57">
        <v>212335.85428</v>
      </c>
      <c r="AD50" s="57">
        <v>57909.778440000002</v>
      </c>
      <c r="AE50" s="57">
        <v>57909.778440000002</v>
      </c>
      <c r="AF50" s="57">
        <v>0</v>
      </c>
      <c r="AG50" s="57">
        <v>38606.518960000001</v>
      </c>
      <c r="AH50" s="57">
        <v>19303.259480000001</v>
      </c>
      <c r="AI50" s="57">
        <v>19303.259480000001</v>
      </c>
      <c r="AJ50" s="57">
        <v>14477.44461</v>
      </c>
      <c r="AK50" s="57"/>
      <c r="AL50" s="57"/>
      <c r="AM50" s="57">
        <v>0.9456899999640882</v>
      </c>
      <c r="AN50" s="158">
        <v>1930325.95</v>
      </c>
      <c r="AO50" s="158">
        <v>0.95</v>
      </c>
      <c r="AP50" s="158">
        <v>1930326.89</v>
      </c>
      <c r="AQ50" s="158">
        <v>419845.89</v>
      </c>
      <c r="AR50" s="167">
        <v>1510481</v>
      </c>
      <c r="AS50" s="57"/>
      <c r="AT50" s="57"/>
      <c r="AU50" s="57"/>
      <c r="AV50" s="57"/>
      <c r="AW50" s="57"/>
      <c r="AX50" s="57"/>
      <c r="AY50" s="57"/>
      <c r="AZ50" s="57"/>
      <c r="BA50" s="57"/>
    </row>
    <row r="51" spans="1:53" hidden="1" x14ac:dyDescent="0.25">
      <c r="A51" s="17" t="s">
        <v>166</v>
      </c>
      <c r="B51" s="17">
        <v>20947260481</v>
      </c>
      <c r="C51" s="17" t="s">
        <v>118</v>
      </c>
      <c r="D51" s="73">
        <v>46082</v>
      </c>
      <c r="E51" t="s">
        <v>119</v>
      </c>
      <c r="F51" s="57">
        <v>1044582</v>
      </c>
      <c r="G51" s="57"/>
      <c r="H51" s="57"/>
      <c r="I51" s="57"/>
      <c r="J51" s="57"/>
      <c r="K51" s="57"/>
      <c r="L51" s="57">
        <v>349264.8</v>
      </c>
      <c r="M51" s="57"/>
      <c r="N51" s="57"/>
      <c r="O51" s="57"/>
      <c r="P51" s="57"/>
      <c r="Q51" s="57"/>
      <c r="R51" s="57"/>
      <c r="S51" s="57">
        <v>45157.21</v>
      </c>
      <c r="T51" s="57"/>
      <c r="U51" s="57">
        <v>82228.800571428568</v>
      </c>
      <c r="V51" s="57"/>
      <c r="W51" s="57"/>
      <c r="X51" s="57"/>
      <c r="Y51" s="57"/>
      <c r="Z51" s="57"/>
      <c r="AA51" s="57">
        <v>67912.5</v>
      </c>
      <c r="AB51" s="57">
        <v>120000</v>
      </c>
      <c r="AC51" s="57">
        <v>188005.98416285714</v>
      </c>
      <c r="AD51" s="57">
        <v>51274.359317142858</v>
      </c>
      <c r="AE51" s="57">
        <v>51274.359317142858</v>
      </c>
      <c r="AF51" s="57">
        <v>0</v>
      </c>
      <c r="AG51" s="57">
        <v>34182.90621142857</v>
      </c>
      <c r="AH51" s="57">
        <v>17091.453105714285</v>
      </c>
      <c r="AI51" s="57">
        <v>17091.453105714285</v>
      </c>
      <c r="AJ51" s="57">
        <v>12818.589829285715</v>
      </c>
      <c r="AK51" s="57"/>
      <c r="AL51" s="57"/>
      <c r="AM51" s="57">
        <v>0.79447785718366504</v>
      </c>
      <c r="AN51" s="158">
        <v>1709145.31</v>
      </c>
      <c r="AO51" s="158">
        <v>0.79</v>
      </c>
      <c r="AP51" s="158">
        <v>1709146.11</v>
      </c>
      <c r="AQ51" s="158">
        <v>371739.11</v>
      </c>
      <c r="AR51" s="167">
        <v>1337407</v>
      </c>
      <c r="AS51" s="57"/>
      <c r="AT51" s="57"/>
      <c r="AU51" s="57"/>
      <c r="AV51" s="57"/>
      <c r="AW51" s="57"/>
      <c r="AX51" s="57"/>
      <c r="AY51" s="57"/>
      <c r="AZ51" s="57"/>
      <c r="BA51" s="57"/>
    </row>
    <row r="52" spans="1:53" hidden="1" x14ac:dyDescent="0.25">
      <c r="A52" s="17" t="s">
        <v>166</v>
      </c>
      <c r="B52" s="17">
        <v>23250288794</v>
      </c>
      <c r="C52" s="17" t="s">
        <v>121</v>
      </c>
      <c r="D52" s="73">
        <v>46082</v>
      </c>
      <c r="E52" t="s">
        <v>98</v>
      </c>
      <c r="F52" s="57">
        <v>43607.3</v>
      </c>
      <c r="G52" s="57"/>
      <c r="H52" s="57"/>
      <c r="I52" s="57"/>
      <c r="J52" s="57"/>
      <c r="K52" s="57">
        <v>0</v>
      </c>
      <c r="L52" s="57">
        <v>0</v>
      </c>
      <c r="M52" s="57"/>
      <c r="N52" s="57"/>
      <c r="O52" s="57"/>
      <c r="P52" s="57"/>
      <c r="Q52" s="57"/>
      <c r="R52" s="57"/>
      <c r="S52" s="57">
        <v>0</v>
      </c>
      <c r="T52" s="57"/>
      <c r="U52" s="57"/>
      <c r="V52" s="57"/>
      <c r="W52" s="57">
        <v>43607.3</v>
      </c>
      <c r="X52" s="57"/>
      <c r="Y52" s="57"/>
      <c r="Z52" s="57"/>
      <c r="AA52" s="57"/>
      <c r="AB52" s="57">
        <v>62400</v>
      </c>
      <c r="AC52" s="57">
        <v>71620.840500000006</v>
      </c>
      <c r="AD52" s="57">
        <v>19532.9565</v>
      </c>
      <c r="AE52" s="57">
        <v>19532.9565</v>
      </c>
      <c r="AF52" s="57">
        <v>0</v>
      </c>
      <c r="AG52" s="57"/>
      <c r="AH52" s="57">
        <v>6510.9855000000007</v>
      </c>
      <c r="AI52" s="57"/>
      <c r="AJ52" s="57">
        <v>4883.2391250000001</v>
      </c>
      <c r="AK52" s="57"/>
      <c r="AL52" s="57"/>
      <c r="AM52" s="57">
        <v>0.42812499997671694</v>
      </c>
      <c r="AN52" s="158">
        <v>651098.55000000005</v>
      </c>
      <c r="AO52" s="158">
        <v>0.43</v>
      </c>
      <c r="AP52" s="158">
        <v>651098.98</v>
      </c>
      <c r="AQ52" s="158">
        <v>122080.98</v>
      </c>
      <c r="AR52" s="167">
        <v>529018</v>
      </c>
      <c r="AS52" s="57"/>
      <c r="AT52" s="57"/>
      <c r="AU52" s="57"/>
      <c r="AV52" s="57"/>
      <c r="AW52" s="57"/>
      <c r="AX52" s="57"/>
      <c r="AY52" s="57"/>
      <c r="AZ52" s="57"/>
      <c r="BA52" s="57"/>
    </row>
    <row r="53" spans="1:53" hidden="1" x14ac:dyDescent="0.25">
      <c r="A53" s="17" t="s">
        <v>172</v>
      </c>
      <c r="B53" s="17">
        <v>24269272801</v>
      </c>
      <c r="C53" s="17" t="s">
        <v>327</v>
      </c>
      <c r="D53" s="73">
        <v>46082</v>
      </c>
      <c r="E53" t="s">
        <v>98</v>
      </c>
      <c r="F53" s="57">
        <v>43607.3</v>
      </c>
      <c r="G53" s="57"/>
      <c r="H53" s="57"/>
      <c r="I53" s="57">
        <v>0</v>
      </c>
      <c r="J53" s="57">
        <v>0</v>
      </c>
      <c r="K53" s="57">
        <v>0</v>
      </c>
      <c r="L53" s="57" t="e">
        <v>#NUM!</v>
      </c>
      <c r="M53" s="57">
        <v>0</v>
      </c>
      <c r="N53" s="57">
        <v>0</v>
      </c>
      <c r="O53" s="57">
        <v>0</v>
      </c>
      <c r="P53" s="57">
        <v>0</v>
      </c>
      <c r="Q53" s="57">
        <v>0</v>
      </c>
      <c r="R53" s="57">
        <v>0</v>
      </c>
      <c r="S53" s="57">
        <v>0</v>
      </c>
      <c r="T53" s="57"/>
      <c r="U53" s="57"/>
      <c r="V53" s="57"/>
      <c r="W53" s="57"/>
      <c r="X53" s="57"/>
      <c r="Y53" s="57"/>
      <c r="Z53" s="57"/>
      <c r="AA53" s="57">
        <v>0</v>
      </c>
      <c r="AB53" s="57">
        <v>0</v>
      </c>
      <c r="AC53" s="57" t="e">
        <v>#NUM!</v>
      </c>
      <c r="AD53" s="57" t="e">
        <v>#NUM!</v>
      </c>
      <c r="AE53" s="57" t="e">
        <v>#NUM!</v>
      </c>
      <c r="AF53" s="57">
        <v>0</v>
      </c>
      <c r="AG53" s="57"/>
      <c r="AH53" s="57" t="e">
        <v>#NUM!</v>
      </c>
      <c r="AI53" s="57"/>
      <c r="AJ53" s="57" t="e">
        <v>#NUM!</v>
      </c>
      <c r="AK53" s="57">
        <v>0</v>
      </c>
      <c r="AL53" s="57"/>
      <c r="AM53" s="57" t="e">
        <v>#NUM!</v>
      </c>
      <c r="AN53" s="158" t="e">
        <v>#NUM!</v>
      </c>
      <c r="AO53" s="158" t="e">
        <v>#NUM!</v>
      </c>
      <c r="AP53" s="158" t="e">
        <v>#NUM!</v>
      </c>
      <c r="AQ53" s="158" t="e">
        <v>#NUM!</v>
      </c>
      <c r="AR53" s="158" t="e">
        <v>#NUM!</v>
      </c>
      <c r="AS53" s="57"/>
      <c r="AT53" s="57"/>
      <c r="AU53" s="57"/>
      <c r="AV53" s="57"/>
      <c r="AW53" s="57"/>
      <c r="AX53" s="57"/>
      <c r="AY53" s="57"/>
      <c r="AZ53" s="57"/>
      <c r="BA53" s="57"/>
    </row>
    <row r="54" spans="1:53" hidden="1" x14ac:dyDescent="0.25">
      <c r="A54" s="17" t="s">
        <v>176</v>
      </c>
      <c r="B54" s="17">
        <v>23175845879</v>
      </c>
      <c r="C54" s="17" t="s">
        <v>133</v>
      </c>
      <c r="D54" s="73">
        <v>46082</v>
      </c>
      <c r="E54" t="s">
        <v>80</v>
      </c>
      <c r="F54" s="57">
        <v>999938</v>
      </c>
      <c r="G54" s="57"/>
      <c r="H54" s="57">
        <v>28590.400000000001</v>
      </c>
      <c r="I54" s="57">
        <v>30777.3</v>
      </c>
      <c r="J54" s="57">
        <v>6564.6</v>
      </c>
      <c r="K54" s="57"/>
      <c r="L54" s="57">
        <v>271650.39999999997</v>
      </c>
      <c r="M54" s="57">
        <v>24385</v>
      </c>
      <c r="N54" s="57"/>
      <c r="O54" s="57">
        <v>24385</v>
      </c>
      <c r="P54" s="57"/>
      <c r="Q54" s="57"/>
      <c r="R54" s="57">
        <v>41021.599999999999</v>
      </c>
      <c r="S54" s="57">
        <v>0</v>
      </c>
      <c r="T54" s="57">
        <v>406784.00549999997</v>
      </c>
      <c r="U54" s="57">
        <v>99911.861000000004</v>
      </c>
      <c r="V54" s="57">
        <v>506695.8665</v>
      </c>
      <c r="W54" s="57"/>
      <c r="X54" s="57"/>
      <c r="Y54" s="57"/>
      <c r="Z54" s="57"/>
      <c r="AA54" s="57"/>
      <c r="AB54" s="57">
        <v>120000</v>
      </c>
      <c r="AC54" s="57">
        <v>225940.898315</v>
      </c>
      <c r="AD54" s="57">
        <v>61620.244995000001</v>
      </c>
      <c r="AE54" s="57">
        <v>61620.244995000001</v>
      </c>
      <c r="AF54" s="57">
        <v>0</v>
      </c>
      <c r="AG54" s="57">
        <v>41080.163330000003</v>
      </c>
      <c r="AH54" s="57">
        <v>20540.081665000002</v>
      </c>
      <c r="AI54" s="57">
        <v>20540.081665000002</v>
      </c>
      <c r="AJ54" s="57">
        <v>15405.06124875</v>
      </c>
      <c r="AK54" s="57">
        <v>6564.6</v>
      </c>
      <c r="AL54" s="57"/>
      <c r="AM54" s="57">
        <v>0.20971375005319715</v>
      </c>
      <c r="AN54" s="158">
        <v>2054008.17</v>
      </c>
      <c r="AO54" s="158">
        <v>0.21</v>
      </c>
      <c r="AP54" s="158">
        <v>2054008.38</v>
      </c>
      <c r="AQ54" s="158">
        <v>453311.38</v>
      </c>
      <c r="AR54" s="158">
        <v>1600697</v>
      </c>
      <c r="AS54" s="57"/>
      <c r="AT54" s="57"/>
      <c r="AU54" s="57"/>
      <c r="AV54" s="57"/>
      <c r="AW54" s="57"/>
      <c r="AX54" s="57"/>
      <c r="AY54" s="57"/>
      <c r="AZ54" s="57"/>
      <c r="BA54" s="57"/>
    </row>
    <row r="55" spans="1:53" hidden="1" x14ac:dyDescent="0.25">
      <c r="A55" s="17" t="s">
        <v>152</v>
      </c>
      <c r="B55" s="17">
        <v>20175464299</v>
      </c>
      <c r="C55" s="17" t="s">
        <v>93</v>
      </c>
      <c r="D55" s="73">
        <v>46143</v>
      </c>
      <c r="E55" t="s">
        <v>80</v>
      </c>
      <c r="F55" s="57">
        <v>1089785</v>
      </c>
      <c r="G55" s="57"/>
      <c r="H55" s="57">
        <v>46581.600000000006</v>
      </c>
      <c r="I55" s="57">
        <v>33429.699999999997</v>
      </c>
      <c r="J55" s="57">
        <v>7130.4</v>
      </c>
      <c r="K55" s="57"/>
      <c r="L55" s="57">
        <v>378208.8</v>
      </c>
      <c r="M55" s="57"/>
      <c r="N55" s="57"/>
      <c r="O55" s="57"/>
      <c r="P55" s="57"/>
      <c r="Q55" s="57"/>
      <c r="R55" s="57"/>
      <c r="S55" s="57">
        <v>0</v>
      </c>
      <c r="T55" s="57"/>
      <c r="U55" s="57"/>
      <c r="V55" s="57"/>
      <c r="W55" s="57"/>
      <c r="X55" s="57"/>
      <c r="Y55" s="57"/>
      <c r="Z55" s="57"/>
      <c r="AA55" s="57"/>
      <c r="AB55" s="57">
        <v>80000</v>
      </c>
      <c r="AC55" s="57">
        <v>179864.905</v>
      </c>
      <c r="AD55" s="57">
        <v>49054.064999999995</v>
      </c>
      <c r="AE55" s="57">
        <v>49054.064999999995</v>
      </c>
      <c r="AF55" s="57">
        <v>0</v>
      </c>
      <c r="AG55" s="57">
        <v>32702.71</v>
      </c>
      <c r="AH55" s="57">
        <v>16351.355</v>
      </c>
      <c r="AI55" s="57">
        <v>16351.355</v>
      </c>
      <c r="AJ55" s="57">
        <v>12263.516249999999</v>
      </c>
      <c r="AK55" s="57">
        <v>7130.4</v>
      </c>
      <c r="AL55" s="57"/>
      <c r="AM55" s="57">
        <v>0.87124999985098839</v>
      </c>
      <c r="AN55" s="158">
        <v>1635135.5</v>
      </c>
      <c r="AO55" s="158">
        <v>0.87</v>
      </c>
      <c r="AP55" s="158">
        <v>1635136.37</v>
      </c>
      <c r="AQ55" s="158">
        <v>362772.37</v>
      </c>
      <c r="AR55" s="158">
        <v>1272364</v>
      </c>
      <c r="AS55" s="57"/>
      <c r="AT55" s="57"/>
      <c r="AU55" s="57"/>
      <c r="AV55" s="57"/>
      <c r="AW55" s="57"/>
      <c r="AX55" s="57"/>
      <c r="AY55" s="57"/>
      <c r="AZ55" s="57"/>
      <c r="BA55" s="57"/>
    </row>
    <row r="56" spans="1:53" hidden="1" x14ac:dyDescent="0.25">
      <c r="A56" s="17" t="s">
        <v>166</v>
      </c>
      <c r="B56" s="17">
        <v>20176328399</v>
      </c>
      <c r="C56" s="17" t="s">
        <v>114</v>
      </c>
      <c r="D56" s="73">
        <v>46143</v>
      </c>
      <c r="E56" t="s">
        <v>116</v>
      </c>
      <c r="F56" s="57">
        <v>1260697</v>
      </c>
      <c r="G56" s="57"/>
      <c r="H56" s="57">
        <v>62108.800000000003</v>
      </c>
      <c r="I56" s="57">
        <v>36549.80533333333</v>
      </c>
      <c r="J56" s="57"/>
      <c r="K56" s="57"/>
      <c r="L56" s="57">
        <v>462255.19999999995</v>
      </c>
      <c r="M56" s="57">
        <v>26486.5</v>
      </c>
      <c r="N56" s="57">
        <v>39216</v>
      </c>
      <c r="O56" s="57"/>
      <c r="P56" s="57"/>
      <c r="Q56" s="57"/>
      <c r="R56" s="57"/>
      <c r="S56" s="57">
        <v>0</v>
      </c>
      <c r="T56" s="57"/>
      <c r="U56" s="57"/>
      <c r="V56" s="57"/>
      <c r="W56" s="57"/>
      <c r="X56" s="57">
        <v>1887313.3053333333</v>
      </c>
      <c r="Y56" s="57">
        <v>-1887313.3053333333</v>
      </c>
      <c r="Z56" s="57"/>
      <c r="AA56" s="57">
        <v>73765.100000000006</v>
      </c>
      <c r="AB56" s="57">
        <v>80000</v>
      </c>
      <c r="AC56" s="57">
        <v>224518.62458666667</v>
      </c>
      <c r="AD56" s="57">
        <v>61232.352160000002</v>
      </c>
      <c r="AE56" s="57">
        <v>61232.352160000002</v>
      </c>
      <c r="AF56" s="57">
        <v>0</v>
      </c>
      <c r="AG56" s="57">
        <v>40821.568106666666</v>
      </c>
      <c r="AH56" s="57">
        <v>20410.784053333333</v>
      </c>
      <c r="AI56" s="57">
        <v>20410.784053333333</v>
      </c>
      <c r="AJ56" s="57">
        <v>15308.088040000001</v>
      </c>
      <c r="AK56" s="57"/>
      <c r="AL56" s="57"/>
      <c r="AM56" s="57">
        <v>0.14782666647806764</v>
      </c>
      <c r="AN56" s="158">
        <v>2041078.41</v>
      </c>
      <c r="AO56" s="158">
        <v>0.15</v>
      </c>
      <c r="AP56" s="158">
        <v>2041078.55</v>
      </c>
      <c r="AQ56" s="158">
        <v>443934.55</v>
      </c>
      <c r="AR56" s="158">
        <v>1597144</v>
      </c>
      <c r="AS56" s="57"/>
      <c r="AT56" s="57"/>
      <c r="AU56" s="57"/>
      <c r="AV56" s="57"/>
      <c r="AW56" s="57"/>
      <c r="AX56" s="57"/>
      <c r="AY56" s="57"/>
      <c r="AZ56" s="57"/>
      <c r="BA56" s="57"/>
    </row>
    <row r="57" spans="1:53" hidden="1" x14ac:dyDescent="0.25">
      <c r="A57" s="17" t="s">
        <v>158</v>
      </c>
      <c r="B57" s="17">
        <v>20204210749</v>
      </c>
      <c r="C57" s="17" t="s">
        <v>99</v>
      </c>
      <c r="D57" s="73">
        <v>46143</v>
      </c>
      <c r="E57" t="s">
        <v>80</v>
      </c>
      <c r="F57" s="57">
        <v>1089785</v>
      </c>
      <c r="G57" s="57"/>
      <c r="H57" s="57">
        <v>34936.200000000004</v>
      </c>
      <c r="I57" s="57">
        <v>33429.699999999997</v>
      </c>
      <c r="J57" s="57">
        <v>7130.4</v>
      </c>
      <c r="K57" s="57"/>
      <c r="L57" s="57">
        <v>504278.39999999997</v>
      </c>
      <c r="M57" s="57"/>
      <c r="N57" s="57"/>
      <c r="O57" s="57"/>
      <c r="P57" s="57"/>
      <c r="Q57" s="57"/>
      <c r="R57" s="57"/>
      <c r="S57" s="57">
        <v>0</v>
      </c>
      <c r="T57" s="57"/>
      <c r="U57" s="57"/>
      <c r="V57" s="57"/>
      <c r="W57" s="57"/>
      <c r="X57" s="57"/>
      <c r="Y57" s="57"/>
      <c r="Z57" s="57"/>
      <c r="AA57" s="57"/>
      <c r="AB57" s="57">
        <v>80000</v>
      </c>
      <c r="AC57" s="57">
        <v>192451.56699999998</v>
      </c>
      <c r="AD57" s="57">
        <v>52486.79099999999</v>
      </c>
      <c r="AE57" s="57">
        <v>52486.79099999999</v>
      </c>
      <c r="AF57" s="57">
        <v>0</v>
      </c>
      <c r="AG57" s="57">
        <v>34991.193999999996</v>
      </c>
      <c r="AH57" s="57">
        <v>17495.596999999998</v>
      </c>
      <c r="AI57" s="57">
        <v>17495.596999999998</v>
      </c>
      <c r="AJ57" s="57">
        <v>13121.697749999998</v>
      </c>
      <c r="AK57" s="57">
        <v>7130.4</v>
      </c>
      <c r="AL57" s="57"/>
      <c r="AM57" s="57">
        <v>0.9347500002477318</v>
      </c>
      <c r="AN57" s="158">
        <v>1749559.7</v>
      </c>
      <c r="AO57" s="158">
        <v>0.93</v>
      </c>
      <c r="AP57" s="158">
        <v>1749560.63</v>
      </c>
      <c r="AQ57" s="158">
        <v>387659.63</v>
      </c>
      <c r="AR57" s="158">
        <v>1361901</v>
      </c>
      <c r="AS57" s="57"/>
      <c r="AT57" s="57"/>
      <c r="AU57" s="57"/>
      <c r="AV57" s="57"/>
      <c r="AW57" s="57"/>
      <c r="AX57" s="57"/>
      <c r="AY57" s="57"/>
      <c r="AZ57" s="57"/>
      <c r="BA57" s="57"/>
    </row>
    <row r="58" spans="1:53" hidden="1" x14ac:dyDescent="0.25">
      <c r="A58" s="17" t="s">
        <v>174</v>
      </c>
      <c r="B58" s="17">
        <v>20252571850</v>
      </c>
      <c r="C58" s="17" t="s">
        <v>130</v>
      </c>
      <c r="D58" s="73">
        <v>46143</v>
      </c>
      <c r="E58" t="s">
        <v>119</v>
      </c>
      <c r="F58" s="57">
        <v>1127991</v>
      </c>
      <c r="G58" s="57"/>
      <c r="H58" s="57"/>
      <c r="I58" s="57"/>
      <c r="J58" s="57"/>
      <c r="K58" s="57"/>
      <c r="L58" s="57">
        <v>315174</v>
      </c>
      <c r="M58" s="57"/>
      <c r="N58" s="57"/>
      <c r="O58" s="57"/>
      <c r="P58" s="57"/>
      <c r="Q58" s="57"/>
      <c r="R58" s="57"/>
      <c r="S58" s="57">
        <v>0</v>
      </c>
      <c r="T58" s="57">
        <v>445319.48571428575</v>
      </c>
      <c r="U58" s="57">
        <v>296879.65714285715</v>
      </c>
      <c r="V58" s="57">
        <v>742199.14285714296</v>
      </c>
      <c r="W58" s="57"/>
      <c r="X58" s="57"/>
      <c r="Y58" s="57"/>
      <c r="Z58" s="57"/>
      <c r="AA58" s="57">
        <v>73765.100000000006</v>
      </c>
      <c r="AB58" s="57">
        <v>80000</v>
      </c>
      <c r="AC58" s="57">
        <v>257304.21671428572</v>
      </c>
      <c r="AD58" s="57">
        <v>70173.877285714276</v>
      </c>
      <c r="AE58" s="57">
        <v>70173.877285714276</v>
      </c>
      <c r="AF58" s="57">
        <v>0</v>
      </c>
      <c r="AG58" s="57">
        <v>46782.584857142858</v>
      </c>
      <c r="AH58" s="57">
        <v>23391.292428571429</v>
      </c>
      <c r="AI58" s="57">
        <v>23391.292428571429</v>
      </c>
      <c r="AJ58" s="57">
        <v>17543.469321428569</v>
      </c>
      <c r="AK58" s="57"/>
      <c r="AL58" s="57"/>
      <c r="AM58" s="57">
        <v>0.36746428580954671</v>
      </c>
      <c r="AN58" s="158">
        <v>2339129.2400000002</v>
      </c>
      <c r="AO58" s="158">
        <v>0.37</v>
      </c>
      <c r="AP58" s="158">
        <v>2339129.61</v>
      </c>
      <c r="AQ58" s="158">
        <v>508760.61</v>
      </c>
      <c r="AR58" s="158">
        <v>1830369</v>
      </c>
      <c r="AS58" s="57"/>
      <c r="AT58" s="57"/>
      <c r="AU58" s="57"/>
      <c r="AV58" s="57"/>
      <c r="AW58" s="57"/>
      <c r="AX58" s="57"/>
      <c r="AY58" s="57"/>
      <c r="AZ58" s="57"/>
      <c r="BA58" s="57"/>
    </row>
    <row r="59" spans="1:53" hidden="1" x14ac:dyDescent="0.25">
      <c r="A59" s="17" t="s">
        <v>160</v>
      </c>
      <c r="B59" s="17">
        <v>20263485409</v>
      </c>
      <c r="C59" s="17" t="s">
        <v>101</v>
      </c>
      <c r="D59" s="73">
        <v>46143</v>
      </c>
      <c r="E59" t="s">
        <v>90</v>
      </c>
      <c r="F59" s="57">
        <v>598586</v>
      </c>
      <c r="G59" s="57"/>
      <c r="H59" s="57"/>
      <c r="I59" s="57"/>
      <c r="J59" s="57"/>
      <c r="K59" s="57"/>
      <c r="L59" s="57">
        <v>231127.59999999998</v>
      </c>
      <c r="M59" s="57"/>
      <c r="N59" s="57"/>
      <c r="O59" s="57"/>
      <c r="P59" s="57"/>
      <c r="Q59" s="57"/>
      <c r="R59" s="57"/>
      <c r="S59" s="57">
        <v>0</v>
      </c>
      <c r="T59" s="57"/>
      <c r="U59" s="57"/>
      <c r="V59" s="57"/>
      <c r="W59" s="57"/>
      <c r="X59" s="57"/>
      <c r="Y59" s="57"/>
      <c r="Z59" s="57"/>
      <c r="AA59" s="57">
        <v>73765.100000000006</v>
      </c>
      <c r="AB59" s="57">
        <v>40000</v>
      </c>
      <c r="AC59" s="57">
        <v>103782.65699999999</v>
      </c>
      <c r="AD59" s="57">
        <v>28304.360999999997</v>
      </c>
      <c r="AE59" s="57">
        <v>28304.360999999997</v>
      </c>
      <c r="AF59" s="57">
        <v>6364.8090000000011</v>
      </c>
      <c r="AG59" s="57">
        <v>18869.574000000001</v>
      </c>
      <c r="AH59" s="57">
        <v>9434.7870000000003</v>
      </c>
      <c r="AI59" s="57">
        <v>9434.7870000000003</v>
      </c>
      <c r="AJ59" s="57">
        <v>7076.0902499999993</v>
      </c>
      <c r="AK59" s="57"/>
      <c r="AL59" s="57"/>
      <c r="AM59" s="57">
        <v>0.72625000006519258</v>
      </c>
      <c r="AN59" s="158">
        <v>943478.7</v>
      </c>
      <c r="AO59" s="158">
        <v>0.73</v>
      </c>
      <c r="AP59" s="158">
        <v>943479.43</v>
      </c>
      <c r="AQ59" s="158">
        <v>211571.43</v>
      </c>
      <c r="AR59" s="158">
        <v>731908</v>
      </c>
      <c r="AS59" s="57"/>
      <c r="AT59" s="57"/>
      <c r="AU59" s="57"/>
      <c r="AV59" s="57"/>
      <c r="AW59" s="57"/>
      <c r="AX59" s="57"/>
      <c r="AY59" s="57"/>
      <c r="AZ59" s="57"/>
      <c r="BA59" s="57"/>
    </row>
    <row r="60" spans="1:53" hidden="1" x14ac:dyDescent="0.25">
      <c r="A60" s="17" t="s">
        <v>162</v>
      </c>
      <c r="B60" s="17">
        <v>20275890074</v>
      </c>
      <c r="C60" s="17" t="s">
        <v>104</v>
      </c>
      <c r="D60" s="73">
        <v>46143</v>
      </c>
      <c r="E60" t="s">
        <v>80</v>
      </c>
      <c r="F60" s="57">
        <v>1089785</v>
      </c>
      <c r="G60" s="57"/>
      <c r="H60" s="57">
        <v>21349.9</v>
      </c>
      <c r="I60" s="57">
        <v>33429.699999999997</v>
      </c>
      <c r="J60" s="57">
        <v>7130.4</v>
      </c>
      <c r="K60" s="57"/>
      <c r="L60" s="57">
        <v>315174</v>
      </c>
      <c r="M60" s="57"/>
      <c r="N60" s="57"/>
      <c r="O60" s="57"/>
      <c r="P60" s="57"/>
      <c r="Q60" s="57"/>
      <c r="R60" s="57"/>
      <c r="S60" s="57">
        <v>0</v>
      </c>
      <c r="T60" s="57"/>
      <c r="U60" s="57"/>
      <c r="V60" s="57"/>
      <c r="W60" s="57"/>
      <c r="X60" s="57"/>
      <c r="Y60" s="57"/>
      <c r="Z60" s="57"/>
      <c r="AA60" s="57"/>
      <c r="AB60" s="57">
        <v>80000</v>
      </c>
      <c r="AC60" s="57">
        <v>170155.58999999997</v>
      </c>
      <c r="AD60" s="57">
        <v>46406.069999999992</v>
      </c>
      <c r="AE60" s="57">
        <v>46406.069999999992</v>
      </c>
      <c r="AF60" s="57">
        <v>0</v>
      </c>
      <c r="AG60" s="57">
        <v>30937.379999999997</v>
      </c>
      <c r="AH60" s="57">
        <v>15468.689999999999</v>
      </c>
      <c r="AI60" s="57">
        <v>15468.689999999999</v>
      </c>
      <c r="AJ60" s="57">
        <v>11601.517499999998</v>
      </c>
      <c r="AK60" s="57">
        <v>7130.4</v>
      </c>
      <c r="AL60" s="57"/>
      <c r="AM60" s="57">
        <v>0.40750000020489097</v>
      </c>
      <c r="AN60" s="158">
        <v>1546869</v>
      </c>
      <c r="AO60" s="158">
        <v>0.41</v>
      </c>
      <c r="AP60" s="158">
        <v>1546869.41</v>
      </c>
      <c r="AQ60" s="158">
        <v>343574.41</v>
      </c>
      <c r="AR60" s="158">
        <v>1203295</v>
      </c>
      <c r="AS60" s="57"/>
      <c r="AT60" s="57"/>
      <c r="AU60" s="57"/>
      <c r="AV60" s="57"/>
      <c r="AW60" s="57"/>
      <c r="AX60" s="57"/>
      <c r="AY60" s="57"/>
      <c r="AZ60" s="57"/>
      <c r="BA60" s="57"/>
    </row>
    <row r="61" spans="1:53" hidden="1" x14ac:dyDescent="0.25">
      <c r="A61" s="17" t="s">
        <v>144</v>
      </c>
      <c r="B61" s="17">
        <v>20283772323</v>
      </c>
      <c r="C61" s="17" t="s">
        <v>78</v>
      </c>
      <c r="D61" s="73">
        <v>46143</v>
      </c>
      <c r="E61" t="s">
        <v>80</v>
      </c>
      <c r="F61" s="57">
        <v>998970</v>
      </c>
      <c r="G61" s="57"/>
      <c r="H61" s="57">
        <v>153331.1</v>
      </c>
      <c r="I61" s="57">
        <v>57499.083999999995</v>
      </c>
      <c r="J61" s="57">
        <v>7130.4</v>
      </c>
      <c r="K61" s="57"/>
      <c r="L61" s="57">
        <v>378208.8</v>
      </c>
      <c r="M61" s="57"/>
      <c r="N61" s="57"/>
      <c r="O61" s="57"/>
      <c r="P61" s="57"/>
      <c r="Q61" s="57"/>
      <c r="R61" s="57"/>
      <c r="S61" s="57">
        <v>0</v>
      </c>
      <c r="T61" s="57"/>
      <c r="U61" s="57">
        <v>319027.87680000003</v>
      </c>
      <c r="V61" s="57"/>
      <c r="W61" s="57"/>
      <c r="X61" s="57"/>
      <c r="Y61" s="57"/>
      <c r="Z61" s="57"/>
      <c r="AA61" s="57"/>
      <c r="AB61" s="57">
        <v>80000</v>
      </c>
      <c r="AC61" s="57">
        <v>219358.39868800002</v>
      </c>
      <c r="AD61" s="57">
        <v>59825.017824000002</v>
      </c>
      <c r="AE61" s="57">
        <v>59825.017824000002</v>
      </c>
      <c r="AF61" s="57">
        <v>0</v>
      </c>
      <c r="AG61" s="57">
        <v>39883.345216000002</v>
      </c>
      <c r="AH61" s="57">
        <v>19941.672608000001</v>
      </c>
      <c r="AI61" s="57">
        <v>19941.672608000001</v>
      </c>
      <c r="AJ61" s="57">
        <v>14956.254456000001</v>
      </c>
      <c r="AK61" s="57">
        <v>7130.4</v>
      </c>
      <c r="AL61" s="57"/>
      <c r="AM61" s="57">
        <v>0.51842399989254773</v>
      </c>
      <c r="AN61" s="158">
        <v>1994167.26</v>
      </c>
      <c r="AO61" s="158">
        <v>0.52</v>
      </c>
      <c r="AP61" s="158">
        <v>1994167.78</v>
      </c>
      <c r="AQ61" s="158">
        <v>440861.78</v>
      </c>
      <c r="AR61" s="158">
        <v>1553306</v>
      </c>
      <c r="AS61" s="57"/>
      <c r="AT61" s="57"/>
      <c r="AU61" s="57"/>
      <c r="AV61" s="57"/>
      <c r="AW61" s="57"/>
      <c r="AX61" s="57"/>
      <c r="AY61" s="57"/>
      <c r="AZ61" s="57"/>
      <c r="BA61" s="57"/>
    </row>
    <row r="62" spans="1:53" hidden="1" x14ac:dyDescent="0.25">
      <c r="A62" s="17" t="s">
        <v>162</v>
      </c>
      <c r="B62" s="17">
        <v>20331992314</v>
      </c>
      <c r="C62" s="17" t="s">
        <v>108</v>
      </c>
      <c r="D62" s="73">
        <v>46143</v>
      </c>
      <c r="E62" t="s">
        <v>109</v>
      </c>
      <c r="F62" s="57">
        <v>1056829</v>
      </c>
      <c r="G62" s="57"/>
      <c r="H62" s="57"/>
      <c r="I62" s="57"/>
      <c r="J62" s="57"/>
      <c r="K62" s="57"/>
      <c r="L62" s="57">
        <v>315174</v>
      </c>
      <c r="M62" s="57"/>
      <c r="N62" s="57"/>
      <c r="O62" s="57"/>
      <c r="P62" s="57"/>
      <c r="Q62" s="57"/>
      <c r="R62" s="57"/>
      <c r="S62" s="57">
        <v>0</v>
      </c>
      <c r="T62" s="57"/>
      <c r="U62" s="57"/>
      <c r="V62" s="57"/>
      <c r="W62" s="57"/>
      <c r="X62" s="57"/>
      <c r="Y62" s="57"/>
      <c r="Z62" s="57"/>
      <c r="AA62" s="57">
        <v>73765.100000000006</v>
      </c>
      <c r="AB62" s="57">
        <v>80000</v>
      </c>
      <c r="AC62" s="57">
        <v>167834.49100000001</v>
      </c>
      <c r="AD62" s="57">
        <v>45773.042999999998</v>
      </c>
      <c r="AE62" s="57">
        <v>45773.042999999998</v>
      </c>
      <c r="AF62" s="57">
        <v>0</v>
      </c>
      <c r="AG62" s="57">
        <v>30515.362000000001</v>
      </c>
      <c r="AH62" s="57">
        <v>15257.681</v>
      </c>
      <c r="AI62" s="57">
        <v>15257.681</v>
      </c>
      <c r="AJ62" s="57">
        <v>11443.260749999999</v>
      </c>
      <c r="AK62" s="57"/>
      <c r="AL62" s="57"/>
      <c r="AM62" s="57">
        <v>0.46174999978393316</v>
      </c>
      <c r="AN62" s="158">
        <v>1525768.1</v>
      </c>
      <c r="AO62" s="158">
        <v>0.46</v>
      </c>
      <c r="AP62" s="158">
        <v>1525768.56</v>
      </c>
      <c r="AQ62" s="158">
        <v>331854.56</v>
      </c>
      <c r="AR62" s="158">
        <v>1193914</v>
      </c>
      <c r="AS62" s="57"/>
      <c r="AT62" s="57"/>
      <c r="AU62" s="57"/>
      <c r="AV62" s="57"/>
      <c r="AW62" s="57"/>
      <c r="AX62" s="57"/>
      <c r="AY62" s="57"/>
      <c r="AZ62" s="57"/>
      <c r="BA62" s="57"/>
    </row>
    <row r="63" spans="1:53" hidden="1" x14ac:dyDescent="0.25">
      <c r="A63" s="17" t="s">
        <v>144</v>
      </c>
      <c r="B63" s="17">
        <v>20338776390</v>
      </c>
      <c r="C63" s="17" t="s">
        <v>85</v>
      </c>
      <c r="D63" s="73">
        <v>46143</v>
      </c>
      <c r="E63" t="s">
        <v>86</v>
      </c>
      <c r="F63" s="57">
        <v>577820</v>
      </c>
      <c r="G63" s="57"/>
      <c r="H63" s="57"/>
      <c r="I63" s="57"/>
      <c r="J63" s="57"/>
      <c r="K63" s="57"/>
      <c r="L63" s="57">
        <v>0</v>
      </c>
      <c r="M63" s="57"/>
      <c r="N63" s="57"/>
      <c r="O63" s="57"/>
      <c r="P63" s="57"/>
      <c r="Q63" s="57"/>
      <c r="R63" s="57"/>
      <c r="S63" s="57">
        <v>0</v>
      </c>
      <c r="T63" s="57"/>
      <c r="U63" s="57">
        <v>138676.79999999999</v>
      </c>
      <c r="V63" s="57"/>
      <c r="W63" s="57"/>
      <c r="X63" s="57"/>
      <c r="Y63" s="57"/>
      <c r="Z63" s="57"/>
      <c r="AA63" s="57">
        <v>73765.100000000006</v>
      </c>
      <c r="AB63" s="57">
        <v>40000</v>
      </c>
      <c r="AC63" s="57">
        <v>91328.808999999994</v>
      </c>
      <c r="AD63" s="57">
        <v>24907.856999999996</v>
      </c>
      <c r="AE63" s="57">
        <v>24907.856999999996</v>
      </c>
      <c r="AF63" s="57">
        <v>9761.3130000000019</v>
      </c>
      <c r="AG63" s="57">
        <v>16605.237999999998</v>
      </c>
      <c r="AH63" s="57">
        <v>8302.6189999999988</v>
      </c>
      <c r="AI63" s="57">
        <v>8302.6189999999988</v>
      </c>
      <c r="AJ63" s="57">
        <v>6226.9642499999991</v>
      </c>
      <c r="AK63" s="57"/>
      <c r="AL63" s="57"/>
      <c r="AM63" s="57">
        <v>0.37625000008847564</v>
      </c>
      <c r="AN63" s="158">
        <v>830261.9</v>
      </c>
      <c r="AO63" s="158">
        <v>0.38</v>
      </c>
      <c r="AP63" s="158">
        <v>830262.28</v>
      </c>
      <c r="AQ63" s="158">
        <v>190343.28</v>
      </c>
      <c r="AR63" s="158">
        <v>639919</v>
      </c>
      <c r="AS63" s="57"/>
      <c r="AT63" s="57"/>
      <c r="AU63" s="57"/>
      <c r="AV63" s="57"/>
      <c r="AW63" s="57"/>
      <c r="AX63" s="57"/>
      <c r="AY63" s="57"/>
      <c r="AZ63" s="57"/>
      <c r="BA63" s="57"/>
    </row>
    <row r="64" spans="1:53" s="41" customFormat="1" hidden="1" x14ac:dyDescent="0.25">
      <c r="A64" s="17" t="s">
        <v>147</v>
      </c>
      <c r="B64" s="17">
        <v>20360647774</v>
      </c>
      <c r="C64" s="17" t="s">
        <v>89</v>
      </c>
      <c r="D64" s="73">
        <v>46143</v>
      </c>
      <c r="E64" t="s">
        <v>90</v>
      </c>
      <c r="F64" s="57">
        <v>598586</v>
      </c>
      <c r="G64" s="57"/>
      <c r="H64" s="57">
        <v>15527.2</v>
      </c>
      <c r="I64" s="57">
        <v>33429.699999999997</v>
      </c>
      <c r="J64" s="57"/>
      <c r="K64" s="57"/>
      <c r="L64" s="57">
        <v>252139.19999999998</v>
      </c>
      <c r="M64" s="57"/>
      <c r="N64" s="57"/>
      <c r="O64" s="57"/>
      <c r="P64" s="57"/>
      <c r="Q64" s="57"/>
      <c r="R64" s="57"/>
      <c r="S64" s="57">
        <v>0</v>
      </c>
      <c r="T64" s="57"/>
      <c r="U64" s="57"/>
      <c r="V64" s="57"/>
      <c r="W64" s="57"/>
      <c r="X64" s="57"/>
      <c r="Y64" s="57"/>
      <c r="Z64" s="57"/>
      <c r="AA64" s="57">
        <v>73765.100000000006</v>
      </c>
      <c r="AB64" s="57">
        <v>40000</v>
      </c>
      <c r="AC64" s="57">
        <v>111479.19199999998</v>
      </c>
      <c r="AD64" s="57">
        <v>30403.415999999994</v>
      </c>
      <c r="AE64" s="57">
        <v>30403.415999999994</v>
      </c>
      <c r="AF64" s="57">
        <v>4265.7540000000045</v>
      </c>
      <c r="AG64" s="57">
        <v>20268.943999999996</v>
      </c>
      <c r="AH64" s="57">
        <v>10134.471999999998</v>
      </c>
      <c r="AI64" s="57">
        <v>10134.471999999998</v>
      </c>
      <c r="AJ64" s="57">
        <v>7600.8539999999985</v>
      </c>
      <c r="AK64" s="57"/>
      <c r="AL64" s="57"/>
      <c r="AM64" s="57">
        <v>0.3200000001816079</v>
      </c>
      <c r="AN64" s="158">
        <v>1013447.2</v>
      </c>
      <c r="AO64" s="158">
        <v>0.32</v>
      </c>
      <c r="AP64" s="158">
        <v>1013447.52</v>
      </c>
      <c r="AQ64" s="158">
        <v>224690.52</v>
      </c>
      <c r="AR64" s="158">
        <v>788757</v>
      </c>
      <c r="AS64" s="57"/>
      <c r="AT64" s="57"/>
      <c r="AU64" s="57"/>
      <c r="AV64" s="57"/>
      <c r="AW64" s="57"/>
      <c r="AX64" s="57"/>
      <c r="AY64" s="57"/>
      <c r="AZ64" s="57"/>
      <c r="BA64" s="57"/>
    </row>
    <row r="65" spans="1:53" hidden="1" x14ac:dyDescent="0.25">
      <c r="A65" s="17" t="s">
        <v>172</v>
      </c>
      <c r="B65" s="17">
        <v>20942335351</v>
      </c>
      <c r="C65" s="17" t="s">
        <v>125</v>
      </c>
      <c r="D65" s="73">
        <v>46143</v>
      </c>
      <c r="E65" t="s">
        <v>116</v>
      </c>
      <c r="F65" s="57">
        <v>1155639</v>
      </c>
      <c r="G65" s="57"/>
      <c r="H65" s="57">
        <v>52404.3</v>
      </c>
      <c r="I65" s="57">
        <v>34321.158666666663</v>
      </c>
      <c r="J65" s="57"/>
      <c r="K65" s="57"/>
      <c r="L65" s="57">
        <v>336185.59999999998</v>
      </c>
      <c r="M65" s="57"/>
      <c r="N65" s="57"/>
      <c r="O65" s="57"/>
      <c r="P65" s="57"/>
      <c r="Q65" s="57"/>
      <c r="R65" s="57"/>
      <c r="S65" s="57">
        <v>0</v>
      </c>
      <c r="T65" s="57"/>
      <c r="U65" s="57"/>
      <c r="V65" s="57"/>
      <c r="W65" s="57"/>
      <c r="X65" s="57"/>
      <c r="Y65" s="57"/>
      <c r="Z65" s="57">
        <v>253354.99099555562</v>
      </c>
      <c r="AA65" s="57">
        <v>73765.100000000006</v>
      </c>
      <c r="AB65" s="57">
        <v>80000</v>
      </c>
      <c r="AC65" s="57">
        <v>218423.71646284446</v>
      </c>
      <c r="AD65" s="57">
        <v>59570.104489866666</v>
      </c>
      <c r="AE65" s="57">
        <v>59570.104489866666</v>
      </c>
      <c r="AF65" s="57">
        <v>0</v>
      </c>
      <c r="AG65" s="57">
        <v>39713.402993244446</v>
      </c>
      <c r="AH65" s="57">
        <v>19856.701496622223</v>
      </c>
      <c r="AI65" s="57">
        <v>19856.701496622223</v>
      </c>
      <c r="AJ65" s="57">
        <v>14892.526122466666</v>
      </c>
      <c r="AK65" s="57"/>
      <c r="AL65" s="57"/>
      <c r="AM65" s="57">
        <v>0.10788931115530431</v>
      </c>
      <c r="AN65" s="158">
        <v>1985670.15</v>
      </c>
      <c r="AO65" s="158">
        <v>0.11</v>
      </c>
      <c r="AP65" s="158">
        <v>1985670.26</v>
      </c>
      <c r="AQ65" s="158">
        <v>431883.26</v>
      </c>
      <c r="AR65" s="158">
        <v>1553787</v>
      </c>
      <c r="AS65" s="57"/>
      <c r="AT65" s="57"/>
      <c r="AU65" s="57"/>
      <c r="AV65" s="57"/>
      <c r="AW65" s="57"/>
      <c r="AX65" s="57"/>
      <c r="AY65" s="57"/>
      <c r="AZ65" s="57"/>
      <c r="BA65" s="57"/>
    </row>
    <row r="66" spans="1:53" hidden="1" x14ac:dyDescent="0.25">
      <c r="A66" s="17" t="s">
        <v>174</v>
      </c>
      <c r="B66" s="17">
        <v>20942347643</v>
      </c>
      <c r="C66" s="17" t="s">
        <v>128</v>
      </c>
      <c r="D66" s="73">
        <v>46143</v>
      </c>
      <c r="E66" t="s">
        <v>80</v>
      </c>
      <c r="F66" s="57">
        <v>1089785</v>
      </c>
      <c r="G66" s="57"/>
      <c r="H66" s="57">
        <v>58227</v>
      </c>
      <c r="I66" s="57">
        <v>35658.346666666665</v>
      </c>
      <c r="J66" s="57">
        <v>7130.4</v>
      </c>
      <c r="K66" s="57"/>
      <c r="L66" s="57">
        <v>315174</v>
      </c>
      <c r="M66" s="57">
        <v>26486.5</v>
      </c>
      <c r="N66" s="57"/>
      <c r="O66" s="57">
        <v>26486.5</v>
      </c>
      <c r="P66" s="57"/>
      <c r="Q66" s="57"/>
      <c r="R66" s="57">
        <v>44556.800000000003</v>
      </c>
      <c r="S66" s="57">
        <v>0</v>
      </c>
      <c r="T66" s="57"/>
      <c r="U66" s="57"/>
      <c r="V66" s="57"/>
      <c r="W66" s="57"/>
      <c r="X66" s="57"/>
      <c r="Y66" s="57"/>
      <c r="Z66" s="57"/>
      <c r="AA66" s="57"/>
      <c r="AB66" s="57">
        <v>80000</v>
      </c>
      <c r="AC66" s="57">
        <v>185185.50013333332</v>
      </c>
      <c r="AD66" s="57">
        <v>50505.136399999996</v>
      </c>
      <c r="AE66" s="57">
        <v>50505.136399999996</v>
      </c>
      <c r="AF66" s="57">
        <v>0</v>
      </c>
      <c r="AG66" s="57">
        <v>33670.090933333333</v>
      </c>
      <c r="AH66" s="57">
        <v>16835.045466666666</v>
      </c>
      <c r="AI66" s="57">
        <v>16835.045466666666</v>
      </c>
      <c r="AJ66" s="57">
        <v>12626.284099999999</v>
      </c>
      <c r="AK66" s="57">
        <v>7130.4</v>
      </c>
      <c r="AL66" s="57">
        <v>264100.90999999997</v>
      </c>
      <c r="AM66" s="57">
        <v>2.2333334200084209E-3</v>
      </c>
      <c r="AN66" s="158">
        <v>1683504.55</v>
      </c>
      <c r="AO66" s="158">
        <v>0</v>
      </c>
      <c r="AP66" s="158">
        <v>1683504.55</v>
      </c>
      <c r="AQ66" s="158">
        <v>637393.55000000005</v>
      </c>
      <c r="AR66" s="158">
        <v>1046111</v>
      </c>
      <c r="AS66" s="57"/>
      <c r="AT66" s="57"/>
      <c r="AU66" s="57"/>
      <c r="AV66" s="57"/>
      <c r="AW66" s="57"/>
      <c r="AX66" s="57"/>
      <c r="AY66" s="57"/>
      <c r="AZ66" s="57"/>
      <c r="BA66" s="57"/>
    </row>
    <row r="67" spans="1:53" hidden="1" x14ac:dyDescent="0.25">
      <c r="A67" s="17" t="s">
        <v>166</v>
      </c>
      <c r="B67" s="17">
        <v>20947260481</v>
      </c>
      <c r="C67" s="17" t="s">
        <v>118</v>
      </c>
      <c r="D67" s="73">
        <v>46143</v>
      </c>
      <c r="E67" t="s">
        <v>119</v>
      </c>
      <c r="F67" s="57">
        <v>1127991</v>
      </c>
      <c r="G67" s="57"/>
      <c r="H67" s="57"/>
      <c r="I67" s="57"/>
      <c r="J67" s="57"/>
      <c r="K67" s="57"/>
      <c r="L67" s="57">
        <v>378208.8</v>
      </c>
      <c r="M67" s="57"/>
      <c r="N67" s="57"/>
      <c r="O67" s="57"/>
      <c r="P67" s="57"/>
      <c r="Q67" s="57"/>
      <c r="R67" s="57"/>
      <c r="S67" s="57">
        <v>48842.04</v>
      </c>
      <c r="T67" s="57"/>
      <c r="U67" s="57">
        <v>88859.533714285717</v>
      </c>
      <c r="V67" s="57"/>
      <c r="W67" s="57"/>
      <c r="X67" s="57"/>
      <c r="Y67" s="57"/>
      <c r="Z67" s="57"/>
      <c r="AA67" s="57">
        <v>73765.100000000006</v>
      </c>
      <c r="AB67" s="57">
        <v>80000</v>
      </c>
      <c r="AC67" s="57">
        <v>197743.31210857147</v>
      </c>
      <c r="AD67" s="57">
        <v>53929.99421142858</v>
      </c>
      <c r="AE67" s="57">
        <v>53929.99421142858</v>
      </c>
      <c r="AF67" s="57">
        <v>0</v>
      </c>
      <c r="AG67" s="57">
        <v>35953.329474285718</v>
      </c>
      <c r="AH67" s="57">
        <v>17976.664737142859</v>
      </c>
      <c r="AI67" s="57">
        <v>17976.664737142859</v>
      </c>
      <c r="AJ67" s="57">
        <v>13482.498552857145</v>
      </c>
      <c r="AK67" s="57"/>
      <c r="AL67" s="57"/>
      <c r="AM67" s="57">
        <v>0.98431857116520405</v>
      </c>
      <c r="AN67" s="158">
        <v>1797666.47</v>
      </c>
      <c r="AO67" s="158">
        <v>0.98</v>
      </c>
      <c r="AP67" s="158">
        <v>1797667.46</v>
      </c>
      <c r="AQ67" s="158">
        <v>390992.46</v>
      </c>
      <c r="AR67" s="158">
        <v>1406675</v>
      </c>
      <c r="AS67" s="57"/>
      <c r="AT67" s="57"/>
      <c r="AU67" s="57"/>
      <c r="AV67" s="57"/>
      <c r="AW67" s="57"/>
      <c r="AX67" s="57"/>
      <c r="AY67" s="57"/>
      <c r="AZ67" s="57"/>
      <c r="BA67" s="57"/>
    </row>
    <row r="68" spans="1:53" hidden="1" x14ac:dyDescent="0.25">
      <c r="A68" s="17" t="s">
        <v>176</v>
      </c>
      <c r="B68" s="17">
        <v>23175845879</v>
      </c>
      <c r="C68" s="17" t="s">
        <v>133</v>
      </c>
      <c r="D68" s="73">
        <v>46143</v>
      </c>
      <c r="E68" t="s">
        <v>80</v>
      </c>
      <c r="F68" s="57">
        <v>1089785</v>
      </c>
      <c r="G68" s="57"/>
      <c r="H68" s="57">
        <v>31054.400000000001</v>
      </c>
      <c r="I68" s="57">
        <v>33429.699999999997</v>
      </c>
      <c r="J68" s="57">
        <v>7130.4</v>
      </c>
      <c r="K68" s="57"/>
      <c r="L68" s="57">
        <v>315174</v>
      </c>
      <c r="M68" s="57">
        <v>26486.5</v>
      </c>
      <c r="N68" s="57"/>
      <c r="O68" s="57">
        <v>26486.5</v>
      </c>
      <c r="P68" s="57"/>
      <c r="Q68" s="57"/>
      <c r="R68" s="57">
        <v>44556.800000000003</v>
      </c>
      <c r="S68" s="57">
        <v>0</v>
      </c>
      <c r="T68" s="57">
        <v>377784.79199999996</v>
      </c>
      <c r="U68" s="57">
        <v>110187.23099999999</v>
      </c>
      <c r="V68" s="57">
        <v>487972.02299999993</v>
      </c>
      <c r="W68" s="57"/>
      <c r="X68" s="57"/>
      <c r="Y68" s="57"/>
      <c r="Z68" s="57"/>
      <c r="AA68" s="57"/>
      <c r="AB68" s="57">
        <v>80000</v>
      </c>
      <c r="AC68" s="57">
        <v>235628.28552999999</v>
      </c>
      <c r="AD68" s="57">
        <v>64262.259689999992</v>
      </c>
      <c r="AE68" s="57">
        <v>64262.259689999992</v>
      </c>
      <c r="AF68" s="57">
        <v>0</v>
      </c>
      <c r="AG68" s="57">
        <v>42841.506459999997</v>
      </c>
      <c r="AH68" s="57">
        <v>21420.753229999998</v>
      </c>
      <c r="AI68" s="57">
        <v>21420.753229999998</v>
      </c>
      <c r="AJ68" s="57">
        <v>16065.564922499998</v>
      </c>
      <c r="AK68" s="57">
        <v>7130.4</v>
      </c>
      <c r="AL68" s="57"/>
      <c r="AM68" s="57">
        <v>0.45975250005722046</v>
      </c>
      <c r="AN68" s="158">
        <v>2142075.3199999998</v>
      </c>
      <c r="AO68" s="158">
        <v>0.46</v>
      </c>
      <c r="AP68" s="158">
        <v>2142075.7799999998</v>
      </c>
      <c r="AQ68" s="158">
        <v>473031.78</v>
      </c>
      <c r="AR68" s="158">
        <v>1669044</v>
      </c>
      <c r="AS68" s="57"/>
      <c r="AT68" s="57"/>
      <c r="AU68" s="57"/>
      <c r="AV68" s="57"/>
      <c r="AW68" s="57"/>
      <c r="AX68" s="57"/>
      <c r="AY68" s="57"/>
      <c r="AZ68" s="57"/>
      <c r="BA68" s="57"/>
    </row>
    <row r="69" spans="1:53" s="41" customFormat="1" hidden="1" x14ac:dyDescent="0.25">
      <c r="A69" s="17" t="s">
        <v>166</v>
      </c>
      <c r="B69" s="17">
        <v>23250288794</v>
      </c>
      <c r="C69" s="17" t="s">
        <v>121</v>
      </c>
      <c r="D69" s="73">
        <v>46143</v>
      </c>
      <c r="E69" t="s">
        <v>98</v>
      </c>
      <c r="F69" s="57">
        <v>47365.4</v>
      </c>
      <c r="G69" s="57"/>
      <c r="H69" s="57"/>
      <c r="I69" s="57"/>
      <c r="J69" s="57"/>
      <c r="K69" s="57">
        <v>0</v>
      </c>
      <c r="L69" s="57"/>
      <c r="M69" s="57"/>
      <c r="N69" s="57"/>
      <c r="O69" s="57"/>
      <c r="P69" s="57"/>
      <c r="Q69" s="57"/>
      <c r="R69" s="57"/>
      <c r="S69" s="57">
        <v>0</v>
      </c>
      <c r="T69" s="57"/>
      <c r="U69" s="57"/>
      <c r="V69" s="57"/>
      <c r="W69" s="57"/>
      <c r="X69" s="57"/>
      <c r="Y69" s="57"/>
      <c r="Z69" s="57"/>
      <c r="AA69" s="57"/>
      <c r="AB69" s="57">
        <v>36800</v>
      </c>
      <c r="AC69" s="57">
        <v>63965.231</v>
      </c>
      <c r="AD69" s="57">
        <v>17445.062999999998</v>
      </c>
      <c r="AE69" s="57">
        <v>17445.062999999998</v>
      </c>
      <c r="AF69" s="57">
        <v>0</v>
      </c>
      <c r="AG69" s="57"/>
      <c r="AH69" s="57">
        <v>5815.0209999999997</v>
      </c>
      <c r="AI69" s="57"/>
      <c r="AJ69" s="57">
        <v>4361.2657499999996</v>
      </c>
      <c r="AK69" s="57"/>
      <c r="AL69" s="57"/>
      <c r="AM69" s="57">
        <v>0.54375000001164153</v>
      </c>
      <c r="AN69" s="158">
        <v>581502.1</v>
      </c>
      <c r="AO69" s="158">
        <v>0.54</v>
      </c>
      <c r="AP69" s="158">
        <v>581502.64</v>
      </c>
      <c r="AQ69" s="158">
        <v>109031.64</v>
      </c>
      <c r="AR69" s="158">
        <v>472471</v>
      </c>
      <c r="AS69" s="57"/>
      <c r="AT69" s="57"/>
      <c r="AU69" s="57"/>
      <c r="AV69" s="57"/>
      <c r="AW69" s="57"/>
      <c r="AX69" s="57"/>
      <c r="AY69" s="57"/>
      <c r="AZ69" s="57"/>
      <c r="BA69" s="57"/>
    </row>
    <row r="70" spans="1:53" hidden="1" x14ac:dyDescent="0.25">
      <c r="A70" s="17" t="s">
        <v>155</v>
      </c>
      <c r="B70" s="17">
        <v>23289923934</v>
      </c>
      <c r="C70" s="17" t="s">
        <v>96</v>
      </c>
      <c r="D70" s="73">
        <v>46143</v>
      </c>
      <c r="E70" t="s">
        <v>90</v>
      </c>
      <c r="F70" s="57">
        <v>598586</v>
      </c>
      <c r="G70" s="57"/>
      <c r="H70" s="57">
        <v>13586.300000000001</v>
      </c>
      <c r="I70" s="57">
        <v>33429.699999999997</v>
      </c>
      <c r="J70" s="57"/>
      <c r="K70" s="57"/>
      <c r="L70" s="57">
        <v>42023.199999999997</v>
      </c>
      <c r="M70" s="57"/>
      <c r="N70" s="57"/>
      <c r="O70" s="57"/>
      <c r="P70" s="57"/>
      <c r="Q70" s="57"/>
      <c r="R70" s="57"/>
      <c r="S70" s="57">
        <v>0</v>
      </c>
      <c r="T70" s="57"/>
      <c r="U70" s="57"/>
      <c r="V70" s="57"/>
      <c r="W70" s="57"/>
      <c r="X70" s="57"/>
      <c r="Y70" s="57"/>
      <c r="Z70" s="57"/>
      <c r="AA70" s="57">
        <v>73765.100000000006</v>
      </c>
      <c r="AB70" s="57">
        <v>40000</v>
      </c>
      <c r="AC70" s="57">
        <v>88152.93299999999</v>
      </c>
      <c r="AD70" s="57">
        <v>24041.708999999995</v>
      </c>
      <c r="AE70" s="57">
        <v>24041.708999999995</v>
      </c>
      <c r="AF70" s="57">
        <v>12203.331000000006</v>
      </c>
      <c r="AG70" s="57">
        <v>16027.805999999999</v>
      </c>
      <c r="AH70" s="57">
        <v>8013.9029999999993</v>
      </c>
      <c r="AI70" s="57">
        <v>8013.9029999999993</v>
      </c>
      <c r="AJ70" s="57">
        <v>6010.4272499999988</v>
      </c>
      <c r="AK70" s="57"/>
      <c r="AL70" s="57"/>
      <c r="AM70" s="57">
        <v>0.42125000013038516</v>
      </c>
      <c r="AN70" s="158">
        <v>801390.3</v>
      </c>
      <c r="AO70" s="158">
        <v>0.42</v>
      </c>
      <c r="AP70" s="158">
        <v>801390.72</v>
      </c>
      <c r="AQ70" s="158">
        <v>186505.72</v>
      </c>
      <c r="AR70" s="158">
        <v>614885</v>
      </c>
      <c r="AS70" s="57"/>
      <c r="AT70" s="57"/>
      <c r="AU70" s="57"/>
      <c r="AV70" s="57"/>
      <c r="AW70" s="57"/>
      <c r="AX70" s="57"/>
      <c r="AY70" s="57"/>
      <c r="AZ70" s="57"/>
      <c r="BA70" s="57"/>
    </row>
    <row r="71" spans="1:53" s="41" customFormat="1" hidden="1" x14ac:dyDescent="0.25">
      <c r="A71" s="17" t="s">
        <v>155</v>
      </c>
      <c r="B71" s="17">
        <v>24269272801</v>
      </c>
      <c r="C71" s="17" t="s">
        <v>327</v>
      </c>
      <c r="D71" s="73">
        <v>46143</v>
      </c>
      <c r="E71" t="s">
        <v>98</v>
      </c>
      <c r="F71" s="57">
        <v>47365.4</v>
      </c>
      <c r="G71" s="57">
        <v>307875.10000000003</v>
      </c>
      <c r="H71" s="57">
        <v>0</v>
      </c>
      <c r="I71" s="57">
        <v>0</v>
      </c>
      <c r="J71" s="57">
        <v>0</v>
      </c>
      <c r="K71" s="57">
        <v>0</v>
      </c>
      <c r="L71" s="57"/>
      <c r="M71" s="57">
        <v>0</v>
      </c>
      <c r="N71" s="57">
        <v>0</v>
      </c>
      <c r="O71" s="57">
        <v>0</v>
      </c>
      <c r="P71" s="57">
        <v>0</v>
      </c>
      <c r="Q71" s="57">
        <v>0</v>
      </c>
      <c r="R71" s="57">
        <v>0</v>
      </c>
      <c r="S71" s="57">
        <v>0</v>
      </c>
      <c r="T71" s="57"/>
      <c r="U71" s="57"/>
      <c r="V71" s="57"/>
      <c r="W71" s="57"/>
      <c r="X71" s="57"/>
      <c r="Y71" s="57"/>
      <c r="Z71" s="57"/>
      <c r="AA71" s="57">
        <v>0</v>
      </c>
      <c r="AB71" s="57">
        <v>10400</v>
      </c>
      <c r="AC71" s="57">
        <v>35010.261000000006</v>
      </c>
      <c r="AD71" s="57">
        <v>9548.2530000000006</v>
      </c>
      <c r="AE71" s="57">
        <v>9548.2530000000006</v>
      </c>
      <c r="AF71" s="57">
        <v>0</v>
      </c>
      <c r="AG71" s="57"/>
      <c r="AH71" s="57">
        <v>3182.7510000000002</v>
      </c>
      <c r="AI71" s="57"/>
      <c r="AJ71" s="57">
        <v>2387.0632500000002</v>
      </c>
      <c r="AK71" s="57">
        <v>0</v>
      </c>
      <c r="AL71" s="57"/>
      <c r="AM71" s="57">
        <v>0.4812499999825377</v>
      </c>
      <c r="AN71" s="158">
        <v>318275.09999999998</v>
      </c>
      <c r="AO71" s="158">
        <v>0.48</v>
      </c>
      <c r="AP71" s="158">
        <v>318275.58</v>
      </c>
      <c r="AQ71" s="158">
        <v>59676.58</v>
      </c>
      <c r="AR71" s="158">
        <v>258599</v>
      </c>
      <c r="AS71" s="57"/>
      <c r="AT71" s="57"/>
      <c r="AU71" s="57"/>
      <c r="AV71" s="57"/>
      <c r="AW71" s="57"/>
      <c r="AX71" s="57"/>
      <c r="AY71" s="57"/>
      <c r="AZ71" s="57"/>
      <c r="BA71" s="57"/>
    </row>
    <row r="72" spans="1:53" s="41" customFormat="1" hidden="1" x14ac:dyDescent="0.25">
      <c r="A72" s="17" t="s">
        <v>172</v>
      </c>
      <c r="B72" s="17">
        <v>24269272801</v>
      </c>
      <c r="C72" s="17" t="s">
        <v>327</v>
      </c>
      <c r="D72" s="73">
        <v>46143</v>
      </c>
      <c r="E72" t="s">
        <v>98</v>
      </c>
      <c r="F72" s="57">
        <v>47365.4</v>
      </c>
      <c r="G72" s="57"/>
      <c r="H72" s="57">
        <v>0</v>
      </c>
      <c r="I72" s="57">
        <v>0</v>
      </c>
      <c r="J72" s="57">
        <v>0</v>
      </c>
      <c r="K72" s="57">
        <v>0</v>
      </c>
      <c r="L72" s="57"/>
      <c r="M72" s="57">
        <v>0</v>
      </c>
      <c r="N72" s="57">
        <v>0</v>
      </c>
      <c r="O72" s="57">
        <v>0</v>
      </c>
      <c r="P72" s="57">
        <v>0</v>
      </c>
      <c r="Q72" s="57">
        <v>0</v>
      </c>
      <c r="R72" s="57">
        <v>0</v>
      </c>
      <c r="S72" s="57">
        <v>0</v>
      </c>
      <c r="T72" s="57"/>
      <c r="U72" s="57"/>
      <c r="V72" s="57"/>
      <c r="W72" s="57"/>
      <c r="X72" s="57"/>
      <c r="Y72" s="57"/>
      <c r="Z72" s="57"/>
      <c r="AA72" s="57">
        <v>0</v>
      </c>
      <c r="AB72" s="57">
        <v>36800</v>
      </c>
      <c r="AC72" s="57">
        <v>63965.231</v>
      </c>
      <c r="AD72" s="57">
        <v>17445.062999999998</v>
      </c>
      <c r="AE72" s="57">
        <v>17445.062999999998</v>
      </c>
      <c r="AF72" s="57">
        <v>0</v>
      </c>
      <c r="AG72" s="57"/>
      <c r="AH72" s="57">
        <v>5815.0209999999997</v>
      </c>
      <c r="AI72" s="57"/>
      <c r="AJ72" s="57">
        <v>4361.2657499999996</v>
      </c>
      <c r="AK72" s="57">
        <v>0</v>
      </c>
      <c r="AL72" s="57"/>
      <c r="AM72" s="57">
        <v>0.54375000001164153</v>
      </c>
      <c r="AN72" s="158">
        <v>581502.1</v>
      </c>
      <c r="AO72" s="158">
        <v>0.54</v>
      </c>
      <c r="AP72" s="158">
        <v>581502.64</v>
      </c>
      <c r="AQ72" s="158">
        <v>109031.64</v>
      </c>
      <c r="AR72" s="158">
        <v>472471</v>
      </c>
      <c r="AS72" s="57"/>
      <c r="AT72" s="57"/>
      <c r="AU72" s="57"/>
      <c r="AV72" s="57"/>
      <c r="AW72" s="57"/>
      <c r="AX72" s="57"/>
      <c r="AY72" s="57"/>
      <c r="AZ72" s="57"/>
      <c r="BA72" s="57"/>
    </row>
    <row r="73" spans="1:53" hidden="1" x14ac:dyDescent="0.25">
      <c r="A73" s="17" t="s">
        <v>164</v>
      </c>
      <c r="B73" s="17">
        <v>27174620410</v>
      </c>
      <c r="C73" s="17" t="s">
        <v>112</v>
      </c>
      <c r="D73" s="73">
        <v>46143</v>
      </c>
      <c r="E73" t="s">
        <v>80</v>
      </c>
      <c r="F73" s="57">
        <v>998970</v>
      </c>
      <c r="G73" s="57"/>
      <c r="H73" s="57">
        <v>75695.100000000006</v>
      </c>
      <c r="I73" s="57">
        <v>39669.910666666663</v>
      </c>
      <c r="J73" s="57">
        <v>7130.4</v>
      </c>
      <c r="K73" s="57"/>
      <c r="L73" s="57">
        <v>567313.19999999995</v>
      </c>
      <c r="M73" s="57"/>
      <c r="N73" s="57"/>
      <c r="O73" s="57"/>
      <c r="P73" s="57"/>
      <c r="Q73" s="57"/>
      <c r="R73" s="57"/>
      <c r="S73" s="57">
        <v>0</v>
      </c>
      <c r="T73" s="57"/>
      <c r="U73" s="57"/>
      <c r="V73" s="57"/>
      <c r="W73" s="57"/>
      <c r="X73" s="57"/>
      <c r="Y73" s="57"/>
      <c r="Z73" s="57"/>
      <c r="AA73" s="57"/>
      <c r="AB73" s="57">
        <v>80000</v>
      </c>
      <c r="AC73" s="57">
        <v>194565.64717333333</v>
      </c>
      <c r="AD73" s="57">
        <v>53063.358319999999</v>
      </c>
      <c r="AE73" s="57">
        <v>53063.358319999999</v>
      </c>
      <c r="AF73" s="57">
        <v>0</v>
      </c>
      <c r="AG73" s="57">
        <v>35375.572213333333</v>
      </c>
      <c r="AH73" s="57">
        <v>17687.786106666666</v>
      </c>
      <c r="AI73" s="57">
        <v>17687.786106666666</v>
      </c>
      <c r="AJ73" s="57">
        <v>13265.83958</v>
      </c>
      <c r="AK73" s="57">
        <v>7130.4</v>
      </c>
      <c r="AL73" s="57"/>
      <c r="AM73" s="57">
        <v>0.13715333351865411</v>
      </c>
      <c r="AN73" s="158">
        <v>1768778.61</v>
      </c>
      <c r="AO73" s="158">
        <v>0.14000000000000001</v>
      </c>
      <c r="AP73" s="158">
        <v>1768778.75</v>
      </c>
      <c r="AQ73" s="158">
        <v>391839.75</v>
      </c>
      <c r="AR73" s="158">
        <v>1376939</v>
      </c>
      <c r="AS73" s="57"/>
      <c r="AT73" s="57"/>
      <c r="AU73" s="57"/>
      <c r="AV73" s="57"/>
      <c r="AW73" s="57"/>
      <c r="AX73" s="57"/>
      <c r="AY73" s="57"/>
      <c r="AZ73" s="57"/>
      <c r="BA73" s="57"/>
    </row>
    <row r="74" spans="1:53" hidden="1" x14ac:dyDescent="0.25">
      <c r="A74" s="17" t="s">
        <v>144</v>
      </c>
      <c r="B74" s="17">
        <v>20283772323</v>
      </c>
      <c r="C74" s="17" t="s">
        <v>78</v>
      </c>
      <c r="D74" s="73">
        <v>46082</v>
      </c>
      <c r="E74" t="s">
        <v>80</v>
      </c>
      <c r="F74" s="57">
        <v>916610</v>
      </c>
      <c r="G74" s="57"/>
      <c r="H74" s="57">
        <v>141165.1</v>
      </c>
      <c r="I74" s="57">
        <v>49243.5</v>
      </c>
      <c r="J74" s="57">
        <v>6564.6</v>
      </c>
      <c r="K74" s="57"/>
      <c r="L74" s="57">
        <v>329861.19999999995</v>
      </c>
      <c r="M74" s="57"/>
      <c r="N74" s="57"/>
      <c r="O74" s="57"/>
      <c r="P74" s="57"/>
      <c r="Q74" s="57"/>
      <c r="R74" s="57"/>
      <c r="S74" s="57">
        <v>0</v>
      </c>
      <c r="T74" s="57"/>
      <c r="U74" s="57">
        <v>173213.32800000001</v>
      </c>
      <c r="V74" s="57"/>
      <c r="W74" s="57"/>
      <c r="X74" s="57"/>
      <c r="Y74" s="57"/>
      <c r="Z74" s="57">
        <v>278978.85000000003</v>
      </c>
      <c r="AA74" s="57"/>
      <c r="AB74" s="57">
        <v>120000</v>
      </c>
      <c r="AC74" s="57">
        <v>221720.02358000004</v>
      </c>
      <c r="AD74" s="57">
        <v>60469.097340000008</v>
      </c>
      <c r="AE74" s="57">
        <v>60469.097340000008</v>
      </c>
      <c r="AF74" s="57">
        <v>0</v>
      </c>
      <c r="AG74" s="57">
        <v>40312.731560000007</v>
      </c>
      <c r="AH74" s="57">
        <v>20156.365780000004</v>
      </c>
      <c r="AI74" s="57">
        <v>20156.365780000004</v>
      </c>
      <c r="AJ74" s="57">
        <v>15117.274335000002</v>
      </c>
      <c r="AK74" s="57">
        <v>6564.6</v>
      </c>
      <c r="AL74" s="57"/>
      <c r="AM74" s="57">
        <v>0.97771499981172383</v>
      </c>
      <c r="AN74" s="158">
        <v>2015636.58</v>
      </c>
      <c r="AO74" s="158">
        <v>0.98</v>
      </c>
      <c r="AP74" s="158">
        <v>2015637.56</v>
      </c>
      <c r="AQ74" s="158">
        <v>444965.56</v>
      </c>
      <c r="AR74" s="158">
        <v>1570672</v>
      </c>
      <c r="AS74" s="57"/>
      <c r="AT74" s="57"/>
      <c r="AU74" s="57"/>
      <c r="AV74" s="57"/>
      <c r="AW74" s="57"/>
      <c r="AX74" s="57"/>
      <c r="AY74" s="57"/>
      <c r="AZ74" s="57"/>
      <c r="BA74" s="57"/>
    </row>
    <row r="75" spans="1:53" hidden="1" x14ac:dyDescent="0.25">
      <c r="A75" s="17" t="s">
        <v>144</v>
      </c>
      <c r="B75" s="17">
        <v>20338776390</v>
      </c>
      <c r="C75" s="17" t="s">
        <v>85</v>
      </c>
      <c r="D75" s="73">
        <v>46082</v>
      </c>
      <c r="E75" t="s">
        <v>86</v>
      </c>
      <c r="F75" s="57">
        <v>533538</v>
      </c>
      <c r="G75" s="57"/>
      <c r="H75" s="57"/>
      <c r="I75" s="57"/>
      <c r="J75" s="57"/>
      <c r="K75" s="57"/>
      <c r="L75" s="57">
        <v>0</v>
      </c>
      <c r="M75" s="57"/>
      <c r="N75" s="57"/>
      <c r="O75" s="57"/>
      <c r="P75" s="57"/>
      <c r="Q75" s="57"/>
      <c r="R75" s="57"/>
      <c r="S75" s="57">
        <v>0</v>
      </c>
      <c r="T75" s="57"/>
      <c r="U75" s="57"/>
      <c r="V75" s="57"/>
      <c r="W75" s="57">
        <v>128049.12</v>
      </c>
      <c r="X75" s="57"/>
      <c r="Y75" s="57"/>
      <c r="Z75" s="57"/>
      <c r="AA75" s="57">
        <v>67912.5</v>
      </c>
      <c r="AB75" s="57">
        <v>60000</v>
      </c>
      <c r="AC75" s="57">
        <v>86844.958199999994</v>
      </c>
      <c r="AD75" s="57">
        <v>23684.988600000001</v>
      </c>
      <c r="AE75" s="57">
        <v>23684.988600000001</v>
      </c>
      <c r="AF75" s="57">
        <v>8330.8913999999968</v>
      </c>
      <c r="AG75" s="57">
        <v>15789.992400000001</v>
      </c>
      <c r="AH75" s="57">
        <v>7894.9962000000005</v>
      </c>
      <c r="AI75" s="57">
        <v>7894.9962000000005</v>
      </c>
      <c r="AJ75" s="57">
        <v>5921.2471500000001</v>
      </c>
      <c r="AK75" s="57"/>
      <c r="AL75" s="57"/>
      <c r="AM75" s="57">
        <v>0.43874999997206032</v>
      </c>
      <c r="AN75" s="158">
        <v>789499.62</v>
      </c>
      <c r="AO75" s="158">
        <v>0.44</v>
      </c>
      <c r="AP75" s="158">
        <v>789500.06</v>
      </c>
      <c r="AQ75" s="158">
        <v>180047.06</v>
      </c>
      <c r="AR75" s="158">
        <v>609453</v>
      </c>
      <c r="AS75" s="57"/>
      <c r="AT75" s="57"/>
      <c r="AU75" s="57"/>
      <c r="AV75" s="57"/>
      <c r="AW75" s="57"/>
      <c r="AX75" s="57"/>
      <c r="AY75" s="57"/>
      <c r="AZ75" s="57"/>
      <c r="BA75" s="57"/>
    </row>
    <row r="76" spans="1:53" hidden="1" x14ac:dyDescent="0.25">
      <c r="A76" s="17" t="s">
        <v>160</v>
      </c>
      <c r="B76" s="17">
        <v>20263485409</v>
      </c>
      <c r="C76" s="17" t="s">
        <v>101</v>
      </c>
      <c r="D76" s="73">
        <v>46082</v>
      </c>
      <c r="E76" t="s">
        <v>90</v>
      </c>
      <c r="F76" s="57">
        <v>535735</v>
      </c>
      <c r="G76" s="57"/>
      <c r="H76" s="57"/>
      <c r="I76" s="57"/>
      <c r="J76" s="57"/>
      <c r="K76" s="57"/>
      <c r="L76" s="57">
        <v>213439.59999999998</v>
      </c>
      <c r="M76" s="57"/>
      <c r="N76" s="57"/>
      <c r="O76" s="57"/>
      <c r="P76" s="57"/>
      <c r="Q76" s="57"/>
      <c r="R76" s="57"/>
      <c r="S76" s="57">
        <v>0</v>
      </c>
      <c r="T76" s="57"/>
      <c r="U76" s="57"/>
      <c r="V76" s="57"/>
      <c r="W76" s="57"/>
      <c r="X76" s="57"/>
      <c r="Y76" s="57"/>
      <c r="Z76" s="57">
        <v>34961.5</v>
      </c>
      <c r="AA76" s="57">
        <v>67912.5</v>
      </c>
      <c r="AB76" s="57">
        <v>60000</v>
      </c>
      <c r="AC76" s="57">
        <v>100325.34600000001</v>
      </c>
      <c r="AD76" s="57">
        <v>27361.457999999999</v>
      </c>
      <c r="AE76" s="57">
        <v>27361.457999999999</v>
      </c>
      <c r="AF76" s="57">
        <v>4654.4219999999987</v>
      </c>
      <c r="AG76" s="57">
        <v>18240.972000000002</v>
      </c>
      <c r="AH76" s="57">
        <v>9120.4860000000008</v>
      </c>
      <c r="AI76" s="57">
        <v>9120.4860000000008</v>
      </c>
      <c r="AJ76" s="57">
        <v>6840.3644999999997</v>
      </c>
      <c r="AK76" s="57"/>
      <c r="AL76" s="57"/>
      <c r="AM76" s="57">
        <v>0.39250000007450581</v>
      </c>
      <c r="AN76" s="158">
        <v>912048.6</v>
      </c>
      <c r="AO76" s="158">
        <v>0.39</v>
      </c>
      <c r="AP76" s="158">
        <v>912048.99</v>
      </c>
      <c r="AQ76" s="158">
        <v>203024.99</v>
      </c>
      <c r="AR76" s="158">
        <v>709024</v>
      </c>
      <c r="AS76" s="57"/>
      <c r="AT76" s="57"/>
      <c r="AU76" s="57"/>
      <c r="AV76" s="57"/>
      <c r="AW76" s="57"/>
      <c r="AX76" s="57"/>
      <c r="AY76" s="57"/>
      <c r="AZ76" s="57"/>
      <c r="BA76" s="57"/>
    </row>
    <row r="77" spans="1:53" hidden="1" x14ac:dyDescent="0.25">
      <c r="A77" s="17" t="s">
        <v>162</v>
      </c>
      <c r="B77" s="17">
        <v>20331992314</v>
      </c>
      <c r="C77" s="17" t="s">
        <v>108</v>
      </c>
      <c r="D77" s="73">
        <v>46082</v>
      </c>
      <c r="E77" t="s">
        <v>109</v>
      </c>
      <c r="F77" s="57">
        <v>976183</v>
      </c>
      <c r="G77" s="57"/>
      <c r="H77" s="57"/>
      <c r="I77" s="57"/>
      <c r="J77" s="57"/>
      <c r="K77" s="57"/>
      <c r="L77" s="57">
        <v>291054</v>
      </c>
      <c r="M77" s="57"/>
      <c r="N77" s="57"/>
      <c r="O77" s="57"/>
      <c r="P77" s="57"/>
      <c r="Q77" s="57"/>
      <c r="R77" s="57"/>
      <c r="S77" s="57">
        <v>0</v>
      </c>
      <c r="T77" s="57"/>
      <c r="U77" s="57"/>
      <c r="V77" s="57"/>
      <c r="W77" s="57"/>
      <c r="X77" s="57"/>
      <c r="Y77" s="57"/>
      <c r="Z77" s="57">
        <v>152068.5</v>
      </c>
      <c r="AA77" s="57">
        <v>67912.5</v>
      </c>
      <c r="AB77" s="57">
        <v>120000</v>
      </c>
      <c r="AC77" s="57">
        <v>176793.98</v>
      </c>
      <c r="AD77" s="57">
        <v>48216.54</v>
      </c>
      <c r="AE77" s="57">
        <v>48216.54</v>
      </c>
      <c r="AF77" s="57">
        <v>0</v>
      </c>
      <c r="AG77" s="57">
        <v>32144.36</v>
      </c>
      <c r="AH77" s="57">
        <v>16072.18</v>
      </c>
      <c r="AI77" s="57">
        <v>16072.18</v>
      </c>
      <c r="AJ77" s="57">
        <v>12054.135</v>
      </c>
      <c r="AK77" s="57"/>
      <c r="AL77" s="57"/>
      <c r="AM77" s="57">
        <v>0.9150000000372529</v>
      </c>
      <c r="AN77" s="158">
        <v>1607218</v>
      </c>
      <c r="AO77" s="158">
        <v>0.92</v>
      </c>
      <c r="AP77" s="158">
        <v>1607218.92</v>
      </c>
      <c r="AQ77" s="158">
        <v>349569.92</v>
      </c>
      <c r="AR77" s="158">
        <v>1257649</v>
      </c>
      <c r="AS77" s="57"/>
      <c r="AT77" s="57"/>
      <c r="AU77" s="57"/>
      <c r="AV77" s="57"/>
      <c r="AW77" s="57"/>
      <c r="AX77" s="57"/>
      <c r="AY77" s="57"/>
      <c r="AZ77" s="57"/>
      <c r="BA77" s="57"/>
    </row>
    <row r="78" spans="1:53" hidden="1" x14ac:dyDescent="0.25">
      <c r="A78" s="17" t="s">
        <v>172</v>
      </c>
      <c r="B78" s="17">
        <v>20942335351</v>
      </c>
      <c r="C78" s="17" t="s">
        <v>125</v>
      </c>
      <c r="D78" s="73">
        <v>46082</v>
      </c>
      <c r="E78" t="s">
        <v>116</v>
      </c>
      <c r="F78" s="57">
        <v>1067196</v>
      </c>
      <c r="G78" s="57"/>
      <c r="H78" s="57">
        <v>48246.3</v>
      </c>
      <c r="I78" s="57">
        <v>30777.3</v>
      </c>
      <c r="J78" s="57"/>
      <c r="K78" s="57"/>
      <c r="L78" s="57">
        <v>310457.59999999998</v>
      </c>
      <c r="M78" s="57"/>
      <c r="N78" s="57"/>
      <c r="O78" s="57"/>
      <c r="P78" s="57"/>
      <c r="Q78" s="57"/>
      <c r="R78" s="57"/>
      <c r="S78" s="57">
        <v>0</v>
      </c>
      <c r="T78" s="57"/>
      <c r="U78" s="57"/>
      <c r="V78" s="57"/>
      <c r="W78" s="57"/>
      <c r="X78" s="57"/>
      <c r="Y78" s="57"/>
      <c r="Z78" s="57"/>
      <c r="AA78" s="57">
        <v>67912.5</v>
      </c>
      <c r="AB78" s="57">
        <v>120000</v>
      </c>
      <c r="AC78" s="57">
        <v>180904.86700000003</v>
      </c>
      <c r="AD78" s="57">
        <v>49337.691000000006</v>
      </c>
      <c r="AE78" s="57">
        <v>49337.691000000006</v>
      </c>
      <c r="AF78" s="57">
        <v>0</v>
      </c>
      <c r="AG78" s="57">
        <v>32891.794000000002</v>
      </c>
      <c r="AH78" s="57">
        <v>16445.897000000001</v>
      </c>
      <c r="AI78" s="57">
        <v>16445.897000000001</v>
      </c>
      <c r="AJ78" s="57">
        <v>12334.422750000002</v>
      </c>
      <c r="AK78" s="57"/>
      <c r="AL78" s="57"/>
      <c r="AM78" s="57">
        <v>0.55974999978207052</v>
      </c>
      <c r="AN78" s="158">
        <v>1644589.7</v>
      </c>
      <c r="AO78" s="158">
        <v>0.56000000000000005</v>
      </c>
      <c r="AP78" s="158">
        <v>1644590.26</v>
      </c>
      <c r="AQ78" s="158">
        <v>357698.26</v>
      </c>
      <c r="AR78" s="158">
        <v>1286892</v>
      </c>
      <c r="AS78" s="57"/>
      <c r="AT78" s="57"/>
      <c r="AU78" s="57"/>
      <c r="AV78" s="57"/>
      <c r="AW78" s="57"/>
      <c r="AX78" s="57"/>
      <c r="AY78" s="57"/>
      <c r="AZ78" s="57"/>
      <c r="BA78" s="57"/>
    </row>
    <row r="79" spans="1:53" hidden="1" x14ac:dyDescent="0.25">
      <c r="A79" s="17" t="s">
        <v>174</v>
      </c>
      <c r="B79" s="17">
        <v>20942347643</v>
      </c>
      <c r="C79" s="17" t="s">
        <v>128</v>
      </c>
      <c r="D79" s="73">
        <v>46082</v>
      </c>
      <c r="E79" t="s">
        <v>80</v>
      </c>
      <c r="F79" s="57">
        <v>999938</v>
      </c>
      <c r="G79" s="57"/>
      <c r="H79" s="57">
        <v>53607</v>
      </c>
      <c r="I79" s="57">
        <v>30777.3</v>
      </c>
      <c r="J79" s="57">
        <v>6564.6</v>
      </c>
      <c r="K79" s="57"/>
      <c r="L79" s="57">
        <v>291054</v>
      </c>
      <c r="M79" s="57">
        <v>24385</v>
      </c>
      <c r="N79" s="57"/>
      <c r="O79" s="57">
        <v>24385</v>
      </c>
      <c r="P79" s="57"/>
      <c r="Q79" s="57"/>
      <c r="R79" s="57">
        <v>41021.599999999999</v>
      </c>
      <c r="S79" s="57">
        <v>0</v>
      </c>
      <c r="T79" s="57"/>
      <c r="U79" s="57"/>
      <c r="V79" s="57"/>
      <c r="W79" s="57"/>
      <c r="X79" s="57"/>
      <c r="Y79" s="57"/>
      <c r="Z79" s="57"/>
      <c r="AA79" s="57"/>
      <c r="AB79" s="57">
        <v>120000</v>
      </c>
      <c r="AC79" s="57">
        <v>175090.57500000004</v>
      </c>
      <c r="AD79" s="57">
        <v>47751.975000000006</v>
      </c>
      <c r="AE79" s="57">
        <v>47751.975000000006</v>
      </c>
      <c r="AF79" s="57">
        <v>0</v>
      </c>
      <c r="AG79" s="57">
        <v>31834.650000000005</v>
      </c>
      <c r="AH79" s="57">
        <v>15917.325000000003</v>
      </c>
      <c r="AI79" s="57">
        <v>15917.325000000003</v>
      </c>
      <c r="AJ79" s="57">
        <v>11937.993750000001</v>
      </c>
      <c r="AK79" s="57">
        <v>6564.6</v>
      </c>
      <c r="AL79" s="57">
        <v>247866.5</v>
      </c>
      <c r="AM79" s="57">
        <v>0.41874999983701855</v>
      </c>
      <c r="AN79" s="158">
        <v>1591732.5</v>
      </c>
      <c r="AO79" s="158">
        <v>0.42</v>
      </c>
      <c r="AP79" s="158">
        <v>1591732.92</v>
      </c>
      <c r="AQ79" s="158">
        <v>600632.92000000004</v>
      </c>
      <c r="AR79" s="158">
        <v>991100</v>
      </c>
      <c r="AS79" s="57"/>
      <c r="AT79" s="57"/>
      <c r="AU79" s="57"/>
      <c r="AV79" s="57"/>
      <c r="AW79" s="57"/>
      <c r="AX79" s="57"/>
      <c r="AY79" s="57"/>
      <c r="AZ79" s="57"/>
      <c r="BA79" s="57"/>
    </row>
    <row r="80" spans="1:53" hidden="1" x14ac:dyDescent="0.25">
      <c r="A80" s="17" t="s">
        <v>174</v>
      </c>
      <c r="B80" s="17">
        <v>20252571850</v>
      </c>
      <c r="C80" s="17" t="s">
        <v>130</v>
      </c>
      <c r="D80" s="73">
        <v>46082</v>
      </c>
      <c r="E80" t="s">
        <v>119</v>
      </c>
      <c r="F80" s="57">
        <v>1044582</v>
      </c>
      <c r="G80" s="57"/>
      <c r="H80" s="57"/>
      <c r="I80" s="57"/>
      <c r="J80" s="57"/>
      <c r="K80" s="57"/>
      <c r="L80" s="57">
        <v>271650.39999999997</v>
      </c>
      <c r="M80" s="57"/>
      <c r="N80" s="57"/>
      <c r="O80" s="57"/>
      <c r="P80" s="57"/>
      <c r="Q80" s="57"/>
      <c r="R80" s="57"/>
      <c r="S80" s="57">
        <v>0</v>
      </c>
      <c r="T80" s="57">
        <v>180511.87199999997</v>
      </c>
      <c r="U80" s="57">
        <v>180511.87199999997</v>
      </c>
      <c r="V80" s="57">
        <v>361023.74399999995</v>
      </c>
      <c r="W80" s="57"/>
      <c r="X80" s="57"/>
      <c r="Y80" s="57"/>
      <c r="Z80" s="57">
        <v>479070.3</v>
      </c>
      <c r="AA80" s="57">
        <v>67912.5</v>
      </c>
      <c r="AB80" s="57">
        <v>120000</v>
      </c>
      <c r="AC80" s="57">
        <v>257866.28383999996</v>
      </c>
      <c r="AD80" s="57">
        <v>70327.168319999982</v>
      </c>
      <c r="AE80" s="57">
        <v>70327.168319999982</v>
      </c>
      <c r="AF80" s="57">
        <v>0</v>
      </c>
      <c r="AG80" s="57">
        <v>46884.778879999991</v>
      </c>
      <c r="AH80" s="57">
        <v>23442.389439999995</v>
      </c>
      <c r="AI80" s="57">
        <v>23442.389439999995</v>
      </c>
      <c r="AJ80" s="57">
        <v>17581.792079999996</v>
      </c>
      <c r="AK80" s="57"/>
      <c r="AL80" s="57"/>
      <c r="AM80" s="57">
        <v>2.6320000179111958E-2</v>
      </c>
      <c r="AN80" s="158">
        <v>2344238.94</v>
      </c>
      <c r="AO80" s="158">
        <v>0.03</v>
      </c>
      <c r="AP80" s="158">
        <v>2344238.9700000002</v>
      </c>
      <c r="AQ80" s="158">
        <v>509871.97</v>
      </c>
      <c r="AR80" s="158">
        <v>1834367</v>
      </c>
      <c r="AS80" s="57"/>
      <c r="AT80" s="57"/>
      <c r="AU80" s="57"/>
      <c r="AV80" s="57"/>
      <c r="AW80" s="57"/>
      <c r="AX80" s="57"/>
      <c r="AY80" s="57"/>
      <c r="AZ80" s="57"/>
      <c r="BA80" s="57"/>
    </row>
    <row r="81" spans="1:53" x14ac:dyDescent="0.25">
      <c r="A81" s="17" t="s">
        <v>144</v>
      </c>
      <c r="B81" s="17">
        <v>20283772323</v>
      </c>
      <c r="C81" s="17" t="s">
        <v>78</v>
      </c>
      <c r="D81" s="73">
        <v>46113</v>
      </c>
      <c r="E81" t="s">
        <v>80</v>
      </c>
      <c r="F81" s="57">
        <v>957382</v>
      </c>
      <c r="G81" s="57"/>
      <c r="H81" s="57">
        <v>146955.80000000002</v>
      </c>
      <c r="I81" s="57">
        <v>55107.423999999999</v>
      </c>
      <c r="J81" s="57">
        <v>6833.8</v>
      </c>
      <c r="K81" s="57"/>
      <c r="L81" s="57">
        <v>343393.19999999995</v>
      </c>
      <c r="M81" s="57"/>
      <c r="N81" s="57"/>
      <c r="O81" s="57"/>
      <c r="P81" s="57"/>
      <c r="Q81" s="57"/>
      <c r="R81" s="57"/>
      <c r="S81" s="57">
        <v>0</v>
      </c>
      <c r="T81" s="57"/>
      <c r="U81" s="57">
        <v>181160.66687999998</v>
      </c>
      <c r="V81" s="57"/>
      <c r="W81" s="57"/>
      <c r="X81" s="57"/>
      <c r="Y81" s="57"/>
      <c r="Z81" s="57"/>
      <c r="AA81" s="57"/>
      <c r="AB81" s="57">
        <v>100000</v>
      </c>
      <c r="AC81" s="57">
        <v>196991.61799679999</v>
      </c>
      <c r="AD81" s="57">
        <v>53724.986726399991</v>
      </c>
      <c r="AE81" s="57">
        <v>53724.986726399991</v>
      </c>
      <c r="AF81" s="57">
        <v>0</v>
      </c>
      <c r="AG81" s="57">
        <v>35816.657817599997</v>
      </c>
      <c r="AH81" s="57">
        <v>17908.328908799998</v>
      </c>
      <c r="AI81" s="57">
        <v>17908.328908799998</v>
      </c>
      <c r="AJ81" s="57">
        <v>13431.246681599998</v>
      </c>
      <c r="AK81" s="57">
        <v>6833.8</v>
      </c>
      <c r="AL81" s="57"/>
      <c r="AM81" s="57">
        <v>6.2886400148272514E-2</v>
      </c>
      <c r="AN81" s="158">
        <v>1790832.89</v>
      </c>
      <c r="AO81" s="158">
        <v>0.06</v>
      </c>
      <c r="AP81" s="158">
        <v>1790832.95</v>
      </c>
      <c r="AQ81" s="158">
        <v>396339.95</v>
      </c>
      <c r="AR81" s="158">
        <v>1394493</v>
      </c>
      <c r="AS81" s="57"/>
      <c r="AT81" s="57"/>
      <c r="AU81" s="57"/>
      <c r="AV81" s="57"/>
      <c r="AW81" s="57"/>
      <c r="AX81" s="57"/>
      <c r="AY81" s="57"/>
      <c r="AZ81" s="57"/>
      <c r="BA81" s="57"/>
    </row>
    <row r="82" spans="1:53" x14ac:dyDescent="0.25">
      <c r="A82" s="17" t="s">
        <v>144</v>
      </c>
      <c r="B82" s="17">
        <v>20338776390</v>
      </c>
      <c r="C82" s="17" t="s">
        <v>85</v>
      </c>
      <c r="D82" s="73">
        <v>46113</v>
      </c>
      <c r="E82" t="s">
        <v>86</v>
      </c>
      <c r="F82" s="57">
        <v>555490</v>
      </c>
      <c r="G82" s="57"/>
      <c r="H82" s="57"/>
      <c r="I82" s="57"/>
      <c r="J82" s="57"/>
      <c r="K82" s="57"/>
      <c r="L82" s="57">
        <v>0</v>
      </c>
      <c r="M82" s="57"/>
      <c r="N82" s="57"/>
      <c r="O82" s="57"/>
      <c r="P82" s="57"/>
      <c r="Q82" s="57"/>
      <c r="R82" s="57"/>
      <c r="S82" s="57">
        <v>0</v>
      </c>
      <c r="T82" s="57"/>
      <c r="U82" s="57">
        <v>133317.59999999998</v>
      </c>
      <c r="V82" s="57"/>
      <c r="W82" s="57"/>
      <c r="X82" s="57"/>
      <c r="Y82" s="57"/>
      <c r="Z82" s="57"/>
      <c r="AA82" s="57">
        <v>70696.899999999994</v>
      </c>
      <c r="AB82" s="57">
        <v>50000</v>
      </c>
      <c r="AC82" s="57">
        <v>89045.494999999995</v>
      </c>
      <c r="AD82" s="57">
        <v>24285.134999999998</v>
      </c>
      <c r="AE82" s="57">
        <v>24285.134999999998</v>
      </c>
      <c r="AF82" s="57">
        <v>9044.2650000000031</v>
      </c>
      <c r="AG82" s="57">
        <v>16190.09</v>
      </c>
      <c r="AH82" s="57">
        <v>8095.0450000000001</v>
      </c>
      <c r="AI82" s="57">
        <v>8095.0450000000001</v>
      </c>
      <c r="AJ82" s="57">
        <v>6071.2837499999996</v>
      </c>
      <c r="AK82" s="57"/>
      <c r="AL82" s="57"/>
      <c r="AM82" s="57">
        <v>0.99375000002328306</v>
      </c>
      <c r="AN82" s="158">
        <v>809504.5</v>
      </c>
      <c r="AO82" s="158">
        <v>0.99</v>
      </c>
      <c r="AP82" s="158">
        <v>809505.49</v>
      </c>
      <c r="AQ82" s="158">
        <v>185111.49</v>
      </c>
      <c r="AR82" s="158">
        <v>624394</v>
      </c>
      <c r="AS82" s="57"/>
      <c r="AT82" s="57"/>
      <c r="AU82" s="57"/>
      <c r="AV82" s="57"/>
      <c r="AW82" s="57"/>
      <c r="AX82" s="57"/>
      <c r="AY82" s="57"/>
      <c r="AZ82" s="57"/>
      <c r="BA82" s="57"/>
    </row>
    <row r="83" spans="1:53" x14ac:dyDescent="0.25">
      <c r="A83" s="17" t="s">
        <v>147</v>
      </c>
      <c r="B83" s="17">
        <v>20360647774</v>
      </c>
      <c r="C83" s="17" t="s">
        <v>89</v>
      </c>
      <c r="D83" s="73">
        <v>46113</v>
      </c>
      <c r="E83" t="s">
        <v>90</v>
      </c>
      <c r="F83" s="57">
        <v>566849</v>
      </c>
      <c r="G83" s="57"/>
      <c r="H83" s="57">
        <v>14881.6</v>
      </c>
      <c r="I83" s="57">
        <v>32039.200000000001</v>
      </c>
      <c r="J83" s="57"/>
      <c r="K83" s="57"/>
      <c r="L83" s="57">
        <v>242395.19999999998</v>
      </c>
      <c r="M83" s="57"/>
      <c r="N83" s="57"/>
      <c r="O83" s="57"/>
      <c r="P83" s="57"/>
      <c r="Q83" s="57"/>
      <c r="R83" s="57"/>
      <c r="S83" s="57">
        <v>0</v>
      </c>
      <c r="T83" s="57"/>
      <c r="U83" s="57"/>
      <c r="V83" s="57"/>
      <c r="W83" s="57"/>
      <c r="X83" s="57"/>
      <c r="Y83" s="57"/>
      <c r="Z83" s="57"/>
      <c r="AA83" s="57">
        <v>70696.899999999994</v>
      </c>
      <c r="AB83" s="57">
        <v>50000</v>
      </c>
      <c r="AC83" s="57">
        <v>107454.80899999999</v>
      </c>
      <c r="AD83" s="57">
        <v>29305.856999999996</v>
      </c>
      <c r="AE83" s="57">
        <v>29305.856999999996</v>
      </c>
      <c r="AF83" s="57">
        <v>4023.5430000000051</v>
      </c>
      <c r="AG83" s="57">
        <v>19537.237999999998</v>
      </c>
      <c r="AH83" s="57">
        <v>9768.6189999999988</v>
      </c>
      <c r="AI83" s="57">
        <v>9768.6189999999988</v>
      </c>
      <c r="AJ83" s="57">
        <v>7326.4642499999991</v>
      </c>
      <c r="AK83" s="57"/>
      <c r="AL83" s="57"/>
      <c r="AM83" s="57">
        <v>0.10625000006984919</v>
      </c>
      <c r="AN83" s="158">
        <v>976861.9</v>
      </c>
      <c r="AO83" s="158">
        <v>0.11</v>
      </c>
      <c r="AP83" s="158">
        <v>976862.01</v>
      </c>
      <c r="AQ83" s="158">
        <v>216491.01</v>
      </c>
      <c r="AR83" s="158">
        <v>760371</v>
      </c>
      <c r="AS83" s="57"/>
      <c r="AT83" s="57"/>
      <c r="AU83" s="57"/>
      <c r="AV83" s="57"/>
      <c r="AW83" s="57"/>
      <c r="AX83" s="57"/>
      <c r="AY83" s="57"/>
      <c r="AZ83" s="57"/>
      <c r="BA83" s="57"/>
    </row>
    <row r="84" spans="1:53" x14ac:dyDescent="0.25">
      <c r="A84" s="17" t="s">
        <v>152</v>
      </c>
      <c r="B84" s="17">
        <v>20175464299</v>
      </c>
      <c r="C84" s="17" t="s">
        <v>93</v>
      </c>
      <c r="D84" s="73">
        <v>46113</v>
      </c>
      <c r="E84" t="s">
        <v>80</v>
      </c>
      <c r="F84" s="57">
        <v>1044417</v>
      </c>
      <c r="G84" s="57"/>
      <c r="H84" s="57">
        <v>44644.800000000003</v>
      </c>
      <c r="I84" s="57">
        <v>32039.200000000001</v>
      </c>
      <c r="J84" s="57">
        <v>6833.8</v>
      </c>
      <c r="K84" s="57"/>
      <c r="L84" s="57">
        <v>363592.8</v>
      </c>
      <c r="M84" s="57"/>
      <c r="N84" s="57"/>
      <c r="O84" s="57"/>
      <c r="P84" s="57"/>
      <c r="Q84" s="57"/>
      <c r="R84" s="57"/>
      <c r="S84" s="57">
        <v>0</v>
      </c>
      <c r="T84" s="57"/>
      <c r="U84" s="57"/>
      <c r="V84" s="57"/>
      <c r="W84" s="57"/>
      <c r="X84" s="57"/>
      <c r="Y84" s="57"/>
      <c r="Z84" s="57"/>
      <c r="AA84" s="57"/>
      <c r="AB84" s="57">
        <v>100000</v>
      </c>
      <c r="AC84" s="57">
        <v>175068.03600000002</v>
      </c>
      <c r="AD84" s="57">
        <v>47745.828000000001</v>
      </c>
      <c r="AE84" s="57">
        <v>47745.828000000001</v>
      </c>
      <c r="AF84" s="57">
        <v>0</v>
      </c>
      <c r="AG84" s="57">
        <v>31830.552000000003</v>
      </c>
      <c r="AH84" s="57">
        <v>15915.276000000002</v>
      </c>
      <c r="AI84" s="57">
        <v>15915.276000000002</v>
      </c>
      <c r="AJ84" s="57">
        <v>11936.457</v>
      </c>
      <c r="AK84" s="57">
        <v>6833.8</v>
      </c>
      <c r="AL84" s="57"/>
      <c r="AM84" s="57">
        <v>0.4529999999795109</v>
      </c>
      <c r="AN84" s="158">
        <v>1591527.6</v>
      </c>
      <c r="AO84" s="158">
        <v>0.45</v>
      </c>
      <c r="AP84" s="158">
        <v>1591528.05</v>
      </c>
      <c r="AQ84" s="158">
        <v>352991.05</v>
      </c>
      <c r="AR84" s="158">
        <v>1238537</v>
      </c>
      <c r="AS84" s="57"/>
      <c r="AT84" s="57"/>
      <c r="AU84" s="57"/>
      <c r="AV84" s="57"/>
      <c r="AW84" s="57"/>
      <c r="AX84" s="57"/>
      <c r="AY84" s="57"/>
      <c r="AZ84" s="57"/>
      <c r="BA84" s="57"/>
    </row>
    <row r="85" spans="1:53" x14ac:dyDescent="0.25">
      <c r="A85" s="17" t="s">
        <v>155</v>
      </c>
      <c r="B85" s="17">
        <v>23289923934</v>
      </c>
      <c r="C85" s="17" t="s">
        <v>96</v>
      </c>
      <c r="D85" s="73">
        <v>46113</v>
      </c>
      <c r="E85" t="s">
        <v>90</v>
      </c>
      <c r="F85" s="57">
        <v>566849</v>
      </c>
      <c r="G85" s="57"/>
      <c r="H85" s="57">
        <v>13021.4</v>
      </c>
      <c r="I85" s="57">
        <v>32039.200000000001</v>
      </c>
      <c r="J85" s="57"/>
      <c r="K85" s="57"/>
      <c r="L85" s="57">
        <v>40399.199999999997</v>
      </c>
      <c r="M85" s="57"/>
      <c r="N85" s="57"/>
      <c r="O85" s="57"/>
      <c r="P85" s="57"/>
      <c r="Q85" s="57"/>
      <c r="R85" s="57"/>
      <c r="S85" s="57">
        <v>0</v>
      </c>
      <c r="T85" s="57"/>
      <c r="U85" s="57"/>
      <c r="V85" s="57"/>
      <c r="W85" s="57">
        <v>48766.311999999998</v>
      </c>
      <c r="X85" s="57"/>
      <c r="Y85" s="57"/>
      <c r="Z85" s="57"/>
      <c r="AA85" s="57">
        <v>70696.899999999994</v>
      </c>
      <c r="AB85" s="57">
        <v>50000</v>
      </c>
      <c r="AC85" s="57">
        <v>90394.921319999994</v>
      </c>
      <c r="AD85" s="57">
        <v>24653.160359999998</v>
      </c>
      <c r="AE85" s="57">
        <v>24653.160359999998</v>
      </c>
      <c r="AF85" s="57">
        <v>10191.209639999997</v>
      </c>
      <c r="AG85" s="57">
        <v>16435.44024</v>
      </c>
      <c r="AH85" s="57">
        <v>8217.72012</v>
      </c>
      <c r="AI85" s="57">
        <v>8217.72012</v>
      </c>
      <c r="AJ85" s="57">
        <v>6163.2900899999995</v>
      </c>
      <c r="AK85" s="57"/>
      <c r="AL85" s="57"/>
      <c r="AM85" s="57">
        <v>0.61025000002700835</v>
      </c>
      <c r="AN85" s="158">
        <v>821772.01</v>
      </c>
      <c r="AO85" s="158">
        <v>0.61</v>
      </c>
      <c r="AP85" s="158">
        <v>821772.62</v>
      </c>
      <c r="AQ85" s="158">
        <v>188926.62</v>
      </c>
      <c r="AR85" s="158">
        <v>632846</v>
      </c>
      <c r="AS85" s="57"/>
      <c r="AT85" s="57"/>
      <c r="AU85" s="57"/>
      <c r="AV85" s="57"/>
      <c r="AW85" s="57"/>
      <c r="AX85" s="57"/>
      <c r="AY85" s="57"/>
      <c r="AZ85" s="57"/>
      <c r="BA85" s="57"/>
    </row>
    <row r="86" spans="1:53" x14ac:dyDescent="0.25">
      <c r="A86" s="17" t="s">
        <v>155</v>
      </c>
      <c r="B86" s="17">
        <v>24269272801</v>
      </c>
      <c r="C86" s="17" t="s">
        <v>327</v>
      </c>
      <c r="D86" s="73">
        <v>46113</v>
      </c>
      <c r="E86" t="s">
        <v>98</v>
      </c>
      <c r="F86" s="57">
        <v>45395.199999999997</v>
      </c>
      <c r="G86" s="57"/>
      <c r="H86" s="57"/>
      <c r="I86" s="57">
        <v>0</v>
      </c>
      <c r="J86" s="57">
        <v>0</v>
      </c>
      <c r="K86" s="57">
        <v>0</v>
      </c>
      <c r="L86" s="57" t="e">
        <v>#NUM!</v>
      </c>
      <c r="M86" s="57">
        <v>0</v>
      </c>
      <c r="N86" s="57">
        <v>0</v>
      </c>
      <c r="O86" s="57">
        <v>0</v>
      </c>
      <c r="P86" s="57">
        <v>0</v>
      </c>
      <c r="Q86" s="57">
        <v>0</v>
      </c>
      <c r="R86" s="57">
        <v>0</v>
      </c>
      <c r="S86" s="57">
        <v>0</v>
      </c>
      <c r="T86" s="57"/>
      <c r="U86" s="57"/>
      <c r="V86" s="57"/>
      <c r="W86" s="57"/>
      <c r="X86" s="57"/>
      <c r="Y86" s="57"/>
      <c r="Z86" s="57"/>
      <c r="AA86" s="57">
        <v>0</v>
      </c>
      <c r="AB86" s="57">
        <v>0</v>
      </c>
      <c r="AC86" s="57" t="e">
        <v>#NUM!</v>
      </c>
      <c r="AD86" s="57" t="e">
        <v>#NUM!</v>
      </c>
      <c r="AE86" s="57" t="e">
        <v>#NUM!</v>
      </c>
      <c r="AF86" s="57">
        <v>0</v>
      </c>
      <c r="AG86" s="57"/>
      <c r="AH86" s="57" t="e">
        <v>#NUM!</v>
      </c>
      <c r="AI86" s="57"/>
      <c r="AJ86" s="57" t="e">
        <v>#NUM!</v>
      </c>
      <c r="AK86" s="57">
        <v>0</v>
      </c>
      <c r="AL86" s="57"/>
      <c r="AM86" s="57" t="e">
        <v>#NUM!</v>
      </c>
      <c r="AN86" s="158" t="e">
        <v>#NUM!</v>
      </c>
      <c r="AO86" s="158" t="e">
        <v>#NUM!</v>
      </c>
      <c r="AP86" s="158" t="e">
        <v>#NUM!</v>
      </c>
      <c r="AQ86" s="158" t="e">
        <v>#NUM!</v>
      </c>
      <c r="AR86" s="158" t="e">
        <v>#NUM!</v>
      </c>
      <c r="AS86" s="57"/>
      <c r="AT86" s="57"/>
      <c r="AU86" s="57"/>
      <c r="AV86" s="57"/>
      <c r="AW86" s="57"/>
      <c r="AX86" s="57"/>
      <c r="AY86" s="57"/>
      <c r="AZ86" s="57"/>
      <c r="BA86" s="57"/>
    </row>
    <row r="87" spans="1:53" x14ac:dyDescent="0.25">
      <c r="A87" s="17" t="s">
        <v>158</v>
      </c>
      <c r="B87" s="17">
        <v>20204210749</v>
      </c>
      <c r="C87" s="17" t="s">
        <v>99</v>
      </c>
      <c r="D87" s="73">
        <v>46113</v>
      </c>
      <c r="E87" t="s">
        <v>80</v>
      </c>
      <c r="F87" s="57">
        <v>1044417</v>
      </c>
      <c r="G87" s="57"/>
      <c r="H87" s="57">
        <v>33483.599999999999</v>
      </c>
      <c r="I87" s="57">
        <v>32039.200000000001</v>
      </c>
      <c r="J87" s="57">
        <v>6833.8</v>
      </c>
      <c r="K87" s="57"/>
      <c r="L87" s="57">
        <v>484790.39999999997</v>
      </c>
      <c r="M87" s="57"/>
      <c r="N87" s="57"/>
      <c r="O87" s="57"/>
      <c r="P87" s="57"/>
      <c r="Q87" s="57"/>
      <c r="R87" s="57"/>
      <c r="S87" s="57">
        <v>0</v>
      </c>
      <c r="T87" s="57"/>
      <c r="U87" s="57"/>
      <c r="V87" s="57"/>
      <c r="W87" s="57"/>
      <c r="X87" s="57"/>
      <c r="Y87" s="57"/>
      <c r="Z87" s="57"/>
      <c r="AA87" s="57"/>
      <c r="AB87" s="57">
        <v>100000</v>
      </c>
      <c r="AC87" s="57">
        <v>187172.04</v>
      </c>
      <c r="AD87" s="57">
        <v>51046.92</v>
      </c>
      <c r="AE87" s="57">
        <v>51046.92</v>
      </c>
      <c r="AF87" s="57">
        <v>0</v>
      </c>
      <c r="AG87" s="57">
        <v>34031.279999999999</v>
      </c>
      <c r="AH87" s="57">
        <v>17015.64</v>
      </c>
      <c r="AI87" s="57">
        <v>17015.64</v>
      </c>
      <c r="AJ87" s="57">
        <v>12761.73</v>
      </c>
      <c r="AK87" s="57">
        <v>6833.8</v>
      </c>
      <c r="AL87" s="57"/>
      <c r="AM87" s="57">
        <v>0.96999999997206032</v>
      </c>
      <c r="AN87" s="158">
        <v>1701564</v>
      </c>
      <c r="AO87" s="158">
        <v>0.97</v>
      </c>
      <c r="AP87" s="158">
        <v>1701564.97</v>
      </c>
      <c r="AQ87" s="158">
        <v>376923.97</v>
      </c>
      <c r="AR87" s="158">
        <v>1324641</v>
      </c>
      <c r="AS87" s="57"/>
      <c r="AT87" s="57"/>
      <c r="AU87" s="57"/>
      <c r="AV87" s="57"/>
      <c r="AW87" s="57"/>
      <c r="AX87" s="57"/>
      <c r="AY87" s="57"/>
      <c r="AZ87" s="57"/>
      <c r="BA87" s="57"/>
    </row>
    <row r="88" spans="1:53" x14ac:dyDescent="0.25">
      <c r="A88" s="17" t="s">
        <v>160</v>
      </c>
      <c r="B88" s="17">
        <v>20263485409</v>
      </c>
      <c r="C88" s="17" t="s">
        <v>101</v>
      </c>
      <c r="D88" s="73">
        <v>46113</v>
      </c>
      <c r="E88" t="s">
        <v>90</v>
      </c>
      <c r="F88" s="57">
        <v>566849</v>
      </c>
      <c r="G88" s="57"/>
      <c r="H88" s="57"/>
      <c r="I88" s="57"/>
      <c r="J88" s="57"/>
      <c r="K88" s="57"/>
      <c r="L88" s="57">
        <v>222195.59999999998</v>
      </c>
      <c r="M88" s="57"/>
      <c r="N88" s="57"/>
      <c r="O88" s="57"/>
      <c r="P88" s="57"/>
      <c r="Q88" s="57"/>
      <c r="R88" s="57"/>
      <c r="S88" s="57">
        <v>0</v>
      </c>
      <c r="T88" s="57"/>
      <c r="U88" s="57"/>
      <c r="V88" s="57"/>
      <c r="W88" s="57"/>
      <c r="X88" s="57"/>
      <c r="Y88" s="57"/>
      <c r="Z88" s="57">
        <v>26301.5</v>
      </c>
      <c r="AA88" s="57">
        <v>70696.899999999994</v>
      </c>
      <c r="AB88" s="57">
        <v>50000</v>
      </c>
      <c r="AC88" s="57">
        <v>102964.73</v>
      </c>
      <c r="AD88" s="57">
        <v>28081.289999999997</v>
      </c>
      <c r="AE88" s="57">
        <v>28081.289999999997</v>
      </c>
      <c r="AF88" s="57">
        <v>5248.1100000000042</v>
      </c>
      <c r="AG88" s="57">
        <v>18720.86</v>
      </c>
      <c r="AH88" s="57">
        <v>9360.43</v>
      </c>
      <c r="AI88" s="57">
        <v>9360.43</v>
      </c>
      <c r="AJ88" s="57">
        <v>7020.3224999999993</v>
      </c>
      <c r="AK88" s="57"/>
      <c r="AL88" s="57"/>
      <c r="AM88" s="57">
        <v>0.46250000002328306</v>
      </c>
      <c r="AN88" s="158">
        <v>936043</v>
      </c>
      <c r="AO88" s="158">
        <v>0.46</v>
      </c>
      <c r="AP88" s="158">
        <v>936043.46</v>
      </c>
      <c r="AQ88" s="158">
        <v>208837.46</v>
      </c>
      <c r="AR88" s="158">
        <v>727206</v>
      </c>
      <c r="AS88" s="57"/>
      <c r="AT88" s="57"/>
      <c r="AU88" s="57"/>
      <c r="AV88" s="57"/>
      <c r="AW88" s="57"/>
      <c r="AX88" s="57"/>
      <c r="AY88" s="57"/>
      <c r="AZ88" s="57"/>
      <c r="BA88" s="57"/>
    </row>
    <row r="89" spans="1:53" x14ac:dyDescent="0.25">
      <c r="A89" s="17" t="s">
        <v>162</v>
      </c>
      <c r="B89" s="17">
        <v>20275890074</v>
      </c>
      <c r="C89" s="17" t="s">
        <v>104</v>
      </c>
      <c r="D89" s="73">
        <v>46113</v>
      </c>
      <c r="E89" t="s">
        <v>80</v>
      </c>
      <c r="F89" s="57">
        <v>1044417</v>
      </c>
      <c r="G89" s="57"/>
      <c r="H89" s="57">
        <v>20462.2</v>
      </c>
      <c r="I89" s="57">
        <v>32039.200000000001</v>
      </c>
      <c r="J89" s="57">
        <v>6833.8</v>
      </c>
      <c r="K89" s="57"/>
      <c r="L89" s="57">
        <v>302994</v>
      </c>
      <c r="M89" s="57"/>
      <c r="N89" s="57"/>
      <c r="O89" s="57"/>
      <c r="P89" s="57"/>
      <c r="Q89" s="57"/>
      <c r="R89" s="57"/>
      <c r="S89" s="57">
        <v>0</v>
      </c>
      <c r="T89" s="57"/>
      <c r="U89" s="57"/>
      <c r="V89" s="57"/>
      <c r="W89" s="57"/>
      <c r="X89" s="57"/>
      <c r="Y89" s="57"/>
      <c r="Z89" s="57"/>
      <c r="AA89" s="57"/>
      <c r="AB89" s="57">
        <v>100000</v>
      </c>
      <c r="AC89" s="57">
        <v>165742.08199999999</v>
      </c>
      <c r="AD89" s="57">
        <v>45202.385999999999</v>
      </c>
      <c r="AE89" s="57">
        <v>45202.385999999999</v>
      </c>
      <c r="AF89" s="57">
        <v>0</v>
      </c>
      <c r="AG89" s="57">
        <v>30134.923999999999</v>
      </c>
      <c r="AH89" s="57">
        <v>15067.462</v>
      </c>
      <c r="AI89" s="57">
        <v>15067.462</v>
      </c>
      <c r="AJ89" s="57">
        <v>11300.5965</v>
      </c>
      <c r="AK89" s="57">
        <v>6833.8</v>
      </c>
      <c r="AL89" s="57"/>
      <c r="AM89" s="57">
        <v>0.89850000012665987</v>
      </c>
      <c r="AN89" s="158">
        <v>1506746.2</v>
      </c>
      <c r="AO89" s="158">
        <v>0.9</v>
      </c>
      <c r="AP89" s="158">
        <v>1506747.1</v>
      </c>
      <c r="AQ89" s="158">
        <v>334551.09999999998</v>
      </c>
      <c r="AR89" s="158">
        <v>1172196</v>
      </c>
      <c r="AS89" s="57"/>
      <c r="AT89" s="57"/>
      <c r="AU89" s="57"/>
      <c r="AV89" s="57"/>
      <c r="AW89" s="57"/>
      <c r="AX89" s="57"/>
      <c r="AY89" s="57"/>
      <c r="AZ89" s="57"/>
      <c r="BA89" s="57"/>
    </row>
    <row r="90" spans="1:53" x14ac:dyDescent="0.25">
      <c r="A90" s="17" t="s">
        <v>162</v>
      </c>
      <c r="B90" s="17">
        <v>20331992314</v>
      </c>
      <c r="C90" s="17" t="s">
        <v>108</v>
      </c>
      <c r="D90" s="73">
        <v>46113</v>
      </c>
      <c r="E90" t="s">
        <v>109</v>
      </c>
      <c r="F90" s="57">
        <v>1016107</v>
      </c>
      <c r="G90" s="57"/>
      <c r="H90" s="57"/>
      <c r="I90" s="57"/>
      <c r="J90" s="57"/>
      <c r="K90" s="57"/>
      <c r="L90" s="57">
        <v>302994</v>
      </c>
      <c r="M90" s="57"/>
      <c r="N90" s="57"/>
      <c r="O90" s="57"/>
      <c r="P90" s="57"/>
      <c r="Q90" s="57"/>
      <c r="R90" s="57"/>
      <c r="S90" s="57">
        <v>0</v>
      </c>
      <c r="T90" s="57"/>
      <c r="U90" s="57"/>
      <c r="V90" s="57"/>
      <c r="W90" s="57"/>
      <c r="X90" s="57"/>
      <c r="Y90" s="57"/>
      <c r="Z90" s="57"/>
      <c r="AA90" s="57">
        <v>70696.899999999994</v>
      </c>
      <c r="AB90" s="57">
        <v>100000</v>
      </c>
      <c r="AC90" s="57">
        <v>163877.769</v>
      </c>
      <c r="AD90" s="57">
        <v>44693.936999999998</v>
      </c>
      <c r="AE90" s="57">
        <v>44693.936999999998</v>
      </c>
      <c r="AF90" s="57">
        <v>0</v>
      </c>
      <c r="AG90" s="57">
        <v>29795.957999999999</v>
      </c>
      <c r="AH90" s="57">
        <v>14897.978999999999</v>
      </c>
      <c r="AI90" s="57">
        <v>14897.978999999999</v>
      </c>
      <c r="AJ90" s="57">
        <v>11173.48425</v>
      </c>
      <c r="AK90" s="57"/>
      <c r="AL90" s="57"/>
      <c r="AM90" s="57">
        <v>0.14325000019744039</v>
      </c>
      <c r="AN90" s="158">
        <v>1489797.9</v>
      </c>
      <c r="AO90" s="158">
        <v>0.14000000000000001</v>
      </c>
      <c r="AP90" s="158">
        <v>1489798.04</v>
      </c>
      <c r="AQ90" s="158">
        <v>324031.03999999998</v>
      </c>
      <c r="AR90" s="158">
        <v>1165767</v>
      </c>
      <c r="AS90" s="57"/>
      <c r="AT90" s="57"/>
      <c r="AU90" s="57"/>
      <c r="AV90" s="57"/>
      <c r="AW90" s="57"/>
      <c r="AX90" s="57"/>
      <c r="AY90" s="57"/>
      <c r="AZ90" s="57"/>
      <c r="BA90" s="57"/>
    </row>
    <row r="91" spans="1:53" x14ac:dyDescent="0.25">
      <c r="A91" s="17" t="s">
        <v>164</v>
      </c>
      <c r="B91" s="17">
        <v>27174620410</v>
      </c>
      <c r="C91" s="17" t="s">
        <v>112</v>
      </c>
      <c r="D91" s="73">
        <v>46113</v>
      </c>
      <c r="E91" t="s">
        <v>80</v>
      </c>
      <c r="F91" s="57">
        <v>957382</v>
      </c>
      <c r="G91" s="57"/>
      <c r="H91" s="57">
        <v>72547.8</v>
      </c>
      <c r="I91" s="57">
        <v>38019.850666666665</v>
      </c>
      <c r="J91" s="57">
        <v>6833.8</v>
      </c>
      <c r="K91" s="57"/>
      <c r="L91" s="57">
        <v>545389.19999999995</v>
      </c>
      <c r="M91" s="57"/>
      <c r="N91" s="57"/>
      <c r="O91" s="57"/>
      <c r="P91" s="57"/>
      <c r="Q91" s="57"/>
      <c r="R91" s="57"/>
      <c r="S91" s="57">
        <v>0</v>
      </c>
      <c r="T91" s="57"/>
      <c r="U91" s="57"/>
      <c r="V91" s="57"/>
      <c r="W91" s="57"/>
      <c r="X91" s="57"/>
      <c r="Y91" s="57"/>
      <c r="Z91" s="57"/>
      <c r="AA91" s="57"/>
      <c r="AB91" s="57">
        <v>100000</v>
      </c>
      <c r="AC91" s="57">
        <v>189218.99157333333</v>
      </c>
      <c r="AD91" s="57">
        <v>51605.179519999998</v>
      </c>
      <c r="AE91" s="57">
        <v>51605.179519999998</v>
      </c>
      <c r="AF91" s="57">
        <v>0</v>
      </c>
      <c r="AG91" s="57">
        <v>34403.453013333332</v>
      </c>
      <c r="AH91" s="57">
        <v>17201.726506666666</v>
      </c>
      <c r="AI91" s="57">
        <v>17201.726506666666</v>
      </c>
      <c r="AJ91" s="57">
        <v>12901.294879999999</v>
      </c>
      <c r="AK91" s="57">
        <v>6833.8</v>
      </c>
      <c r="AL91" s="57"/>
      <c r="AM91" s="57">
        <v>0.70085333334282041</v>
      </c>
      <c r="AN91" s="158">
        <v>1720172.65</v>
      </c>
      <c r="AO91" s="158">
        <v>0.7</v>
      </c>
      <c r="AP91" s="158">
        <v>1720173.35</v>
      </c>
      <c r="AQ91" s="158">
        <v>380971.35</v>
      </c>
      <c r="AR91" s="158">
        <v>1339202</v>
      </c>
      <c r="AS91" s="57"/>
      <c r="AT91" s="57"/>
      <c r="AU91" s="57"/>
      <c r="AV91" s="57"/>
      <c r="AW91" s="57"/>
      <c r="AX91" s="57"/>
      <c r="AY91" s="57"/>
      <c r="AZ91" s="57"/>
      <c r="BA91" s="57"/>
    </row>
    <row r="92" spans="1:53" x14ac:dyDescent="0.25">
      <c r="A92" s="17" t="s">
        <v>166</v>
      </c>
      <c r="B92" s="17">
        <v>20176328399</v>
      </c>
      <c r="C92" s="17" t="s">
        <v>114</v>
      </c>
      <c r="D92" s="73">
        <v>46113</v>
      </c>
      <c r="E92" t="s">
        <v>116</v>
      </c>
      <c r="F92" s="57">
        <v>1211978</v>
      </c>
      <c r="G92" s="57"/>
      <c r="H92" s="57">
        <v>59526.400000000001</v>
      </c>
      <c r="I92" s="57">
        <v>35029.525333333331</v>
      </c>
      <c r="J92" s="57"/>
      <c r="K92" s="57"/>
      <c r="L92" s="57">
        <v>444391.19999999995</v>
      </c>
      <c r="M92" s="57">
        <v>25384.799999999999</v>
      </c>
      <c r="N92" s="57">
        <v>37584.800000000003</v>
      </c>
      <c r="O92" s="57"/>
      <c r="P92" s="57"/>
      <c r="Q92" s="57"/>
      <c r="R92" s="57"/>
      <c r="S92" s="57">
        <v>0</v>
      </c>
      <c r="T92" s="57"/>
      <c r="U92" s="57"/>
      <c r="V92" s="57"/>
      <c r="W92" s="57"/>
      <c r="X92" s="57">
        <v>1813894.7253333332</v>
      </c>
      <c r="Y92" s="57">
        <v>-1813894.7253333332</v>
      </c>
      <c r="Z92" s="57"/>
      <c r="AA92" s="57">
        <v>70696.899999999994</v>
      </c>
      <c r="AB92" s="57">
        <v>100000</v>
      </c>
      <c r="AC92" s="57">
        <v>218305.07878666665</v>
      </c>
      <c r="AD92" s="57">
        <v>59537.748759999995</v>
      </c>
      <c r="AE92" s="57">
        <v>59537.748759999995</v>
      </c>
      <c r="AF92" s="57">
        <v>0</v>
      </c>
      <c r="AG92" s="57">
        <v>39691.832506666666</v>
      </c>
      <c r="AH92" s="57">
        <v>19845.916253333333</v>
      </c>
      <c r="AI92" s="57">
        <v>19845.916253333333</v>
      </c>
      <c r="AJ92" s="57">
        <v>14884.437189999999</v>
      </c>
      <c r="AK92" s="57"/>
      <c r="AL92" s="57"/>
      <c r="AM92" s="57">
        <v>5.3176666842773557E-2</v>
      </c>
      <c r="AN92" s="158">
        <v>1984591.63</v>
      </c>
      <c r="AO92" s="158">
        <v>0.05</v>
      </c>
      <c r="AP92" s="158">
        <v>1984591.68</v>
      </c>
      <c r="AQ92" s="158">
        <v>431648.68</v>
      </c>
      <c r="AR92" s="158">
        <v>1552943</v>
      </c>
      <c r="AS92" s="57"/>
      <c r="AT92" s="57"/>
      <c r="AU92" s="57"/>
      <c r="AV92" s="57"/>
      <c r="AW92" s="57"/>
      <c r="AX92" s="57"/>
      <c r="AY92" s="57"/>
      <c r="AZ92" s="57"/>
      <c r="BA92" s="57"/>
    </row>
    <row r="93" spans="1:53" x14ac:dyDescent="0.25">
      <c r="A93" s="17" t="s">
        <v>166</v>
      </c>
      <c r="B93" s="17">
        <v>20947260481</v>
      </c>
      <c r="C93" s="17" t="s">
        <v>118</v>
      </c>
      <c r="D93" s="73">
        <v>46113</v>
      </c>
      <c r="E93" t="s">
        <v>119</v>
      </c>
      <c r="F93" s="57">
        <v>1085873</v>
      </c>
      <c r="G93" s="57"/>
      <c r="H93" s="57"/>
      <c r="I93" s="57"/>
      <c r="J93" s="57"/>
      <c r="K93" s="57"/>
      <c r="L93" s="57">
        <v>363592.8</v>
      </c>
      <c r="M93" s="57"/>
      <c r="N93" s="57"/>
      <c r="O93" s="57"/>
      <c r="P93" s="57"/>
      <c r="Q93" s="57"/>
      <c r="R93" s="57"/>
      <c r="S93" s="57">
        <v>46963.5</v>
      </c>
      <c r="T93" s="57"/>
      <c r="U93" s="57">
        <v>68408.196571428576</v>
      </c>
      <c r="V93" s="57"/>
      <c r="W93" s="57"/>
      <c r="X93" s="57"/>
      <c r="Y93" s="57"/>
      <c r="Z93" s="57"/>
      <c r="AA93" s="57">
        <v>70696.899999999994</v>
      </c>
      <c r="AB93" s="57">
        <v>100000</v>
      </c>
      <c r="AC93" s="57">
        <v>190908.78362285713</v>
      </c>
      <c r="AD93" s="57">
        <v>52066.031897142857</v>
      </c>
      <c r="AE93" s="57">
        <v>52066.031897142857</v>
      </c>
      <c r="AF93" s="57">
        <v>0</v>
      </c>
      <c r="AG93" s="57">
        <v>34710.687931428569</v>
      </c>
      <c r="AH93" s="57">
        <v>17355.343965714284</v>
      </c>
      <c r="AI93" s="57">
        <v>17355.343965714284</v>
      </c>
      <c r="AJ93" s="57">
        <v>13016.507974285714</v>
      </c>
      <c r="AK93" s="57"/>
      <c r="AL93" s="57"/>
      <c r="AM93" s="57">
        <v>0.33468285715207458</v>
      </c>
      <c r="AN93" s="158">
        <v>1735534.4</v>
      </c>
      <c r="AO93" s="158">
        <v>0.33</v>
      </c>
      <c r="AP93" s="158">
        <v>1735534.73</v>
      </c>
      <c r="AQ93" s="158">
        <v>377478.73</v>
      </c>
      <c r="AR93" s="158">
        <v>1358056</v>
      </c>
      <c r="AS93" s="57"/>
      <c r="AT93" s="57"/>
      <c r="AU93" s="57"/>
      <c r="AV93" s="57"/>
      <c r="AW93" s="57"/>
      <c r="AX93" s="57"/>
      <c r="AY93" s="57"/>
      <c r="AZ93" s="57"/>
      <c r="BA93" s="57"/>
    </row>
    <row r="94" spans="1:53" x14ac:dyDescent="0.25">
      <c r="A94" s="17" t="s">
        <v>166</v>
      </c>
      <c r="B94" s="17">
        <v>23250288794</v>
      </c>
      <c r="C94" s="17" t="s">
        <v>121</v>
      </c>
      <c r="D94" s="73">
        <v>46113</v>
      </c>
      <c r="E94" t="s">
        <v>98</v>
      </c>
      <c r="F94" s="57">
        <v>45395.199999999997</v>
      </c>
      <c r="G94" s="57"/>
      <c r="H94" s="57"/>
      <c r="I94" s="57"/>
      <c r="J94" s="57"/>
      <c r="K94" s="57">
        <v>0</v>
      </c>
      <c r="L94" s="57">
        <v>0</v>
      </c>
      <c r="M94" s="57"/>
      <c r="N94" s="57"/>
      <c r="O94" s="57"/>
      <c r="P94" s="57"/>
      <c r="Q94" s="57"/>
      <c r="R94" s="57"/>
      <c r="S94" s="57">
        <v>0</v>
      </c>
      <c r="T94" s="57"/>
      <c r="U94" s="57"/>
      <c r="V94" s="57"/>
      <c r="W94" s="57">
        <v>45395.199999999997</v>
      </c>
      <c r="X94" s="57"/>
      <c r="Y94" s="57"/>
      <c r="Z94" s="57"/>
      <c r="AA94" s="57"/>
      <c r="AB94" s="57">
        <v>50000</v>
      </c>
      <c r="AC94" s="57">
        <v>70415.135999999984</v>
      </c>
      <c r="AD94" s="57">
        <v>19204.127999999993</v>
      </c>
      <c r="AE94" s="57">
        <v>19204.127999999993</v>
      </c>
      <c r="AF94" s="57">
        <v>0</v>
      </c>
      <c r="AG94" s="57"/>
      <c r="AH94" s="57">
        <v>6401.3759999999984</v>
      </c>
      <c r="AI94" s="57"/>
      <c r="AJ94" s="57">
        <v>4801.0319999999983</v>
      </c>
      <c r="AK94" s="57"/>
      <c r="AL94" s="57"/>
      <c r="AM94" s="57">
        <v>0.20000000012805685</v>
      </c>
      <c r="AN94" s="158">
        <v>640137.6</v>
      </c>
      <c r="AO94" s="158">
        <v>0.2</v>
      </c>
      <c r="AP94" s="158">
        <v>640137.80000000005</v>
      </c>
      <c r="AQ94" s="158">
        <v>120025.8</v>
      </c>
      <c r="AR94" s="158">
        <v>520112</v>
      </c>
      <c r="AS94" s="57"/>
      <c r="AT94" s="57"/>
      <c r="AU94" s="57"/>
      <c r="AV94" s="57"/>
      <c r="AW94" s="57"/>
      <c r="AX94" s="57"/>
      <c r="AY94" s="57"/>
      <c r="AZ94" s="57"/>
      <c r="BA94" s="57"/>
    </row>
    <row r="95" spans="1:53" x14ac:dyDescent="0.25">
      <c r="A95" s="17" t="s">
        <v>172</v>
      </c>
      <c r="B95" s="17">
        <v>20942335351</v>
      </c>
      <c r="C95" s="17" t="s">
        <v>125</v>
      </c>
      <c r="D95" s="73">
        <v>46113</v>
      </c>
      <c r="E95" t="s">
        <v>116</v>
      </c>
      <c r="F95" s="57">
        <v>1110980</v>
      </c>
      <c r="G95" s="57"/>
      <c r="H95" s="57">
        <v>50225.4</v>
      </c>
      <c r="I95" s="57">
        <v>32039.200000000001</v>
      </c>
      <c r="J95" s="57"/>
      <c r="K95" s="57"/>
      <c r="L95" s="57">
        <v>323193.59999999998</v>
      </c>
      <c r="M95" s="57"/>
      <c r="N95" s="57"/>
      <c r="O95" s="57"/>
      <c r="P95" s="57"/>
      <c r="Q95" s="57"/>
      <c r="R95" s="57"/>
      <c r="S95" s="57">
        <v>0</v>
      </c>
      <c r="T95" s="57"/>
      <c r="U95" s="57"/>
      <c r="V95" s="57"/>
      <c r="W95" s="57"/>
      <c r="X95" s="57"/>
      <c r="Y95" s="57"/>
      <c r="Z95" s="57"/>
      <c r="AA95" s="57">
        <v>70696.899999999994</v>
      </c>
      <c r="AB95" s="57">
        <v>100000</v>
      </c>
      <c r="AC95" s="57">
        <v>185584.86099999995</v>
      </c>
      <c r="AD95" s="57">
        <v>50614.052999999985</v>
      </c>
      <c r="AE95" s="57">
        <v>50614.052999999985</v>
      </c>
      <c r="AF95" s="57">
        <v>0</v>
      </c>
      <c r="AG95" s="57">
        <v>33742.70199999999</v>
      </c>
      <c r="AH95" s="57">
        <v>16871.350999999995</v>
      </c>
      <c r="AI95" s="57">
        <v>16871.350999999995</v>
      </c>
      <c r="AJ95" s="57">
        <v>12653.513249999996</v>
      </c>
      <c r="AK95" s="57"/>
      <c r="AL95" s="57"/>
      <c r="AM95" s="57">
        <v>0.78425000025890768</v>
      </c>
      <c r="AN95" s="158">
        <v>1687135.1</v>
      </c>
      <c r="AO95" s="158">
        <v>0.78</v>
      </c>
      <c r="AP95" s="158">
        <v>1687135.88</v>
      </c>
      <c r="AQ95" s="158">
        <v>366951.88</v>
      </c>
      <c r="AR95" s="158">
        <v>1320184</v>
      </c>
      <c r="AS95" s="57"/>
      <c r="AT95" s="57"/>
      <c r="AU95" s="57"/>
      <c r="AV95" s="57"/>
      <c r="AW95" s="57"/>
      <c r="AX95" s="57"/>
      <c r="AY95" s="57"/>
      <c r="AZ95" s="57"/>
      <c r="BA95" s="57"/>
    </row>
    <row r="96" spans="1:53" x14ac:dyDescent="0.25">
      <c r="A96" s="17" t="s">
        <v>172</v>
      </c>
      <c r="B96" s="17">
        <v>24269272801</v>
      </c>
      <c r="C96" s="17" t="s">
        <v>327</v>
      </c>
      <c r="D96" s="73">
        <v>46113</v>
      </c>
      <c r="E96" t="s">
        <v>98</v>
      </c>
      <c r="F96" s="57">
        <v>45395.199999999997</v>
      </c>
      <c r="G96" s="57"/>
      <c r="H96" s="57"/>
      <c r="I96" s="57">
        <v>32039.200000000001</v>
      </c>
      <c r="J96" s="57">
        <v>0</v>
      </c>
      <c r="K96" s="57">
        <v>0</v>
      </c>
      <c r="L96" s="57" t="e">
        <v>#NUM!</v>
      </c>
      <c r="M96" s="57">
        <v>0</v>
      </c>
      <c r="N96" s="57">
        <v>0</v>
      </c>
      <c r="O96" s="57">
        <v>0</v>
      </c>
      <c r="P96" s="57">
        <v>0</v>
      </c>
      <c r="Q96" s="57">
        <v>0</v>
      </c>
      <c r="R96" s="57">
        <v>0</v>
      </c>
      <c r="S96" s="57">
        <v>0</v>
      </c>
      <c r="T96" s="57"/>
      <c r="U96" s="57"/>
      <c r="V96" s="57"/>
      <c r="W96" s="57"/>
      <c r="X96" s="57"/>
      <c r="Y96" s="57"/>
      <c r="Z96" s="57"/>
      <c r="AA96" s="57">
        <v>0</v>
      </c>
      <c r="AB96" s="57">
        <v>0</v>
      </c>
      <c r="AC96" s="57" t="e">
        <v>#NUM!</v>
      </c>
      <c r="AD96" s="57" t="e">
        <v>#NUM!</v>
      </c>
      <c r="AE96" s="57" t="e">
        <v>#NUM!</v>
      </c>
      <c r="AF96" s="57">
        <v>0</v>
      </c>
      <c r="AG96" s="57"/>
      <c r="AH96" s="57" t="e">
        <v>#NUM!</v>
      </c>
      <c r="AI96" s="57"/>
      <c r="AJ96" s="57" t="e">
        <v>#NUM!</v>
      </c>
      <c r="AK96" s="57">
        <v>0</v>
      </c>
      <c r="AL96" s="57"/>
      <c r="AM96" s="57" t="e">
        <v>#NUM!</v>
      </c>
      <c r="AN96" s="158" t="e">
        <v>#NUM!</v>
      </c>
      <c r="AO96" s="158" t="e">
        <v>#NUM!</v>
      </c>
      <c r="AP96" s="158" t="e">
        <v>#NUM!</v>
      </c>
      <c r="AQ96" s="158" t="e">
        <v>#NUM!</v>
      </c>
      <c r="AR96" s="158" t="e">
        <v>#NUM!</v>
      </c>
      <c r="AS96" s="57"/>
      <c r="AT96" s="57"/>
      <c r="AU96" s="57"/>
      <c r="AV96" s="57"/>
      <c r="AW96" s="57"/>
      <c r="AX96" s="57"/>
      <c r="AY96" s="57"/>
      <c r="AZ96" s="57"/>
      <c r="BA96" s="57"/>
    </row>
    <row r="97" spans="1:53" x14ac:dyDescent="0.25">
      <c r="A97" s="17" t="s">
        <v>174</v>
      </c>
      <c r="B97" s="17">
        <v>20942347643</v>
      </c>
      <c r="C97" s="17" t="s">
        <v>128</v>
      </c>
      <c r="D97" s="73">
        <v>46113</v>
      </c>
      <c r="E97" t="s">
        <v>80</v>
      </c>
      <c r="F97" s="57">
        <v>1044417</v>
      </c>
      <c r="G97" s="57"/>
      <c r="H97" s="57">
        <v>55806</v>
      </c>
      <c r="I97" s="57">
        <v>32039.200000000001</v>
      </c>
      <c r="J97" s="57">
        <v>6833.8</v>
      </c>
      <c r="K97" s="57"/>
      <c r="L97" s="57">
        <v>302994</v>
      </c>
      <c r="M97" s="57">
        <v>25384.799999999999</v>
      </c>
      <c r="N97" s="57"/>
      <c r="O97" s="57">
        <v>25384.799999999999</v>
      </c>
      <c r="P97" s="57"/>
      <c r="Q97" s="57"/>
      <c r="R97" s="57">
        <v>42703.5</v>
      </c>
      <c r="S97" s="57">
        <v>0</v>
      </c>
      <c r="T97" s="57"/>
      <c r="U97" s="57"/>
      <c r="V97" s="57"/>
      <c r="W97" s="57"/>
      <c r="X97" s="57"/>
      <c r="Y97" s="57"/>
      <c r="Z97" s="57"/>
      <c r="AA97" s="57"/>
      <c r="AB97" s="57">
        <v>100000</v>
      </c>
      <c r="AC97" s="57">
        <v>179911.94100000002</v>
      </c>
      <c r="AD97" s="57">
        <v>49066.893000000004</v>
      </c>
      <c r="AE97" s="57">
        <v>49066.893000000004</v>
      </c>
      <c r="AF97" s="57">
        <v>0</v>
      </c>
      <c r="AG97" s="57">
        <v>32711.262000000002</v>
      </c>
      <c r="AH97" s="57">
        <v>16355.631000000001</v>
      </c>
      <c r="AI97" s="57">
        <v>16355.631000000001</v>
      </c>
      <c r="AJ97" s="57">
        <v>12266.723250000001</v>
      </c>
      <c r="AK97" s="57">
        <v>6833.8</v>
      </c>
      <c r="AL97" s="57">
        <v>255552.62</v>
      </c>
      <c r="AM97" s="57">
        <v>0.29424999980255961</v>
      </c>
      <c r="AN97" s="158">
        <v>1635563.1</v>
      </c>
      <c r="AO97" s="158">
        <v>0.28999999999999998</v>
      </c>
      <c r="AP97" s="158">
        <v>1635563.39</v>
      </c>
      <c r="AQ97" s="158">
        <v>618121.39</v>
      </c>
      <c r="AR97" s="158">
        <v>1017442</v>
      </c>
      <c r="AS97" s="57"/>
      <c r="AT97" s="57"/>
      <c r="AU97" s="57"/>
      <c r="AV97" s="57"/>
      <c r="AW97" s="57"/>
      <c r="AX97" s="57"/>
      <c r="AY97" s="57"/>
      <c r="AZ97" s="57"/>
      <c r="BA97" s="57"/>
    </row>
    <row r="98" spans="1:53" x14ac:dyDescent="0.25">
      <c r="A98" s="17" t="s">
        <v>174</v>
      </c>
      <c r="B98" s="17">
        <v>20252571850</v>
      </c>
      <c r="C98" s="17" t="s">
        <v>130</v>
      </c>
      <c r="D98" s="73">
        <v>46113</v>
      </c>
      <c r="E98" t="s">
        <v>119</v>
      </c>
      <c r="F98" s="57">
        <v>1085873</v>
      </c>
      <c r="G98" s="57"/>
      <c r="H98" s="57"/>
      <c r="I98" s="57"/>
      <c r="J98" s="57"/>
      <c r="K98" s="57"/>
      <c r="L98" s="57">
        <v>302994</v>
      </c>
      <c r="M98" s="57"/>
      <c r="N98" s="57"/>
      <c r="O98" s="57"/>
      <c r="P98" s="57"/>
      <c r="Q98" s="57"/>
      <c r="R98" s="57"/>
      <c r="S98" s="57">
        <v>0</v>
      </c>
      <c r="T98" s="57">
        <v>404755.52571428573</v>
      </c>
      <c r="U98" s="57">
        <v>333328.08</v>
      </c>
      <c r="V98" s="57">
        <v>738083.60571428575</v>
      </c>
      <c r="W98" s="57"/>
      <c r="X98" s="57"/>
      <c r="Y98" s="57"/>
      <c r="Z98" s="57"/>
      <c r="AA98" s="57">
        <v>70696.899999999994</v>
      </c>
      <c r="AB98" s="57">
        <v>100000</v>
      </c>
      <c r="AC98" s="57">
        <v>252741.22562857141</v>
      </c>
      <c r="AD98" s="57">
        <v>68929.425171428564</v>
      </c>
      <c r="AE98" s="57">
        <v>68929.425171428564</v>
      </c>
      <c r="AF98" s="57">
        <v>0</v>
      </c>
      <c r="AG98" s="57">
        <v>45952.950114285712</v>
      </c>
      <c r="AH98" s="57">
        <v>22976.475057142856</v>
      </c>
      <c r="AI98" s="57">
        <v>22976.475057142856</v>
      </c>
      <c r="AJ98" s="57">
        <v>17232.356292857141</v>
      </c>
      <c r="AK98" s="57"/>
      <c r="AL98" s="57"/>
      <c r="AM98" s="57">
        <v>0.82677857135422528</v>
      </c>
      <c r="AN98" s="158">
        <v>2297647.5099999998</v>
      </c>
      <c r="AO98" s="158">
        <v>0.83</v>
      </c>
      <c r="AP98" s="158">
        <v>2297648.33</v>
      </c>
      <c r="AQ98" s="158">
        <v>499738.33</v>
      </c>
      <c r="AR98" s="158">
        <v>1797910</v>
      </c>
      <c r="AS98" s="57"/>
      <c r="AT98" s="57"/>
      <c r="AU98" s="57"/>
      <c r="AV98" s="57"/>
      <c r="AW98" s="57"/>
      <c r="AX98" s="57"/>
      <c r="AY98" s="57"/>
      <c r="AZ98" s="57"/>
      <c r="BA98" s="57"/>
    </row>
    <row r="99" spans="1:53" x14ac:dyDescent="0.25">
      <c r="A99" s="17" t="s">
        <v>176</v>
      </c>
      <c r="B99" s="17">
        <v>23175845879</v>
      </c>
      <c r="C99" s="17" t="s">
        <v>133</v>
      </c>
      <c r="D99" s="73">
        <v>46113</v>
      </c>
      <c r="E99" t="s">
        <v>80</v>
      </c>
      <c r="F99" s="57">
        <v>1044417</v>
      </c>
      <c r="G99" s="57"/>
      <c r="H99" s="57">
        <v>29763.200000000001</v>
      </c>
      <c r="I99" s="57">
        <v>32039.200000000001</v>
      </c>
      <c r="J99" s="57">
        <v>6833.8</v>
      </c>
      <c r="K99" s="57"/>
      <c r="L99" s="57">
        <v>302994</v>
      </c>
      <c r="M99" s="57">
        <v>25384.799999999999</v>
      </c>
      <c r="N99" s="57"/>
      <c r="O99" s="57">
        <v>25384.799999999999</v>
      </c>
      <c r="P99" s="57"/>
      <c r="Q99" s="57"/>
      <c r="R99" s="57">
        <v>42703.5</v>
      </c>
      <c r="S99" s="57">
        <v>0</v>
      </c>
      <c r="T99" s="57">
        <v>339642.0675</v>
      </c>
      <c r="U99" s="57">
        <v>120761.62400000001</v>
      </c>
      <c r="V99" s="57">
        <v>460403.69150000002</v>
      </c>
      <c r="W99" s="57"/>
      <c r="X99" s="57"/>
      <c r="Y99" s="57"/>
      <c r="Z99" s="57"/>
      <c r="AA99" s="57"/>
      <c r="AB99" s="57">
        <v>100000</v>
      </c>
      <c r="AC99" s="57">
        <v>227691.63906500002</v>
      </c>
      <c r="AD99" s="57">
        <v>62097.719745000002</v>
      </c>
      <c r="AE99" s="57">
        <v>62097.719745000002</v>
      </c>
      <c r="AF99" s="57">
        <v>0</v>
      </c>
      <c r="AG99" s="57">
        <v>41398.479830000004</v>
      </c>
      <c r="AH99" s="57">
        <v>20699.239915000002</v>
      </c>
      <c r="AI99" s="57">
        <v>20699.239915000002</v>
      </c>
      <c r="AJ99" s="57">
        <v>15524.429936250001</v>
      </c>
      <c r="AK99" s="57">
        <v>6833.8</v>
      </c>
      <c r="AL99" s="57"/>
      <c r="AM99" s="57">
        <v>0.27665124973282218</v>
      </c>
      <c r="AN99" s="158">
        <v>2069923.99</v>
      </c>
      <c r="AO99" s="158">
        <v>0.28000000000000003</v>
      </c>
      <c r="AP99" s="158">
        <v>2069924.27</v>
      </c>
      <c r="AQ99" s="158">
        <v>457042.27</v>
      </c>
      <c r="AR99" s="158">
        <v>1612882</v>
      </c>
      <c r="AS99" s="57"/>
      <c r="AT99" s="57"/>
      <c r="AU99" s="57"/>
      <c r="AV99" s="57"/>
      <c r="AW99" s="57"/>
      <c r="AX99" s="57"/>
      <c r="AY99" s="57"/>
      <c r="AZ99" s="57"/>
      <c r="BA99" s="57"/>
    </row>
    <row r="100" spans="1:53" x14ac:dyDescent="0.25">
      <c r="B100" s="17"/>
    </row>
    <row r="101" spans="1:53" x14ac:dyDescent="0.25">
      <c r="B101" s="17"/>
    </row>
    <row r="102" spans="1:53" x14ac:dyDescent="0.25">
      <c r="B102" s="17"/>
    </row>
    <row r="103" spans="1:53" x14ac:dyDescent="0.25">
      <c r="B103" s="17"/>
    </row>
    <row r="104" spans="1:53" x14ac:dyDescent="0.25">
      <c r="B104" s="17"/>
    </row>
    <row r="105" spans="1:53" x14ac:dyDescent="0.25">
      <c r="B105" s="17"/>
    </row>
    <row r="106" spans="1:53" x14ac:dyDescent="0.25">
      <c r="B106" s="17"/>
    </row>
    <row r="107" spans="1:53" x14ac:dyDescent="0.25">
      <c r="B107" s="17"/>
    </row>
    <row r="108" spans="1:53" x14ac:dyDescent="0.25">
      <c r="B108" s="17"/>
    </row>
    <row r="109" spans="1:53" x14ac:dyDescent="0.25">
      <c r="B109" s="17"/>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
  <dimension ref="A1:AL20"/>
  <sheetViews>
    <sheetView zoomScale="85" zoomScaleNormal="85" workbookViewId="0">
      <pane xSplit="2" ySplit="1" topLeftCell="S2" activePane="bottomRight" state="frozen"/>
      <selection pane="topRight" activeCell="O1" sqref="O1"/>
      <selection pane="bottomLeft" activeCell="A3" sqref="A3"/>
      <selection pane="bottomRight" activeCell="W1" sqref="A1:W1"/>
    </sheetView>
  </sheetViews>
  <sheetFormatPr baseColWidth="10" defaultColWidth="11.42578125" defaultRowHeight="15" x14ac:dyDescent="0.25"/>
  <cols>
    <col min="1" max="1" width="12.5703125" style="17" bestFit="1" customWidth="1"/>
    <col min="2" max="2" width="31" style="17" customWidth="1"/>
    <col min="3" max="3" width="11.7109375" style="17" customWidth="1"/>
    <col min="4" max="4" width="16" style="17" customWidth="1"/>
    <col min="5" max="5" width="20.28515625" style="17" customWidth="1"/>
    <col min="6" max="6" width="13.85546875" style="17" customWidth="1"/>
    <col min="7" max="7" width="80.7109375" style="17" customWidth="1"/>
    <col min="8" max="8" width="48.140625" style="17" customWidth="1"/>
    <col min="9" max="9" width="19.42578125" style="17" customWidth="1"/>
    <col min="10" max="13" width="40.85546875" style="17" customWidth="1"/>
    <col min="14" max="14" width="25.28515625" style="17" customWidth="1"/>
    <col min="15" max="17" width="22.140625" style="17" customWidth="1"/>
    <col min="18" max="19" width="28" style="17" customWidth="1"/>
    <col min="20" max="20" width="11.42578125" style="17"/>
    <col min="21" max="21" width="10.28515625" style="17" customWidth="1"/>
    <col min="22" max="22" width="19.140625" style="17" customWidth="1"/>
    <col min="23" max="23" width="20" style="17" customWidth="1"/>
    <col min="24" max="24" width="26" style="17" customWidth="1"/>
    <col min="25" max="25" width="25.28515625" style="17" customWidth="1"/>
    <col min="26" max="27" width="11.42578125" style="17"/>
    <col min="28" max="28" width="36.42578125" style="17" customWidth="1"/>
    <col min="29" max="29" width="80.85546875" style="17" customWidth="1"/>
    <col min="30" max="30" width="41.85546875" style="17" customWidth="1"/>
    <col min="31" max="31" width="26.140625" style="17" customWidth="1"/>
    <col min="32" max="32" width="47" style="17" customWidth="1"/>
    <col min="33" max="33" width="12.7109375" style="17" customWidth="1"/>
    <col min="34" max="34" width="24.140625" style="17" customWidth="1"/>
    <col min="35" max="35" width="11.42578125" style="17"/>
    <col min="36" max="36" width="38.140625" style="17" customWidth="1"/>
    <col min="37" max="37" width="48.5703125" style="17" customWidth="1"/>
    <col min="38" max="38" width="24" style="17" bestFit="1" customWidth="1"/>
    <col min="39" max="16384" width="11.42578125" style="17"/>
  </cols>
  <sheetData>
    <row r="1" spans="1:38" s="150" customFormat="1" ht="15" customHeight="1" x14ac:dyDescent="0.25">
      <c r="A1" s="148" t="s">
        <v>4</v>
      </c>
      <c r="B1" s="148" t="s">
        <v>3</v>
      </c>
      <c r="C1" s="148" t="s">
        <v>2</v>
      </c>
      <c r="D1" s="148" t="s">
        <v>46</v>
      </c>
      <c r="E1" s="148" t="s">
        <v>6</v>
      </c>
      <c r="F1" s="148" t="s">
        <v>1</v>
      </c>
      <c r="G1" s="149" t="s">
        <v>47</v>
      </c>
      <c r="H1" s="148" t="s">
        <v>48</v>
      </c>
      <c r="I1" s="148" t="s">
        <v>49</v>
      </c>
      <c r="J1" s="148" t="s">
        <v>50</v>
      </c>
      <c r="K1" s="150" t="s">
        <v>51</v>
      </c>
      <c r="L1" s="149" t="s">
        <v>52</v>
      </c>
      <c r="M1" s="149" t="s">
        <v>53</v>
      </c>
      <c r="N1" s="149" t="s">
        <v>54</v>
      </c>
      <c r="O1" s="149" t="s">
        <v>55</v>
      </c>
      <c r="P1" s="149" t="s">
        <v>56</v>
      </c>
      <c r="Q1" s="148" t="s">
        <v>57</v>
      </c>
      <c r="R1" s="148" t="s">
        <v>58</v>
      </c>
      <c r="S1" s="148" t="s">
        <v>59</v>
      </c>
      <c r="T1" s="149" t="s">
        <v>60</v>
      </c>
      <c r="U1" s="149" t="s">
        <v>61</v>
      </c>
      <c r="V1" s="149" t="s">
        <v>62</v>
      </c>
      <c r="W1" s="148" t="s">
        <v>63</v>
      </c>
      <c r="X1" s="149" t="s">
        <v>64</v>
      </c>
      <c r="Y1" s="149" t="s">
        <v>65</v>
      </c>
      <c r="Z1" s="149" t="s">
        <v>66</v>
      </c>
      <c r="AA1" s="149" t="s">
        <v>67</v>
      </c>
      <c r="AB1" s="149" t="s">
        <v>68</v>
      </c>
      <c r="AC1" s="149" t="s">
        <v>69</v>
      </c>
      <c r="AD1" s="149" t="s">
        <v>70</v>
      </c>
      <c r="AE1" s="149" t="s">
        <v>71</v>
      </c>
      <c r="AF1" s="149" t="s">
        <v>72</v>
      </c>
      <c r="AG1" s="149" t="s">
        <v>73</v>
      </c>
      <c r="AH1" s="149" t="s">
        <v>74</v>
      </c>
      <c r="AI1" s="148" t="s">
        <v>75</v>
      </c>
      <c r="AJ1" s="149" t="s">
        <v>76</v>
      </c>
      <c r="AK1" s="149" t="s">
        <v>77</v>
      </c>
      <c r="AL1" s="151" t="s">
        <v>19</v>
      </c>
    </row>
    <row r="2" spans="1:38" ht="15" customHeight="1" x14ac:dyDescent="0.25">
      <c r="A2" s="17">
        <v>20283772323</v>
      </c>
      <c r="B2" s="17" t="s">
        <v>78</v>
      </c>
      <c r="C2" s="17">
        <v>3</v>
      </c>
      <c r="D2" s="18">
        <v>29577</v>
      </c>
      <c r="E2" s="72">
        <v>39587</v>
      </c>
      <c r="F2" s="17">
        <v>30519077635</v>
      </c>
      <c r="G2" s="17" t="str">
        <f>+VLOOKUP(Empleados[[#This Row],[CUIT]],Empleador[],2,FALSE())</f>
        <v>CONS PROP SGO DEL ESTERO 336 46 CAP FED</v>
      </c>
      <c r="H2" s="17" t="s">
        <v>79</v>
      </c>
      <c r="I2" s="17">
        <v>106500</v>
      </c>
      <c r="J2" s="17" t="s">
        <v>80</v>
      </c>
      <c r="K2" s="17" t="str">
        <f>+IF(ISNUMBER(SEARCH("Suplente eventual",Empleados[[#This Row],[FUNCION]])),"Suplente eventual",IF(ISNUMBER(SEARCH("Suplente",Empleados[[#This Row],[FUNCION]])),"Suplente",IF(ISNUMBER(SEARCH("Vigilancia",Empleados[[#This Row],[FUNCION]])),"Vigilador","Encargado")))</f>
        <v>Encargado</v>
      </c>
      <c r="L2" s="17" t="str">
        <f>+IF(ISNUMBER(SEARCH("Suplente",Empleados[[#This Row],[FUNCION]])),"Suplente",IF(ISNUMBER(SEARCH("NO Permanente",Empleados[[#This Row],[FUNCION]])),"Media",IF(ISNUMBER(SEARCH("Media",Empleados[[#This Row],[FUNCION]])),"Media","Completa")))</f>
        <v>Completa</v>
      </c>
      <c r="M2" s="17" t="str">
        <f>+IF(ISNUMBER(SEARCH("Con vivienda",Empleados[[#This Row],[FUNCION]])),"SI","NO")</f>
        <v>SI</v>
      </c>
      <c r="N2" s="17">
        <f>+IF(Empleados[[#This Row],[JORNADA]]="Completa",1,IF(Empleados[[#This Row],[JORNADA]]="Media",0.5,1/200))*Escalas!$H$14</f>
        <v>100000</v>
      </c>
      <c r="O2" s="17" t="str">
        <f>+VLOOKUP(Empleados[[#This Row],[CUIT]],Empleador[],12,FALSE())</f>
        <v>3° Cat.</v>
      </c>
      <c r="P2" s="19">
        <f>IF(J2="Suplente con horario por dia",
    INDEX(Escalas!$B$2:$E$25,MATCH(J2,Escalas!$A$2:$A$25,0),MATCH(O2,Escalas!$B$1:$E$1,0))/8,
    INDEX(Escalas!$B$2:$E$25,MATCH(J2,Escalas!$A$2:$A$25,0),MATCH(O2,Escalas!$B$1:$E$1,0))
)</f>
        <v>957382</v>
      </c>
      <c r="Q2" s="17" t="s">
        <v>81</v>
      </c>
      <c r="R2" s="42" t="s">
        <v>82</v>
      </c>
      <c r="T2" s="17">
        <f ca="1">+DATEDIF(Empleados[[#This Row],[FECHA DE INGRESO]],TODAY(),"Y")</f>
        <v>18</v>
      </c>
      <c r="U2" s="17" t="str">
        <f>+IF(OR(ISNUMBER(SEARCH("con vivienda",Empleados[[#This Row],[FUNCION]])),ISNUMBER(SEARCH("suplente",Empleados[[#This Row],[FUNCION]]))),"NO","SI")</f>
        <v>NO</v>
      </c>
      <c r="V2" s="17" t="str">
        <f>+IF(Empleados[[#This Row],[Viaticos]]="NO","",Escalas!$H$13)</f>
        <v/>
      </c>
      <c r="W2" s="17" t="s">
        <v>83</v>
      </c>
      <c r="X2" s="17">
        <f>+IF(Empleados[[#This Row],[Retiro de Residuos]]="no","",Escalas!$H$2*VLOOKUP(Empleados[[#This Row],[CUIT]],Empleador[],6,FALSE()))</f>
        <v>146955.80000000002</v>
      </c>
      <c r="Y2" s="17">
        <f>+IF(AND(Empleados[[#This Row],[Retiro de Residuos]]="SI",VLOOKUP(Empleados[[#This Row],[CUIT]],Empleador[],6,FALSE())&lt;=25),Escalas!$H$3,IF(AND(Empleados[[#This Row],[Retiro de Residuos]]="SI",VLOOKUP(Empleados[[#This Row],[CUIT]],Empleador[],6,FALSE())&gt;25),Escalas!$H$3+Escalas!$H$3/3/25*((VLOOKUP(Empleados[[#This Row],[CUIT]],Empleador[],6,FALSE())-25)),""))</f>
        <v>55107.423999999999</v>
      </c>
      <c r="Z2" s="20">
        <f>+IF(Empleados[[#This Row],[Vivienda]]="SI",Escalas!$H$4,"")</f>
        <v>6833.8</v>
      </c>
      <c r="AA2" s="20">
        <f>+IF(Empleados[[#This Row],[Vivienda]]="SI",Escalas!$H$4,"")</f>
        <v>6833.8</v>
      </c>
      <c r="AB2" s="17" t="str">
        <f>IF(Empleados[[#This Row],[JORNADA]]="Completa","",IF(Empleados[[#This Row],[Funcion2]]="Suplente eventual","",INDEX(Escalas!$B$3:$E$3,MATCH(O2,Escalas!$B$1:$E$1,0))*Descuentos!$B$4))</f>
        <v/>
      </c>
      <c r="AC2" s="17" t="str">
        <f>+IF(Empleados[[#This Row],[JORNADA]]="Suplente",Escalas!$H$5*Empleados[[#This Row],[Antiguedad]],"")</f>
        <v/>
      </c>
      <c r="AD2" s="17">
        <f ca="1">+IF(Empleados[[#This Row],[JORNADA]]="Suplente","",Escalas!$H$6*Empleados[[#This Row],[Antiguedad]])</f>
        <v>363592.8</v>
      </c>
      <c r="AE2" s="17" t="str">
        <f>IF(Empleados[[#This Row],[Funcion2]]="ENCARGADO",IF(VLOOKUP(Empleados[[#This Row],[CUIT]],Empleador[],7,FALSE())="SI",Escalas!$H$7,""),"")</f>
        <v/>
      </c>
      <c r="AF2" s="17" t="str">
        <f>+IF(AND(ISNUMBER(SEARCH("Encargado",Empleados[[#This Row],[FUNCION]])),VLOOKUP(Empleados[[#This Row],[CUIT]],Empleador[],8,FALSE())="SI"),Escalas!$H$8,"")</f>
        <v/>
      </c>
      <c r="AG2" s="17" t="str">
        <f>IF(Empleados[[#This Row],[Funcion2]]="ENCARGADO",IF(VLOOKUP(Empleados[[#This Row],[CUIT]],Empleador[],9,FALSE())="SI",Escalas!$H$9,""),"")</f>
        <v/>
      </c>
      <c r="AH2" s="17" t="str">
        <f>+IF(VLOOKUP(Empleados[[#This Row],[CUIT]],Empleador[],10,FALSE())="SI",Escalas!$H$10,"")</f>
        <v/>
      </c>
      <c r="AI2" s="17" t="s">
        <v>84</v>
      </c>
      <c r="AJ2" s="17" t="str">
        <f>+IF(Empleados[[#This Row],[TITULO]]="SI",Escalas!$H$11*Empleados[[#This Row],[AUX Sueldo Basico]],"")</f>
        <v/>
      </c>
      <c r="AK2" s="17" t="str">
        <f>+IF(AND(ISNUMBER(SEARCH("Encargado",Empleados[[#This Row],[FUNCION]])),VLOOKUP(Empleados[[#This Row],[CUIT]],Empleador[],11,FALSE())="SI"),Escalas!$H$12,"")</f>
        <v/>
      </c>
    </row>
    <row r="3" spans="1:38" ht="15" customHeight="1" x14ac:dyDescent="0.25">
      <c r="A3" s="17">
        <v>20338776390</v>
      </c>
      <c r="B3" s="17" t="s">
        <v>85</v>
      </c>
      <c r="C3" s="17">
        <v>11</v>
      </c>
      <c r="D3" s="18">
        <v>32324</v>
      </c>
      <c r="E3" s="72">
        <v>45810</v>
      </c>
      <c r="F3" s="17">
        <v>30519077635</v>
      </c>
      <c r="G3" s="17" t="str">
        <f>+VLOOKUP(Empleados[[#This Row],[CUIT]],Empleador[],2,FALSE())</f>
        <v>CONS PROP SGO DEL ESTERO 336 46 CAP FED</v>
      </c>
      <c r="H3" s="17" t="s">
        <v>79</v>
      </c>
      <c r="I3" s="17">
        <v>106500</v>
      </c>
      <c r="J3" s="17" t="s">
        <v>86</v>
      </c>
      <c r="K3" s="17" t="str">
        <f>+IF(ISNUMBER(SEARCH("Suplente eventual",Empleados[[#This Row],[FUNCION]])),"Suplente eventual",IF(ISNUMBER(SEARCH("Suplente",Empleados[[#This Row],[FUNCION]])),"Suplente",IF(ISNUMBER(SEARCH("Vigilancia",Empleados[[#This Row],[FUNCION]])),"Vigilador","Encargado")))</f>
        <v>Encargado</v>
      </c>
      <c r="L3" s="17" t="str">
        <f>+IF(ISNUMBER(SEARCH("Suplente",Empleados[[#This Row],[FUNCION]])),"Suplente",IF(ISNUMBER(SEARCH("NO Permanente",Empleados[[#This Row],[FUNCION]])),"Media",IF(ISNUMBER(SEARCH("Media",Empleados[[#This Row],[FUNCION]])),"Media","Completa")))</f>
        <v>Media</v>
      </c>
      <c r="M3" s="17" t="str">
        <f>+IF(ISNUMBER(SEARCH("Con vivienda",Empleados[[#This Row],[FUNCION]])),"SI","NO")</f>
        <v>NO</v>
      </c>
      <c r="N3" s="17">
        <f>+IF(Empleados[[#This Row],[JORNADA]]="Completa",1,IF(Empleados[[#This Row],[JORNADA]]="Media",0.5,1/200))*Escalas!$H$14</f>
        <v>50000</v>
      </c>
      <c r="O3" s="17" t="str">
        <f>+VLOOKUP(Empleados[[#This Row],[CUIT]],Empleador[],12,FALSE())</f>
        <v>3° Cat.</v>
      </c>
      <c r="P3" s="19">
        <f>IF(J3="Suplente con horario por dia",
    INDEX(Escalas!$B$2:$E$25,MATCH(J3,Escalas!$A$2:$A$25,0),MATCH(O3,Escalas!$B$1:$E$1,0))/8,
    INDEX(Escalas!$B$2:$E$25,MATCH(J3,Escalas!$A$2:$A$25,0),MATCH(O3,Escalas!$B$1:$E$1,0))
)</f>
        <v>555490</v>
      </c>
      <c r="Q3" s="17" t="s">
        <v>87</v>
      </c>
      <c r="R3" s="42" t="s">
        <v>88</v>
      </c>
      <c r="T3" s="17">
        <f ca="1">+DATEDIF(Empleados[[#This Row],[FECHA DE INGRESO]],TODAY(),"Y")</f>
        <v>1</v>
      </c>
      <c r="U3" s="17" t="str">
        <f>+IF(OR(ISNUMBER(SEARCH("con vivienda",Empleados[[#This Row],[FUNCION]])),ISNUMBER(SEARCH("suplente",Empleados[[#This Row],[FUNCION]]))),"NO","SI")</f>
        <v>SI</v>
      </c>
      <c r="V3" s="20">
        <f>+IF(Empleados[[#This Row],[Viaticos]]="NO","",Escalas!$H$13)</f>
        <v>70696.899999999994</v>
      </c>
      <c r="W3" s="17" t="s">
        <v>84</v>
      </c>
      <c r="X3" s="17" t="str">
        <f>+IF(Empleados[[#This Row],[Retiro de Residuos]]="no","",Escalas!$H$2*VLOOKUP(Empleados[[#This Row],[CUIT]],Empleador[],6,FALSE()))</f>
        <v/>
      </c>
      <c r="Y3" s="17" t="str">
        <f>+IF(AND(Empleados[[#This Row],[Retiro de Residuos]]="SI",VLOOKUP(Empleados[[#This Row],[CUIT]],Empleador[],6,FALSE())&lt;=25),Escalas!$H$3,IF(AND(Empleados[[#This Row],[Retiro de Residuos]]="SI",VLOOKUP(Empleados[[#This Row],[CUIT]],Empleador[],6,FALSE())&gt;25),Escalas!$H$3+Escalas!$H$3/3/25*((VLOOKUP(Empleados[[#This Row],[CUIT]],Empleador[],6,FALSE())-25)),""))</f>
        <v/>
      </c>
      <c r="Z3" s="17" t="str">
        <f>+IF(Empleados[[#This Row],[Vivienda]]="SI",Escalas!$H$4,"")</f>
        <v/>
      </c>
      <c r="AA3" s="17" t="str">
        <f>+IF(Empleados[[#This Row],[Vivienda]]="SI",Escalas!$H$4,"")</f>
        <v/>
      </c>
      <c r="AB3" s="17">
        <f>IF(Empleados[[#This Row],[JORNADA]]="Completa","",IF(Empleados[[#This Row],[Funcion2]]="Suplente eventual","",INDEX(Escalas!$B$3:$E$3,MATCH(O3,Escalas!$B$1:$E$1,0))*Descuentos!$B$4))</f>
        <v>33329.4</v>
      </c>
      <c r="AC3" s="17" t="str">
        <f>+IF(Empleados[[#This Row],[JORNADA]]="Suplente",Escalas!$H$5*Empleados[[#This Row],[Antiguedad]],"")</f>
        <v/>
      </c>
      <c r="AD3" s="17">
        <f ca="1">+IF(Empleados[[#This Row],[JORNADA]]="Suplente","",Escalas!$H$6*Empleados[[#This Row],[Antiguedad]])</f>
        <v>20199.599999999999</v>
      </c>
      <c r="AE3" s="17" t="str">
        <f>IF(Empleados[[#This Row],[Funcion2]]="ENCARGADO",IF(VLOOKUP(Empleados[[#This Row],[CUIT]],Empleador[],7,FALSE())="SI",Escalas!$H$7,""),"")</f>
        <v/>
      </c>
      <c r="AF3" s="17" t="str">
        <f>+IF(AND(ISNUMBER(SEARCH("Encargado",Empleados[[#This Row],[FUNCION]])),VLOOKUP(Empleados[[#This Row],[CUIT]],Empleador[],8,FALSE())="SI"),Escalas!$H$8,"")</f>
        <v/>
      </c>
      <c r="AG3" s="17" t="str">
        <f>IF(Empleados[[#This Row],[Funcion2]]="ENCARGADO",IF(VLOOKUP(Empleados[[#This Row],[CUIT]],Empleador[],9,FALSE())="SI",Escalas!$H$9,""),"")</f>
        <v/>
      </c>
      <c r="AH3" s="17" t="str">
        <f>+IF(VLOOKUP(Empleados[[#This Row],[CUIT]],Empleador[],10,FALSE())="SI",Escalas!$H$10,"")</f>
        <v/>
      </c>
      <c r="AI3" s="17" t="s">
        <v>84</v>
      </c>
      <c r="AJ3" s="17" t="str">
        <f>+IF(Empleados[[#This Row],[TITULO]]="SI",Escalas!$H$11*Empleados[[#This Row],[AUX Sueldo Basico]],"")</f>
        <v/>
      </c>
      <c r="AK3" s="17" t="str">
        <f>+IF(AND(ISNUMBER(SEARCH("Encargado",Empleados[[#This Row],[FUNCION]])),VLOOKUP(Empleados[[#This Row],[CUIT]],Empleador[],11,FALSE())="SI"),Escalas!$H$12,"")</f>
        <v/>
      </c>
    </row>
    <row r="4" spans="1:38" ht="15" customHeight="1" x14ac:dyDescent="0.25">
      <c r="A4" s="17">
        <v>20360647774</v>
      </c>
      <c r="B4" s="17" t="s">
        <v>89</v>
      </c>
      <c r="C4" s="17">
        <v>2</v>
      </c>
      <c r="D4" s="18">
        <v>27778</v>
      </c>
      <c r="E4" s="72">
        <v>41519</v>
      </c>
      <c r="F4" s="17">
        <v>30532673484</v>
      </c>
      <c r="G4" s="17" t="str">
        <f>+VLOOKUP(Empleados[[#This Row],[CUIT]],Empleador[],2,FALSE())</f>
        <v>CONSORCIO DE PROPIETARIOS LIMA 461/67/73</v>
      </c>
      <c r="H4" s="17" t="s">
        <v>79</v>
      </c>
      <c r="I4" s="17">
        <v>106500</v>
      </c>
      <c r="J4" s="17" t="s">
        <v>90</v>
      </c>
      <c r="K4" s="17" t="str">
        <f>+IF(ISNUMBER(SEARCH("Suplente eventual",Empleados[[#This Row],[FUNCION]])),"Suplente eventual",IF(ISNUMBER(SEARCH("Suplente",Empleados[[#This Row],[FUNCION]])),"Suplente",IF(ISNUMBER(SEARCH("Vigilancia",Empleados[[#This Row],[FUNCION]])),"Vigilador","Encargado")))</f>
        <v>Encargado</v>
      </c>
      <c r="L4" s="17" t="str">
        <f>+IF(ISNUMBER(SEARCH("Suplente",Empleados[[#This Row],[FUNCION]])),"Suplente",IF(ISNUMBER(SEARCH("NO Permanente",Empleados[[#This Row],[FUNCION]])),"Media",IF(ISNUMBER(SEARCH("Media",Empleados[[#This Row],[FUNCION]])),"Media","Completa")))</f>
        <v>Media</v>
      </c>
      <c r="M4" s="17" t="str">
        <f>+IF(ISNUMBER(SEARCH("Con vivienda",Empleados[[#This Row],[FUNCION]])),"SI","NO")</f>
        <v>NO</v>
      </c>
      <c r="N4" s="17">
        <f>+IF(Empleados[[#This Row],[JORNADA]]="Completa",1,IF(Empleados[[#This Row],[JORNADA]]="Media",0.5,1/200))*Escalas!$H$14</f>
        <v>50000</v>
      </c>
      <c r="O4" s="17" t="str">
        <f>+VLOOKUP(Empleados[[#This Row],[CUIT]],Empleador[],12,FALSE())</f>
        <v>3° Cat.</v>
      </c>
      <c r="P4" s="19">
        <f>IF(J4="Suplente con horario por dia",
    INDEX(Escalas!$B$2:$E$25,MATCH(J4,Escalas!$A$2:$A$25,0),MATCH(O4,Escalas!$B$1:$E$1,0))/8,
    INDEX(Escalas!$B$2:$E$25,MATCH(J4,Escalas!$A$2:$A$25,0),MATCH(O4,Escalas!$B$1:$E$1,0))
)</f>
        <v>566849</v>
      </c>
      <c r="Q4" s="17" t="s">
        <v>91</v>
      </c>
      <c r="R4" s="42" t="s">
        <v>92</v>
      </c>
      <c r="T4" s="17">
        <f ca="1">+DATEDIF(Empleados[[#This Row],[FECHA DE INGRESO]],TODAY(),"Y")</f>
        <v>12</v>
      </c>
      <c r="U4" s="17" t="str">
        <f>+IF(OR(ISNUMBER(SEARCH("con vivienda",Empleados[[#This Row],[FUNCION]])),ISNUMBER(SEARCH("suplente",Empleados[[#This Row],[FUNCION]]))),"NO","SI")</f>
        <v>SI</v>
      </c>
      <c r="V4" s="20">
        <f>+IF(Empleados[[#This Row],[Viaticos]]="NO","",Escalas!$H$13)</f>
        <v>70696.899999999994</v>
      </c>
      <c r="W4" s="17" t="s">
        <v>83</v>
      </c>
      <c r="X4" s="17">
        <f>+IF(Empleados[[#This Row],[Retiro de Residuos]]="no","",Escalas!$H$2*VLOOKUP(Empleados[[#This Row],[CUIT]],Empleador[],6,FALSE()))</f>
        <v>14881.6</v>
      </c>
      <c r="Y4" s="20">
        <f>+IF(AND(Empleados[[#This Row],[Retiro de Residuos]]="SI",VLOOKUP(Empleados[[#This Row],[CUIT]],Empleador[],6,FALSE())&lt;=25),Escalas!$H$3,IF(AND(Empleados[[#This Row],[Retiro de Residuos]]="SI",VLOOKUP(Empleados[[#This Row],[CUIT]],Empleador[],6,FALSE())&gt;25),Escalas!$H$3+Escalas!$H$3/3/25*((VLOOKUP(Empleados[[#This Row],[CUIT]],Empleador[],6,FALSE())-25)),""))</f>
        <v>32039.200000000001</v>
      </c>
      <c r="Z4" s="17" t="str">
        <f>+IF(Empleados[[#This Row],[Vivienda]]="SI",Escalas!$H$4,"")</f>
        <v/>
      </c>
      <c r="AA4" s="17" t="str">
        <f>+IF(Empleados[[#This Row],[Vivienda]]="SI",Escalas!$H$4,"")</f>
        <v/>
      </c>
      <c r="AB4" s="17">
        <f>IF(Empleados[[#This Row],[JORNADA]]="Completa","",IF(Empleados[[#This Row],[Funcion2]]="Suplente eventual","",INDEX(Escalas!$B$3:$E$3,MATCH(O4,Escalas!$B$1:$E$1,0))*Descuentos!$B$4))</f>
        <v>33329.4</v>
      </c>
      <c r="AC4" s="17" t="str">
        <f>+IF(Empleados[[#This Row],[JORNADA]]="Suplente",Escalas!$H$5*Empleados[[#This Row],[Antiguedad]],"")</f>
        <v/>
      </c>
      <c r="AD4" s="17">
        <f ca="1">+IF(Empleados[[#This Row],[JORNADA]]="Suplente","",Escalas!$H$6*Empleados[[#This Row],[Antiguedad]])</f>
        <v>242395.19999999998</v>
      </c>
      <c r="AE4" s="17" t="str">
        <f>IF(Empleados[[#This Row],[Funcion2]]="ENCARGADO",IF(VLOOKUP(Empleados[[#This Row],[CUIT]],Empleador[],7,FALSE())="SI",Escalas!$H$7,""),"")</f>
        <v/>
      </c>
      <c r="AF4" s="17" t="str">
        <f>+IF(AND(ISNUMBER(SEARCH("Encargado",Empleados[[#This Row],[FUNCION]])),VLOOKUP(Empleados[[#This Row],[CUIT]],Empleador[],8,FALSE())="SI"),Escalas!$H$8,"")</f>
        <v/>
      </c>
      <c r="AG4" s="17" t="str">
        <f>IF(Empleados[[#This Row],[Funcion2]]="ENCARGADO",IF(VLOOKUP(Empleados[[#This Row],[CUIT]],Empleador[],9,FALSE())="SI",Escalas!$H$9,""),"")</f>
        <v/>
      </c>
      <c r="AH4" s="17" t="str">
        <f>+IF(VLOOKUP(Empleados[[#This Row],[CUIT]],Empleador[],10,FALSE())="SI",Escalas!$H$10,"")</f>
        <v/>
      </c>
      <c r="AI4" s="17" t="s">
        <v>84</v>
      </c>
      <c r="AJ4" s="17" t="str">
        <f>+IF(Empleados[[#This Row],[TITULO]]="SI",Escalas!$H$11*Empleados[[#This Row],[AUX Sueldo Basico]],"")</f>
        <v/>
      </c>
      <c r="AK4" s="17" t="str">
        <f>+IF(AND(ISNUMBER(SEARCH("Encargado",Empleados[[#This Row],[FUNCION]])),VLOOKUP(Empleados[[#This Row],[CUIT]],Empleador[],11,FALSE())="SI"),Escalas!$H$12,"")</f>
        <v/>
      </c>
    </row>
    <row r="5" spans="1:38" ht="15" customHeight="1" x14ac:dyDescent="0.25">
      <c r="A5" s="17">
        <v>20175464299</v>
      </c>
      <c r="B5" s="17" t="s">
        <v>93</v>
      </c>
      <c r="C5" s="17" t="s">
        <v>94</v>
      </c>
      <c r="D5" s="18">
        <v>24030</v>
      </c>
      <c r="E5" s="72">
        <v>39311</v>
      </c>
      <c r="F5" s="17">
        <v>30537480544</v>
      </c>
      <c r="G5" s="17" t="str">
        <f>+VLOOKUP(Empleados[[#This Row],[CUIT]],Empleador[],2,FALSE())</f>
        <v>CONS DE PROP AV BELGRANO 1266/70/76</v>
      </c>
      <c r="H5" s="17" t="s">
        <v>79</v>
      </c>
      <c r="I5" s="17">
        <v>106500</v>
      </c>
      <c r="J5" s="17" t="s">
        <v>80</v>
      </c>
      <c r="K5" s="17" t="str">
        <f>+IF(ISNUMBER(SEARCH("Suplente eventual",Empleados[[#This Row],[FUNCION]])),"Suplente eventual",IF(ISNUMBER(SEARCH("Suplente",Empleados[[#This Row],[FUNCION]])),"Suplente",IF(ISNUMBER(SEARCH("Vigilancia",Empleados[[#This Row],[FUNCION]])),"Vigilador","Encargado")))</f>
        <v>Encargado</v>
      </c>
      <c r="L5" s="17" t="str">
        <f>+IF(ISNUMBER(SEARCH("Suplente",Empleados[[#This Row],[FUNCION]])),"Suplente",IF(ISNUMBER(SEARCH("NO Permanente",Empleados[[#This Row],[FUNCION]])),"Media",IF(ISNUMBER(SEARCH("Media",Empleados[[#This Row],[FUNCION]])),"Media","Completa")))</f>
        <v>Completa</v>
      </c>
      <c r="M5" s="17" t="str">
        <f>+IF(ISNUMBER(SEARCH("Con vivienda",Empleados[[#This Row],[FUNCION]])),"SI","NO")</f>
        <v>SI</v>
      </c>
      <c r="N5" s="17">
        <f>+IF(Empleados[[#This Row],[JORNADA]]="Completa",1,IF(Empleados[[#This Row],[JORNADA]]="Media",0.5,1/200))*Escalas!$H$14</f>
        <v>100000</v>
      </c>
      <c r="O5" s="17" t="str">
        <f>+VLOOKUP(Empleados[[#This Row],[CUIT]],Empleador[],12,FALSE())</f>
        <v>1° Cat.</v>
      </c>
      <c r="P5" s="19">
        <f>IF(J5="Suplente con horario por dia",
    INDEX(Escalas!$B$2:$E$25,MATCH(J5,Escalas!$A$2:$A$25,0),MATCH(O5,Escalas!$B$1:$E$1,0))/8,
    INDEX(Escalas!$B$2:$E$25,MATCH(J5,Escalas!$A$2:$A$25,0),MATCH(O5,Escalas!$B$1:$E$1,0))
)</f>
        <v>1044417</v>
      </c>
      <c r="Q5" s="17" t="s">
        <v>81</v>
      </c>
      <c r="R5" s="42" t="s">
        <v>95</v>
      </c>
      <c r="T5" s="17">
        <f ca="1">+DATEDIF(Empleados[[#This Row],[FECHA DE INGRESO]],TODAY(),"Y")</f>
        <v>18</v>
      </c>
      <c r="U5" s="17" t="str">
        <f>+IF(OR(ISNUMBER(SEARCH("con vivienda",Empleados[[#This Row],[FUNCION]])),ISNUMBER(SEARCH("suplente",Empleados[[#This Row],[FUNCION]]))),"NO","SI")</f>
        <v>NO</v>
      </c>
      <c r="V5" s="17" t="str">
        <f>+IF(Empleados[[#This Row],[Viaticos]]="NO","",Escalas!$H$13)</f>
        <v/>
      </c>
      <c r="W5" s="17" t="s">
        <v>83</v>
      </c>
      <c r="X5" s="17">
        <f>+IF(Empleados[[#This Row],[Retiro de Residuos]]="no","",Escalas!$H$2*VLOOKUP(Empleados[[#This Row],[CUIT]],Empleador[],6,FALSE()))</f>
        <v>44644.800000000003</v>
      </c>
      <c r="Y5" s="20">
        <f>+IF(AND(Empleados[[#This Row],[Retiro de Residuos]]="SI",VLOOKUP(Empleados[[#This Row],[CUIT]],Empleador[],6,FALSE())&lt;=25),Escalas!$H$3,IF(AND(Empleados[[#This Row],[Retiro de Residuos]]="SI",VLOOKUP(Empleados[[#This Row],[CUIT]],Empleador[],6,FALSE())&gt;25),Escalas!$H$3+Escalas!$H$3/3/25*((VLOOKUP(Empleados[[#This Row],[CUIT]],Empleador[],6,FALSE())-25)),""))</f>
        <v>32039.200000000001</v>
      </c>
      <c r="Z5" s="20">
        <f>+IF(Empleados[[#This Row],[Vivienda]]="SI",Escalas!$H$4,"")</f>
        <v>6833.8</v>
      </c>
      <c r="AA5" s="20">
        <f>+IF(Empleados[[#This Row],[Vivienda]]="SI",Escalas!$H$4,"")</f>
        <v>6833.8</v>
      </c>
      <c r="AB5" s="17" t="str">
        <f>IF(Empleados[[#This Row],[JORNADA]]="Completa","",IF(Empleados[[#This Row],[Funcion2]]="Suplente eventual","",INDEX(Escalas!$B$3:$E$3,MATCH(O5,Escalas!$B$1:$E$1,0))*Descuentos!$B$4))</f>
        <v/>
      </c>
      <c r="AC5" s="17" t="str">
        <f>+IF(Empleados[[#This Row],[JORNADA]]="Suplente",Escalas!$H$5*Empleados[[#This Row],[Antiguedad]],"")</f>
        <v/>
      </c>
      <c r="AD5" s="17">
        <f ca="1">+IF(Empleados[[#This Row],[JORNADA]]="Suplente","",Escalas!$H$6*Empleados[[#This Row],[Antiguedad]])</f>
        <v>363592.8</v>
      </c>
      <c r="AE5" s="17" t="str">
        <f>IF(Empleados[[#This Row],[Funcion2]]="ENCARGADO",IF(VLOOKUP(Empleados[[#This Row],[CUIT]],Empleador[],7,FALSE())="SI",Escalas!$H$7,""),"")</f>
        <v/>
      </c>
      <c r="AF5" s="17" t="str">
        <f>+IF(AND(ISNUMBER(SEARCH("Encargado",Empleados[[#This Row],[FUNCION]])),VLOOKUP(Empleados[[#This Row],[CUIT]],Empleador[],8,FALSE())="SI"),Escalas!$H$8,"")</f>
        <v/>
      </c>
      <c r="AG5" s="17" t="str">
        <f>IF(Empleados[[#This Row],[Funcion2]]="ENCARGADO",IF(VLOOKUP(Empleados[[#This Row],[CUIT]],Empleador[],9,FALSE())="SI",Escalas!$H$9,""),"")</f>
        <v/>
      </c>
      <c r="AH5" s="17" t="str">
        <f>+IF(VLOOKUP(Empleados[[#This Row],[CUIT]],Empleador[],10,FALSE())="SI",Escalas!$H$10,"")</f>
        <v/>
      </c>
      <c r="AI5" s="17" t="s">
        <v>84</v>
      </c>
      <c r="AJ5" s="17" t="str">
        <f>+IF(Empleados[[#This Row],[TITULO]]="SI",Escalas!$H$11*Empleados[[#This Row],[AUX Sueldo Basico]],"")</f>
        <v/>
      </c>
      <c r="AK5" s="17" t="str">
        <f>+IF(AND(ISNUMBER(SEARCH("Encargado",Empleados[[#This Row],[FUNCION]])),VLOOKUP(Empleados[[#This Row],[CUIT]],Empleador[],11,FALSE())="SI"),Escalas!$H$12,"")</f>
        <v/>
      </c>
    </row>
    <row r="6" spans="1:38" ht="15" customHeight="1" x14ac:dyDescent="0.25">
      <c r="A6" s="17">
        <v>23289923934</v>
      </c>
      <c r="B6" s="17" t="s">
        <v>96</v>
      </c>
      <c r="C6" s="17">
        <v>1</v>
      </c>
      <c r="D6" s="18">
        <v>29854</v>
      </c>
      <c r="E6" s="72">
        <v>45278</v>
      </c>
      <c r="F6" s="17">
        <v>30538590009</v>
      </c>
      <c r="G6" s="17" t="str">
        <f>+VLOOKUP(Empleados[[#This Row],[CUIT]],Empleador[],2,FALSE())</f>
        <v>CONSORCIO DE PROPIETARIOS RODRIGUEZ PEÑA 1351</v>
      </c>
      <c r="H6" s="17" t="s">
        <v>79</v>
      </c>
      <c r="I6" s="17">
        <v>106500</v>
      </c>
      <c r="J6" s="17" t="s">
        <v>90</v>
      </c>
      <c r="K6" s="17" t="str">
        <f>+IF(ISNUMBER(SEARCH("Suplente eventual",Empleados[[#This Row],[FUNCION]])),"Suplente eventual",IF(ISNUMBER(SEARCH("Suplente",Empleados[[#This Row],[FUNCION]])),"Suplente",IF(ISNUMBER(SEARCH("Vigilancia",Empleados[[#This Row],[FUNCION]])),"Vigilador","Encargado")))</f>
        <v>Encargado</v>
      </c>
      <c r="L6" s="17" t="str">
        <f>+IF(ISNUMBER(SEARCH("Suplente",Empleados[[#This Row],[FUNCION]])),"Suplente",IF(ISNUMBER(SEARCH("NO Permanente",Empleados[[#This Row],[FUNCION]])),"Media",IF(ISNUMBER(SEARCH("Media",Empleados[[#This Row],[FUNCION]])),"Media","Completa")))</f>
        <v>Media</v>
      </c>
      <c r="M6" s="17" t="str">
        <f>+IF(ISNUMBER(SEARCH("Con vivienda",Empleados[[#This Row],[FUNCION]])),"SI","NO")</f>
        <v>NO</v>
      </c>
      <c r="N6" s="17">
        <f>+IF(Empleados[[#This Row],[JORNADA]]="Completa",1,IF(Empleados[[#This Row],[JORNADA]]="Media",0.5,1/200))*Escalas!$H$14</f>
        <v>50000</v>
      </c>
      <c r="O6" s="17" t="str">
        <f>+VLOOKUP(Empleados[[#This Row],[CUIT]],Empleador[],12,FALSE())</f>
        <v>2° Cat.</v>
      </c>
      <c r="P6" s="19">
        <f>IF(J6="Suplente con horario por dia",
    INDEX(Escalas!$B$2:$E$25,MATCH(J6,Escalas!$A$2:$A$25,0),MATCH(O6,Escalas!$B$1:$E$1,0))/8,
    INDEX(Escalas!$B$2:$E$25,MATCH(J6,Escalas!$A$2:$A$25,0),MATCH(O6,Escalas!$B$1:$E$1,0))
)</f>
        <v>566849</v>
      </c>
      <c r="Q6" s="17" t="s">
        <v>91</v>
      </c>
      <c r="R6" s="42" t="s">
        <v>97</v>
      </c>
      <c r="T6" s="17">
        <f ca="1">+DATEDIF(Empleados[[#This Row],[FECHA DE INGRESO]],TODAY(),"Y")</f>
        <v>2</v>
      </c>
      <c r="U6" s="17" t="str">
        <f>+IF(OR(ISNUMBER(SEARCH("con vivienda",Empleados[[#This Row],[FUNCION]])),ISNUMBER(SEARCH("suplente",Empleados[[#This Row],[FUNCION]]))),"NO","SI")</f>
        <v>SI</v>
      </c>
      <c r="V6" s="20">
        <f>+IF(Empleados[[#This Row],[Viaticos]]="NO","",Escalas!$H$13)</f>
        <v>70696.899999999994</v>
      </c>
      <c r="W6" s="17" t="s">
        <v>83</v>
      </c>
      <c r="X6" s="17">
        <f>+IF(Empleados[[#This Row],[Retiro de Residuos]]="no","",Escalas!$H$2*VLOOKUP(Empleados[[#This Row],[CUIT]],Empleador[],6,FALSE()))</f>
        <v>13021.4</v>
      </c>
      <c r="Y6" s="20">
        <f>+IF(AND(Empleados[[#This Row],[Retiro de Residuos]]="SI",VLOOKUP(Empleados[[#This Row],[CUIT]],Empleador[],6,FALSE())&lt;=25),Escalas!$H$3,IF(AND(Empleados[[#This Row],[Retiro de Residuos]]="SI",VLOOKUP(Empleados[[#This Row],[CUIT]],Empleador[],6,FALSE())&gt;25),Escalas!$H$3+Escalas!$H$3/3/25*((VLOOKUP(Empleados[[#This Row],[CUIT]],Empleador[],6,FALSE())-25)),""))</f>
        <v>32039.200000000001</v>
      </c>
      <c r="Z6" s="17" t="str">
        <f>+IF(Empleados[[#This Row],[Vivienda]]="SI",Escalas!$H$4,"")</f>
        <v/>
      </c>
      <c r="AA6" s="17" t="str">
        <f>+IF(Empleados[[#This Row],[Vivienda]]="SI",Escalas!$H$4,"")</f>
        <v/>
      </c>
      <c r="AB6" s="17">
        <f>IF(Empleados[[#This Row],[JORNADA]]="Completa","",IF(Empleados[[#This Row],[Funcion2]]="Suplente eventual","",INDEX(Escalas!$B$3:$E$3,MATCH(O6,Escalas!$B$1:$E$1,0))*Descuentos!$B$4))</f>
        <v>34844.369999999995</v>
      </c>
      <c r="AC6" s="17" t="str">
        <f>+IF(Empleados[[#This Row],[JORNADA]]="Suplente",Escalas!$H$5*Empleados[[#This Row],[Antiguedad]],"")</f>
        <v/>
      </c>
      <c r="AD6" s="17">
        <f ca="1">+IF(Empleados[[#This Row],[JORNADA]]="Suplente","",Escalas!$H$6*Empleados[[#This Row],[Antiguedad]])</f>
        <v>40399.199999999997</v>
      </c>
      <c r="AE6" s="17" t="str">
        <f>IF(Empleados[[#This Row],[Funcion2]]="ENCARGADO",IF(VLOOKUP(Empleados[[#This Row],[CUIT]],Empleador[],7,FALSE())="SI",Escalas!$H$7,""),"")</f>
        <v/>
      </c>
      <c r="AF6" s="17" t="str">
        <f>+IF(AND(ISNUMBER(SEARCH("Encargado",Empleados[[#This Row],[FUNCION]])),VLOOKUP(Empleados[[#This Row],[CUIT]],Empleador[],8,FALSE())="SI"),Escalas!$H$8,"")</f>
        <v/>
      </c>
      <c r="AG6" s="17" t="str">
        <f>IF(Empleados[[#This Row],[Funcion2]]="ENCARGADO",IF(VLOOKUP(Empleados[[#This Row],[CUIT]],Empleador[],9,FALSE())="SI",Escalas!$H$9,""),"")</f>
        <v/>
      </c>
      <c r="AH6" s="17" t="str">
        <f>+IF(VLOOKUP(Empleados[[#This Row],[CUIT]],Empleador[],10,FALSE())="SI",Escalas!$H$10,"")</f>
        <v/>
      </c>
      <c r="AI6" s="17" t="s">
        <v>84</v>
      </c>
      <c r="AJ6" s="17" t="str">
        <f>+IF(Empleados[[#This Row],[TITULO]]="SI",Escalas!$H$11*Empleados[[#This Row],[AUX Sueldo Basico]],"")</f>
        <v/>
      </c>
      <c r="AK6" s="17" t="str">
        <f>+IF(AND(ISNUMBER(SEARCH("Encargado",Empleados[[#This Row],[FUNCION]])),VLOOKUP(Empleados[[#This Row],[CUIT]],Empleador[],11,FALSE())="SI"),Escalas!$H$12,"")</f>
        <v/>
      </c>
    </row>
    <row r="7" spans="1:38" ht="15" customHeight="1" x14ac:dyDescent="0.25">
      <c r="A7" s="17">
        <v>24269272801</v>
      </c>
      <c r="B7" s="17" t="s">
        <v>327</v>
      </c>
      <c r="D7" s="18">
        <v>28830</v>
      </c>
      <c r="E7" s="72">
        <v>46165</v>
      </c>
      <c r="F7" s="17">
        <v>30538590009</v>
      </c>
      <c r="G7" s="17" t="str">
        <f>+VLOOKUP(Empleados[[#This Row],[CUIT]],Empleador[],2,FALSE())</f>
        <v>CONSORCIO DE PROPIETARIOS RODRIGUEZ PEÑA 1351</v>
      </c>
      <c r="H7" s="17" t="s">
        <v>328</v>
      </c>
      <c r="I7" s="17">
        <v>125707</v>
      </c>
      <c r="J7" s="17" t="s">
        <v>123</v>
      </c>
      <c r="K7" s="17" t="str">
        <f>+IF(ISNUMBER(SEARCH("Suplente eventual",Empleados[[#This Row],[FUNCION]])),"Suplente eventual",IF(ISNUMBER(SEARCH("Suplente",Empleados[[#This Row],[FUNCION]])),"Suplente",IF(ISNUMBER(SEARCH("Vigilancia",Empleados[[#This Row],[FUNCION]])),"Vigilador","Encargado")))</f>
        <v>Suplente eventual</v>
      </c>
      <c r="L7" s="17" t="str">
        <f>+IF(ISNUMBER(SEARCH("Suplente",Empleados[[#This Row],[FUNCION]])),"Suplente",IF(ISNUMBER(SEARCH("NO Permanente",Empleados[[#This Row],[FUNCION]])),"Media",IF(ISNUMBER(SEARCH("Media",Empleados[[#This Row],[FUNCION]])),"Media","Completa")))</f>
        <v>Suplente</v>
      </c>
      <c r="M7" s="17" t="s">
        <v>84</v>
      </c>
      <c r="N7" s="17">
        <f>+IF(Empleados[[#This Row],[JORNADA]]="Completa",1,IF(Empleados[[#This Row],[JORNADA]]="Media",0.5,1/200))*Escalas!$H$14</f>
        <v>500</v>
      </c>
      <c r="O7" s="17" t="str">
        <f>+VLOOKUP(Empleados[[#This Row],[CUIT]],Empleador[],12,FALSE())</f>
        <v>2° Cat.</v>
      </c>
      <c r="P7" s="19">
        <f>IF(J7="Suplente con horario por dia",
    INDEX(Escalas!$B$2:$E$25,MATCH(J7,Escalas!$A$2:$A$25,0),MATCH(O7,Escalas!$B$1:$E$1,0))/8,
    INDEX(Escalas!$B$2:$E$25,MATCH(J7,Escalas!$A$2:$A$25,0),MATCH(O7,Escalas!$B$1:$E$1,0))
)</f>
        <v>45395.199999999997</v>
      </c>
      <c r="Q7" s="17" t="s">
        <v>91</v>
      </c>
      <c r="R7" s="42" t="s">
        <v>329</v>
      </c>
      <c r="V7" s="20"/>
      <c r="W7" s="17" t="s">
        <v>84</v>
      </c>
      <c r="Y7" s="20"/>
      <c r="AD7" s="17" t="str">
        <f>+IF(Empleados[[#This Row],[JORNADA]]="Suplente","",Escalas!$H$6*Empleados[[#This Row],[Antiguedad]])</f>
        <v/>
      </c>
      <c r="AI7" s="17" t="s">
        <v>84</v>
      </c>
    </row>
    <row r="8" spans="1:38" ht="15" customHeight="1" x14ac:dyDescent="0.25">
      <c r="A8" s="17">
        <v>20204210749</v>
      </c>
      <c r="B8" s="17" t="s">
        <v>99</v>
      </c>
      <c r="C8" s="17">
        <v>39174</v>
      </c>
      <c r="D8" s="18">
        <v>25074</v>
      </c>
      <c r="E8" s="72">
        <v>37165</v>
      </c>
      <c r="F8" s="17">
        <v>30540887752</v>
      </c>
      <c r="G8" s="17" t="str">
        <f>+VLOOKUP(Empleados[[#This Row],[CUIT]],Empleador[],2,FALSE())</f>
        <v>CONSORCIO DE COPROPIETARIOS ARENALES 2120 24</v>
      </c>
      <c r="H8" s="17" t="s">
        <v>79</v>
      </c>
      <c r="I8" s="17">
        <v>106500</v>
      </c>
      <c r="J8" s="17" t="s">
        <v>80</v>
      </c>
      <c r="K8" s="17" t="str">
        <f>+IF(ISNUMBER(SEARCH("Suplente eventual",Empleados[[#This Row],[FUNCION]])),"Suplente eventual",IF(ISNUMBER(SEARCH("Suplente",Empleados[[#This Row],[FUNCION]])),"Suplente",IF(ISNUMBER(SEARCH("Vigilancia",Empleados[[#This Row],[FUNCION]])),"Vigilador","Encargado")))</f>
        <v>Encargado</v>
      </c>
      <c r="L8" s="17" t="str">
        <f>+IF(ISNUMBER(SEARCH("Suplente",Empleados[[#This Row],[FUNCION]])),"Suplente",IF(ISNUMBER(SEARCH("NO Permanente",Empleados[[#This Row],[FUNCION]])),"Media",IF(ISNUMBER(SEARCH("Media",Empleados[[#This Row],[FUNCION]])),"Media","Completa")))</f>
        <v>Completa</v>
      </c>
      <c r="M8" s="17" t="str">
        <f>+IF(ISNUMBER(SEARCH("Con vivienda",Empleados[[#This Row],[FUNCION]])),"SI","NO")</f>
        <v>SI</v>
      </c>
      <c r="N8" s="17">
        <f>+IF(Empleados[[#This Row],[JORNADA]]="Completa",1,IF(Empleados[[#This Row],[JORNADA]]="Media",0.5,1/200))*Escalas!$H$14</f>
        <v>100000</v>
      </c>
      <c r="O8" s="17" t="str">
        <f>+VLOOKUP(Empleados[[#This Row],[CUIT]],Empleador[],12,FALSE())</f>
        <v>1° Cat.</v>
      </c>
      <c r="P8" s="19">
        <f>IF(J8="Suplente con horario por dia",
    INDEX(Escalas!$B$2:$E$25,MATCH(J8,Escalas!$A$2:$A$25,0),MATCH(O8,Escalas!$B$1:$E$1,0))/8,
    INDEX(Escalas!$B$2:$E$25,MATCH(J8,Escalas!$A$2:$A$25,0),MATCH(O8,Escalas!$B$1:$E$1,0))
)</f>
        <v>1044417</v>
      </c>
      <c r="Q8" s="17" t="s">
        <v>91</v>
      </c>
      <c r="R8" s="42" t="s">
        <v>100</v>
      </c>
      <c r="T8" s="17">
        <f ca="1">+DATEDIF(Empleados[[#This Row],[FECHA DE INGRESO]],TODAY(),"Y")</f>
        <v>24</v>
      </c>
      <c r="U8" s="17" t="str">
        <f>+IF(OR(ISNUMBER(SEARCH("con vivienda",Empleados[[#This Row],[FUNCION]])),ISNUMBER(SEARCH("suplente",Empleados[[#This Row],[FUNCION]]))),"NO","SI")</f>
        <v>NO</v>
      </c>
      <c r="V8" s="17" t="str">
        <f>+IF(Empleados[[#This Row],[Viaticos]]="NO","",Escalas!$H$13)</f>
        <v/>
      </c>
      <c r="W8" s="17" t="s">
        <v>83</v>
      </c>
      <c r="X8" s="17">
        <f>+IF(Empleados[[#This Row],[Retiro de Residuos]]="no","",Escalas!$H$2*VLOOKUP(Empleados[[#This Row],[CUIT]],Empleador[],6,FALSE()))</f>
        <v>33483.599999999999</v>
      </c>
      <c r="Y8" s="20">
        <f>+IF(AND(Empleados[[#This Row],[Retiro de Residuos]]="SI",VLOOKUP(Empleados[[#This Row],[CUIT]],Empleador[],6,FALSE())&lt;=25),Escalas!$H$3,IF(AND(Empleados[[#This Row],[Retiro de Residuos]]="SI",VLOOKUP(Empleados[[#This Row],[CUIT]],Empleador[],6,FALSE())&gt;25),Escalas!$H$3+Escalas!$H$3/3/25*((VLOOKUP(Empleados[[#This Row],[CUIT]],Empleador[],6,FALSE())-25)),""))</f>
        <v>32039.200000000001</v>
      </c>
      <c r="Z8" s="20">
        <f>+IF(Empleados[[#This Row],[Vivienda]]="SI",Escalas!$H$4,"")</f>
        <v>6833.8</v>
      </c>
      <c r="AA8" s="20">
        <f>+IF(Empleados[[#This Row],[Vivienda]]="SI",Escalas!$H$4,"")</f>
        <v>6833.8</v>
      </c>
      <c r="AB8" s="17" t="str">
        <f>IF(Empleados[[#This Row],[JORNADA]]="Completa","",IF(Empleados[[#This Row],[Funcion2]]="Suplente eventual","",INDEX(Escalas!$B$3:$E$3,MATCH(O8,Escalas!$B$1:$E$1,0))*Descuentos!$B$4))</f>
        <v/>
      </c>
      <c r="AC8" s="17" t="str">
        <f>+IF(Empleados[[#This Row],[JORNADA]]="Suplente",Escalas!$H$5*Empleados[[#This Row],[Antiguedad]],"")</f>
        <v/>
      </c>
      <c r="AD8" s="17">
        <f ca="1">+IF(Empleados[[#This Row],[JORNADA]]="Suplente","",Escalas!$H$6*Empleados[[#This Row],[Antiguedad]])</f>
        <v>484790.39999999997</v>
      </c>
      <c r="AE8" s="17" t="str">
        <f>IF(Empleados[[#This Row],[Funcion2]]="ENCARGADO",IF(VLOOKUP(Empleados[[#This Row],[CUIT]],Empleador[],7,FALSE())="SI",Escalas!$H$7,""),"")</f>
        <v/>
      </c>
      <c r="AF8" s="17" t="str">
        <f>+IF(AND(ISNUMBER(SEARCH("Encargado",Empleados[[#This Row],[FUNCION]])),VLOOKUP(Empleados[[#This Row],[CUIT]],Empleador[],8,FALSE())="SI"),Escalas!$H$8,"")</f>
        <v/>
      </c>
      <c r="AG8" s="17" t="str">
        <f>IF(Empleados[[#This Row],[Funcion2]]="ENCARGADO",IF(VLOOKUP(Empleados[[#This Row],[CUIT]],Empleador[],9,FALSE())="SI",Escalas!$H$9,""),"")</f>
        <v/>
      </c>
      <c r="AH8" s="17" t="str">
        <f>+IF(VLOOKUP(Empleados[[#This Row],[CUIT]],Empleador[],10,FALSE())="SI",Escalas!$H$10,"")</f>
        <v/>
      </c>
      <c r="AI8" s="17" t="s">
        <v>84</v>
      </c>
      <c r="AJ8" s="17" t="str">
        <f>+IF(Empleados[[#This Row],[TITULO]]="SI",Escalas!$H$11*Empleados[[#This Row],[AUX Sueldo Basico]],"")</f>
        <v/>
      </c>
      <c r="AK8" s="17" t="str">
        <f>+IF(AND(ISNUMBER(SEARCH("Encargado",Empleados[[#This Row],[FUNCION]])),VLOOKUP(Empleados[[#This Row],[CUIT]],Empleador[],11,FALSE())="SI"),Escalas!$H$12,"")</f>
        <v/>
      </c>
    </row>
    <row r="9" spans="1:38" ht="15" customHeight="1" x14ac:dyDescent="0.25">
      <c r="A9" s="17">
        <v>20263485409</v>
      </c>
      <c r="B9" s="17" t="s">
        <v>101</v>
      </c>
      <c r="C9" s="17">
        <v>2</v>
      </c>
      <c r="D9" s="18">
        <v>28436</v>
      </c>
      <c r="E9" s="72">
        <v>41913</v>
      </c>
      <c r="F9" s="17">
        <v>30559333022</v>
      </c>
      <c r="G9" s="17" t="str">
        <f>+VLOOKUP(Empleados[[#This Row],[CUIT]],Empleador[],2,FALSE())</f>
        <v>CONSORCIO DE PROPIETARIOS DEL EDIFICIO PALOS 285</v>
      </c>
      <c r="H9" s="17" t="s">
        <v>79</v>
      </c>
      <c r="I9" s="17">
        <v>106500</v>
      </c>
      <c r="J9" s="17" t="s">
        <v>90</v>
      </c>
      <c r="K9" s="17" t="str">
        <f>+IF(ISNUMBER(SEARCH("Suplente eventual",Empleados[[#This Row],[FUNCION]])),"Suplente eventual",IF(ISNUMBER(SEARCH("Suplente",Empleados[[#This Row],[FUNCION]])),"Suplente",IF(ISNUMBER(SEARCH("Vigilancia",Empleados[[#This Row],[FUNCION]])),"Vigilador","Encargado")))</f>
        <v>Encargado</v>
      </c>
      <c r="L9" s="17" t="str">
        <f>+IF(ISNUMBER(SEARCH("Suplente",Empleados[[#This Row],[FUNCION]])),"Suplente",IF(ISNUMBER(SEARCH("NO Permanente",Empleados[[#This Row],[FUNCION]])),"Media",IF(ISNUMBER(SEARCH("Media",Empleados[[#This Row],[FUNCION]])),"Media","Completa")))</f>
        <v>Media</v>
      </c>
      <c r="M9" s="17" t="str">
        <f>+IF(ISNUMBER(SEARCH("Con vivienda",Empleados[[#This Row],[FUNCION]])),"SI","NO")</f>
        <v>NO</v>
      </c>
      <c r="N9" s="17">
        <f>+IF(Empleados[[#This Row],[JORNADA]]="Completa",1,IF(Empleados[[#This Row],[JORNADA]]="Media",0.5,1/200))*Escalas!$H$14</f>
        <v>50000</v>
      </c>
      <c r="O9" s="17" t="str">
        <f>+VLOOKUP(Empleados[[#This Row],[CUIT]],Empleador[],12,FALSE())</f>
        <v>3° Cat.</v>
      </c>
      <c r="P9" s="19">
        <f>IF(J9="Suplente con horario por dia",
    INDEX(Escalas!$B$2:$E$25,MATCH(J9,Escalas!$A$2:$A$25,0),MATCH(O9,Escalas!$B$1:$E$1,0))/8,
    INDEX(Escalas!$B$2:$E$25,MATCH(J9,Escalas!$A$2:$A$25,0),MATCH(O9,Escalas!$B$1:$E$1,0))
)</f>
        <v>566849</v>
      </c>
      <c r="Q9" s="17" t="s">
        <v>102</v>
      </c>
      <c r="R9" s="42" t="s">
        <v>103</v>
      </c>
      <c r="T9" s="17">
        <f ca="1">+DATEDIF(Empleados[[#This Row],[FECHA DE INGRESO]],TODAY(),"Y")</f>
        <v>11</v>
      </c>
      <c r="U9" s="17" t="str">
        <f>+IF(OR(ISNUMBER(SEARCH("con vivienda",Empleados[[#This Row],[FUNCION]])),ISNUMBER(SEARCH("suplente",Empleados[[#This Row],[FUNCION]]))),"NO","SI")</f>
        <v>SI</v>
      </c>
      <c r="V9" s="20">
        <f>+IF(Empleados[[#This Row],[Viaticos]]="NO","",Escalas!$H$13)</f>
        <v>70696.899999999994</v>
      </c>
      <c r="W9" s="17" t="s">
        <v>84</v>
      </c>
      <c r="X9" s="17" t="str">
        <f>+IF(Empleados[[#This Row],[Retiro de Residuos]]="no","",Escalas!$H$2*VLOOKUP(Empleados[[#This Row],[CUIT]],Empleador[],6,FALSE()))</f>
        <v/>
      </c>
      <c r="Y9" s="17" t="str">
        <f>+IF(AND(Empleados[[#This Row],[Retiro de Residuos]]="SI",VLOOKUP(Empleados[[#This Row],[CUIT]],Empleador[],6,FALSE())&lt;=25),Escalas!$H$3,IF(AND(Empleados[[#This Row],[Retiro de Residuos]]="SI",VLOOKUP(Empleados[[#This Row],[CUIT]],Empleador[],6,FALSE())&gt;25),Escalas!$H$3+Escalas!$H$3/3/25*((VLOOKUP(Empleados[[#This Row],[CUIT]],Empleador[],6,FALSE())-25)),""))</f>
        <v/>
      </c>
      <c r="Z9" s="17" t="str">
        <f>+IF(Empleados[[#This Row],[Vivienda]]="SI",Escalas!$H$4,"")</f>
        <v/>
      </c>
      <c r="AA9" s="17" t="str">
        <f>+IF(Empleados[[#This Row],[Vivienda]]="SI",Escalas!$H$4,"")</f>
        <v/>
      </c>
      <c r="AB9" s="17">
        <f>IF(Empleados[[#This Row],[JORNADA]]="Completa","",IF(Empleados[[#This Row],[Funcion2]]="Suplente eventual","",INDEX(Escalas!$B$3:$E$3,MATCH(O9,Escalas!$B$1:$E$1,0))*Descuentos!$B$4))</f>
        <v>33329.4</v>
      </c>
      <c r="AC9" s="17" t="str">
        <f>+IF(Empleados[[#This Row],[JORNADA]]="Suplente",Escalas!$H$5*Empleados[[#This Row],[Antiguedad]],"")</f>
        <v/>
      </c>
      <c r="AD9" s="17">
        <f ca="1">+IF(Empleados[[#This Row],[JORNADA]]="Suplente","",Escalas!$H$6*Empleados[[#This Row],[Antiguedad]])</f>
        <v>222195.59999999998</v>
      </c>
      <c r="AE9" s="17" t="str">
        <f>IF(Empleados[[#This Row],[Funcion2]]="ENCARGADO",IF(VLOOKUP(Empleados[[#This Row],[CUIT]],Empleador[],7,FALSE())="SI",Escalas!$H$7,""),"")</f>
        <v/>
      </c>
      <c r="AF9" s="17" t="str">
        <f>+IF(AND(ISNUMBER(SEARCH("Encargado",Empleados[[#This Row],[FUNCION]])),VLOOKUP(Empleados[[#This Row],[CUIT]],Empleador[],8,FALSE())="SI"),Escalas!$H$8,"")</f>
        <v/>
      </c>
      <c r="AG9" s="17" t="str">
        <f>IF(Empleados[[#This Row],[Funcion2]]="ENCARGADO",IF(VLOOKUP(Empleados[[#This Row],[CUIT]],Empleador[],9,FALSE())="SI",Escalas!$H$9,""),"")</f>
        <v/>
      </c>
      <c r="AH9" s="17" t="str">
        <f>+IF(VLOOKUP(Empleados[[#This Row],[CUIT]],Empleador[],10,FALSE())="SI",Escalas!$H$10,"")</f>
        <v/>
      </c>
      <c r="AI9" s="17" t="s">
        <v>84</v>
      </c>
      <c r="AJ9" s="17" t="str">
        <f>+IF(Empleados[[#This Row],[TITULO]]="SI",Escalas!$H$11*Empleados[[#This Row],[AUX Sueldo Basico]],"")</f>
        <v/>
      </c>
      <c r="AK9" s="17" t="str">
        <f>+IF(AND(ISNUMBER(SEARCH("Encargado",Empleados[[#This Row],[FUNCION]])),VLOOKUP(Empleados[[#This Row],[CUIT]],Empleador[],11,FALSE())="SI"),Escalas!$H$12,"")</f>
        <v/>
      </c>
    </row>
    <row r="10" spans="1:38" ht="15" customHeight="1" x14ac:dyDescent="0.25">
      <c r="A10" s="17">
        <v>20275890074</v>
      </c>
      <c r="B10" s="17" t="s">
        <v>104</v>
      </c>
      <c r="C10" s="17">
        <v>59418</v>
      </c>
      <c r="D10" s="18">
        <v>29070</v>
      </c>
      <c r="E10" s="72">
        <v>40588</v>
      </c>
      <c r="F10" s="17">
        <v>30580260906</v>
      </c>
      <c r="G10" s="17" t="str">
        <f>+VLOOKUP(Empleados[[#This Row],[CUIT]],Empleador[],2,FALSE())</f>
        <v>CONSORCIO DE PROPIETARIOS URUGUAY 1025 27 29</v>
      </c>
      <c r="H10" s="17" t="s">
        <v>79</v>
      </c>
      <c r="I10" s="17">
        <v>106500</v>
      </c>
      <c r="J10" s="17" t="s">
        <v>80</v>
      </c>
      <c r="K10" s="17" t="str">
        <f>+IF(ISNUMBER(SEARCH("Suplente eventual",Empleados[[#This Row],[FUNCION]])),"Suplente eventual",IF(ISNUMBER(SEARCH("Suplente",Empleados[[#This Row],[FUNCION]])),"Suplente",IF(ISNUMBER(SEARCH("Vigilancia",Empleados[[#This Row],[FUNCION]])),"Vigilador","Encargado")))</f>
        <v>Encargado</v>
      </c>
      <c r="L10" s="17" t="str">
        <f>+IF(ISNUMBER(SEARCH("Suplente",Empleados[[#This Row],[FUNCION]])),"Suplente",IF(ISNUMBER(SEARCH("NO Permanente",Empleados[[#This Row],[FUNCION]])),"Media",IF(ISNUMBER(SEARCH("Media",Empleados[[#This Row],[FUNCION]])),"Media","Completa")))</f>
        <v>Completa</v>
      </c>
      <c r="M10" s="17" t="str">
        <f>+IF(ISNUMBER(SEARCH("Con vivienda",Empleados[[#This Row],[FUNCION]])),"SI","NO")</f>
        <v>SI</v>
      </c>
      <c r="N10" s="17">
        <f>+IF(Empleados[[#This Row],[JORNADA]]="Completa",1,IF(Empleados[[#This Row],[JORNADA]]="Media",0.5,1/200))*Escalas!$H$14</f>
        <v>100000</v>
      </c>
      <c r="O10" s="17" t="str">
        <f>+VLOOKUP(Empleados[[#This Row],[CUIT]],Empleador[],12,FALSE())</f>
        <v>1° Cat.</v>
      </c>
      <c r="P10" s="19">
        <f>IF(J10="Suplente con horario por dia",
    INDEX(Escalas!$B$2:$E$25,MATCH(J10,Escalas!$A$2:$A$25,0),MATCH(O10,Escalas!$B$1:$E$1,0))/8,
    INDEX(Escalas!$B$2:$E$25,MATCH(J10,Escalas!$A$2:$A$25,0),MATCH(O10,Escalas!$B$1:$E$1,0))
)</f>
        <v>1044417</v>
      </c>
      <c r="Q10" s="17" t="s">
        <v>105</v>
      </c>
      <c r="R10" s="42" t="s">
        <v>106</v>
      </c>
      <c r="S10" s="17" t="s">
        <v>107</v>
      </c>
      <c r="T10" s="17">
        <f ca="1">+DATEDIF(Empleados[[#This Row],[FECHA DE INGRESO]],TODAY(),"Y")</f>
        <v>15</v>
      </c>
      <c r="U10" s="17" t="str">
        <f>+IF(OR(ISNUMBER(SEARCH("con vivienda",Empleados[[#This Row],[FUNCION]])),ISNUMBER(SEARCH("suplente",Empleados[[#This Row],[FUNCION]]))),"NO","SI")</f>
        <v>NO</v>
      </c>
      <c r="V10" s="17" t="str">
        <f>+IF(Empleados[[#This Row],[Viaticos]]="NO","",Escalas!$H$13)</f>
        <v/>
      </c>
      <c r="W10" s="17" t="s">
        <v>83</v>
      </c>
      <c r="X10" s="17">
        <f>+IF(Empleados[[#This Row],[Retiro de Residuos]]="no","",Escalas!$H$2*VLOOKUP(Empleados[[#This Row],[CUIT]],Empleador[],6,FALSE()))</f>
        <v>20462.2</v>
      </c>
      <c r="Y10" s="20">
        <f>+IF(AND(Empleados[[#This Row],[Retiro de Residuos]]="SI",VLOOKUP(Empleados[[#This Row],[CUIT]],Empleador[],6,FALSE())&lt;=25),Escalas!$H$3,IF(AND(Empleados[[#This Row],[Retiro de Residuos]]="SI",VLOOKUP(Empleados[[#This Row],[CUIT]],Empleador[],6,FALSE())&gt;25),Escalas!$H$3+Escalas!$H$3/3/25*((VLOOKUP(Empleados[[#This Row],[CUIT]],Empleador[],6,FALSE())-25)),""))</f>
        <v>32039.200000000001</v>
      </c>
      <c r="Z10" s="20">
        <f>+IF(Empleados[[#This Row],[Vivienda]]="SI",Escalas!$H$4,"")</f>
        <v>6833.8</v>
      </c>
      <c r="AA10" s="20">
        <f>+IF(Empleados[[#This Row],[Vivienda]]="SI",Escalas!$H$4,"")</f>
        <v>6833.8</v>
      </c>
      <c r="AB10" s="17" t="str">
        <f>IF(Empleados[[#This Row],[JORNADA]]="Completa","",IF(Empleados[[#This Row],[Funcion2]]="Suplente eventual","",INDEX(Escalas!$B$3:$E$3,MATCH(O10,Escalas!$B$1:$E$1,0))*Descuentos!$B$4))</f>
        <v/>
      </c>
      <c r="AC10" s="17" t="str">
        <f>+IF(Empleados[[#This Row],[JORNADA]]="Suplente",Escalas!$H$5*Empleados[[#This Row],[Antiguedad]],"")</f>
        <v/>
      </c>
      <c r="AD10" s="17">
        <f ca="1">+IF(Empleados[[#This Row],[JORNADA]]="Suplente","",Escalas!$H$6*Empleados[[#This Row],[Antiguedad]])</f>
        <v>302994</v>
      </c>
      <c r="AE10" s="17" t="str">
        <f>IF(Empleados[[#This Row],[Funcion2]]="ENCARGADO",IF(VLOOKUP(Empleados[[#This Row],[CUIT]],Empleador[],7,FALSE())="SI",Escalas!$H$7,""),"")</f>
        <v/>
      </c>
      <c r="AF10" s="17" t="str">
        <f>+IF(AND(ISNUMBER(SEARCH("Encargado",Empleados[[#This Row],[FUNCION]])),VLOOKUP(Empleados[[#This Row],[CUIT]],Empleador[],8,FALSE())="SI"),Escalas!$H$8,"")</f>
        <v/>
      </c>
      <c r="AG10" s="17" t="str">
        <f>IF(Empleados[[#This Row],[Funcion2]]="ENCARGADO",IF(VLOOKUP(Empleados[[#This Row],[CUIT]],Empleador[],9,FALSE())="SI",Escalas!$H$9,""),"")</f>
        <v/>
      </c>
      <c r="AH10" s="17" t="str">
        <f>+IF(VLOOKUP(Empleados[[#This Row],[CUIT]],Empleador[],10,FALSE())="SI",Escalas!$H$10,"")</f>
        <v/>
      </c>
      <c r="AI10" s="17" t="s">
        <v>84</v>
      </c>
      <c r="AJ10" s="17" t="str">
        <f>+IF(Empleados[[#This Row],[TITULO]]="SI",Escalas!$H$11*Empleados[[#This Row],[AUX Sueldo Basico]],"")</f>
        <v/>
      </c>
      <c r="AK10" s="17" t="str">
        <f>+IF(AND(ISNUMBER(SEARCH("Encargado",Empleados[[#This Row],[FUNCION]])),VLOOKUP(Empleados[[#This Row],[CUIT]],Empleador[],11,FALSE())="SI"),Escalas!$H$12,"")</f>
        <v/>
      </c>
    </row>
    <row r="11" spans="1:38" ht="15" customHeight="1" x14ac:dyDescent="0.25">
      <c r="A11" s="17">
        <v>20331992314</v>
      </c>
      <c r="B11" s="17" t="s">
        <v>108</v>
      </c>
      <c r="C11" s="17">
        <v>27648</v>
      </c>
      <c r="D11" s="18">
        <v>31974</v>
      </c>
      <c r="E11" s="72">
        <v>40483</v>
      </c>
      <c r="F11" s="17">
        <v>30580260906</v>
      </c>
      <c r="G11" s="17" t="str">
        <f>+VLOOKUP(Empleados[[#This Row],[CUIT]],Empleador[],2,FALSE())</f>
        <v>CONSORCIO DE PROPIETARIOS URUGUAY 1025 27 29</v>
      </c>
      <c r="H11" s="17" t="s">
        <v>79</v>
      </c>
      <c r="I11" s="17">
        <v>106500</v>
      </c>
      <c r="J11" s="17" t="s">
        <v>109</v>
      </c>
      <c r="K11" s="17" t="str">
        <f>+IF(ISNUMBER(SEARCH("Suplente eventual",Empleados[[#This Row],[FUNCION]])),"Suplente eventual",IF(ISNUMBER(SEARCH("Suplente",Empleados[[#This Row],[FUNCION]])),"Suplente",IF(ISNUMBER(SEARCH("Vigilancia",Empleados[[#This Row],[FUNCION]])),"Vigilador","Encargado")))</f>
        <v>Vigilador</v>
      </c>
      <c r="L11" s="17" t="str">
        <f>+IF(ISNUMBER(SEARCH("Suplente",Empleados[[#This Row],[FUNCION]])),"Suplente",IF(ISNUMBER(SEARCH("NO Permanente",Empleados[[#This Row],[FUNCION]])),"Media",IF(ISNUMBER(SEARCH("Media",Empleados[[#This Row],[FUNCION]])),"Media","Completa")))</f>
        <v>Completa</v>
      </c>
      <c r="M11" s="17" t="str">
        <f>+IF(ISNUMBER(SEARCH("Con vivienda",Empleados[[#This Row],[FUNCION]])),"SI","NO")</f>
        <v>NO</v>
      </c>
      <c r="N11" s="17">
        <f>+IF(Empleados[[#This Row],[JORNADA]]="Completa",1,IF(Empleados[[#This Row],[JORNADA]]="Media",0.5,1/200))*Escalas!$H$14</f>
        <v>100000</v>
      </c>
      <c r="O11" s="17" t="str">
        <f>+VLOOKUP(Empleados[[#This Row],[CUIT]],Empleador[],12,FALSE())</f>
        <v>1° Cat.</v>
      </c>
      <c r="P11" s="19">
        <f>IF(J11="Suplente con horario por dia",
    INDEX(Escalas!$B$2:$E$25,MATCH(J11,Escalas!$A$2:$A$25,0),MATCH(O11,Escalas!$B$1:$E$1,0))/8,
    INDEX(Escalas!$B$2:$E$25,MATCH(J11,Escalas!$A$2:$A$25,0),MATCH(O11,Escalas!$B$1:$E$1,0))
)</f>
        <v>1016107</v>
      </c>
      <c r="Q11" s="17" t="s">
        <v>105</v>
      </c>
      <c r="R11" s="42" t="s">
        <v>110</v>
      </c>
      <c r="S11" s="17" t="s">
        <v>111</v>
      </c>
      <c r="T11" s="17">
        <f ca="1">+DATEDIF(Empleados[[#This Row],[FECHA DE INGRESO]],TODAY(),"Y")</f>
        <v>15</v>
      </c>
      <c r="U11" s="17" t="str">
        <f>+IF(OR(ISNUMBER(SEARCH("con vivienda",Empleados[[#This Row],[FUNCION]])),ISNUMBER(SEARCH("suplente",Empleados[[#This Row],[FUNCION]]))),"NO","SI")</f>
        <v>SI</v>
      </c>
      <c r="V11" s="20">
        <f>+IF(Empleados[[#This Row],[Viaticos]]="NO","",Escalas!$H$13)</f>
        <v>70696.899999999994</v>
      </c>
      <c r="W11" s="17" t="s">
        <v>84</v>
      </c>
      <c r="X11" s="17" t="str">
        <f>+IF(Empleados[[#This Row],[Retiro de Residuos]]="no","",Escalas!$H$2*VLOOKUP(Empleados[[#This Row],[CUIT]],Empleador[],6,FALSE()))</f>
        <v/>
      </c>
      <c r="Y11" s="17" t="str">
        <f>+IF(AND(Empleados[[#This Row],[Retiro de Residuos]]="SI",VLOOKUP(Empleados[[#This Row],[CUIT]],Empleador[],6,FALSE())&lt;=25),Escalas!$H$3,IF(AND(Empleados[[#This Row],[Retiro de Residuos]]="SI",VLOOKUP(Empleados[[#This Row],[CUIT]],Empleador[],6,FALSE())&gt;25),Escalas!$H$3+Escalas!$H$3/3/25*((VLOOKUP(Empleados[[#This Row],[CUIT]],Empleador[],6,FALSE())-25)),""))</f>
        <v/>
      </c>
      <c r="Z11" s="17" t="str">
        <f>+IF(Empleados[[#This Row],[Vivienda]]="SI",Escalas!$H$4,"")</f>
        <v/>
      </c>
      <c r="AA11" s="17" t="str">
        <f>+IF(Empleados[[#This Row],[Vivienda]]="SI",Escalas!$H$4,"")</f>
        <v/>
      </c>
      <c r="AB11" s="17" t="str">
        <f>IF(Empleados[[#This Row],[JORNADA]]="Completa","",IF(Empleados[[#This Row],[Funcion2]]="Suplente eventual","",INDEX(Escalas!$B$3:$E$3,MATCH(O11,Escalas!$B$1:$E$1,0))*Descuentos!$B$4))</f>
        <v/>
      </c>
      <c r="AC11" s="17" t="str">
        <f>+IF(Empleados[[#This Row],[JORNADA]]="Suplente",Escalas!$H$5*Empleados[[#This Row],[Antiguedad]],"")</f>
        <v/>
      </c>
      <c r="AD11" s="17">
        <f ca="1">+IF(Empleados[[#This Row],[JORNADA]]="Suplente","",Escalas!$H$6*Empleados[[#This Row],[Antiguedad]])</f>
        <v>302994</v>
      </c>
      <c r="AE11" s="17" t="str">
        <f>IF(Empleados[[#This Row],[Funcion2]]="ENCARGADO",IF(VLOOKUP(Empleados[[#This Row],[CUIT]],Empleador[],7,FALSE())="SI",Escalas!$H$7,""),"")</f>
        <v/>
      </c>
      <c r="AF11" s="17" t="str">
        <f>+IF(AND(ISNUMBER(SEARCH("Encargado",Empleados[[#This Row],[FUNCION]])),VLOOKUP(Empleados[[#This Row],[CUIT]],Empleador[],8,FALSE())="SI"),Escalas!$H$8,"")</f>
        <v/>
      </c>
      <c r="AG11" s="17" t="str">
        <f>IF(Empleados[[#This Row],[Funcion2]]="ENCARGADO",IF(VLOOKUP(Empleados[[#This Row],[CUIT]],Empleador[],9,FALSE())="SI",Escalas!$H$9,""),"")</f>
        <v/>
      </c>
      <c r="AH11" s="17" t="str">
        <f>+IF(VLOOKUP(Empleados[[#This Row],[CUIT]],Empleador[],10,FALSE())="SI",Escalas!$H$10,"")</f>
        <v/>
      </c>
      <c r="AI11" s="17" t="s">
        <v>84</v>
      </c>
      <c r="AJ11" s="17" t="str">
        <f>+IF(Empleados[[#This Row],[TITULO]]="SI",Escalas!$H$11*Empleados[[#This Row],[AUX Sueldo Basico]],"")</f>
        <v/>
      </c>
      <c r="AK11" s="17" t="str">
        <f>+IF(AND(ISNUMBER(SEARCH("Encargado",Empleados[[#This Row],[FUNCION]])),VLOOKUP(Empleados[[#This Row],[CUIT]],Empleador[],11,FALSE())="SI"),Escalas!$H$12,"")</f>
        <v/>
      </c>
    </row>
    <row r="12" spans="1:38" ht="15" customHeight="1" x14ac:dyDescent="0.25">
      <c r="A12" s="17">
        <v>27174620410</v>
      </c>
      <c r="B12" s="17" t="s">
        <v>112</v>
      </c>
      <c r="C12" s="17">
        <v>3</v>
      </c>
      <c r="D12" s="18">
        <v>24003</v>
      </c>
      <c r="E12" s="72">
        <v>36271</v>
      </c>
      <c r="F12" s="17">
        <v>30604528166</v>
      </c>
      <c r="G12" s="17" t="str">
        <f>+VLOOKUP(Empleados[[#This Row],[CUIT]],Empleador[],2,FALSE())</f>
        <v>CONSORCIO DE PROPIETARIOS ALTE BROWN 720</v>
      </c>
      <c r="H12" s="17" t="s">
        <v>79</v>
      </c>
      <c r="I12" s="17">
        <v>106500</v>
      </c>
      <c r="J12" s="17" t="s">
        <v>80</v>
      </c>
      <c r="K12" s="17" t="str">
        <f>+IF(ISNUMBER(SEARCH("Suplente eventual",Empleados[[#This Row],[FUNCION]])),"Suplente eventual",IF(ISNUMBER(SEARCH("Suplente",Empleados[[#This Row],[FUNCION]])),"Suplente",IF(ISNUMBER(SEARCH("Vigilancia",Empleados[[#This Row],[FUNCION]])),"Vigilador","Encargado")))</f>
        <v>Encargado</v>
      </c>
      <c r="L12" s="17" t="str">
        <f>+IF(ISNUMBER(SEARCH("Suplente",Empleados[[#This Row],[FUNCION]])),"Suplente",IF(ISNUMBER(SEARCH("NO Permanente",Empleados[[#This Row],[FUNCION]])),"Media",IF(ISNUMBER(SEARCH("Media",Empleados[[#This Row],[FUNCION]])),"Media","Completa")))</f>
        <v>Completa</v>
      </c>
      <c r="M12" s="17" t="str">
        <f>+IF(ISNUMBER(SEARCH("Con vivienda",Empleados[[#This Row],[FUNCION]])),"SI","NO")</f>
        <v>SI</v>
      </c>
      <c r="N12" s="17">
        <f>+IF(Empleados[[#This Row],[JORNADA]]="Completa",1,IF(Empleados[[#This Row],[JORNADA]]="Media",0.5,1/200))*Escalas!$H$14</f>
        <v>100000</v>
      </c>
      <c r="O12" s="17" t="str">
        <f>+VLOOKUP(Empleados[[#This Row],[CUIT]],Empleador[],12,FALSE())</f>
        <v>3° Cat.</v>
      </c>
      <c r="P12" s="19">
        <f>IF(J12="Suplente con horario por dia",
    INDEX(Escalas!$B$2:$E$25,MATCH(J12,Escalas!$A$2:$A$25,0),MATCH(O12,Escalas!$B$1:$E$1,0))/8,
    INDEX(Escalas!$B$2:$E$25,MATCH(J12,Escalas!$A$2:$A$25,0),MATCH(O12,Escalas!$B$1:$E$1,0))
)</f>
        <v>957382</v>
      </c>
      <c r="Q12" s="17" t="s">
        <v>102</v>
      </c>
      <c r="R12" s="42" t="s">
        <v>113</v>
      </c>
      <c r="T12" s="17">
        <f ca="1">+DATEDIF(Empleados[[#This Row],[FECHA DE INGRESO]],TODAY(),"Y")</f>
        <v>27</v>
      </c>
      <c r="U12" s="17" t="str">
        <f>+IF(OR(ISNUMBER(SEARCH("con vivienda",Empleados[[#This Row],[FUNCION]])),ISNUMBER(SEARCH("suplente",Empleados[[#This Row],[FUNCION]]))),"NO","SI")</f>
        <v>NO</v>
      </c>
      <c r="V12" s="17" t="str">
        <f>+IF(Empleados[[#This Row],[Viaticos]]="NO","",Escalas!$H$13)</f>
        <v/>
      </c>
      <c r="W12" s="17" t="s">
        <v>83</v>
      </c>
      <c r="X12" s="17">
        <f>+IF(Empleados[[#This Row],[Retiro de Residuos]]="no","",Escalas!$H$2*VLOOKUP(Empleados[[#This Row],[CUIT]],Empleador[],6,FALSE()))</f>
        <v>72547.8</v>
      </c>
      <c r="Y12" s="17">
        <f>+IF(AND(Empleados[[#This Row],[Retiro de Residuos]]="SI",VLOOKUP(Empleados[[#This Row],[CUIT]],Empleador[],6,FALSE())&lt;=25),Escalas!$H$3,IF(AND(Empleados[[#This Row],[Retiro de Residuos]]="SI",VLOOKUP(Empleados[[#This Row],[CUIT]],Empleador[],6,FALSE())&gt;25),Escalas!$H$3+Escalas!$H$3/3/25*((VLOOKUP(Empleados[[#This Row],[CUIT]],Empleador[],6,FALSE())-25)),""))</f>
        <v>38019.850666666665</v>
      </c>
      <c r="Z12" s="20">
        <f>+IF(Empleados[[#This Row],[Vivienda]]="SI",Escalas!$H$4,"")</f>
        <v>6833.8</v>
      </c>
      <c r="AA12" s="20">
        <f>+IF(Empleados[[#This Row],[Vivienda]]="SI",Escalas!$H$4,"")</f>
        <v>6833.8</v>
      </c>
      <c r="AB12" s="17" t="str">
        <f>IF(Empleados[[#This Row],[JORNADA]]="Completa","",IF(Empleados[[#This Row],[Funcion2]]="Suplente eventual","",INDEX(Escalas!$B$3:$E$3,MATCH(O12,Escalas!$B$1:$E$1,0))*Descuentos!$B$4))</f>
        <v/>
      </c>
      <c r="AC12" s="17" t="str">
        <f>+IF(Empleados[[#This Row],[JORNADA]]="Suplente",Escalas!$H$5*Empleados[[#This Row],[Antiguedad]],"")</f>
        <v/>
      </c>
      <c r="AD12" s="17">
        <f ca="1">+IF(Empleados[[#This Row],[JORNADA]]="Suplente","",Escalas!$H$6*Empleados[[#This Row],[Antiguedad]])</f>
        <v>545389.19999999995</v>
      </c>
      <c r="AE12" s="17" t="str">
        <f>IF(Empleados[[#This Row],[Funcion2]]="ENCARGADO",IF(VLOOKUP(Empleados[[#This Row],[CUIT]],Empleador[],7,FALSE())="SI",Escalas!$H$7,""),"")</f>
        <v/>
      </c>
      <c r="AF12" s="17" t="str">
        <f>+IF(AND(ISNUMBER(SEARCH("Encargado",Empleados[[#This Row],[FUNCION]])),VLOOKUP(Empleados[[#This Row],[CUIT]],Empleador[],8,FALSE())="SI"),Escalas!$H$8,"")</f>
        <v/>
      </c>
      <c r="AG12" s="17" t="str">
        <f>IF(Empleados[[#This Row],[Funcion2]]="ENCARGADO",IF(VLOOKUP(Empleados[[#This Row],[CUIT]],Empleador[],9,FALSE())="SI",Escalas!$H$9,""),"")</f>
        <v/>
      </c>
      <c r="AH12" s="17" t="str">
        <f>+IF(VLOOKUP(Empleados[[#This Row],[CUIT]],Empleador[],10,FALSE())="SI",Escalas!$H$10,"")</f>
        <v/>
      </c>
      <c r="AI12" s="17" t="s">
        <v>84</v>
      </c>
      <c r="AJ12" s="17" t="str">
        <f>+IF(Empleados[[#This Row],[TITULO]]="SI",Escalas!$H$11*Empleados[[#This Row],[AUX Sueldo Basico]],"")</f>
        <v/>
      </c>
      <c r="AK12" s="17" t="str">
        <f>+IF(AND(ISNUMBER(SEARCH("Encargado",Empleados[[#This Row],[FUNCION]])),VLOOKUP(Empleados[[#This Row],[CUIT]],Empleador[],11,FALSE())="SI"),Escalas!$H$12,"")</f>
        <v/>
      </c>
    </row>
    <row r="13" spans="1:38" ht="15" customHeight="1" x14ac:dyDescent="0.25">
      <c r="A13" s="17">
        <v>20176328399</v>
      </c>
      <c r="B13" s="17" t="s">
        <v>114</v>
      </c>
      <c r="C13" s="17">
        <v>2</v>
      </c>
      <c r="D13" s="18">
        <v>24261</v>
      </c>
      <c r="E13" s="72">
        <v>37960</v>
      </c>
      <c r="F13" s="17">
        <v>30630042670</v>
      </c>
      <c r="G13" s="17" t="str">
        <f>+VLOOKUP(Empleados[[#This Row],[CUIT]],Empleador[],2,FALSE())</f>
        <v>CONSORCIO PROPIETARIOS DE LA FINCA CALLE ARENALES 1648 50</v>
      </c>
      <c r="H13" s="17" t="s">
        <v>115</v>
      </c>
      <c r="I13" s="17">
        <v>121101</v>
      </c>
      <c r="J13" s="17" t="s">
        <v>116</v>
      </c>
      <c r="K13" s="17" t="str">
        <f>+IF(ISNUMBER(SEARCH("Suplente eventual",Empleados[[#This Row],[FUNCION]])),"Suplente eventual",IF(ISNUMBER(SEARCH("Suplente",Empleados[[#This Row],[FUNCION]])),"Suplente",IF(ISNUMBER(SEARCH("Vigilancia",Empleados[[#This Row],[FUNCION]])),"Vigilador","Encargado")))</f>
        <v>Encargado</v>
      </c>
      <c r="L13" s="17" t="str">
        <f>+IF(ISNUMBER(SEARCH("Suplente",Empleados[[#This Row],[FUNCION]])),"Suplente",IF(ISNUMBER(SEARCH("NO Permanente",Empleados[[#This Row],[FUNCION]])),"Media",IF(ISNUMBER(SEARCH("Media",Empleados[[#This Row],[FUNCION]])),"Media","Completa")))</f>
        <v>Completa</v>
      </c>
      <c r="M13" s="17" t="str">
        <f>+IF(ISNUMBER(SEARCH("Con vivienda",Empleados[[#This Row],[FUNCION]])),"SI","NO")</f>
        <v>NO</v>
      </c>
      <c r="N13" s="17">
        <f>+IF(Empleados[[#This Row],[JORNADA]]="Completa",1,IF(Empleados[[#This Row],[JORNADA]]="Media",0.5,1/200))*Escalas!$H$14</f>
        <v>100000</v>
      </c>
      <c r="O13" s="17" t="str">
        <f>+VLOOKUP(Empleados[[#This Row],[CUIT]],Empleador[],12,FALSE())</f>
        <v>1° Cat.</v>
      </c>
      <c r="P13" s="19">
        <f>IF(J13="Suplente con horario por dia",
    INDEX(Escalas!$B$2:$E$25,MATCH(J13,Escalas!$A$2:$A$25,0),MATCH(O13,Escalas!$B$1:$E$1,0))/8,
    INDEX(Escalas!$B$2:$E$25,MATCH(J13,Escalas!$A$2:$A$25,0),MATCH(O13,Escalas!$B$1:$E$1,0))
)</f>
        <v>1211978</v>
      </c>
      <c r="Q13" s="17" t="s">
        <v>91</v>
      </c>
      <c r="R13" s="42" t="s">
        <v>117</v>
      </c>
      <c r="T13" s="17">
        <f ca="1">+DATEDIF(Empleados[[#This Row],[FECHA DE INGRESO]],TODAY(),"Y")</f>
        <v>22</v>
      </c>
      <c r="U13" s="17" t="str">
        <f>+IF(OR(ISNUMBER(SEARCH("con vivienda",Empleados[[#This Row],[FUNCION]])),ISNUMBER(SEARCH("suplente",Empleados[[#This Row],[FUNCION]]))),"NO","SI")</f>
        <v>SI</v>
      </c>
      <c r="V13" s="20">
        <f>+IF(Empleados[[#This Row],[Viaticos]]="NO","",Escalas!$H$13)</f>
        <v>70696.899999999994</v>
      </c>
      <c r="W13" s="17" t="s">
        <v>83</v>
      </c>
      <c r="X13" s="17">
        <f>+IF(Empleados[[#This Row],[Retiro de Residuos]]="no","",Escalas!$H$2*VLOOKUP(Empleados[[#This Row],[CUIT]],Empleador[],6,FALSE()))</f>
        <v>59526.400000000001</v>
      </c>
      <c r="Y13" s="17">
        <f>+IF(AND(Empleados[[#This Row],[Retiro de Residuos]]="SI",VLOOKUP(Empleados[[#This Row],[CUIT]],Empleador[],6,FALSE())&lt;=25),Escalas!$H$3,IF(AND(Empleados[[#This Row],[Retiro de Residuos]]="SI",VLOOKUP(Empleados[[#This Row],[CUIT]],Empleador[],6,FALSE())&gt;25),Escalas!$H$3+Escalas!$H$3/3/25*((VLOOKUP(Empleados[[#This Row],[CUIT]],Empleador[],6,FALSE())-25)),""))</f>
        <v>35029.525333333331</v>
      </c>
      <c r="Z13" s="17" t="str">
        <f>+IF(Empleados[[#This Row],[Vivienda]]="SI",Escalas!$H$4,"")</f>
        <v/>
      </c>
      <c r="AA13" s="17" t="str">
        <f>+IF(Empleados[[#This Row],[Vivienda]]="SI",Escalas!$H$4,"")</f>
        <v/>
      </c>
      <c r="AB13" s="17" t="str">
        <f>IF(Empleados[[#This Row],[JORNADA]]="Completa","",IF(Empleados[[#This Row],[Funcion2]]="Suplente eventual","",INDEX(Escalas!$B$3:$E$3,MATCH(O13,Escalas!$B$1:$E$1,0))*Descuentos!$B$4))</f>
        <v/>
      </c>
      <c r="AC13" s="17" t="str">
        <f>+IF(Empleados[[#This Row],[JORNADA]]="Suplente",Escalas!$H$5*Empleados[[#This Row],[Antiguedad]],"")</f>
        <v/>
      </c>
      <c r="AD13" s="17">
        <f ca="1">+IF(Empleados[[#This Row],[JORNADA]]="Suplente","",Escalas!$H$6*Empleados[[#This Row],[Antiguedad]])</f>
        <v>444391.19999999995</v>
      </c>
      <c r="AE13" s="20">
        <f>IF(Empleados[[#This Row],[Funcion2]]="ENCARGADO",IF(VLOOKUP(Empleados[[#This Row],[CUIT]],Empleador[],7,FALSE())="SI",Escalas!$H$7,""),"")</f>
        <v>25384.799999999999</v>
      </c>
      <c r="AF13" s="20">
        <f>+IF(AND(ISNUMBER(SEARCH("Encargado",Empleados[[#This Row],[FUNCION]])),VLOOKUP(Empleados[[#This Row],[CUIT]],Empleador[],8,FALSE())="SI"),Escalas!$H$8,"")</f>
        <v>37584.800000000003</v>
      </c>
      <c r="AG13" s="17" t="str">
        <f>IF(Empleados[[#This Row],[Funcion2]]="ENCARGADO",IF(VLOOKUP(Empleados[[#This Row],[CUIT]],Empleador[],9,FALSE())="SI",Escalas!$H$9,""),"")</f>
        <v/>
      </c>
      <c r="AH13" s="17" t="str">
        <f>+IF(VLOOKUP(Empleados[[#This Row],[CUIT]],Empleador[],10,FALSE())="SI",Escalas!$H$10,"")</f>
        <v/>
      </c>
      <c r="AI13" s="17" t="s">
        <v>84</v>
      </c>
      <c r="AJ13" s="17" t="str">
        <f>+IF(Empleados[[#This Row],[TITULO]]="SI",Escalas!$H$11*Empleados[[#This Row],[AUX Sueldo Basico]],"")</f>
        <v/>
      </c>
      <c r="AK13" s="17" t="str">
        <f>+IF(AND(ISNUMBER(SEARCH("Encargado",Empleados[[#This Row],[FUNCION]])),VLOOKUP(Empleados[[#This Row],[CUIT]],Empleador[],11,FALSE())="SI"),Escalas!$H$12,"")</f>
        <v/>
      </c>
    </row>
    <row r="14" spans="1:38" ht="15" customHeight="1" x14ac:dyDescent="0.25">
      <c r="A14" s="17">
        <v>20947260481</v>
      </c>
      <c r="B14" s="17" t="s">
        <v>118</v>
      </c>
      <c r="C14" s="17">
        <v>9</v>
      </c>
      <c r="D14" s="18">
        <v>31694</v>
      </c>
      <c r="E14" s="72">
        <v>39272</v>
      </c>
      <c r="F14" s="17">
        <v>30630042670</v>
      </c>
      <c r="G14" s="17" t="str">
        <f>+VLOOKUP(Empleados[[#This Row],[CUIT]],Empleador[],2,FALSE())</f>
        <v>CONSORCIO PROPIETARIOS DE LA FINCA CALLE ARENALES 1648 50</v>
      </c>
      <c r="H14" s="17" t="s">
        <v>79</v>
      </c>
      <c r="I14" s="17">
        <v>106500</v>
      </c>
      <c r="J14" s="17" t="s">
        <v>119</v>
      </c>
      <c r="K14" s="17" t="str">
        <f>+IF(ISNUMBER(SEARCH("Suplente eventual",Empleados[[#This Row],[FUNCION]])),"Suplente eventual",IF(ISNUMBER(SEARCH("Suplente",Empleados[[#This Row],[FUNCION]])),"Suplente",IF(ISNUMBER(SEARCH("Vigilancia",Empleados[[#This Row],[FUNCION]])),"Vigilador","Encargado")))</f>
        <v>Vigilador</v>
      </c>
      <c r="L14" s="17" t="str">
        <f>+IF(ISNUMBER(SEARCH("Suplente",Empleados[[#This Row],[FUNCION]])),"Suplente",IF(ISNUMBER(SEARCH("NO Permanente",Empleados[[#This Row],[FUNCION]])),"Media",IF(ISNUMBER(SEARCH("Media",Empleados[[#This Row],[FUNCION]])),"Media","Completa")))</f>
        <v>Completa</v>
      </c>
      <c r="M14" s="17" t="str">
        <f>+IF(ISNUMBER(SEARCH("Con vivienda",Empleados[[#This Row],[FUNCION]])),"SI","NO")</f>
        <v>NO</v>
      </c>
      <c r="N14" s="17">
        <f>+IF(Empleados[[#This Row],[JORNADA]]="Completa",1,IF(Empleados[[#This Row],[JORNADA]]="Media",0.5,1/200))*Escalas!$H$14</f>
        <v>100000</v>
      </c>
      <c r="O14" s="17" t="str">
        <f>+VLOOKUP(Empleados[[#This Row],[CUIT]],Empleador[],12,FALSE())</f>
        <v>1° Cat.</v>
      </c>
      <c r="P14" s="19">
        <f>IF(J14="Suplente con horario por dia",
    INDEX(Escalas!$B$2:$E$25,MATCH(J14,Escalas!$A$2:$A$25,0),MATCH(O14,Escalas!$B$1:$E$1,0))/8,
    INDEX(Escalas!$B$2:$E$25,MATCH(J14,Escalas!$A$2:$A$25,0),MATCH(O14,Escalas!$B$1:$E$1,0))
)</f>
        <v>1085873</v>
      </c>
      <c r="Q14" s="17" t="s">
        <v>91</v>
      </c>
      <c r="R14" s="42" t="s">
        <v>120</v>
      </c>
      <c r="T14" s="17">
        <f ca="1">+DATEDIF(Empleados[[#This Row],[FECHA DE INGRESO]],TODAY(),"Y")</f>
        <v>18</v>
      </c>
      <c r="U14" s="17" t="str">
        <f>+IF(OR(ISNUMBER(SEARCH("con vivienda",Empleados[[#This Row],[FUNCION]])),ISNUMBER(SEARCH("suplente",Empleados[[#This Row],[FUNCION]]))),"NO","SI")</f>
        <v>SI</v>
      </c>
      <c r="V14" s="20">
        <f>+IF(Empleados[[#This Row],[Viaticos]]="NO","",Escalas!$H$13)</f>
        <v>70696.899999999994</v>
      </c>
      <c r="W14" s="17" t="s">
        <v>84</v>
      </c>
      <c r="X14" s="17" t="str">
        <f>+IF(Empleados[[#This Row],[Retiro de Residuos]]="no","",Escalas!$H$2*VLOOKUP(Empleados[[#This Row],[CUIT]],Empleador[],6,FALSE()))</f>
        <v/>
      </c>
      <c r="Y14" s="17" t="str">
        <f>+IF(AND(Empleados[[#This Row],[Retiro de Residuos]]="SI",VLOOKUP(Empleados[[#This Row],[CUIT]],Empleador[],6,FALSE())&lt;=25),Escalas!$H$3,IF(AND(Empleados[[#This Row],[Retiro de Residuos]]="SI",VLOOKUP(Empleados[[#This Row],[CUIT]],Empleador[],6,FALSE())&gt;25),Escalas!$H$3+Escalas!$H$3/3/25*((VLOOKUP(Empleados[[#This Row],[CUIT]],Empleador[],6,FALSE())-25)),""))</f>
        <v/>
      </c>
      <c r="Z14" s="17" t="str">
        <f>+IF(Empleados[[#This Row],[Vivienda]]="SI",Escalas!$H$4,"")</f>
        <v/>
      </c>
      <c r="AA14" s="17" t="str">
        <f>+IF(Empleados[[#This Row],[Vivienda]]="SI",Escalas!$H$4,"")</f>
        <v/>
      </c>
      <c r="AB14" s="17" t="str">
        <f>IF(Empleados[[#This Row],[JORNADA]]="Completa","",IF(Empleados[[#This Row],[Funcion2]]="Suplente eventual","",INDEX(Escalas!$B$3:$E$3,MATCH(O14,Escalas!$B$1:$E$1,0))*Descuentos!$B$4))</f>
        <v/>
      </c>
      <c r="AC14" s="17" t="str">
        <f>+IF(Empleados[[#This Row],[JORNADA]]="Suplente",Escalas!$H$5*Empleados[[#This Row],[Antiguedad]],"")</f>
        <v/>
      </c>
      <c r="AD14" s="17">
        <f ca="1">+IF(Empleados[[#This Row],[JORNADA]]="Suplente","",Escalas!$H$6*Empleados[[#This Row],[Antiguedad]])</f>
        <v>363592.8</v>
      </c>
      <c r="AE14" s="17" t="str">
        <f>IF(Empleados[[#This Row],[Funcion2]]="ENCARGADO",IF(VLOOKUP(Empleados[[#This Row],[CUIT]],Empleador[],7,FALSE())="SI",Escalas!$H$7,""),"")</f>
        <v/>
      </c>
      <c r="AF14" s="17" t="str">
        <f>+IF(AND(ISNUMBER(SEARCH("Encargado",Empleados[[#This Row],[FUNCION]])),VLOOKUP(Empleados[[#This Row],[CUIT]],Empleador[],8,FALSE())="SI"),Escalas!$H$8,"")</f>
        <v/>
      </c>
      <c r="AG14" s="17" t="str">
        <f>IF(Empleados[[#This Row],[Funcion2]]="ENCARGADO",IF(VLOOKUP(Empleados[[#This Row],[CUIT]],Empleador[],9,FALSE())="SI",Escalas!$H$9,""),"")</f>
        <v/>
      </c>
      <c r="AH14" s="17" t="str">
        <f>+IF(VLOOKUP(Empleados[[#This Row],[CUIT]],Empleador[],10,FALSE())="SI",Escalas!$H$10,"")</f>
        <v/>
      </c>
      <c r="AI14" s="17" t="s">
        <v>84</v>
      </c>
      <c r="AJ14" s="17" t="str">
        <f>+IF(Empleados[[#This Row],[TITULO]]="SI",Escalas!$H$11*Empleados[[#This Row],[AUX Sueldo Basico]],"")</f>
        <v/>
      </c>
      <c r="AK14" s="17" t="str">
        <f>+IF(AND(ISNUMBER(SEARCH("Encargado",Empleados[[#This Row],[FUNCION]])),VLOOKUP(Empleados[[#This Row],[CUIT]],Empleador[],11,FALSE())="SI"),Escalas!$H$12,"")</f>
        <v/>
      </c>
      <c r="AL14" s="17">
        <f>46963.5*1.04</f>
        <v>48842.04</v>
      </c>
    </row>
    <row r="15" spans="1:38" ht="15" customHeight="1" x14ac:dyDescent="0.25">
      <c r="A15" s="17">
        <v>23250288794</v>
      </c>
      <c r="B15" s="17" t="s">
        <v>121</v>
      </c>
      <c r="C15" s="17">
        <v>18</v>
      </c>
      <c r="D15" s="18">
        <v>27687</v>
      </c>
      <c r="E15" s="72">
        <v>45839</v>
      </c>
      <c r="F15" s="17">
        <v>30630042670</v>
      </c>
      <c r="G15" s="17" t="str">
        <f>+VLOOKUP(Empleados[[#This Row],[CUIT]],Empleador[],2,FALSE())</f>
        <v>CONSORCIO PROPIETARIOS DE LA FINCA CALLE ARENALES 1648 50</v>
      </c>
      <c r="H15" s="17" t="s">
        <v>122</v>
      </c>
      <c r="I15" s="17">
        <v>126908</v>
      </c>
      <c r="J15" s="17" t="s">
        <v>123</v>
      </c>
      <c r="K15" s="17" t="str">
        <f>+IF(ISNUMBER(SEARCH("Suplente eventual",Empleados[[#This Row],[FUNCION]])),"Suplente eventual",IF(ISNUMBER(SEARCH("Suplente",Empleados[[#This Row],[FUNCION]])),"Suplente",IF(ISNUMBER(SEARCH("Vigilancia",Empleados[[#This Row],[FUNCION]])),"Vigilador","Encargado")))</f>
        <v>Suplente eventual</v>
      </c>
      <c r="L15" s="17" t="str">
        <f>+IF(ISNUMBER(SEARCH("Suplente",Empleados[[#This Row],[FUNCION]])),"Suplente",IF(ISNUMBER(SEARCH("NO Permanente",Empleados[[#This Row],[FUNCION]])),"Media",IF(ISNUMBER(SEARCH("Media",Empleados[[#This Row],[FUNCION]])),"Media","Completa")))</f>
        <v>Suplente</v>
      </c>
      <c r="M15" s="17" t="str">
        <f>+IF(ISNUMBER(SEARCH("Con vivienda",Empleados[[#This Row],[FUNCION]])),"SI","NO")</f>
        <v>NO</v>
      </c>
      <c r="N15" s="17">
        <f>+IF(Empleados[[#This Row],[JORNADA]]="Completa",1,IF(Empleados[[#This Row],[JORNADA]]="Media",0.5,1/200))*Escalas!$H$14</f>
        <v>500</v>
      </c>
      <c r="O15" s="17" t="str">
        <f>+VLOOKUP(Empleados[[#This Row],[CUIT]],Empleador[],12,FALSE())</f>
        <v>1° Cat.</v>
      </c>
      <c r="P15" s="19">
        <f>IF(J15="Suplente con horario por dia",
    INDEX(Escalas!$B$2:$E$25,MATCH(J15,Escalas!$A$2:$A$25,0),MATCH(O15,Escalas!$B$1:$E$1,0))/8,
    INDEX(Escalas!$B$2:$E$25,MATCH(J15,Escalas!$A$2:$A$25,0),MATCH(O15,Escalas!$B$1:$E$1,0))
)</f>
        <v>45395.199999999997</v>
      </c>
      <c r="Q15" s="17" t="s">
        <v>91</v>
      </c>
      <c r="R15" s="42" t="s">
        <v>124</v>
      </c>
      <c r="T15" s="17">
        <f ca="1">+DATEDIF(Empleados[[#This Row],[FECHA DE INGRESO]],TODAY(),"Y")</f>
        <v>0</v>
      </c>
      <c r="U15" s="17" t="str">
        <f>+IF(OR(ISNUMBER(SEARCH("con vivienda",Empleados[[#This Row],[FUNCION]])),ISNUMBER(SEARCH("suplente",Empleados[[#This Row],[FUNCION]]))),"NO","SI")</f>
        <v>NO</v>
      </c>
      <c r="V15" s="17" t="str">
        <f>+IF(Empleados[[#This Row],[Viaticos]]="NO","",Escalas!$H$13)</f>
        <v/>
      </c>
      <c r="W15" s="17" t="s">
        <v>84</v>
      </c>
      <c r="X15" s="17" t="str">
        <f>+IF(Empleados[[#This Row],[Retiro de Residuos]]="no","",Escalas!$H$2*VLOOKUP(Empleados[[#This Row],[CUIT]],Empleador[],6,FALSE()))</f>
        <v/>
      </c>
      <c r="Y15" s="17" t="str">
        <f>+IF(AND(Empleados[[#This Row],[Retiro de Residuos]]="SI",VLOOKUP(Empleados[[#This Row],[CUIT]],Empleador[],6,FALSE())&lt;=25),Escalas!$H$3,IF(AND(Empleados[[#This Row],[Retiro de Residuos]]="SI",VLOOKUP(Empleados[[#This Row],[CUIT]],Empleador[],6,FALSE())&gt;25),Escalas!$H$3+Escalas!$H$3/3/25*((VLOOKUP(Empleados[[#This Row],[CUIT]],Empleador[],6,FALSE())-25)),""))</f>
        <v/>
      </c>
      <c r="Z15" s="17" t="str">
        <f>+IF(Empleados[[#This Row],[Vivienda]]="SI",Escalas!$H$4,"")</f>
        <v/>
      </c>
      <c r="AA15" s="17" t="str">
        <f>+IF(Empleados[[#This Row],[Vivienda]]="SI",Escalas!$H$4,"")</f>
        <v/>
      </c>
      <c r="AB15" s="17" t="str">
        <f>IF(Empleados[[#This Row],[JORNADA]]="Completa","",IF(Empleados[[#This Row],[Funcion2]]="Suplente eventual","",INDEX(Escalas!$B$3:$E$3,MATCH(O15,Escalas!$B$1:$E$1,0))*Descuentos!$B$4))</f>
        <v/>
      </c>
      <c r="AC15" s="17">
        <f ca="1">+IF(Empleados[[#This Row],[JORNADA]]="Suplente",Escalas!$H$5*Empleados[[#This Row],[Antiguedad]],"")</f>
        <v>0</v>
      </c>
      <c r="AD15" s="17" t="str">
        <f>+IF(Empleados[[#This Row],[JORNADA]]="Suplente","",Escalas!$H$6*Empleados[[#This Row],[Antiguedad]])</f>
        <v/>
      </c>
      <c r="AE15" s="17" t="str">
        <f>IF(Empleados[[#This Row],[Funcion2]]="ENCARGADO",IF(VLOOKUP(Empleados[[#This Row],[CUIT]],Empleador[],7,FALSE())="SI",Escalas!$H$7,""),"")</f>
        <v/>
      </c>
      <c r="AF15" s="17" t="str">
        <f>+IF(AND(ISNUMBER(SEARCH("Encargado",Empleados[[#This Row],[FUNCION]])),VLOOKUP(Empleados[[#This Row],[CUIT]],Empleador[],8,FALSE())="SI"),Escalas!$H$8,"")</f>
        <v/>
      </c>
      <c r="AG15" s="17" t="str">
        <f>IF(Empleados[[#This Row],[Funcion2]]="ENCARGADO",IF(VLOOKUP(Empleados[[#This Row],[CUIT]],Empleador[],9,FALSE())="SI",Escalas!$H$9,""),"")</f>
        <v/>
      </c>
      <c r="AH15" s="17" t="str">
        <f>+IF(VLOOKUP(Empleados[[#This Row],[CUIT]],Empleador[],10,FALSE())="SI",Escalas!$H$10,"")</f>
        <v/>
      </c>
      <c r="AI15" s="17" t="s">
        <v>84</v>
      </c>
      <c r="AJ15" s="17" t="str">
        <f>+IF(Empleados[[#This Row],[TITULO]]="SI",Escalas!$H$11*Empleados[[#This Row],[AUX Sueldo Basico]],"")</f>
        <v/>
      </c>
      <c r="AK15" s="17" t="str">
        <f>+IF(AND(ISNUMBER(SEARCH("Encargado",Empleados[[#This Row],[FUNCION]])),VLOOKUP(Empleados[[#This Row],[CUIT]],Empleador[],11,FALSE())="SI"),Escalas!$H$12,"")</f>
        <v/>
      </c>
    </row>
    <row r="16" spans="1:38" ht="15" customHeight="1" x14ac:dyDescent="0.25">
      <c r="A16" s="17">
        <v>20942335351</v>
      </c>
      <c r="B16" s="17" t="s">
        <v>125</v>
      </c>
      <c r="C16" s="17">
        <v>1</v>
      </c>
      <c r="D16" s="18">
        <v>28835</v>
      </c>
      <c r="E16" s="72">
        <v>40179</v>
      </c>
      <c r="F16" s="17">
        <v>30711283338</v>
      </c>
      <c r="G16" s="17" t="str">
        <f>+VLOOKUP(Empleados[[#This Row],[CUIT]],Empleador[],2,FALSE())</f>
        <v>CONSORCIO DE PROPIETARIOS SALTA 555 59</v>
      </c>
      <c r="H16" s="17" t="s">
        <v>79</v>
      </c>
      <c r="I16" s="17">
        <v>106500</v>
      </c>
      <c r="J16" s="17" t="s">
        <v>116</v>
      </c>
      <c r="K16" s="17" t="str">
        <f>+IF(ISNUMBER(SEARCH("Suplente eventual",Empleados[[#This Row],[FUNCION]])),"Suplente eventual",IF(ISNUMBER(SEARCH("Suplente",Empleados[[#This Row],[FUNCION]])),"Suplente",IF(ISNUMBER(SEARCH("Vigilancia",Empleados[[#This Row],[FUNCION]])),"Vigilador","Encargado")))</f>
        <v>Encargado</v>
      </c>
      <c r="L16" s="17" t="str">
        <f>+IF(ISNUMBER(SEARCH("Suplente",Empleados[[#This Row],[FUNCION]])),"Suplente",IF(ISNUMBER(SEARCH("NO Permanente",Empleados[[#This Row],[FUNCION]])),"Media",IF(ISNUMBER(SEARCH("Media",Empleados[[#This Row],[FUNCION]])),"Media","Completa")))</f>
        <v>Completa</v>
      </c>
      <c r="M16" s="17" t="str">
        <f>+IF(ISNUMBER(SEARCH("Con vivienda",Empleados[[#This Row],[FUNCION]])),"SI","NO")</f>
        <v>NO</v>
      </c>
      <c r="N16" s="17">
        <f>+IF(Empleados[[#This Row],[JORNADA]]="Completa",1,IF(Empleados[[#This Row],[JORNADA]]="Media",0.5,1/200))*Escalas!$H$14</f>
        <v>100000</v>
      </c>
      <c r="O16" s="17" t="str">
        <f>+VLOOKUP(Empleados[[#This Row],[CUIT]],Empleador[],12,FALSE())</f>
        <v>3° Cat.</v>
      </c>
      <c r="P16" s="19">
        <f>IF(J16="Suplente con horario por dia",
    INDEX(Escalas!$B$2:$E$25,MATCH(J16,Escalas!$A$2:$A$25,0),MATCH(O16,Escalas!$B$1:$E$1,0))/8,
    INDEX(Escalas!$B$2:$E$25,MATCH(J16,Escalas!$A$2:$A$25,0),MATCH(O16,Escalas!$B$1:$E$1,0))
)</f>
        <v>1110980</v>
      </c>
      <c r="Q16" s="17" t="s">
        <v>126</v>
      </c>
      <c r="R16" s="42" t="s">
        <v>127</v>
      </c>
      <c r="T16" s="17">
        <f ca="1">+DATEDIF(Empleados[[#This Row],[FECHA DE INGRESO]],TODAY(),"Y")</f>
        <v>16</v>
      </c>
      <c r="U16" s="17" t="str">
        <f>+IF(OR(ISNUMBER(SEARCH("con vivienda",Empleados[[#This Row],[FUNCION]])),ISNUMBER(SEARCH("suplente",Empleados[[#This Row],[FUNCION]]))),"NO","SI")</f>
        <v>SI</v>
      </c>
      <c r="V16" s="20">
        <f>+IF(Empleados[[#This Row],[Viaticos]]="NO","",Escalas!$H$13)</f>
        <v>70696.899999999994</v>
      </c>
      <c r="W16" s="17" t="s">
        <v>83</v>
      </c>
      <c r="X16" s="17">
        <f>+IF(Empleados[[#This Row],[Retiro de Residuos]]="no","",Escalas!$H$2*VLOOKUP(Empleados[[#This Row],[CUIT]],Empleador[],6,FALSE()))</f>
        <v>50225.4</v>
      </c>
      <c r="Y16" s="17">
        <f>+IF(AND(Empleados[[#This Row],[Retiro de Residuos]]="SI",VLOOKUP(Empleados[[#This Row],[CUIT]],Empleador[],6,FALSE())&lt;=25),Escalas!$H$3,IF(AND(Empleados[[#This Row],[Retiro de Residuos]]="SI",VLOOKUP(Empleados[[#This Row],[CUIT]],Empleador[],6,FALSE())&gt;25),Escalas!$H$3+Escalas!$H$3/3/25*((VLOOKUP(Empleados[[#This Row],[CUIT]],Empleador[],6,FALSE())-25)),""))</f>
        <v>32893.578666666668</v>
      </c>
      <c r="Z16" s="17" t="str">
        <f>+IF(Empleados[[#This Row],[Vivienda]]="SI",Escalas!$H$4,"")</f>
        <v/>
      </c>
      <c r="AA16" s="17" t="str">
        <f>+IF(Empleados[[#This Row],[Vivienda]]="SI",Escalas!$H$4,"")</f>
        <v/>
      </c>
      <c r="AB16" s="17" t="str">
        <f>IF(Empleados[[#This Row],[JORNADA]]="Completa","",IF(Empleados[[#This Row],[Funcion2]]="Suplente eventual","",INDEX(Escalas!$B$3:$E$3,MATCH(O16,Escalas!$B$1:$E$1,0))*Descuentos!$B$4))</f>
        <v/>
      </c>
      <c r="AC16" s="17" t="str">
        <f>+IF(Empleados[[#This Row],[JORNADA]]="Suplente",Escalas!$H$5*Empleados[[#This Row],[Antiguedad]],"")</f>
        <v/>
      </c>
      <c r="AD16" s="17">
        <f ca="1">+IF(Empleados[[#This Row],[JORNADA]]="Suplente","",Escalas!$H$6*Empleados[[#This Row],[Antiguedad]])</f>
        <v>323193.59999999998</v>
      </c>
      <c r="AE16" s="17" t="str">
        <f>IF(Empleados[[#This Row],[Funcion2]]="ENCARGADO",IF(VLOOKUP(Empleados[[#This Row],[CUIT]],Empleador[],7,FALSE())="SI",Escalas!$H$7,""),"")</f>
        <v/>
      </c>
      <c r="AF16" s="17" t="str">
        <f>+IF(AND(ISNUMBER(SEARCH("Encargado",Empleados[[#This Row],[FUNCION]])),VLOOKUP(Empleados[[#This Row],[CUIT]],Empleador[],8,FALSE())="SI"),Escalas!$H$8,"")</f>
        <v/>
      </c>
      <c r="AG16" s="17" t="str">
        <f>IF(Empleados[[#This Row],[Funcion2]]="ENCARGADO",IF(VLOOKUP(Empleados[[#This Row],[CUIT]],Empleador[],9,FALSE())="SI",Escalas!$H$9,""),"")</f>
        <v/>
      </c>
      <c r="AH16" s="17" t="str">
        <f>+IF(VLOOKUP(Empleados[[#This Row],[CUIT]],Empleador[],10,FALSE())="SI",Escalas!$H$10,"")</f>
        <v/>
      </c>
      <c r="AI16" s="17" t="s">
        <v>84</v>
      </c>
      <c r="AJ16" s="17" t="str">
        <f>+IF(Empleados[[#This Row],[TITULO]]="SI",Escalas!$H$11*Empleados[[#This Row],[AUX Sueldo Basico]],"")</f>
        <v/>
      </c>
      <c r="AK16" s="17" t="str">
        <f>+IF(AND(ISNUMBER(SEARCH("Encargado",Empleados[[#This Row],[FUNCION]])),VLOOKUP(Empleados[[#This Row],[CUIT]],Empleador[],11,FALSE())="SI"),Escalas!$H$12,"")</f>
        <v/>
      </c>
    </row>
    <row r="17" spans="1:37" ht="15" customHeight="1" x14ac:dyDescent="0.25">
      <c r="A17" s="17">
        <v>24269272801</v>
      </c>
      <c r="B17" s="17" t="s">
        <v>327</v>
      </c>
      <c r="C17" s="17">
        <v>5</v>
      </c>
      <c r="D17" s="18">
        <v>28830</v>
      </c>
      <c r="E17" s="72">
        <v>46146</v>
      </c>
      <c r="F17" s="17">
        <v>30711283338</v>
      </c>
      <c r="G17" s="17" t="str">
        <f>+VLOOKUP(Empleados[[#This Row],[CUIT]],Empleador[],2,FALSE())</f>
        <v>CONSORCIO DE PROPIETARIOS SALTA 555 59</v>
      </c>
      <c r="H17" s="17" t="s">
        <v>328</v>
      </c>
      <c r="I17" s="17">
        <v>125707</v>
      </c>
      <c r="J17" s="17" t="s">
        <v>123</v>
      </c>
      <c r="K17" s="17" t="str">
        <f>+IF(ISNUMBER(SEARCH("Suplente eventual",Empleados[[#This Row],[FUNCION]])),"Suplente eventual",IF(ISNUMBER(SEARCH("Suplente",Empleados[[#This Row],[FUNCION]])),"Suplente",IF(ISNUMBER(SEARCH("Vigilancia",Empleados[[#This Row],[FUNCION]])),"Vigilador","Encargado")))</f>
        <v>Suplente eventual</v>
      </c>
      <c r="L17" s="17" t="str">
        <f>+IF(ISNUMBER(SEARCH("Suplente",Empleados[[#This Row],[FUNCION]])),"Suplente",IF(ISNUMBER(SEARCH("NO Permanente",Empleados[[#This Row],[FUNCION]])),"Media",IF(ISNUMBER(SEARCH("Media",Empleados[[#This Row],[FUNCION]])),"Media","Completa")))</f>
        <v>Suplente</v>
      </c>
      <c r="M17" s="17" t="str">
        <f>+IF(ISNUMBER(SEARCH("Con vivienda",Empleados[[#This Row],[FUNCION]])),"SI","NO")</f>
        <v>NO</v>
      </c>
      <c r="N17" s="17">
        <f>+IF(Empleados[[#This Row],[JORNADA]]="Completa",1,IF(Empleados[[#This Row],[JORNADA]]="Media",0.5,1/200))*Escalas!$H$14</f>
        <v>500</v>
      </c>
      <c r="O17" s="17" t="str">
        <f>+VLOOKUP(Empleados[[#This Row],[CUIT]],Empleador[],12,FALSE())</f>
        <v>3° Cat.</v>
      </c>
      <c r="P17" s="19">
        <f>IF(J17="Suplente con horario por dia",
    INDEX(Escalas!$B$2:$E$25,MATCH(J17,Escalas!$A$2:$A$25,0),MATCH(O17,Escalas!$B$1:$E$1,0))/8,
    INDEX(Escalas!$B$2:$E$25,MATCH(J17,Escalas!$A$2:$A$25,0),MATCH(O17,Escalas!$B$1:$E$1,0))
)</f>
        <v>45395.199999999997</v>
      </c>
      <c r="Q17" s="17" t="s">
        <v>91</v>
      </c>
      <c r="R17" s="42" t="s">
        <v>329</v>
      </c>
      <c r="V17" s="20"/>
      <c r="W17" s="17" t="s">
        <v>84</v>
      </c>
      <c r="AD17" s="17" t="str">
        <f>+IF(Empleados[[#This Row],[JORNADA]]="Suplente","",Escalas!$H$6*Empleados[[#This Row],[Antiguedad]])</f>
        <v/>
      </c>
      <c r="AI17" s="17" t="s">
        <v>84</v>
      </c>
    </row>
    <row r="18" spans="1:37" ht="15" customHeight="1" x14ac:dyDescent="0.25">
      <c r="A18" s="17">
        <v>20942347643</v>
      </c>
      <c r="B18" s="17" t="s">
        <v>128</v>
      </c>
      <c r="C18" s="17">
        <v>1</v>
      </c>
      <c r="D18" s="18">
        <v>30018</v>
      </c>
      <c r="E18" s="72">
        <v>40497</v>
      </c>
      <c r="F18" s="17">
        <v>30711553165</v>
      </c>
      <c r="G18" s="17" t="str">
        <f>+VLOOKUP(Empleados[[#This Row],[CUIT]],Empleador[],2,FALSE())</f>
        <v>CONSORCIO DE PROPIETARIOS AZCUENAGA 1570 IQ-RECOLETA</v>
      </c>
      <c r="H18" s="17" t="s">
        <v>79</v>
      </c>
      <c r="I18" s="17">
        <v>106500</v>
      </c>
      <c r="J18" s="17" t="s">
        <v>80</v>
      </c>
      <c r="K18" s="17" t="str">
        <f>+IF(ISNUMBER(SEARCH("Suplente eventual",Empleados[[#This Row],[FUNCION]])),"Suplente eventual",IF(ISNUMBER(SEARCH("Suplente",Empleados[[#This Row],[FUNCION]])),"Suplente",IF(ISNUMBER(SEARCH("Vigilancia",Empleados[[#This Row],[FUNCION]])),"Vigilador","Encargado")))</f>
        <v>Encargado</v>
      </c>
      <c r="L18" s="17" t="str">
        <f>+IF(ISNUMBER(SEARCH("Suplente",Empleados[[#This Row],[FUNCION]])),"Suplente",IF(ISNUMBER(SEARCH("NO Permanente",Empleados[[#This Row],[FUNCION]])),"Media",IF(ISNUMBER(SEARCH("Media",Empleados[[#This Row],[FUNCION]])),"Media","Completa")))</f>
        <v>Completa</v>
      </c>
      <c r="M18" s="17" t="str">
        <f>+IF(ISNUMBER(SEARCH("Con vivienda",Empleados[[#This Row],[FUNCION]])),"SI","NO")</f>
        <v>SI</v>
      </c>
      <c r="N18" s="17">
        <f>+IF(Empleados[[#This Row],[JORNADA]]="Completa",1,IF(Empleados[[#This Row],[JORNADA]]="Media",0.5,1/200))*Escalas!$H$14</f>
        <v>100000</v>
      </c>
      <c r="O18" s="17" t="str">
        <f>+VLOOKUP(Empleados[[#This Row],[CUIT]],Empleador[],12,FALSE())</f>
        <v>1° Cat.</v>
      </c>
      <c r="P18" s="19">
        <f>IF(J18="Suplente con horario por dia",
    INDEX(Escalas!$B$2:$E$25,MATCH(J18,Escalas!$A$2:$A$25,0),MATCH(O18,Escalas!$B$1:$E$1,0))/8,
    INDEX(Escalas!$B$2:$E$25,MATCH(J18,Escalas!$A$2:$A$25,0),MATCH(O18,Escalas!$B$1:$E$1,0))
)</f>
        <v>1044417</v>
      </c>
      <c r="Q18" s="17" t="s">
        <v>81</v>
      </c>
      <c r="R18" s="42" t="s">
        <v>129</v>
      </c>
      <c r="T18" s="17">
        <f ca="1">+DATEDIF(Empleados[[#This Row],[FECHA DE INGRESO]],TODAY(),"Y")</f>
        <v>15</v>
      </c>
      <c r="U18" s="17" t="str">
        <f>+IF(OR(ISNUMBER(SEARCH("con vivienda",Empleados[[#This Row],[FUNCION]])),ISNUMBER(SEARCH("suplente",Empleados[[#This Row],[FUNCION]]))),"NO","SI")</f>
        <v>NO</v>
      </c>
      <c r="V18" s="17" t="str">
        <f>+IF(Empleados[[#This Row],[Viaticos]]="NO","",Escalas!$H$13)</f>
        <v/>
      </c>
      <c r="W18" s="17" t="s">
        <v>83</v>
      </c>
      <c r="X18" s="17">
        <f>+IF(Empleados[[#This Row],[Retiro de Residuos]]="no","",Escalas!$H$2*VLOOKUP(Empleados[[#This Row],[CUIT]],Empleador[],6,FALSE()))</f>
        <v>55806</v>
      </c>
      <c r="Y18" s="17">
        <f>+IF(AND(Empleados[[#This Row],[Retiro de Residuos]]="SI",VLOOKUP(Empleados[[#This Row],[CUIT]],Empleador[],6,FALSE())&lt;=25),Escalas!$H$3,IF(AND(Empleados[[#This Row],[Retiro de Residuos]]="SI",VLOOKUP(Empleados[[#This Row],[CUIT]],Empleador[],6,FALSE())&gt;25),Escalas!$H$3+Escalas!$H$3/3/25*((VLOOKUP(Empleados[[#This Row],[CUIT]],Empleador[],6,FALSE())-25)),""))</f>
        <v>34175.146666666667</v>
      </c>
      <c r="Z18" s="20">
        <f>+IF(Empleados[[#This Row],[Vivienda]]="SI",Escalas!$H$4,"")</f>
        <v>6833.8</v>
      </c>
      <c r="AA18" s="20">
        <f>+IF(Empleados[[#This Row],[Vivienda]]="SI",Escalas!$H$4,"")</f>
        <v>6833.8</v>
      </c>
      <c r="AB18" s="17" t="str">
        <f>IF(Empleados[[#This Row],[JORNADA]]="Completa","",IF(Empleados[[#This Row],[Funcion2]]="Suplente eventual","",INDEX(Escalas!$B$3:$E$3,MATCH(O18,Escalas!$B$1:$E$1,0))*Descuentos!$B$4))</f>
        <v/>
      </c>
      <c r="AC18" s="17" t="str">
        <f>+IF(Empleados[[#This Row],[JORNADA]]="Suplente",Escalas!$H$5*Empleados[[#This Row],[Antiguedad]],"")</f>
        <v/>
      </c>
      <c r="AD18" s="17">
        <f ca="1">+IF(Empleados[[#This Row],[JORNADA]]="Suplente","",Escalas!$H$6*Empleados[[#This Row],[Antiguedad]])</f>
        <v>302994</v>
      </c>
      <c r="AE18" s="20">
        <f>IF(Empleados[[#This Row],[Funcion2]]="ENCARGADO",IF(VLOOKUP(Empleados[[#This Row],[CUIT]],Empleador[],7,FALSE())="SI",Escalas!$H$7,""),"")</f>
        <v>25384.799999999999</v>
      </c>
      <c r="AF18" s="17" t="str">
        <f>+IF(AND(ISNUMBER(SEARCH("Encargado",Empleados[[#This Row],[FUNCION]])),VLOOKUP(Empleados[[#This Row],[CUIT]],Empleador[],8,FALSE())="SI"),Escalas!$H$8,"")</f>
        <v/>
      </c>
      <c r="AG18" s="20">
        <f>IF(Empleados[[#This Row],[Funcion2]]="ENCARGADO",IF(VLOOKUP(Empleados[[#This Row],[CUIT]],Empleador[],9,FALSE())="SI",Escalas!$H$9,""),"")</f>
        <v>25384.799999999999</v>
      </c>
      <c r="AH18" s="17" t="str">
        <f>+IF(VLOOKUP(Empleados[[#This Row],[CUIT]],Empleador[],10,FALSE())="SI",Escalas!$H$10,"")</f>
        <v/>
      </c>
      <c r="AI18" s="17" t="s">
        <v>84</v>
      </c>
      <c r="AJ18" s="17" t="str">
        <f>+IF(Empleados[[#This Row],[TITULO]]="SI",Escalas!$H$11*Empleados[[#This Row],[AUX Sueldo Basico]],"")</f>
        <v/>
      </c>
      <c r="AK18" s="20">
        <f>+IF(AND(ISNUMBER(SEARCH("Encargado",Empleados[[#This Row],[FUNCION]])),VLOOKUP(Empleados[[#This Row],[CUIT]],Empleador[],11,FALSE())="SI"),Escalas!$H$12,"")</f>
        <v>42703.5</v>
      </c>
    </row>
    <row r="19" spans="1:37" ht="15" customHeight="1" x14ac:dyDescent="0.25">
      <c r="A19" s="17">
        <v>20252571850</v>
      </c>
      <c r="B19" s="17" t="s">
        <v>130</v>
      </c>
      <c r="C19" s="17">
        <v>2</v>
      </c>
      <c r="D19" s="18">
        <v>27879</v>
      </c>
      <c r="E19" s="72">
        <v>40644</v>
      </c>
      <c r="F19" s="17">
        <v>30711553165</v>
      </c>
      <c r="G19" s="17" t="str">
        <f>+VLOOKUP(Empleados[[#This Row],[CUIT]],Empleador[],2,FALSE())</f>
        <v>CONSORCIO DE PROPIETARIOS AZCUENAGA 1570 IQ-RECOLETA</v>
      </c>
      <c r="H19" s="17" t="s">
        <v>131</v>
      </c>
      <c r="I19" s="17">
        <v>126205</v>
      </c>
      <c r="J19" s="17" t="s">
        <v>119</v>
      </c>
      <c r="K19" s="17" t="str">
        <f>+IF(ISNUMBER(SEARCH("Suplente eventual",Empleados[[#This Row],[FUNCION]])),"Suplente eventual",IF(ISNUMBER(SEARCH("Suplente",Empleados[[#This Row],[FUNCION]])),"Suplente",IF(ISNUMBER(SEARCH("Vigilancia",Empleados[[#This Row],[FUNCION]])),"Vigilador","Encargado")))</f>
        <v>Vigilador</v>
      </c>
      <c r="L19" s="17" t="str">
        <f>+IF(ISNUMBER(SEARCH("Suplente",Empleados[[#This Row],[FUNCION]])),"Suplente",IF(ISNUMBER(SEARCH("NO Permanente",Empleados[[#This Row],[FUNCION]])),"Media",IF(ISNUMBER(SEARCH("Media",Empleados[[#This Row],[FUNCION]])),"Media","Completa")))</f>
        <v>Completa</v>
      </c>
      <c r="M19" s="17" t="str">
        <f>+IF(ISNUMBER(SEARCH("Con vivienda",Empleados[[#This Row],[FUNCION]])),"SI","NO")</f>
        <v>NO</v>
      </c>
      <c r="N19" s="17">
        <f>+IF(Empleados[[#This Row],[JORNADA]]="Completa",1,IF(Empleados[[#This Row],[JORNADA]]="Media",0.5,1/200))*Escalas!$H$14</f>
        <v>100000</v>
      </c>
      <c r="O19" s="17" t="str">
        <f>+VLOOKUP(Empleados[[#This Row],[CUIT]],Empleador[],12,FALSE())</f>
        <v>1° Cat.</v>
      </c>
      <c r="P19" s="19">
        <f>IF(J19="Suplente con horario por dia",
    INDEX(Escalas!$B$2:$E$25,MATCH(J19,Escalas!$A$2:$A$25,0),MATCH(O19,Escalas!$B$1:$E$1,0))/8,
    INDEX(Escalas!$B$2:$E$25,MATCH(J19,Escalas!$A$2:$A$25,0),MATCH(O19,Escalas!$B$1:$E$1,0))
)</f>
        <v>1085873</v>
      </c>
      <c r="Q19" s="17" t="s">
        <v>81</v>
      </c>
      <c r="R19" s="42" t="s">
        <v>132</v>
      </c>
      <c r="T19" s="17">
        <f ca="1">+DATEDIF(Empleados[[#This Row],[FECHA DE INGRESO]],TODAY(),"Y")</f>
        <v>15</v>
      </c>
      <c r="U19" s="17" t="str">
        <f>+IF(OR(ISNUMBER(SEARCH("con vivienda",Empleados[[#This Row],[FUNCION]])),ISNUMBER(SEARCH("suplente",Empleados[[#This Row],[FUNCION]]))),"NO","SI")</f>
        <v>SI</v>
      </c>
      <c r="V19" s="20">
        <f>+IF(Empleados[[#This Row],[Viaticos]]="NO","",Escalas!$H$13)</f>
        <v>70696.899999999994</v>
      </c>
      <c r="W19" s="17" t="s">
        <v>84</v>
      </c>
      <c r="X19" s="17" t="str">
        <f>+IF(Empleados[[#This Row],[Retiro de Residuos]]="no","",Escalas!$H$2*VLOOKUP(Empleados[[#This Row],[CUIT]],Empleador[],6,FALSE()))</f>
        <v/>
      </c>
      <c r="Y19" s="17" t="str">
        <f>+IF(AND(Empleados[[#This Row],[Retiro de Residuos]]="SI",VLOOKUP(Empleados[[#This Row],[CUIT]],Empleador[],6,FALSE())&lt;=25),Escalas!$H$3,IF(AND(Empleados[[#This Row],[Retiro de Residuos]]="SI",VLOOKUP(Empleados[[#This Row],[CUIT]],Empleador[],6,FALSE())&gt;25),Escalas!$H$3+Escalas!$H$3/3/25*((VLOOKUP(Empleados[[#This Row],[CUIT]],Empleador[],6,FALSE())-25)),""))</f>
        <v/>
      </c>
      <c r="Z19" s="17" t="str">
        <f>+IF(Empleados[[#This Row],[Vivienda]]="SI",Escalas!$H$4,"")</f>
        <v/>
      </c>
      <c r="AA19" s="17" t="str">
        <f>+IF(Empleados[[#This Row],[Vivienda]]="SI",Escalas!$H$4,"")</f>
        <v/>
      </c>
      <c r="AB19" s="17" t="str">
        <f>IF(Empleados[[#This Row],[JORNADA]]="Completa","",IF(Empleados[[#This Row],[Funcion2]]="Suplente eventual","",INDEX(Escalas!$B$3:$E$3,MATCH(O19,Escalas!$B$1:$E$1,0))*Descuentos!$B$4))</f>
        <v/>
      </c>
      <c r="AC19" s="17" t="str">
        <f>+IF(Empleados[[#This Row],[JORNADA]]="Suplente",Escalas!$H$5*Empleados[[#This Row],[Antiguedad]],"")</f>
        <v/>
      </c>
      <c r="AD19" s="17">
        <f ca="1">+IF(Empleados[[#This Row],[JORNADA]]="Suplente","",Escalas!$H$6*Empleados[[#This Row],[Antiguedad]])</f>
        <v>302994</v>
      </c>
      <c r="AE19" s="17" t="str">
        <f>IF(Empleados[[#This Row],[Funcion2]]="ENCARGADO",IF(VLOOKUP(Empleados[[#This Row],[CUIT]],Empleador[],7,FALSE())="SI",Escalas!$H$7,""),"")</f>
        <v/>
      </c>
      <c r="AF19" s="17" t="str">
        <f>+IF(AND(ISNUMBER(SEARCH("Encargado",Empleados[[#This Row],[FUNCION]])),VLOOKUP(Empleados[[#This Row],[CUIT]],Empleador[],8,FALSE())="SI"),Escalas!$H$8,"")</f>
        <v/>
      </c>
      <c r="AG19" s="17" t="str">
        <f>IF(Empleados[[#This Row],[Funcion2]]="ENCARGADO",IF(VLOOKUP(Empleados[[#This Row],[CUIT]],Empleador[],9,FALSE())="SI",Escalas!$H$9,""),"")</f>
        <v/>
      </c>
      <c r="AH19" s="17" t="str">
        <f>+IF(VLOOKUP(Empleados[[#This Row],[CUIT]],Empleador[],10,FALSE())="SI",Escalas!$H$10,"")</f>
        <v/>
      </c>
      <c r="AI19" s="17" t="s">
        <v>84</v>
      </c>
      <c r="AJ19" s="17" t="str">
        <f>+IF(Empleados[[#This Row],[TITULO]]="SI",Escalas!$H$11*Empleados[[#This Row],[AUX Sueldo Basico]],"")</f>
        <v/>
      </c>
      <c r="AK19" s="17" t="str">
        <f>+IF(AND(ISNUMBER(SEARCH("Encargado",Empleados[[#This Row],[FUNCION]])),VLOOKUP(Empleados[[#This Row],[CUIT]],Empleador[],11,FALSE())="SI"),Escalas!$H$12,"")</f>
        <v/>
      </c>
    </row>
    <row r="20" spans="1:37" ht="15" customHeight="1" x14ac:dyDescent="0.25">
      <c r="A20" s="17">
        <v>23175845879</v>
      </c>
      <c r="B20" s="17" t="s">
        <v>133</v>
      </c>
      <c r="C20" s="17" t="s">
        <v>134</v>
      </c>
      <c r="D20" s="18">
        <v>24190</v>
      </c>
      <c r="E20" s="72">
        <v>40634</v>
      </c>
      <c r="F20" s="17">
        <v>30711776903</v>
      </c>
      <c r="G20" s="17" t="str">
        <f>+VLOOKUP(Empleados[[#This Row],[CUIT]],Empleador[],2,FALSE())</f>
        <v>CONSORCIO DE PROPIETARIOS CALLE SANCHEZ DE BUSTAMANTE 2466,2468 Y 2472, CABA</v>
      </c>
      <c r="H20" s="17" t="s">
        <v>79</v>
      </c>
      <c r="I20" s="17">
        <v>106500</v>
      </c>
      <c r="J20" s="17" t="s">
        <v>80</v>
      </c>
      <c r="K20" s="17" t="str">
        <f>+IF(ISNUMBER(SEARCH("Suplente eventual",Empleados[[#This Row],[FUNCION]])),"Suplente eventual",IF(ISNUMBER(SEARCH("Suplente",Empleados[[#This Row],[FUNCION]])),"Suplente",IF(ISNUMBER(SEARCH("Vigilancia",Empleados[[#This Row],[FUNCION]])),"Vigilador","Encargado")))</f>
        <v>Encargado</v>
      </c>
      <c r="L20" s="17" t="str">
        <f>+IF(ISNUMBER(SEARCH("Suplente",Empleados[[#This Row],[FUNCION]])),"Suplente",IF(ISNUMBER(SEARCH("NO Permanente",Empleados[[#This Row],[FUNCION]])),"Media",IF(ISNUMBER(SEARCH("Media",Empleados[[#This Row],[FUNCION]])),"Media","Completa")))</f>
        <v>Completa</v>
      </c>
      <c r="M20" s="17" t="str">
        <f>+IF(ISNUMBER(SEARCH("Con vivienda",Empleados[[#This Row],[FUNCION]])),"SI","NO")</f>
        <v>SI</v>
      </c>
      <c r="N20" s="17">
        <f>+IF(Empleados[[#This Row],[JORNADA]]="Completa",1,IF(Empleados[[#This Row],[JORNADA]]="Media",0.5,1/200))*Escalas!$H$14</f>
        <v>100000</v>
      </c>
      <c r="O20" s="17" t="str">
        <f>+VLOOKUP(Empleados[[#This Row],[CUIT]],Empleador[],12,FALSE())</f>
        <v>1° Cat.</v>
      </c>
      <c r="P20" s="19">
        <f>IF(J20="Suplente con horario por dia",
    INDEX(Escalas!$B$2:$E$25,MATCH(J20,Escalas!$A$2:$A$25,0),MATCH(O20,Escalas!$B$1:$E$1,0))/8,
    INDEX(Escalas!$B$2:$E$25,MATCH(J20,Escalas!$A$2:$A$25,0),MATCH(O20,Escalas!$B$1:$E$1,0))
)</f>
        <v>1044417</v>
      </c>
      <c r="Q20" s="17" t="s">
        <v>105</v>
      </c>
      <c r="R20" s="42" t="s">
        <v>303</v>
      </c>
      <c r="T20" s="17">
        <f ca="1">+DATEDIF(Empleados[[#This Row],[FECHA DE INGRESO]],TODAY(),"Y")</f>
        <v>15</v>
      </c>
      <c r="U20" s="17" t="str">
        <f>+IF(OR(ISNUMBER(SEARCH("con vivienda",Empleados[[#This Row],[FUNCION]])),ISNUMBER(SEARCH("suplente",Empleados[[#This Row],[FUNCION]]))),"NO","SI")</f>
        <v>NO</v>
      </c>
      <c r="V20" s="17" t="str">
        <f>+IF(Empleados[[#This Row],[Viaticos]]="NO","",Escalas!$H$13)</f>
        <v/>
      </c>
      <c r="W20" s="17" t="s">
        <v>83</v>
      </c>
      <c r="X20" s="17">
        <f>+IF(Empleados[[#This Row],[Retiro de Residuos]]="no","",Escalas!$H$2*VLOOKUP(Empleados[[#This Row],[CUIT]],Empleador[],6,FALSE()))</f>
        <v>29763.200000000001</v>
      </c>
      <c r="Y20" s="20">
        <f>+IF(AND(Empleados[[#This Row],[Retiro de Residuos]]="SI",VLOOKUP(Empleados[[#This Row],[CUIT]],Empleador[],6,FALSE())&lt;=25),Escalas!$H$3,IF(AND(Empleados[[#This Row],[Retiro de Residuos]]="SI",VLOOKUP(Empleados[[#This Row],[CUIT]],Empleador[],6,FALSE())&gt;25),Escalas!$H$3+Escalas!$H$3/3/25*((VLOOKUP(Empleados[[#This Row],[CUIT]],Empleador[],6,FALSE())-25)),""))</f>
        <v>32039.200000000001</v>
      </c>
      <c r="Z20" s="20">
        <f>+IF(Empleados[[#This Row],[Vivienda]]="SI",Escalas!$H$4,"")</f>
        <v>6833.8</v>
      </c>
      <c r="AA20" s="20">
        <f>+IF(Empleados[[#This Row],[Vivienda]]="SI",Escalas!$H$4,"")</f>
        <v>6833.8</v>
      </c>
      <c r="AB20" s="17" t="str">
        <f>IF(Empleados[[#This Row],[JORNADA]]="Completa","",IF(Empleados[[#This Row],[Funcion2]]="Suplente eventual","",INDEX(Escalas!$B$3:$E$3,MATCH(O20,Escalas!$B$1:$E$1,0))*Descuentos!$B$4))</f>
        <v/>
      </c>
      <c r="AC20" s="17" t="str">
        <f>+IF(Empleados[[#This Row],[JORNADA]]="Suplente",Escalas!$H$5*Empleados[[#This Row],[Antiguedad]],"")</f>
        <v/>
      </c>
      <c r="AD20" s="17">
        <f ca="1">+IF(Empleados[[#This Row],[JORNADA]]="Suplente","",Escalas!$H$6*Empleados[[#This Row],[Antiguedad]])</f>
        <v>302994</v>
      </c>
      <c r="AE20" s="20">
        <f>IF(Empleados[[#This Row],[Funcion2]]="ENCARGADO",IF(VLOOKUP(Empleados[[#This Row],[CUIT]],Empleador[],7,FALSE())="SI",Escalas!$H$7,""),"")</f>
        <v>25384.799999999999</v>
      </c>
      <c r="AF20" s="17" t="str">
        <f>+IF(AND(ISNUMBER(SEARCH("Encargado",Empleados[[#This Row],[FUNCION]])),VLOOKUP(Empleados[[#This Row],[CUIT]],Empleador[],8,FALSE())="SI"),Escalas!$H$8,"")</f>
        <v/>
      </c>
      <c r="AG20" s="20">
        <f>IF(Empleados[[#This Row],[Funcion2]]="ENCARGADO",IF(VLOOKUP(Empleados[[#This Row],[CUIT]],Empleador[],9,FALSE())="SI",Escalas!$H$9,""),"")</f>
        <v>25384.799999999999</v>
      </c>
      <c r="AH20" s="17" t="str">
        <f>+IF(VLOOKUP(Empleados[[#This Row],[CUIT]],Empleador[],10,FALSE())="SI",Escalas!$H$10,"")</f>
        <v/>
      </c>
      <c r="AI20" s="17" t="s">
        <v>84</v>
      </c>
      <c r="AJ20" s="17" t="str">
        <f>+IF(Empleados[[#This Row],[TITULO]]="SI",Escalas!$H$11*Empleados[[#This Row],[AUX Sueldo Basico]],"")</f>
        <v/>
      </c>
      <c r="AK20" s="20">
        <f>+IF(AND(ISNUMBER(SEARCH("Encargado",Empleados[[#This Row],[FUNCION]])),VLOOKUP(Empleados[[#This Row],[CUIT]],Empleador[],11,FALSE())="SI"),Escalas!$H$12,"")</f>
        <v>42703.5</v>
      </c>
    </row>
  </sheetData>
  <pageMargins left="0.7" right="0.7" top="0.75" bottom="0.75" header="0.511811023622047" footer="0.511811023622047"/>
  <pageSetup paperSize="9" orientation="portrait" horizontalDpi="300" verticalDpi="300"/>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2"/>
  <dimension ref="A1:AE16"/>
  <sheetViews>
    <sheetView zoomScaleNormal="100" workbookViewId="0">
      <pane xSplit="2" ySplit="1" topLeftCell="AA2" activePane="bottomRight" state="frozen"/>
      <selection pane="topRight" activeCell="C1" sqref="C1"/>
      <selection pane="bottomLeft" activeCell="A2" sqref="A2"/>
      <selection pane="bottomRight" activeCell="AF3" sqref="AF3"/>
    </sheetView>
  </sheetViews>
  <sheetFormatPr baseColWidth="10" defaultColWidth="10.7109375" defaultRowHeight="15" x14ac:dyDescent="0.25"/>
  <cols>
    <col min="1" max="1" width="12" customWidth="1"/>
    <col min="2" max="2" width="79.42578125" customWidth="1"/>
    <col min="3" max="3" width="35.140625" customWidth="1"/>
    <col min="4" max="4" width="17.5703125" customWidth="1"/>
    <col min="5" max="5" width="17.7109375" customWidth="1"/>
    <col min="8" max="8" width="26.140625" customWidth="1"/>
    <col min="10" max="10" width="22.7109375" customWidth="1"/>
    <col min="12" max="12" width="22.140625" customWidth="1"/>
    <col min="14" max="14" width="19.42578125" bestFit="1" customWidth="1"/>
    <col min="15" max="15" width="13.85546875" bestFit="1" customWidth="1"/>
    <col min="16" max="16" width="7" bestFit="1" customWidth="1"/>
    <col min="17" max="17" width="7.42578125" bestFit="1" customWidth="1"/>
    <col min="18" max="18" width="14.42578125" bestFit="1" customWidth="1"/>
    <col min="19" max="19" width="23.85546875" bestFit="1" customWidth="1"/>
    <col min="20" max="20" width="17.140625" bestFit="1" customWidth="1"/>
    <col min="21" max="21" width="20.7109375" bestFit="1" customWidth="1"/>
    <col min="22" max="22" width="14.5703125" bestFit="1" customWidth="1"/>
    <col min="23" max="23" width="32.85546875" bestFit="1" customWidth="1"/>
    <col min="24" max="24" width="28.140625" bestFit="1" customWidth="1"/>
    <col min="25" max="25" width="28.42578125" customWidth="1"/>
    <col min="26" max="26" width="26.42578125" customWidth="1"/>
    <col min="27" max="27" width="24.85546875" customWidth="1"/>
    <col min="28" max="28" width="20.5703125" customWidth="1"/>
    <col min="29" max="31" width="12" style="65" bestFit="1" customWidth="1"/>
  </cols>
  <sheetData>
    <row r="1" spans="1:31" ht="15" customHeight="1" x14ac:dyDescent="0.25">
      <c r="A1" s="136" t="s">
        <v>1</v>
      </c>
      <c r="B1" s="136" t="s">
        <v>47</v>
      </c>
      <c r="C1" s="136" t="s">
        <v>135</v>
      </c>
      <c r="D1" s="136" t="s">
        <v>136</v>
      </c>
      <c r="E1" s="136" t="s">
        <v>137</v>
      </c>
      <c r="F1" s="136" t="s">
        <v>138</v>
      </c>
      <c r="G1" s="136" t="s">
        <v>139</v>
      </c>
      <c r="H1" s="136" t="s">
        <v>140</v>
      </c>
      <c r="I1" s="136" t="s">
        <v>141</v>
      </c>
      <c r="J1" s="136" t="s">
        <v>142</v>
      </c>
      <c r="K1" s="136" t="s">
        <v>143</v>
      </c>
      <c r="L1" s="136" t="s">
        <v>55</v>
      </c>
      <c r="M1" s="136" t="s">
        <v>13</v>
      </c>
      <c r="N1" s="136" t="s">
        <v>297</v>
      </c>
      <c r="O1" s="136" t="s">
        <v>288</v>
      </c>
      <c r="P1" s="136" t="s">
        <v>289</v>
      </c>
      <c r="Q1" s="136" t="s">
        <v>290</v>
      </c>
      <c r="R1" s="136" t="s">
        <v>291</v>
      </c>
      <c r="S1" s="136" t="s">
        <v>420</v>
      </c>
      <c r="T1" s="136" t="s">
        <v>295</v>
      </c>
      <c r="U1" s="136" t="s">
        <v>296</v>
      </c>
      <c r="V1" s="136" t="s">
        <v>298</v>
      </c>
      <c r="W1" s="136" t="s">
        <v>299</v>
      </c>
      <c r="X1" t="s">
        <v>418</v>
      </c>
      <c r="Y1" t="s">
        <v>419</v>
      </c>
      <c r="Z1" t="s">
        <v>421</v>
      </c>
      <c r="AA1" t="s">
        <v>422</v>
      </c>
      <c r="AB1" t="s">
        <v>423</v>
      </c>
      <c r="AC1" s="65" t="s">
        <v>424</v>
      </c>
      <c r="AD1" s="65" t="s">
        <v>425</v>
      </c>
      <c r="AE1" s="65" t="s">
        <v>426</v>
      </c>
    </row>
    <row r="2" spans="1:31" ht="15" customHeight="1" x14ac:dyDescent="0.25">
      <c r="A2">
        <v>30519077635</v>
      </c>
      <c r="B2" t="s">
        <v>144</v>
      </c>
      <c r="C2" t="s">
        <v>145</v>
      </c>
      <c r="D2">
        <v>1075</v>
      </c>
      <c r="E2">
        <v>5183</v>
      </c>
      <c r="F2">
        <v>79</v>
      </c>
      <c r="G2" t="s">
        <v>84</v>
      </c>
      <c r="H2" t="s">
        <v>84</v>
      </c>
      <c r="I2" t="s">
        <v>84</v>
      </c>
      <c r="J2" t="s">
        <v>84</v>
      </c>
      <c r="K2" t="s">
        <v>84</v>
      </c>
      <c r="L2" t="s">
        <v>146</v>
      </c>
      <c r="M2" t="s">
        <v>81</v>
      </c>
      <c r="N2" t="s">
        <v>292</v>
      </c>
      <c r="O2" s="23">
        <v>0.12139999999999999</v>
      </c>
      <c r="P2">
        <v>0</v>
      </c>
      <c r="Q2">
        <v>1765</v>
      </c>
      <c r="R2">
        <v>3448</v>
      </c>
      <c r="S2">
        <v>424.62</v>
      </c>
      <c r="T2">
        <v>849.24</v>
      </c>
      <c r="U2">
        <v>12</v>
      </c>
      <c r="V2">
        <v>9</v>
      </c>
      <c r="W2" t="s">
        <v>292</v>
      </c>
      <c r="X2" s="23">
        <v>0.18</v>
      </c>
      <c r="Y2" s="23">
        <v>0.06</v>
      </c>
      <c r="Z2" s="23">
        <v>1.4999999999999999E-2</v>
      </c>
      <c r="AA2" s="23">
        <v>4.7500000000000001E-2</v>
      </c>
      <c r="AB2" s="23">
        <v>5.0000000000000001E-3</v>
      </c>
      <c r="AC2" s="223">
        <v>44962</v>
      </c>
      <c r="AD2" s="223">
        <f>+Empleador[[#This Row],[COSTO FIJO FATERYH JORNADA COMPLETA]]/2</f>
        <v>22481</v>
      </c>
      <c r="AE2" s="223">
        <f>+Empleador[[#This Row],[COSTO FIJO FATERYH JORNADA COMPLETA]]/200</f>
        <v>224.81</v>
      </c>
    </row>
    <row r="3" spans="1:31" ht="15" customHeight="1" x14ac:dyDescent="0.25">
      <c r="A3">
        <v>30532673484</v>
      </c>
      <c r="B3" t="s">
        <v>147</v>
      </c>
      <c r="C3" t="s">
        <v>148</v>
      </c>
      <c r="D3">
        <v>1073</v>
      </c>
      <c r="E3">
        <v>5073</v>
      </c>
      <c r="F3">
        <v>8</v>
      </c>
      <c r="G3" t="s">
        <v>84</v>
      </c>
      <c r="H3" t="s">
        <v>84</v>
      </c>
      <c r="I3" t="s">
        <v>84</v>
      </c>
      <c r="J3" t="s">
        <v>84</v>
      </c>
      <c r="K3" t="s">
        <v>84</v>
      </c>
      <c r="L3" t="s">
        <v>146</v>
      </c>
      <c r="M3" t="s">
        <v>91</v>
      </c>
      <c r="N3" t="s">
        <v>292</v>
      </c>
      <c r="O3" s="23">
        <v>0.1124</v>
      </c>
      <c r="P3">
        <v>0</v>
      </c>
      <c r="Q3">
        <v>1765</v>
      </c>
      <c r="R3">
        <v>1724</v>
      </c>
      <c r="S3">
        <v>424.62</v>
      </c>
      <c r="T3">
        <v>424.62</v>
      </c>
      <c r="U3">
        <v>12</v>
      </c>
      <c r="V3">
        <v>9</v>
      </c>
      <c r="W3" t="s">
        <v>292</v>
      </c>
      <c r="X3" s="23">
        <v>0.18</v>
      </c>
      <c r="Y3" s="23">
        <v>0.06</v>
      </c>
      <c r="Z3" s="23">
        <v>1.4999999999999999E-2</v>
      </c>
      <c r="AA3" s="23">
        <v>4.7500000000000001E-2</v>
      </c>
      <c r="AB3" s="23">
        <v>5.0000000000000001E-3</v>
      </c>
      <c r="AC3" s="223">
        <v>44962</v>
      </c>
      <c r="AD3" s="223">
        <f>+Empleador[[#This Row],[COSTO FIJO FATERYH JORNADA COMPLETA]]/2</f>
        <v>22481</v>
      </c>
      <c r="AE3" s="223">
        <f>+Empleador[[#This Row],[COSTO FIJO FATERYH JORNADA COMPLETA]]/200</f>
        <v>224.81</v>
      </c>
    </row>
    <row r="4" spans="1:31" ht="15" customHeight="1" x14ac:dyDescent="0.25">
      <c r="A4">
        <v>30536354154</v>
      </c>
      <c r="B4" t="s">
        <v>149</v>
      </c>
      <c r="C4" t="s">
        <v>150</v>
      </c>
      <c r="D4">
        <v>1076</v>
      </c>
      <c r="E4">
        <v>5232</v>
      </c>
      <c r="F4">
        <v>12</v>
      </c>
      <c r="G4" t="s">
        <v>84</v>
      </c>
      <c r="H4" t="s">
        <v>84</v>
      </c>
      <c r="I4" t="s">
        <v>84</v>
      </c>
      <c r="J4" t="s">
        <v>84</v>
      </c>
      <c r="K4" t="s">
        <v>84</v>
      </c>
      <c r="L4" t="s">
        <v>151</v>
      </c>
      <c r="M4" t="s">
        <v>91</v>
      </c>
      <c r="N4" t="s">
        <v>293</v>
      </c>
      <c r="O4" s="22">
        <v>0</v>
      </c>
      <c r="P4">
        <v>0</v>
      </c>
      <c r="Q4">
        <v>0</v>
      </c>
      <c r="R4">
        <v>0</v>
      </c>
      <c r="S4">
        <v>424.62</v>
      </c>
      <c r="T4">
        <v>424.62</v>
      </c>
      <c r="U4">
        <v>12</v>
      </c>
      <c r="V4">
        <v>11</v>
      </c>
      <c r="W4" t="s">
        <v>292</v>
      </c>
      <c r="X4" s="23"/>
      <c r="Y4" s="23"/>
      <c r="Z4" s="23"/>
      <c r="AA4" s="23"/>
      <c r="AB4" s="23"/>
      <c r="AC4" s="222"/>
      <c r="AD4" s="222"/>
      <c r="AE4" s="222"/>
    </row>
    <row r="5" spans="1:31" ht="15" customHeight="1" x14ac:dyDescent="0.25">
      <c r="A5">
        <v>30537480544</v>
      </c>
      <c r="B5" t="s">
        <v>152</v>
      </c>
      <c r="C5" t="s">
        <v>153</v>
      </c>
      <c r="D5">
        <v>1093</v>
      </c>
      <c r="E5">
        <v>5994</v>
      </c>
      <c r="F5">
        <v>24</v>
      </c>
      <c r="G5" t="s">
        <v>84</v>
      </c>
      <c r="H5" t="s">
        <v>84</v>
      </c>
      <c r="I5" t="s">
        <v>84</v>
      </c>
      <c r="J5" t="s">
        <v>84</v>
      </c>
      <c r="K5" t="s">
        <v>84</v>
      </c>
      <c r="L5" t="s">
        <v>154</v>
      </c>
      <c r="M5" t="s">
        <v>81</v>
      </c>
      <c r="N5" t="s">
        <v>292</v>
      </c>
      <c r="O5" s="23">
        <v>0.12139999999999999</v>
      </c>
      <c r="P5">
        <v>0</v>
      </c>
      <c r="Q5">
        <v>1765</v>
      </c>
      <c r="R5">
        <v>1724</v>
      </c>
      <c r="S5">
        <v>424.62</v>
      </c>
      <c r="T5">
        <v>424.62</v>
      </c>
      <c r="U5">
        <v>12</v>
      </c>
      <c r="V5">
        <v>12</v>
      </c>
      <c r="W5" t="s">
        <v>292</v>
      </c>
      <c r="X5" s="23">
        <v>0.18</v>
      </c>
      <c r="Y5" s="23">
        <v>0.06</v>
      </c>
      <c r="Z5" s="23">
        <v>1.4999999999999999E-2</v>
      </c>
      <c r="AA5" s="23">
        <v>4.7500000000000001E-2</v>
      </c>
      <c r="AB5" s="23">
        <v>5.0000000000000001E-3</v>
      </c>
      <c r="AC5" s="223">
        <v>44962</v>
      </c>
      <c r="AD5" s="223">
        <f>+Empleador[[#This Row],[COSTO FIJO FATERYH JORNADA COMPLETA]]/2</f>
        <v>22481</v>
      </c>
      <c r="AE5" s="223">
        <f>+Empleador[[#This Row],[COSTO FIJO FATERYH JORNADA COMPLETA]]/200</f>
        <v>224.81</v>
      </c>
    </row>
    <row r="6" spans="1:31" ht="15" customHeight="1" x14ac:dyDescent="0.25">
      <c r="A6">
        <v>30538590009</v>
      </c>
      <c r="B6" t="s">
        <v>155</v>
      </c>
      <c r="C6" t="s">
        <v>156</v>
      </c>
      <c r="D6">
        <v>1021</v>
      </c>
      <c r="E6">
        <v>2063</v>
      </c>
      <c r="F6">
        <v>7</v>
      </c>
      <c r="G6" t="s">
        <v>84</v>
      </c>
      <c r="H6" t="s">
        <v>84</v>
      </c>
      <c r="I6" t="s">
        <v>84</v>
      </c>
      <c r="J6" t="s">
        <v>84</v>
      </c>
      <c r="K6" t="s">
        <v>84</v>
      </c>
      <c r="L6" t="s">
        <v>157</v>
      </c>
      <c r="M6" t="s">
        <v>91</v>
      </c>
      <c r="N6" t="s">
        <v>292</v>
      </c>
      <c r="O6" s="23">
        <v>0.1011</v>
      </c>
      <c r="P6">
        <v>0</v>
      </c>
      <c r="Q6">
        <v>1765</v>
      </c>
      <c r="R6">
        <v>1724</v>
      </c>
      <c r="S6">
        <v>424.62</v>
      </c>
      <c r="T6">
        <v>424.62</v>
      </c>
      <c r="U6">
        <v>12</v>
      </c>
      <c r="V6">
        <v>1</v>
      </c>
      <c r="W6" t="s">
        <v>292</v>
      </c>
      <c r="X6" s="23">
        <v>0.18</v>
      </c>
      <c r="Y6" s="23">
        <v>0.06</v>
      </c>
      <c r="Z6" s="23">
        <v>1.4999999999999999E-2</v>
      </c>
      <c r="AA6" s="23">
        <v>4.7500000000000001E-2</v>
      </c>
      <c r="AB6" s="23">
        <v>5.0000000000000001E-3</v>
      </c>
      <c r="AC6" s="223">
        <v>44962</v>
      </c>
      <c r="AD6" s="223">
        <f>+Empleador[[#This Row],[COSTO FIJO FATERYH JORNADA COMPLETA]]/2</f>
        <v>22481</v>
      </c>
      <c r="AE6" s="223">
        <f>+Empleador[[#This Row],[COSTO FIJO FATERYH JORNADA COMPLETA]]/200</f>
        <v>224.81</v>
      </c>
    </row>
    <row r="7" spans="1:31" ht="15" customHeight="1" x14ac:dyDescent="0.25">
      <c r="A7">
        <v>30540887752</v>
      </c>
      <c r="B7" t="s">
        <v>158</v>
      </c>
      <c r="C7" t="s">
        <v>159</v>
      </c>
      <c r="D7">
        <v>1124</v>
      </c>
      <c r="E7">
        <v>6853</v>
      </c>
      <c r="F7">
        <v>18</v>
      </c>
      <c r="G7" t="s">
        <v>84</v>
      </c>
      <c r="H7" t="s">
        <v>84</v>
      </c>
      <c r="I7" t="s">
        <v>84</v>
      </c>
      <c r="J7" t="s">
        <v>84</v>
      </c>
      <c r="K7" t="s">
        <v>84</v>
      </c>
      <c r="L7" t="s">
        <v>154</v>
      </c>
      <c r="M7" t="s">
        <v>91</v>
      </c>
      <c r="N7" t="s">
        <v>294</v>
      </c>
      <c r="O7" s="23">
        <v>6.2899999999999998E-2</v>
      </c>
      <c r="P7">
        <v>0</v>
      </c>
      <c r="Q7">
        <v>1765</v>
      </c>
      <c r="R7">
        <v>1724</v>
      </c>
      <c r="S7">
        <v>424.62</v>
      </c>
      <c r="T7">
        <v>424.62</v>
      </c>
      <c r="U7">
        <v>12</v>
      </c>
      <c r="V7">
        <v>9</v>
      </c>
      <c r="W7" t="s">
        <v>292</v>
      </c>
      <c r="X7" s="23">
        <v>0.18</v>
      </c>
      <c r="Y7" s="23">
        <v>0.06</v>
      </c>
      <c r="Z7" s="23">
        <v>1.4999999999999999E-2</v>
      </c>
      <c r="AA7" s="23">
        <v>4.7500000000000001E-2</v>
      </c>
      <c r="AB7" s="23">
        <v>5.0000000000000001E-3</v>
      </c>
      <c r="AC7" s="223">
        <v>44962</v>
      </c>
      <c r="AD7" s="223">
        <f>+Empleador[[#This Row],[COSTO FIJO FATERYH JORNADA COMPLETA]]/2</f>
        <v>22481</v>
      </c>
      <c r="AE7" s="223">
        <f>+Empleador[[#This Row],[COSTO FIJO FATERYH JORNADA COMPLETA]]/200</f>
        <v>224.81</v>
      </c>
    </row>
    <row r="8" spans="1:31" ht="15" customHeight="1" x14ac:dyDescent="0.25">
      <c r="A8">
        <v>30559333022</v>
      </c>
      <c r="B8" t="s">
        <v>160</v>
      </c>
      <c r="C8" t="s">
        <v>161</v>
      </c>
      <c r="D8">
        <v>1160</v>
      </c>
      <c r="E8">
        <v>58181</v>
      </c>
      <c r="F8">
        <v>15</v>
      </c>
      <c r="G8" t="s">
        <v>84</v>
      </c>
      <c r="H8" t="s">
        <v>84</v>
      </c>
      <c r="I8" t="s">
        <v>84</v>
      </c>
      <c r="J8" t="s">
        <v>84</v>
      </c>
      <c r="K8" t="s">
        <v>84</v>
      </c>
      <c r="L8" t="s">
        <v>146</v>
      </c>
      <c r="M8" t="s">
        <v>102</v>
      </c>
      <c r="N8" t="s">
        <v>292</v>
      </c>
      <c r="O8" s="23">
        <v>7.3999999999999996E-2</v>
      </c>
      <c r="P8">
        <v>0</v>
      </c>
      <c r="Q8">
        <v>1765</v>
      </c>
      <c r="R8">
        <v>1724</v>
      </c>
      <c r="S8">
        <v>424.62</v>
      </c>
      <c r="T8">
        <v>424.62</v>
      </c>
      <c r="U8">
        <v>12</v>
      </c>
      <c r="V8">
        <v>9</v>
      </c>
      <c r="W8" t="s">
        <v>292</v>
      </c>
      <c r="X8" s="23">
        <v>0.18</v>
      </c>
      <c r="Y8" s="23">
        <v>0.06</v>
      </c>
      <c r="Z8" s="23">
        <v>1.4999999999999999E-2</v>
      </c>
      <c r="AA8" s="23">
        <v>4.7500000000000001E-2</v>
      </c>
      <c r="AB8" s="23">
        <v>5.0000000000000001E-3</v>
      </c>
      <c r="AC8" s="223">
        <v>44962</v>
      </c>
      <c r="AD8" s="223">
        <f>+Empleador[[#This Row],[COSTO FIJO FATERYH JORNADA COMPLETA]]/2</f>
        <v>22481</v>
      </c>
      <c r="AE8" s="223">
        <f>+Empleador[[#This Row],[COSTO FIJO FATERYH JORNADA COMPLETA]]/200</f>
        <v>224.81</v>
      </c>
    </row>
    <row r="9" spans="1:31" ht="15" customHeight="1" x14ac:dyDescent="0.25">
      <c r="A9">
        <v>30580260906</v>
      </c>
      <c r="B9" t="s">
        <v>162</v>
      </c>
      <c r="C9" t="s">
        <v>163</v>
      </c>
      <c r="D9">
        <v>1016</v>
      </c>
      <c r="E9">
        <v>1542</v>
      </c>
      <c r="F9">
        <v>11</v>
      </c>
      <c r="G9" t="s">
        <v>84</v>
      </c>
      <c r="H9" t="s">
        <v>84</v>
      </c>
      <c r="I9" t="s">
        <v>84</v>
      </c>
      <c r="J9" t="s">
        <v>84</v>
      </c>
      <c r="K9" t="s">
        <v>84</v>
      </c>
      <c r="L9" t="s">
        <v>154</v>
      </c>
      <c r="M9" t="s">
        <v>105</v>
      </c>
      <c r="N9" t="s">
        <v>292</v>
      </c>
      <c r="O9" s="23">
        <v>7.3999999999999996E-2</v>
      </c>
      <c r="P9">
        <v>0</v>
      </c>
      <c r="Q9">
        <v>1765</v>
      </c>
      <c r="R9">
        <v>3448</v>
      </c>
      <c r="S9">
        <v>424.62</v>
      </c>
      <c r="T9">
        <v>849.24</v>
      </c>
      <c r="U9">
        <v>12</v>
      </c>
      <c r="V9">
        <v>5</v>
      </c>
      <c r="W9" t="s">
        <v>292</v>
      </c>
      <c r="X9" s="23">
        <v>0.18</v>
      </c>
      <c r="Y9" s="23">
        <v>0.06</v>
      </c>
      <c r="Z9" s="23">
        <v>1.4999999999999999E-2</v>
      </c>
      <c r="AA9" s="23">
        <v>4.7500000000000001E-2</v>
      </c>
      <c r="AB9" s="23">
        <v>5.0000000000000001E-3</v>
      </c>
      <c r="AC9" s="223">
        <v>44962</v>
      </c>
      <c r="AD9" s="223">
        <f>+Empleador[[#This Row],[COSTO FIJO FATERYH JORNADA COMPLETA]]/2</f>
        <v>22481</v>
      </c>
      <c r="AE9" s="223">
        <f>+Empleador[[#This Row],[COSTO FIJO FATERYH JORNADA COMPLETA]]/200</f>
        <v>224.81</v>
      </c>
    </row>
    <row r="10" spans="1:31" ht="15" customHeight="1" x14ac:dyDescent="0.25">
      <c r="A10">
        <v>30604528166</v>
      </c>
      <c r="B10" t="s">
        <v>164</v>
      </c>
      <c r="C10" t="s">
        <v>165</v>
      </c>
      <c r="D10">
        <v>1155</v>
      </c>
      <c r="E10">
        <v>44113</v>
      </c>
      <c r="F10">
        <v>39</v>
      </c>
      <c r="G10" t="s">
        <v>84</v>
      </c>
      <c r="H10" t="s">
        <v>84</v>
      </c>
      <c r="I10" t="s">
        <v>84</v>
      </c>
      <c r="J10" t="s">
        <v>84</v>
      </c>
      <c r="K10" t="s">
        <v>84</v>
      </c>
      <c r="L10" t="s">
        <v>146</v>
      </c>
      <c r="M10" t="s">
        <v>102</v>
      </c>
      <c r="N10" t="s">
        <v>292</v>
      </c>
      <c r="O10" s="23">
        <v>0.12139999999999999</v>
      </c>
      <c r="P10">
        <v>0</v>
      </c>
      <c r="Q10">
        <v>1765</v>
      </c>
      <c r="R10">
        <v>1724</v>
      </c>
      <c r="S10">
        <v>424.62</v>
      </c>
      <c r="T10">
        <v>424.62</v>
      </c>
      <c r="U10">
        <v>12</v>
      </c>
      <c r="V10">
        <v>9</v>
      </c>
      <c r="W10" t="s">
        <v>292</v>
      </c>
      <c r="X10" s="23">
        <v>0.18</v>
      </c>
      <c r="Y10" s="23">
        <v>0.06</v>
      </c>
      <c r="Z10" s="23">
        <v>1.4999999999999999E-2</v>
      </c>
      <c r="AA10" s="23">
        <v>4.7500000000000001E-2</v>
      </c>
      <c r="AB10" s="23">
        <v>5.0000000000000001E-3</v>
      </c>
      <c r="AC10" s="223">
        <v>44962</v>
      </c>
      <c r="AD10" s="223">
        <f>+Empleador[[#This Row],[COSTO FIJO FATERYH JORNADA COMPLETA]]/2</f>
        <v>22481</v>
      </c>
      <c r="AE10" s="223">
        <f>+Empleador[[#This Row],[COSTO FIJO FATERYH JORNADA COMPLETA]]/200</f>
        <v>224.81</v>
      </c>
    </row>
    <row r="11" spans="1:31" ht="15" customHeight="1" x14ac:dyDescent="0.25">
      <c r="A11">
        <v>30630042670</v>
      </c>
      <c r="B11" t="s">
        <v>166</v>
      </c>
      <c r="C11" t="s">
        <v>167</v>
      </c>
      <c r="D11">
        <v>1061</v>
      </c>
      <c r="E11">
        <v>3382</v>
      </c>
      <c r="F11">
        <v>32</v>
      </c>
      <c r="G11" t="s">
        <v>83</v>
      </c>
      <c r="H11" t="s">
        <v>83</v>
      </c>
      <c r="I11" t="s">
        <v>84</v>
      </c>
      <c r="J11" t="s">
        <v>84</v>
      </c>
      <c r="K11" t="s">
        <v>84</v>
      </c>
      <c r="L11" t="s">
        <v>154</v>
      </c>
      <c r="M11" t="s">
        <v>91</v>
      </c>
      <c r="N11" t="s">
        <v>292</v>
      </c>
      <c r="O11" s="23">
        <v>0.12139999999999999</v>
      </c>
      <c r="P11">
        <v>0</v>
      </c>
      <c r="Q11">
        <v>1765</v>
      </c>
      <c r="R11">
        <v>5172</v>
      </c>
      <c r="S11">
        <v>424.62</v>
      </c>
      <c r="T11">
        <v>1273.8600000000001</v>
      </c>
      <c r="U11">
        <v>12</v>
      </c>
      <c r="V11">
        <v>3</v>
      </c>
      <c r="W11" t="s">
        <v>292</v>
      </c>
      <c r="X11" s="23">
        <v>0.18</v>
      </c>
      <c r="Y11" s="23">
        <v>0.06</v>
      </c>
      <c r="Z11" s="23">
        <v>1.4999999999999999E-2</v>
      </c>
      <c r="AA11" s="23">
        <v>4.7500000000000001E-2</v>
      </c>
      <c r="AB11" s="23">
        <v>5.0000000000000001E-3</v>
      </c>
      <c r="AC11" s="223">
        <v>44962</v>
      </c>
      <c r="AD11" s="223">
        <f>+Empleador[[#This Row],[COSTO FIJO FATERYH JORNADA COMPLETA]]/2</f>
        <v>22481</v>
      </c>
      <c r="AE11" s="223">
        <f>+Empleador[[#This Row],[COSTO FIJO FATERYH JORNADA COMPLETA]]/200</f>
        <v>224.81</v>
      </c>
    </row>
    <row r="12" spans="1:31" ht="15" customHeight="1" x14ac:dyDescent="0.25">
      <c r="A12">
        <v>30661488618</v>
      </c>
      <c r="B12" t="s">
        <v>168</v>
      </c>
      <c r="C12" t="s">
        <v>169</v>
      </c>
      <c r="D12">
        <v>1270</v>
      </c>
      <c r="E12">
        <v>23883</v>
      </c>
      <c r="F12">
        <v>21</v>
      </c>
      <c r="G12" t="s">
        <v>84</v>
      </c>
      <c r="H12" t="s">
        <v>84</v>
      </c>
      <c r="I12" t="s">
        <v>84</v>
      </c>
      <c r="J12" t="s">
        <v>84</v>
      </c>
      <c r="K12" t="s">
        <v>84</v>
      </c>
      <c r="L12" t="s">
        <v>157</v>
      </c>
      <c r="M12" t="s">
        <v>91</v>
      </c>
      <c r="N12" t="s">
        <v>294</v>
      </c>
      <c r="O12" s="22">
        <v>0</v>
      </c>
      <c r="P12">
        <v>0</v>
      </c>
      <c r="Q12">
        <v>0</v>
      </c>
      <c r="R12">
        <v>0</v>
      </c>
      <c r="S12">
        <v>424.62</v>
      </c>
      <c r="T12">
        <v>424.62</v>
      </c>
      <c r="U12">
        <v>12</v>
      </c>
      <c r="V12">
        <v>12</v>
      </c>
      <c r="W12" t="s">
        <v>292</v>
      </c>
      <c r="X12" s="23"/>
      <c r="Y12" s="23"/>
      <c r="Z12" s="23"/>
      <c r="AA12" s="23"/>
      <c r="AB12" s="23"/>
      <c r="AC12" s="222"/>
      <c r="AD12" s="222"/>
      <c r="AE12" s="222"/>
    </row>
    <row r="13" spans="1:31" ht="15" customHeight="1" x14ac:dyDescent="0.25">
      <c r="A13">
        <v>30707887628</v>
      </c>
      <c r="B13" t="s">
        <v>170</v>
      </c>
      <c r="C13" t="s">
        <v>171</v>
      </c>
      <c r="D13">
        <v>1206</v>
      </c>
      <c r="E13">
        <v>79631</v>
      </c>
      <c r="F13">
        <v>15</v>
      </c>
      <c r="G13" t="s">
        <v>84</v>
      </c>
      <c r="H13" t="s">
        <v>84</v>
      </c>
      <c r="I13" t="s">
        <v>84</v>
      </c>
      <c r="J13" t="s">
        <v>84</v>
      </c>
      <c r="K13" t="s">
        <v>84</v>
      </c>
      <c r="L13" t="s">
        <v>146</v>
      </c>
      <c r="M13" t="s">
        <v>91</v>
      </c>
      <c r="O13" s="22">
        <v>0</v>
      </c>
      <c r="P13">
        <v>0</v>
      </c>
      <c r="Q13">
        <v>0</v>
      </c>
      <c r="R13">
        <v>0</v>
      </c>
      <c r="S13">
        <v>424.62</v>
      </c>
      <c r="T13">
        <v>424.62</v>
      </c>
      <c r="U13">
        <v>12</v>
      </c>
      <c r="V13">
        <v>9</v>
      </c>
      <c r="W13" t="s">
        <v>292</v>
      </c>
      <c r="X13" s="23"/>
      <c r="Y13" s="23"/>
      <c r="Z13" s="23"/>
      <c r="AA13" s="23"/>
      <c r="AB13" s="23"/>
      <c r="AC13" s="222"/>
      <c r="AD13" s="222"/>
      <c r="AE13" s="222"/>
    </row>
    <row r="14" spans="1:31" ht="15" customHeight="1" x14ac:dyDescent="0.25">
      <c r="A14">
        <v>30711283338</v>
      </c>
      <c r="B14" t="s">
        <v>172</v>
      </c>
      <c r="C14" t="s">
        <v>173</v>
      </c>
      <c r="D14">
        <v>1074</v>
      </c>
      <c r="E14">
        <v>83849</v>
      </c>
      <c r="F14">
        <v>27</v>
      </c>
      <c r="G14" t="s">
        <v>84</v>
      </c>
      <c r="H14" t="s">
        <v>84</v>
      </c>
      <c r="I14" t="s">
        <v>84</v>
      </c>
      <c r="J14" t="s">
        <v>84</v>
      </c>
      <c r="K14" t="s">
        <v>84</v>
      </c>
      <c r="L14" t="s">
        <v>146</v>
      </c>
      <c r="M14" t="s">
        <v>91</v>
      </c>
      <c r="N14" t="s">
        <v>292</v>
      </c>
      <c r="O14" s="23">
        <v>4.2900000000000001E-2</v>
      </c>
      <c r="P14">
        <v>0</v>
      </c>
      <c r="Q14">
        <v>1765</v>
      </c>
      <c r="R14">
        <v>1724</v>
      </c>
      <c r="S14">
        <v>424.62</v>
      </c>
      <c r="T14">
        <v>424.62</v>
      </c>
      <c r="U14">
        <v>12</v>
      </c>
      <c r="V14">
        <v>12</v>
      </c>
      <c r="W14" t="s">
        <v>292</v>
      </c>
      <c r="X14" s="23">
        <v>0.18</v>
      </c>
      <c r="Y14" s="23">
        <v>0.06</v>
      </c>
      <c r="Z14" s="23">
        <v>1.4999999999999999E-2</v>
      </c>
      <c r="AA14" s="23">
        <v>4.7500000000000001E-2</v>
      </c>
      <c r="AB14" s="23">
        <v>5.0000000000000001E-3</v>
      </c>
      <c r="AC14" s="223">
        <v>44962</v>
      </c>
      <c r="AD14" s="223">
        <f>+Empleador[[#This Row],[COSTO FIJO FATERYH JORNADA COMPLETA]]/2</f>
        <v>22481</v>
      </c>
      <c r="AE14" s="223">
        <f>+Empleador[[#This Row],[COSTO FIJO FATERYH JORNADA COMPLETA]]/200</f>
        <v>224.81</v>
      </c>
    </row>
    <row r="15" spans="1:31" ht="15" customHeight="1" x14ac:dyDescent="0.25">
      <c r="A15">
        <v>30711553165</v>
      </c>
      <c r="B15" t="s">
        <v>174</v>
      </c>
      <c r="C15" t="s">
        <v>175</v>
      </c>
      <c r="D15">
        <v>1115</v>
      </c>
      <c r="E15">
        <v>84390</v>
      </c>
      <c r="F15">
        <v>30</v>
      </c>
      <c r="G15" t="s">
        <v>83</v>
      </c>
      <c r="H15" t="s">
        <v>84</v>
      </c>
      <c r="I15" t="s">
        <v>83</v>
      </c>
      <c r="J15" t="s">
        <v>84</v>
      </c>
      <c r="K15" t="s">
        <v>83</v>
      </c>
      <c r="L15" t="s">
        <v>154</v>
      </c>
      <c r="M15" t="s">
        <v>81</v>
      </c>
      <c r="N15" t="s">
        <v>294</v>
      </c>
      <c r="O15" s="23">
        <v>5.2200000000000003E-2</v>
      </c>
      <c r="P15">
        <v>0</v>
      </c>
      <c r="Q15">
        <v>1765</v>
      </c>
      <c r="R15">
        <v>3448</v>
      </c>
      <c r="S15">
        <v>424.62</v>
      </c>
      <c r="T15">
        <v>849.24</v>
      </c>
      <c r="U15">
        <v>12</v>
      </c>
      <c r="V15">
        <v>5</v>
      </c>
      <c r="W15" t="s">
        <v>292</v>
      </c>
      <c r="X15" s="23">
        <v>0.18</v>
      </c>
      <c r="Y15" s="23">
        <v>0.06</v>
      </c>
      <c r="Z15" s="23">
        <v>1.4999999999999999E-2</v>
      </c>
      <c r="AA15" s="23">
        <v>4.7500000000000001E-2</v>
      </c>
      <c r="AB15" s="23">
        <v>5.0000000000000001E-3</v>
      </c>
      <c r="AC15" s="223">
        <v>44962</v>
      </c>
      <c r="AD15" s="223">
        <f>+Empleador[[#This Row],[COSTO FIJO FATERYH JORNADA COMPLETA]]/2</f>
        <v>22481</v>
      </c>
      <c r="AE15" s="223">
        <f>+Empleador[[#This Row],[COSTO FIJO FATERYH JORNADA COMPLETA]]/200</f>
        <v>224.81</v>
      </c>
    </row>
    <row r="16" spans="1:31" ht="15" customHeight="1" x14ac:dyDescent="0.25">
      <c r="A16">
        <v>30711776903</v>
      </c>
      <c r="B16" t="s">
        <v>176</v>
      </c>
      <c r="C16" t="s">
        <v>177</v>
      </c>
      <c r="D16">
        <v>1008</v>
      </c>
      <c r="E16">
        <v>85010</v>
      </c>
      <c r="F16">
        <v>16</v>
      </c>
      <c r="G16" t="s">
        <v>83</v>
      </c>
      <c r="H16" t="s">
        <v>84</v>
      </c>
      <c r="I16" t="s">
        <v>83</v>
      </c>
      <c r="J16" t="s">
        <v>84</v>
      </c>
      <c r="K16" t="s">
        <v>83</v>
      </c>
      <c r="L16" t="s">
        <v>154</v>
      </c>
      <c r="M16" t="s">
        <v>91</v>
      </c>
      <c r="N16" t="s">
        <v>292</v>
      </c>
      <c r="O16" s="23">
        <v>4.1799999999999997E-2</v>
      </c>
      <c r="P16">
        <v>0</v>
      </c>
      <c r="Q16">
        <v>1765</v>
      </c>
      <c r="R16">
        <v>1724</v>
      </c>
      <c r="S16">
        <v>424.62</v>
      </c>
      <c r="T16">
        <v>424.62</v>
      </c>
      <c r="U16">
        <v>12</v>
      </c>
      <c r="V16">
        <v>6</v>
      </c>
      <c r="W16" t="s">
        <v>292</v>
      </c>
      <c r="X16" s="23">
        <v>0.18</v>
      </c>
      <c r="Y16" s="23">
        <v>0.06</v>
      </c>
      <c r="Z16" s="23">
        <v>1.4999999999999999E-2</v>
      </c>
      <c r="AA16" s="23">
        <v>4.7500000000000001E-2</v>
      </c>
      <c r="AB16" s="23">
        <v>5.0000000000000001E-3</v>
      </c>
      <c r="AC16" s="223">
        <v>44962</v>
      </c>
      <c r="AD16" s="223">
        <f>+Empleador[[#This Row],[COSTO FIJO FATERYH JORNADA COMPLETA]]/2</f>
        <v>22481</v>
      </c>
      <c r="AE16" s="223">
        <f>+Empleador[[#This Row],[COSTO FIJO FATERYH JORNADA COMPLETA]]/200</f>
        <v>224.81</v>
      </c>
    </row>
  </sheetData>
  <pageMargins left="0.7" right="0.7" top="0.75" bottom="0.75" header="0.511811023622047" footer="0.511811023622047"/>
  <pageSetup paperSize="9" orientation="portrait" horizontalDpi="300" verticalDpi="300"/>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3"/>
  <dimension ref="A1:H25"/>
  <sheetViews>
    <sheetView showGridLines="0" zoomScale="85" zoomScaleNormal="85" workbookViewId="0">
      <selection activeCell="H15" sqref="H15"/>
    </sheetView>
  </sheetViews>
  <sheetFormatPr baseColWidth="10" defaultColWidth="10.7109375" defaultRowHeight="15" x14ac:dyDescent="0.25"/>
  <cols>
    <col min="1" max="1" width="59.5703125" customWidth="1"/>
    <col min="2" max="6" width="11.42578125" customWidth="1"/>
    <col min="7" max="7" width="78.5703125" customWidth="1"/>
    <col min="8" max="8" width="12" customWidth="1"/>
    <col min="9" max="9" width="4.42578125" customWidth="1"/>
  </cols>
  <sheetData>
    <row r="1" spans="1:8" ht="15" customHeight="1" x14ac:dyDescent="0.25">
      <c r="A1" s="154" t="s">
        <v>50</v>
      </c>
      <c r="B1" s="152" t="s">
        <v>154</v>
      </c>
      <c r="C1" s="152" t="s">
        <v>157</v>
      </c>
      <c r="D1" s="152" t="s">
        <v>146</v>
      </c>
      <c r="E1" s="153" t="s">
        <v>151</v>
      </c>
      <c r="G1" s="157" t="s">
        <v>407</v>
      </c>
      <c r="H1" s="156" t="s">
        <v>408</v>
      </c>
    </row>
    <row r="2" spans="1:8" ht="15" customHeight="1" x14ac:dyDescent="0.25">
      <c r="A2" s="137" t="s">
        <v>80</v>
      </c>
      <c r="B2" s="138">
        <v>1044417</v>
      </c>
      <c r="C2" s="138">
        <v>1000899</v>
      </c>
      <c r="D2" s="138">
        <v>957382</v>
      </c>
      <c r="E2" s="139">
        <v>870347</v>
      </c>
      <c r="G2" s="137" t="s">
        <v>178</v>
      </c>
      <c r="H2" s="143">
        <v>1860.2</v>
      </c>
    </row>
    <row r="3" spans="1:8" ht="15" customHeight="1" x14ac:dyDescent="0.25">
      <c r="A3" s="137" t="s">
        <v>116</v>
      </c>
      <c r="B3" s="138">
        <v>1211978</v>
      </c>
      <c r="C3" s="138">
        <v>1161479</v>
      </c>
      <c r="D3" s="138">
        <v>1110980</v>
      </c>
      <c r="E3" s="139">
        <v>1009982</v>
      </c>
      <c r="G3" s="137" t="s">
        <v>179</v>
      </c>
      <c r="H3" s="143">
        <v>32039.200000000001</v>
      </c>
    </row>
    <row r="4" spans="1:8" ht="15" customHeight="1" x14ac:dyDescent="0.25">
      <c r="A4" s="137" t="s">
        <v>180</v>
      </c>
      <c r="B4" s="138">
        <v>1044417</v>
      </c>
      <c r="C4" s="138">
        <v>1000899</v>
      </c>
      <c r="D4" s="138">
        <v>957382</v>
      </c>
      <c r="E4" s="139">
        <v>870347</v>
      </c>
      <c r="G4" s="137" t="s">
        <v>181</v>
      </c>
      <c r="H4" s="143">
        <v>6833.8</v>
      </c>
    </row>
    <row r="5" spans="1:8" ht="15" customHeight="1" x14ac:dyDescent="0.25">
      <c r="A5" s="137" t="s">
        <v>182</v>
      </c>
      <c r="B5" s="138">
        <v>1211978</v>
      </c>
      <c r="C5" s="138">
        <v>1161479</v>
      </c>
      <c r="D5" s="138">
        <v>1110980</v>
      </c>
      <c r="E5" s="139">
        <v>1009982</v>
      </c>
      <c r="G5" s="137" t="s">
        <v>69</v>
      </c>
      <c r="H5" s="143">
        <v>10099.799999999999</v>
      </c>
    </row>
    <row r="6" spans="1:8" ht="15" customHeight="1" x14ac:dyDescent="0.25">
      <c r="A6" s="137" t="s">
        <v>86</v>
      </c>
      <c r="B6" s="138">
        <v>605989</v>
      </c>
      <c r="C6" s="138">
        <v>580739</v>
      </c>
      <c r="D6" s="138">
        <v>555490</v>
      </c>
      <c r="E6" s="139">
        <v>504991</v>
      </c>
      <c r="G6" s="137" t="s">
        <v>70</v>
      </c>
      <c r="H6" s="143">
        <v>20199.599999999999</v>
      </c>
    </row>
    <row r="7" spans="1:8" ht="15" customHeight="1" x14ac:dyDescent="0.25">
      <c r="A7" s="137" t="s">
        <v>183</v>
      </c>
      <c r="B7" s="138">
        <v>1044417</v>
      </c>
      <c r="C7" s="138">
        <v>1000899</v>
      </c>
      <c r="D7" s="138">
        <v>957382</v>
      </c>
      <c r="E7" s="139">
        <v>870347</v>
      </c>
      <c r="G7" s="137" t="s">
        <v>71</v>
      </c>
      <c r="H7" s="143">
        <v>25384.799999999999</v>
      </c>
    </row>
    <row r="8" spans="1:8" ht="15" customHeight="1" x14ac:dyDescent="0.25">
      <c r="A8" s="137" t="s">
        <v>184</v>
      </c>
      <c r="B8" s="138">
        <v>1211978</v>
      </c>
      <c r="C8" s="138">
        <v>1161479</v>
      </c>
      <c r="D8" s="138">
        <v>1110980</v>
      </c>
      <c r="E8" s="139">
        <v>1009982</v>
      </c>
      <c r="G8" s="137" t="s">
        <v>185</v>
      </c>
      <c r="H8" s="143">
        <v>37584.800000000003</v>
      </c>
    </row>
    <row r="9" spans="1:8" ht="15" customHeight="1" x14ac:dyDescent="0.25">
      <c r="A9" s="137" t="s">
        <v>186</v>
      </c>
      <c r="B9" s="138">
        <v>1079875</v>
      </c>
      <c r="C9" s="138">
        <v>1034880</v>
      </c>
      <c r="D9" s="138">
        <v>989885</v>
      </c>
      <c r="E9" s="139">
        <v>899896</v>
      </c>
      <c r="G9" s="137" t="s">
        <v>73</v>
      </c>
      <c r="H9" s="143">
        <v>25384.799999999999</v>
      </c>
    </row>
    <row r="10" spans="1:8" ht="15" customHeight="1" x14ac:dyDescent="0.25">
      <c r="A10" s="137" t="s">
        <v>187</v>
      </c>
      <c r="B10" s="138">
        <v>1257849</v>
      </c>
      <c r="C10" s="138">
        <v>1205439</v>
      </c>
      <c r="D10" s="138">
        <v>1153028</v>
      </c>
      <c r="E10" s="139">
        <v>1048208</v>
      </c>
      <c r="G10" s="137" t="s">
        <v>74</v>
      </c>
      <c r="H10" s="142" t="s">
        <v>416</v>
      </c>
    </row>
    <row r="11" spans="1:8" ht="15" customHeight="1" x14ac:dyDescent="0.25">
      <c r="A11" s="137" t="s">
        <v>188</v>
      </c>
      <c r="B11" s="138">
        <v>1504785</v>
      </c>
      <c r="C11" s="138">
        <v>1504785</v>
      </c>
      <c r="D11" s="138">
        <v>1504785</v>
      </c>
      <c r="E11" s="139">
        <v>1504785</v>
      </c>
      <c r="G11" s="137" t="s">
        <v>76</v>
      </c>
      <c r="H11" s="142" t="s">
        <v>417</v>
      </c>
    </row>
    <row r="12" spans="1:8" ht="15" customHeight="1" x14ac:dyDescent="0.25">
      <c r="A12" s="137" t="s">
        <v>189</v>
      </c>
      <c r="B12" s="138">
        <v>1044417</v>
      </c>
      <c r="C12" s="138">
        <v>1000899</v>
      </c>
      <c r="D12" s="138">
        <v>957382</v>
      </c>
      <c r="E12" s="139">
        <v>870347</v>
      </c>
      <c r="G12" s="137" t="s">
        <v>77</v>
      </c>
      <c r="H12" s="143">
        <v>42703.5</v>
      </c>
    </row>
    <row r="13" spans="1:8" ht="15" customHeight="1" x14ac:dyDescent="0.25">
      <c r="A13" s="137" t="s">
        <v>190</v>
      </c>
      <c r="B13" s="138">
        <v>1211978</v>
      </c>
      <c r="C13" s="138">
        <v>1161479</v>
      </c>
      <c r="D13" s="138">
        <v>1110980</v>
      </c>
      <c r="E13" s="139">
        <v>1009982</v>
      </c>
      <c r="G13" s="137" t="s">
        <v>62</v>
      </c>
      <c r="H13" s="143">
        <v>70696.899999999994</v>
      </c>
    </row>
    <row r="14" spans="1:8" ht="15" customHeight="1" x14ac:dyDescent="0.25">
      <c r="A14" s="137" t="s">
        <v>191</v>
      </c>
      <c r="B14" s="138">
        <v>916568</v>
      </c>
      <c r="C14" s="138">
        <v>916568</v>
      </c>
      <c r="D14" s="138">
        <v>916568</v>
      </c>
      <c r="E14" s="139">
        <v>916568</v>
      </c>
      <c r="G14" s="144" t="s">
        <v>192</v>
      </c>
      <c r="H14" s="155">
        <v>100000</v>
      </c>
    </row>
    <row r="15" spans="1:8" ht="15" customHeight="1" x14ac:dyDescent="0.25">
      <c r="A15" s="137" t="s">
        <v>193</v>
      </c>
      <c r="B15" s="138">
        <v>988940</v>
      </c>
      <c r="C15" s="138">
        <v>988940</v>
      </c>
      <c r="D15" s="138">
        <v>988940</v>
      </c>
      <c r="E15" s="139">
        <v>988940</v>
      </c>
    </row>
    <row r="16" spans="1:8" ht="15" customHeight="1" x14ac:dyDescent="0.25">
      <c r="A16" s="137" t="s">
        <v>119</v>
      </c>
      <c r="B16" s="138">
        <v>1085873</v>
      </c>
      <c r="C16" s="138">
        <v>1085873</v>
      </c>
      <c r="D16" s="138">
        <v>1085873</v>
      </c>
      <c r="E16" s="139">
        <v>1085873</v>
      </c>
    </row>
    <row r="17" spans="1:5" ht="15" customHeight="1" x14ac:dyDescent="0.25">
      <c r="A17" s="137" t="s">
        <v>109</v>
      </c>
      <c r="B17" s="138">
        <v>1016107</v>
      </c>
      <c r="C17" s="138">
        <v>1016107</v>
      </c>
      <c r="D17" s="138">
        <v>1016107</v>
      </c>
      <c r="E17" s="139">
        <v>1016107</v>
      </c>
    </row>
    <row r="18" spans="1:5" ht="15" customHeight="1" x14ac:dyDescent="0.25">
      <c r="A18" s="137" t="s">
        <v>194</v>
      </c>
      <c r="B18" s="138">
        <v>508053</v>
      </c>
      <c r="C18" s="138">
        <v>508053</v>
      </c>
      <c r="D18" s="138">
        <v>508053</v>
      </c>
      <c r="E18" s="139">
        <v>508053</v>
      </c>
    </row>
    <row r="19" spans="1:5" ht="15" customHeight="1" x14ac:dyDescent="0.25">
      <c r="A19" s="137" t="s">
        <v>195</v>
      </c>
      <c r="B19" s="138">
        <v>527485</v>
      </c>
      <c r="C19" s="138">
        <v>527485</v>
      </c>
      <c r="D19" s="138">
        <v>527485</v>
      </c>
      <c r="E19" s="139">
        <v>527485</v>
      </c>
    </row>
    <row r="20" spans="1:5" ht="15" customHeight="1" x14ac:dyDescent="0.25">
      <c r="A20" s="137" t="s">
        <v>90</v>
      </c>
      <c r="B20" s="138">
        <v>566849</v>
      </c>
      <c r="C20" s="138">
        <v>566849</v>
      </c>
      <c r="D20" s="138">
        <v>566849</v>
      </c>
      <c r="E20" s="139">
        <v>566849</v>
      </c>
    </row>
    <row r="21" spans="1:5" ht="15" customHeight="1" x14ac:dyDescent="0.25">
      <c r="A21" s="137" t="s">
        <v>196</v>
      </c>
      <c r="B21" s="138">
        <v>996882</v>
      </c>
      <c r="C21" s="138">
        <v>996882</v>
      </c>
      <c r="D21" s="138">
        <v>996882</v>
      </c>
      <c r="E21" s="139">
        <v>996882</v>
      </c>
    </row>
    <row r="22" spans="1:5" ht="15" customHeight="1" x14ac:dyDescent="0.25">
      <c r="A22" s="137" t="s">
        <v>197</v>
      </c>
      <c r="B22" s="138">
        <v>498441</v>
      </c>
      <c r="C22" s="138">
        <v>498441</v>
      </c>
      <c r="D22" s="138">
        <v>498441</v>
      </c>
      <c r="E22" s="139">
        <v>498441</v>
      </c>
    </row>
    <row r="23" spans="1:5" ht="15" customHeight="1" x14ac:dyDescent="0.25">
      <c r="A23" s="137" t="s">
        <v>198</v>
      </c>
      <c r="B23" s="138"/>
      <c r="C23" s="138">
        <v>10395.700000000001</v>
      </c>
      <c r="D23" s="138"/>
      <c r="E23" s="138"/>
    </row>
    <row r="24" spans="1:5" ht="15" customHeight="1" x14ac:dyDescent="0.25">
      <c r="A24" s="140" t="s">
        <v>98</v>
      </c>
      <c r="B24" s="141">
        <v>45395.199999999997</v>
      </c>
      <c r="C24" s="141">
        <v>45395.199999999997</v>
      </c>
      <c r="D24" s="141">
        <v>45395.199999999997</v>
      </c>
      <c r="E24" s="141">
        <v>45395.199999999997</v>
      </c>
    </row>
    <row r="25" spans="1:5" x14ac:dyDescent="0.25">
      <c r="A25" s="140" t="s">
        <v>123</v>
      </c>
      <c r="B25" s="141">
        <v>45395.199999999997</v>
      </c>
      <c r="C25" s="141">
        <v>45395.199999999997</v>
      </c>
      <c r="D25" s="141">
        <v>45395.199999999997</v>
      </c>
      <c r="E25" s="141">
        <v>45395.199999999997</v>
      </c>
    </row>
  </sheetData>
  <pageMargins left="0.7" right="0.7" top="0.75" bottom="0.75" header="0.511811023622047" footer="0.511811023622047"/>
  <pageSetup paperSize="9" orientation="portrait" horizontalDpi="300" verticalDpi="300"/>
  <legacy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4"/>
  <dimension ref="A1:B10"/>
  <sheetViews>
    <sheetView showGridLines="0" zoomScaleNormal="100" workbookViewId="0">
      <selection activeCell="D10" sqref="D10"/>
    </sheetView>
  </sheetViews>
  <sheetFormatPr baseColWidth="10" defaultColWidth="10.7109375" defaultRowHeight="15" x14ac:dyDescent="0.25"/>
  <cols>
    <col min="1" max="1" width="35.42578125" customWidth="1"/>
    <col min="2" max="2" width="13.5703125" style="57" bestFit="1" customWidth="1"/>
  </cols>
  <sheetData>
    <row r="1" spans="1:2" ht="15" customHeight="1" x14ac:dyDescent="0.25">
      <c r="A1" s="154" t="s">
        <v>409</v>
      </c>
      <c r="B1" s="153" t="s">
        <v>410</v>
      </c>
    </row>
    <row r="2" spans="1:2" ht="15" customHeight="1" x14ac:dyDescent="0.25">
      <c r="A2" s="137" t="s">
        <v>20</v>
      </c>
      <c r="B2" s="142">
        <v>0.11</v>
      </c>
    </row>
    <row r="3" spans="1:2" ht="15" customHeight="1" x14ac:dyDescent="0.25">
      <c r="A3" s="137" t="s">
        <v>21</v>
      </c>
      <c r="B3" s="142">
        <v>0.03</v>
      </c>
    </row>
    <row r="4" spans="1:2" ht="15" customHeight="1" x14ac:dyDescent="0.25">
      <c r="A4" s="137" t="s">
        <v>22</v>
      </c>
      <c r="B4" s="142">
        <v>0.03</v>
      </c>
    </row>
    <row r="5" spans="1:2" ht="15" customHeight="1" x14ac:dyDescent="0.25">
      <c r="A5" s="137" t="s">
        <v>23</v>
      </c>
      <c r="B5" s="142"/>
    </row>
    <row r="6" spans="1:2" ht="15" customHeight="1" x14ac:dyDescent="0.25">
      <c r="A6" s="137" t="s">
        <v>24</v>
      </c>
      <c r="B6" s="142">
        <v>0.02</v>
      </c>
    </row>
    <row r="7" spans="1:2" ht="15" customHeight="1" x14ac:dyDescent="0.25">
      <c r="A7" s="137" t="s">
        <v>25</v>
      </c>
      <c r="B7" s="142">
        <v>0.01</v>
      </c>
    </row>
    <row r="8" spans="1:2" ht="15" customHeight="1" x14ac:dyDescent="0.25">
      <c r="A8" s="137" t="s">
        <v>26</v>
      </c>
      <c r="B8" s="142">
        <v>0.01</v>
      </c>
    </row>
    <row r="9" spans="1:2" ht="15" customHeight="1" x14ac:dyDescent="0.25">
      <c r="A9" s="137" t="s">
        <v>27</v>
      </c>
      <c r="B9" s="145">
        <v>7.4999999999999997E-3</v>
      </c>
    </row>
    <row r="10" spans="1:2" x14ac:dyDescent="0.25">
      <c r="A10" s="140" t="s">
        <v>308</v>
      </c>
      <c r="B10" s="146">
        <f>+Escalas!H4</f>
        <v>6833.8</v>
      </c>
    </row>
  </sheetData>
  <pageMargins left="0.7" right="0.7" top="0.75" bottom="0.75" header="0.511811023622047" footer="0.511811023622047"/>
  <pageSetup paperSize="9" orientation="portrait" horizontalDpi="300" verticalDpi="30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A1:CA2"/>
  <sheetViews>
    <sheetView topLeftCell="G1" zoomScaleNormal="100" workbookViewId="0">
      <selection activeCell="R2" sqref="R2"/>
    </sheetView>
  </sheetViews>
  <sheetFormatPr baseColWidth="10" defaultColWidth="10.7109375" defaultRowHeight="15" x14ac:dyDescent="0.25"/>
  <cols>
    <col min="1" max="1" width="12" customWidth="1"/>
    <col min="2" max="2" width="28.28515625" customWidth="1"/>
    <col min="3" max="3" width="13" customWidth="1"/>
    <col min="4" max="4" width="25.140625" customWidth="1"/>
    <col min="5" max="5" width="24.42578125" customWidth="1"/>
    <col min="7" max="7" width="12" customWidth="1"/>
    <col min="9" max="9" width="23.5703125" customWidth="1"/>
    <col min="10" max="10" width="22.28515625" customWidth="1"/>
    <col min="12" max="12" width="17" customWidth="1"/>
    <col min="15" max="15" width="13.5703125" customWidth="1"/>
    <col min="16" max="16" width="20.85546875" customWidth="1"/>
    <col min="17" max="25" width="17.42578125" customWidth="1"/>
    <col min="26" max="26" width="18.42578125" customWidth="1"/>
    <col min="27" max="27" width="18.7109375" customWidth="1"/>
    <col min="28" max="28" width="32.5703125" customWidth="1"/>
    <col min="29" max="29" width="33" customWidth="1"/>
    <col min="30" max="30" width="32.5703125" customWidth="1"/>
    <col min="31" max="31" width="33" customWidth="1"/>
    <col min="32" max="32" width="32.5703125" customWidth="1"/>
    <col min="33" max="33" width="33" customWidth="1"/>
    <col min="34" max="34" width="27.42578125" customWidth="1"/>
    <col min="35" max="35" width="17.7109375" customWidth="1"/>
    <col min="37" max="37" width="13.42578125" customWidth="1"/>
    <col min="38" max="38" width="22.140625" customWidth="1"/>
    <col min="39" max="39" width="21.42578125" customWidth="1"/>
    <col min="40" max="40" width="26.85546875" customWidth="1"/>
    <col min="42" max="42" width="13" customWidth="1"/>
    <col min="44" max="44" width="22" customWidth="1"/>
    <col min="45" max="45" width="20.28515625" customWidth="1"/>
    <col min="46" max="46" width="31" customWidth="1"/>
    <col min="47" max="47" width="27.28515625" customWidth="1"/>
    <col min="48" max="48" width="24.5703125" customWidth="1"/>
    <col min="49" max="49" width="24.85546875" customWidth="1"/>
    <col min="50" max="50" width="19.85546875" customWidth="1"/>
    <col min="51" max="51" width="22" customWidth="1"/>
    <col min="52" max="52" width="24.5703125" customWidth="1"/>
    <col min="53" max="53" width="22.85546875" customWidth="1"/>
    <col min="54" max="54" width="21.85546875" customWidth="1"/>
    <col min="55" max="55" width="28.85546875" customWidth="1"/>
    <col min="56" max="56" width="23.85546875" customWidth="1"/>
    <col min="57" max="57" width="22" customWidth="1"/>
    <col min="58" max="58" width="23.140625" customWidth="1"/>
    <col min="59" max="59" width="18.7109375" customWidth="1"/>
    <col min="60" max="60" width="19.5703125" customWidth="1"/>
    <col min="61" max="61" width="14.5703125" customWidth="1"/>
    <col min="62" max="62" width="23.28515625" customWidth="1"/>
    <col min="63" max="63" width="16.5703125" customWidth="1"/>
    <col min="64" max="64" width="16.42578125" customWidth="1"/>
    <col min="65" max="65" width="22.7109375" customWidth="1"/>
    <col min="66" max="66" width="23.140625" customWidth="1"/>
    <col min="67" max="67" width="23.85546875" customWidth="1"/>
    <col min="68" max="68" width="17.42578125" customWidth="1"/>
    <col min="69" max="69" width="23" customWidth="1"/>
    <col min="70" max="70" width="17.42578125" customWidth="1"/>
    <col min="71" max="71" width="26.140625" customWidth="1"/>
    <col min="72" max="72" width="18.85546875" customWidth="1"/>
    <col min="73" max="73" width="24.28515625" customWidth="1"/>
    <col min="74" max="74" width="12.140625" customWidth="1"/>
    <col min="75" max="76" width="23.5703125" customWidth="1"/>
    <col min="77" max="77" width="17.85546875" customWidth="1"/>
  </cols>
  <sheetData>
    <row r="1" spans="1:79" ht="27.75" customHeight="1" x14ac:dyDescent="0.25">
      <c r="A1" s="24" t="s">
        <v>4</v>
      </c>
      <c r="B1" s="25" t="s">
        <v>199</v>
      </c>
      <c r="C1" s="25" t="s">
        <v>22</v>
      </c>
      <c r="D1" s="25" t="s">
        <v>200</v>
      </c>
      <c r="E1" s="25" t="s">
        <v>201</v>
      </c>
      <c r="F1" s="25" t="s">
        <v>202</v>
      </c>
      <c r="G1" s="25" t="s">
        <v>203</v>
      </c>
      <c r="H1" s="25" t="s">
        <v>204</v>
      </c>
      <c r="I1" s="25" t="s">
        <v>205</v>
      </c>
      <c r="J1" s="25" t="s">
        <v>206</v>
      </c>
      <c r="K1" s="25" t="s">
        <v>207</v>
      </c>
      <c r="L1" s="25" t="s">
        <v>208</v>
      </c>
      <c r="M1" s="25" t="s">
        <v>209</v>
      </c>
      <c r="N1" s="25" t="s">
        <v>210</v>
      </c>
      <c r="O1" s="25" t="s">
        <v>211</v>
      </c>
      <c r="P1" s="25" t="s">
        <v>212</v>
      </c>
      <c r="Q1" s="25" t="s">
        <v>213</v>
      </c>
      <c r="R1" s="25" t="s">
        <v>214</v>
      </c>
      <c r="S1" s="25" t="s">
        <v>215</v>
      </c>
      <c r="T1" s="25" t="s">
        <v>216</v>
      </c>
      <c r="U1" s="25" t="s">
        <v>217</v>
      </c>
      <c r="V1" s="25" t="s">
        <v>218</v>
      </c>
      <c r="W1" s="25" t="s">
        <v>219</v>
      </c>
      <c r="X1" s="25" t="s">
        <v>220</v>
      </c>
      <c r="Y1" s="25" t="s">
        <v>221</v>
      </c>
      <c r="Z1" s="25" t="s">
        <v>222</v>
      </c>
      <c r="AA1" s="25" t="s">
        <v>223</v>
      </c>
      <c r="AB1" s="25" t="s">
        <v>224</v>
      </c>
      <c r="AC1" s="25" t="s">
        <v>225</v>
      </c>
      <c r="AD1" s="25" t="s">
        <v>226</v>
      </c>
      <c r="AE1" s="25" t="s">
        <v>227</v>
      </c>
      <c r="AF1" s="25" t="s">
        <v>228</v>
      </c>
      <c r="AG1" s="25" t="s">
        <v>229</v>
      </c>
      <c r="AH1" s="25" t="s">
        <v>230</v>
      </c>
      <c r="AI1" s="25" t="s">
        <v>231</v>
      </c>
      <c r="AJ1" s="25" t="s">
        <v>232</v>
      </c>
      <c r="AK1" s="25" t="s">
        <v>233</v>
      </c>
      <c r="AL1" s="25" t="s">
        <v>234</v>
      </c>
      <c r="AM1" s="25" t="s">
        <v>235</v>
      </c>
      <c r="AN1" s="25" t="s">
        <v>236</v>
      </c>
      <c r="AO1" s="25" t="s">
        <v>237</v>
      </c>
      <c r="AP1" s="25" t="s">
        <v>238</v>
      </c>
      <c r="AQ1" s="25" t="s">
        <v>239</v>
      </c>
      <c r="AR1" s="25" t="s">
        <v>240</v>
      </c>
      <c r="AS1" s="25" t="s">
        <v>241</v>
      </c>
      <c r="AT1" s="25" t="s">
        <v>242</v>
      </c>
      <c r="AU1" s="25" t="s">
        <v>243</v>
      </c>
      <c r="AV1" s="25" t="s">
        <v>244</v>
      </c>
      <c r="AW1" s="25" t="s">
        <v>245</v>
      </c>
      <c r="AX1" s="25" t="s">
        <v>246</v>
      </c>
      <c r="AY1" s="25" t="s">
        <v>247</v>
      </c>
      <c r="AZ1" s="25" t="s">
        <v>248</v>
      </c>
      <c r="BA1" s="25" t="s">
        <v>249</v>
      </c>
      <c r="BB1" s="25" t="s">
        <v>250</v>
      </c>
      <c r="BC1" s="25" t="s">
        <v>251</v>
      </c>
      <c r="BD1" s="25" t="s">
        <v>252</v>
      </c>
      <c r="BE1" s="25" t="s">
        <v>253</v>
      </c>
      <c r="BF1" s="25" t="s">
        <v>254</v>
      </c>
      <c r="BG1" s="25" t="s">
        <v>255</v>
      </c>
      <c r="BH1" s="25" t="s">
        <v>256</v>
      </c>
      <c r="BI1" s="25" t="s">
        <v>257</v>
      </c>
      <c r="BJ1" s="25" t="s">
        <v>258</v>
      </c>
      <c r="BK1" s="25" t="s">
        <v>259</v>
      </c>
      <c r="BL1" s="25" t="s">
        <v>260</v>
      </c>
      <c r="BM1" s="25" t="s">
        <v>261</v>
      </c>
      <c r="BN1" s="25" t="s">
        <v>262</v>
      </c>
      <c r="BO1" s="25" t="s">
        <v>263</v>
      </c>
      <c r="BP1" s="25" t="s">
        <v>264</v>
      </c>
      <c r="BQ1" s="25" t="s">
        <v>265</v>
      </c>
      <c r="BR1" s="25" t="s">
        <v>266</v>
      </c>
      <c r="BS1" s="25" t="s">
        <v>267</v>
      </c>
      <c r="BT1" s="25" t="s">
        <v>268</v>
      </c>
      <c r="BU1" s="25" t="s">
        <v>269</v>
      </c>
      <c r="BV1" s="25" t="s">
        <v>270</v>
      </c>
      <c r="BW1" s="25" t="s">
        <v>271</v>
      </c>
      <c r="BX1" s="25" t="s">
        <v>272</v>
      </c>
      <c r="BY1" s="25" t="s">
        <v>273</v>
      </c>
      <c r="BZ1" s="26" t="s">
        <v>274</v>
      </c>
      <c r="CA1" s="26" t="s">
        <v>275</v>
      </c>
    </row>
    <row r="2" spans="1:79" ht="15" customHeight="1" x14ac:dyDescent="0.25">
      <c r="A2" s="27">
        <v>20942335351</v>
      </c>
      <c r="B2" s="28" t="s">
        <v>276</v>
      </c>
      <c r="C2" s="28">
        <v>106500</v>
      </c>
      <c r="D2" s="28" t="s">
        <v>277</v>
      </c>
      <c r="E2" s="28" t="s">
        <v>278</v>
      </c>
      <c r="F2" s="28">
        <v>1</v>
      </c>
      <c r="G2" s="28">
        <v>1</v>
      </c>
      <c r="H2" s="28">
        <v>49</v>
      </c>
      <c r="I2" s="28">
        <v>8</v>
      </c>
      <c r="J2" s="28">
        <v>0</v>
      </c>
      <c r="K2" s="28">
        <v>1</v>
      </c>
      <c r="L2" s="28">
        <v>0</v>
      </c>
      <c r="M2" s="28" t="s">
        <v>277</v>
      </c>
      <c r="N2" s="28">
        <v>0</v>
      </c>
      <c r="O2" s="28">
        <v>0</v>
      </c>
      <c r="P2" s="29">
        <v>1687135.87</v>
      </c>
      <c r="Q2" s="29">
        <v>1687135.1</v>
      </c>
      <c r="R2" s="29">
        <v>1687135.1</v>
      </c>
      <c r="S2" s="29">
        <v>1687135.1</v>
      </c>
      <c r="T2" s="29">
        <v>1687135.1</v>
      </c>
      <c r="U2" s="29">
        <v>1687135.1</v>
      </c>
      <c r="V2" s="30">
        <v>0</v>
      </c>
      <c r="W2" s="30">
        <v>0</v>
      </c>
      <c r="X2" s="29">
        <v>1687135.1</v>
      </c>
      <c r="Y2" s="29">
        <v>1687135.1</v>
      </c>
      <c r="Z2" s="29">
        <v>1680131.42</v>
      </c>
      <c r="AA2" s="29">
        <v>7003.68</v>
      </c>
      <c r="AB2" s="30">
        <v>1</v>
      </c>
      <c r="AC2" s="30">
        <v>1</v>
      </c>
      <c r="AD2" s="30"/>
      <c r="AE2" s="30">
        <v>0</v>
      </c>
      <c r="AF2" s="30"/>
      <c r="AG2" s="30">
        <v>0</v>
      </c>
      <c r="AH2" s="30">
        <v>30</v>
      </c>
      <c r="AI2" s="30">
        <v>0</v>
      </c>
      <c r="AJ2" s="29">
        <v>1110980</v>
      </c>
      <c r="AK2" s="29">
        <v>576155.1</v>
      </c>
      <c r="AL2" s="30">
        <v>0</v>
      </c>
      <c r="AM2" s="30">
        <v>0</v>
      </c>
      <c r="AN2" s="30">
        <v>0</v>
      </c>
      <c r="AO2" s="30">
        <v>0</v>
      </c>
      <c r="AP2" s="30">
        <v>0</v>
      </c>
      <c r="AQ2" s="30">
        <v>0</v>
      </c>
      <c r="AR2" s="30">
        <v>0.77</v>
      </c>
      <c r="AS2" s="30">
        <v>0</v>
      </c>
      <c r="AT2" s="30">
        <v>0</v>
      </c>
      <c r="AU2" s="30">
        <v>0</v>
      </c>
      <c r="AV2" s="30">
        <v>0</v>
      </c>
      <c r="AW2" s="29">
        <v>180950.15</v>
      </c>
      <c r="AX2" s="29">
        <v>26714.09</v>
      </c>
      <c r="AY2" s="30">
        <v>0</v>
      </c>
      <c r="AZ2" s="30">
        <v>0</v>
      </c>
      <c r="BA2" s="29">
        <v>15793.24</v>
      </c>
      <c r="BB2" s="29">
        <v>15184.22</v>
      </c>
      <c r="BC2" s="29">
        <v>78966.179999999993</v>
      </c>
      <c r="BD2" s="29">
        <v>317607.88</v>
      </c>
      <c r="BE2" s="30">
        <v>0</v>
      </c>
      <c r="BF2" s="30">
        <v>0</v>
      </c>
      <c r="BG2" s="30">
        <v>0</v>
      </c>
      <c r="BH2" s="29">
        <v>185584.86</v>
      </c>
      <c r="BI2" s="29">
        <v>50614.05</v>
      </c>
      <c r="BJ2" s="30">
        <v>0</v>
      </c>
      <c r="BK2" s="29">
        <v>7592.11</v>
      </c>
      <c r="BL2" s="30">
        <v>0</v>
      </c>
      <c r="BM2" s="30">
        <v>0</v>
      </c>
      <c r="BN2" s="30">
        <v>0</v>
      </c>
      <c r="BO2" s="30">
        <v>0</v>
      </c>
      <c r="BP2" s="29">
        <v>243791.02</v>
      </c>
      <c r="BQ2" s="30">
        <v>0</v>
      </c>
      <c r="BR2" s="29">
        <v>86043.89</v>
      </c>
      <c r="BS2" s="30">
        <v>0</v>
      </c>
      <c r="BT2" s="30">
        <v>0</v>
      </c>
      <c r="BU2" s="29">
        <v>86043.89</v>
      </c>
      <c r="BV2" s="29">
        <v>43021.95</v>
      </c>
      <c r="BW2" s="30">
        <v>0</v>
      </c>
      <c r="BX2" s="30">
        <v>0</v>
      </c>
      <c r="BY2" s="29">
        <v>43021.95</v>
      </c>
      <c r="BZ2" s="31" t="s">
        <v>279</v>
      </c>
    </row>
  </sheetData>
  <pageMargins left="0.7" right="0.7" top="0.75" bottom="0.75" header="0.511811023622047" footer="0.511811023622047"/>
  <pageSetup paperSize="9" orientation="portrait" horizontalDpi="300" verticalDpi="30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6"/>
  <dimension ref="A1:E18"/>
  <sheetViews>
    <sheetView zoomScaleNormal="100" workbookViewId="0">
      <selection activeCell="A16" sqref="A16"/>
    </sheetView>
  </sheetViews>
  <sheetFormatPr baseColWidth="10" defaultColWidth="10.7109375" defaultRowHeight="15" x14ac:dyDescent="0.25"/>
  <cols>
    <col min="1" max="1" width="12" customWidth="1"/>
    <col min="2" max="2" width="109.7109375" customWidth="1"/>
    <col min="3" max="3" width="13.5703125" bestFit="1" customWidth="1"/>
    <col min="4" max="4" width="11.28515625" bestFit="1" customWidth="1"/>
    <col min="5" max="5" width="12" bestFit="1" customWidth="1"/>
  </cols>
  <sheetData>
    <row r="1" spans="1:5" ht="15" customHeight="1" x14ac:dyDescent="0.25">
      <c r="A1" s="33" t="s">
        <v>1</v>
      </c>
      <c r="B1" s="165" t="s">
        <v>280</v>
      </c>
      <c r="C1" s="33" t="s">
        <v>281</v>
      </c>
      <c r="D1" s="33" t="s">
        <v>12</v>
      </c>
      <c r="E1" s="33" t="s">
        <v>13</v>
      </c>
    </row>
    <row r="2" spans="1:5" ht="15" customHeight="1" x14ac:dyDescent="0.25">
      <c r="A2">
        <v>30519077635</v>
      </c>
      <c r="B2" t="str">
        <f>+VLOOKUP(PAGOS[[#This Row],[CUIT]],Empleador[],2,FALSE())</f>
        <v>CONS PROP SGO DEL ESTERO 336 46 CAP FED</v>
      </c>
      <c r="C2" s="163">
        <v>45992</v>
      </c>
      <c r="D2" s="164">
        <v>46028</v>
      </c>
      <c r="E2" t="str">
        <f>+VLOOKUP(PAGOS[[#This Row],[CUIT]],Empleador[],13,FALSE())</f>
        <v>GALICIA</v>
      </c>
    </row>
    <row r="3" spans="1:5" ht="15" customHeight="1" x14ac:dyDescent="0.25">
      <c r="A3">
        <v>30532673484</v>
      </c>
      <c r="B3" t="str">
        <f>+VLOOKUP(PAGOS[[#This Row],[CUIT]],Empleador[],2,FALSE())</f>
        <v>CONSORCIO DE PROPIETARIOS LIMA 461/67/73</v>
      </c>
      <c r="C3" s="163">
        <v>45992</v>
      </c>
      <c r="D3" s="164">
        <v>46028</v>
      </c>
      <c r="E3" t="str">
        <f>+VLOOKUP(PAGOS[[#This Row],[CUIT]],Empleador[],13,FALSE())</f>
        <v>SANTANDER</v>
      </c>
    </row>
    <row r="4" spans="1:5" ht="15" customHeight="1" x14ac:dyDescent="0.25">
      <c r="A4">
        <v>30536354154</v>
      </c>
      <c r="B4" t="str">
        <f>+VLOOKUP(PAGOS[[#This Row],[CUIT]],Empleador[],2,FALSE())</f>
        <v>CONSORCIO DE PROPIETARIOS SAN JOSE 369</v>
      </c>
      <c r="C4" s="163">
        <v>45992</v>
      </c>
      <c r="D4" s="164">
        <v>46028</v>
      </c>
      <c r="E4" t="str">
        <f>+VLOOKUP(PAGOS[[#This Row],[CUIT]],Empleador[],13,FALSE())</f>
        <v>SANTANDER</v>
      </c>
    </row>
    <row r="5" spans="1:5" ht="15" customHeight="1" x14ac:dyDescent="0.25">
      <c r="A5">
        <v>30537480544</v>
      </c>
      <c r="B5" t="str">
        <f>+VLOOKUP(PAGOS[[#This Row],[CUIT]],Empleador[],2,FALSE())</f>
        <v>CONS DE PROP AV BELGRANO 1266/70/76</v>
      </c>
      <c r="C5" s="163">
        <v>45992</v>
      </c>
      <c r="D5" s="164">
        <v>46028</v>
      </c>
      <c r="E5" t="str">
        <f>+VLOOKUP(PAGOS[[#This Row],[CUIT]],Empleador[],13,FALSE())</f>
        <v>GALICIA</v>
      </c>
    </row>
    <row r="6" spans="1:5" ht="15" customHeight="1" x14ac:dyDescent="0.25">
      <c r="A6">
        <v>30538590009</v>
      </c>
      <c r="B6" t="str">
        <f>+VLOOKUP(PAGOS[[#This Row],[CUIT]],Empleador[],2,FALSE())</f>
        <v>CONSORCIO DE PROPIETARIOS RODRIGUEZ PEÑA 1351</v>
      </c>
      <c r="C6" s="163">
        <v>45992</v>
      </c>
      <c r="D6" s="164">
        <v>46028</v>
      </c>
      <c r="E6" t="str">
        <f>+VLOOKUP(PAGOS[[#This Row],[CUIT]],Empleador[],13,FALSE())</f>
        <v>SANTANDER</v>
      </c>
    </row>
    <row r="7" spans="1:5" ht="15" customHeight="1" x14ac:dyDescent="0.25">
      <c r="A7">
        <v>30540188609</v>
      </c>
      <c r="B7" t="e">
        <f>+VLOOKUP(PAGOS[[#This Row],[CUIT]],Empleador[],2,FALSE())</f>
        <v>#N/A</v>
      </c>
      <c r="C7" s="163">
        <v>45992</v>
      </c>
      <c r="D7" s="164">
        <v>46028</v>
      </c>
      <c r="E7" t="e">
        <f>+VLOOKUP(PAGOS[[#This Row],[CUIT]],Empleador[],13,FALSE())</f>
        <v>#N/A</v>
      </c>
    </row>
    <row r="8" spans="1:5" ht="15" customHeight="1" x14ac:dyDescent="0.25">
      <c r="A8">
        <v>30540887752</v>
      </c>
      <c r="B8" t="str">
        <f>+VLOOKUP(PAGOS[[#This Row],[CUIT]],Empleador[],2,FALSE())</f>
        <v>CONSORCIO DE COPROPIETARIOS ARENALES 2120 24</v>
      </c>
      <c r="C8" s="163">
        <v>45992</v>
      </c>
      <c r="D8" s="164">
        <v>46028</v>
      </c>
      <c r="E8" t="str">
        <f>+VLOOKUP(PAGOS[[#This Row],[CUIT]],Empleador[],13,FALSE())</f>
        <v>SANTANDER</v>
      </c>
    </row>
    <row r="9" spans="1:5" ht="15" customHeight="1" x14ac:dyDescent="0.25">
      <c r="A9">
        <v>30559333022</v>
      </c>
      <c r="B9" t="str">
        <f>+VLOOKUP(PAGOS[[#This Row],[CUIT]],Empleador[],2,FALSE())</f>
        <v>CONSORCIO DE PROPIETARIOS DEL EDIFICIO PALOS 285</v>
      </c>
      <c r="C9" s="163">
        <v>45992</v>
      </c>
      <c r="D9" s="164">
        <v>46028</v>
      </c>
      <c r="E9" t="str">
        <f>+VLOOKUP(PAGOS[[#This Row],[CUIT]],Empleador[],13,FALSE())</f>
        <v>BBVA</v>
      </c>
    </row>
    <row r="10" spans="1:5" ht="15" customHeight="1" x14ac:dyDescent="0.25">
      <c r="A10">
        <v>30580260906</v>
      </c>
      <c r="B10" t="str">
        <f>+VLOOKUP(PAGOS[[#This Row],[CUIT]],Empleador[],2,FALSE())</f>
        <v>CONSORCIO DE PROPIETARIOS URUGUAY 1025 27 29</v>
      </c>
      <c r="C10" s="163">
        <v>45992</v>
      </c>
      <c r="D10" s="164">
        <v>46028</v>
      </c>
      <c r="E10" t="str">
        <f>+VLOOKUP(PAGOS[[#This Row],[CUIT]],Empleador[],13,FALSE())</f>
        <v>ICBC</v>
      </c>
    </row>
    <row r="11" spans="1:5" ht="15" customHeight="1" x14ac:dyDescent="0.25">
      <c r="A11">
        <v>30604528166</v>
      </c>
      <c r="B11" t="str">
        <f>+VLOOKUP(PAGOS[[#This Row],[CUIT]],Empleador[],2,FALSE())</f>
        <v>CONSORCIO DE PROPIETARIOS ALTE BROWN 720</v>
      </c>
      <c r="C11" s="163">
        <v>45992</v>
      </c>
      <c r="D11" s="164">
        <v>46028</v>
      </c>
      <c r="E11" t="str">
        <f>+VLOOKUP(PAGOS[[#This Row],[CUIT]],Empleador[],13,FALSE())</f>
        <v>BBVA</v>
      </c>
    </row>
    <row r="12" spans="1:5" ht="15" customHeight="1" x14ac:dyDescent="0.25">
      <c r="A12">
        <v>30630042670</v>
      </c>
      <c r="B12" t="str">
        <f>+VLOOKUP(PAGOS[[#This Row],[CUIT]],Empleador[],2,FALSE())</f>
        <v>CONSORCIO PROPIETARIOS DE LA FINCA CALLE ARENALES 1648 50</v>
      </c>
      <c r="C12" s="163">
        <v>45992</v>
      </c>
      <c r="D12" s="164">
        <v>46028</v>
      </c>
      <c r="E12" t="str">
        <f>+VLOOKUP(PAGOS[[#This Row],[CUIT]],Empleador[],13,FALSE())</f>
        <v>SANTANDER</v>
      </c>
    </row>
    <row r="13" spans="1:5" ht="15" customHeight="1" x14ac:dyDescent="0.25">
      <c r="A13">
        <v>30661488618</v>
      </c>
      <c r="B13" t="str">
        <f>+VLOOKUP(PAGOS[[#This Row],[CUIT]],Empleador[],2,FALSE())</f>
        <v>CONSORCIO AV MONTES DE OCA 1068</v>
      </c>
      <c r="C13" s="163">
        <v>45992</v>
      </c>
      <c r="D13" s="164">
        <v>46028</v>
      </c>
      <c r="E13" t="str">
        <f>+VLOOKUP(PAGOS[[#This Row],[CUIT]],Empleador[],13,FALSE())</f>
        <v>SANTANDER</v>
      </c>
    </row>
    <row r="14" spans="1:5" ht="15" customHeight="1" x14ac:dyDescent="0.25">
      <c r="A14">
        <v>30703058473</v>
      </c>
      <c r="B14" t="e">
        <f>+VLOOKUP(PAGOS[[#This Row],[CUIT]],Empleador[],2,FALSE())</f>
        <v>#N/A</v>
      </c>
      <c r="C14" s="163">
        <v>45992</v>
      </c>
      <c r="D14" s="164">
        <v>46028</v>
      </c>
      <c r="E14" t="e">
        <f>+VLOOKUP(PAGOS[[#This Row],[CUIT]],Empleador[],13,FALSE())</f>
        <v>#N/A</v>
      </c>
    </row>
    <row r="15" spans="1:5" ht="15" customHeight="1" x14ac:dyDescent="0.25">
      <c r="A15">
        <v>30707887628</v>
      </c>
      <c r="B15" t="str">
        <f>+VLOOKUP(PAGOS[[#This Row],[CUIT]],Empleador[],2,FALSE())</f>
        <v>CONS PROP DE LA AV HIPOLITO YRIGOYEN 3601 11 ESQ BOEDO 197 197A</v>
      </c>
      <c r="C15" s="163">
        <v>45992</v>
      </c>
      <c r="D15" s="164">
        <v>46028</v>
      </c>
      <c r="E15" t="str">
        <f>+VLOOKUP(PAGOS[[#This Row],[CUIT]],Empleador[],13,FALSE())</f>
        <v>SANTANDER</v>
      </c>
    </row>
    <row r="16" spans="1:5" ht="15" customHeight="1" x14ac:dyDescent="0.25">
      <c r="A16">
        <v>30711283338</v>
      </c>
      <c r="B16" t="str">
        <f>+VLOOKUP(PAGOS[[#This Row],[CUIT]],Empleador[],2,FALSE())</f>
        <v>CONSORCIO DE PROPIETARIOS SALTA 555 59</v>
      </c>
      <c r="C16" s="163">
        <v>45992</v>
      </c>
      <c r="D16" s="164">
        <v>46028</v>
      </c>
      <c r="E16" t="str">
        <f>+VLOOKUP(PAGOS[[#This Row],[CUIT]],Empleador[],13,FALSE())</f>
        <v>SANTANDER</v>
      </c>
    </row>
    <row r="17" spans="1:5" ht="15" customHeight="1" x14ac:dyDescent="0.25">
      <c r="A17">
        <v>30711553165</v>
      </c>
      <c r="B17" t="str">
        <f>+VLOOKUP(PAGOS[[#This Row],[CUIT]],Empleador[],2,FALSE())</f>
        <v>CONSORCIO DE PROPIETARIOS AZCUENAGA 1570 IQ-RECOLETA</v>
      </c>
      <c r="C17" s="163">
        <v>45992</v>
      </c>
      <c r="D17" s="164">
        <v>46028</v>
      </c>
      <c r="E17" t="str">
        <f>+VLOOKUP(PAGOS[[#This Row],[CUIT]],Empleador[],13,FALSE())</f>
        <v>GALICIA</v>
      </c>
    </row>
    <row r="18" spans="1:5" ht="15" customHeight="1" x14ac:dyDescent="0.25">
      <c r="A18">
        <v>30711776903</v>
      </c>
      <c r="B18" t="str">
        <f>+VLOOKUP(PAGOS[[#This Row],[CUIT]],Empleador[],2,FALSE())</f>
        <v>CONSORCIO DE PROPIETARIOS CALLE SANCHEZ DE BUSTAMANTE 2466,2468 Y 2472, CABA</v>
      </c>
      <c r="C18" s="163">
        <v>45992</v>
      </c>
      <c r="D18" s="164">
        <v>46028</v>
      </c>
      <c r="E18" t="str">
        <f>+VLOOKUP(PAGOS[[#This Row],[CUIT]],Empleador[],13,FALSE())</f>
        <v>SANTANDER</v>
      </c>
    </row>
  </sheetData>
  <pageMargins left="0.7" right="0.7" top="0.75" bottom="0.75" header="0.511811023622047" footer="0.511811023622047"/>
  <pageSetup paperSize="9" orientation="portrait" horizontalDpi="300" verticalDpi="30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7"/>
  <dimension ref="A1:F4"/>
  <sheetViews>
    <sheetView zoomScaleNormal="100" workbookViewId="0">
      <selection activeCell="C1" sqref="C1"/>
    </sheetView>
  </sheetViews>
  <sheetFormatPr baseColWidth="10" defaultColWidth="10.7109375" defaultRowHeight="15" x14ac:dyDescent="0.25"/>
  <cols>
    <col min="1" max="1" width="36.28515625" customWidth="1"/>
  </cols>
  <sheetData>
    <row r="1" spans="1:6" ht="30" customHeight="1" x14ac:dyDescent="0.25">
      <c r="A1" t="s">
        <v>282</v>
      </c>
      <c r="B1" s="32" t="s">
        <v>283</v>
      </c>
      <c r="C1" s="33" t="s">
        <v>274</v>
      </c>
      <c r="D1" s="32" t="s">
        <v>284</v>
      </c>
      <c r="E1" s="32" t="s">
        <v>285</v>
      </c>
      <c r="F1" s="32" t="s">
        <v>286</v>
      </c>
    </row>
    <row r="2" spans="1:6" ht="15" customHeight="1" x14ac:dyDescent="0.25">
      <c r="A2" t="s">
        <v>24</v>
      </c>
      <c r="B2">
        <v>1.5</v>
      </c>
    </row>
    <row r="3" spans="1:6" ht="15" customHeight="1" x14ac:dyDescent="0.25">
      <c r="A3" t="s">
        <v>287</v>
      </c>
      <c r="B3">
        <v>0.05</v>
      </c>
    </row>
    <row r="4" spans="1:6" ht="15" customHeight="1" x14ac:dyDescent="0.25">
      <c r="A4" t="s">
        <v>26</v>
      </c>
      <c r="B4">
        <v>4.75</v>
      </c>
      <c r="C4" s="35">
        <v>46143</v>
      </c>
      <c r="D4">
        <v>44962</v>
      </c>
      <c r="E4">
        <f>+D4/2</f>
        <v>22481</v>
      </c>
      <c r="F4">
        <f>+D4/200</f>
        <v>224.81</v>
      </c>
    </row>
  </sheetData>
  <pageMargins left="0.7" right="0.7" top="0.75" bottom="0.75"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8"/>
  <dimension ref="A1:R222"/>
  <sheetViews>
    <sheetView showGridLines="0" zoomScale="98" zoomScaleNormal="98" workbookViewId="0">
      <pane xSplit="4" ySplit="1" topLeftCell="H60" activePane="bottomRight" state="frozen"/>
      <selection pane="topRight" activeCell="E1" sqref="E1"/>
      <selection pane="bottomLeft" activeCell="A2" sqref="A2"/>
      <selection pane="bottomRight" activeCell="H75" sqref="H75"/>
    </sheetView>
  </sheetViews>
  <sheetFormatPr baseColWidth="10" defaultColWidth="10.7109375" defaultRowHeight="15" x14ac:dyDescent="0.25"/>
  <cols>
    <col min="1" max="1" width="12" customWidth="1"/>
    <col min="2" max="2" width="31" bestFit="1" customWidth="1"/>
    <col min="3" max="3" width="31" customWidth="1"/>
    <col min="5" max="5" width="28" bestFit="1" customWidth="1"/>
    <col min="6" max="6" width="21.5703125" bestFit="1" customWidth="1"/>
    <col min="7" max="7" width="26.85546875" bestFit="1" customWidth="1"/>
    <col min="8" max="8" width="27.85546875" bestFit="1" customWidth="1"/>
    <col min="9" max="9" width="28.42578125" bestFit="1" customWidth="1"/>
    <col min="10" max="10" width="17.42578125" bestFit="1" customWidth="1"/>
    <col min="11" max="11" width="26" bestFit="1" customWidth="1"/>
    <col min="12" max="12" width="32.28515625" customWidth="1"/>
    <col min="13" max="13" width="11" bestFit="1" customWidth="1"/>
    <col min="14" max="14" width="19.5703125" bestFit="1" customWidth="1"/>
    <col min="15" max="15" width="25.42578125" bestFit="1" customWidth="1"/>
    <col min="16" max="16" width="22.85546875" bestFit="1" customWidth="1"/>
    <col min="17" max="17" width="11.5703125" bestFit="1" customWidth="1"/>
    <col min="18" max="18" width="21" bestFit="1" customWidth="1"/>
  </cols>
  <sheetData>
    <row r="1" spans="1:18" ht="15" customHeight="1" x14ac:dyDescent="0.25">
      <c r="A1" s="147" t="s">
        <v>4</v>
      </c>
      <c r="B1" s="36" t="s">
        <v>3</v>
      </c>
      <c r="C1" s="66" t="s">
        <v>1</v>
      </c>
      <c r="D1" s="136" t="s">
        <v>281</v>
      </c>
      <c r="E1" s="136" t="s">
        <v>307</v>
      </c>
      <c r="F1" s="136" t="s">
        <v>324</v>
      </c>
      <c r="G1" s="136" t="s">
        <v>325</v>
      </c>
      <c r="H1" s="136" t="s">
        <v>314</v>
      </c>
      <c r="I1" s="136" t="s">
        <v>315</v>
      </c>
      <c r="J1" s="136" t="s">
        <v>316</v>
      </c>
      <c r="K1" s="136" t="s">
        <v>318</v>
      </c>
      <c r="L1" s="136" t="s">
        <v>19</v>
      </c>
      <c r="M1" s="136" t="s">
        <v>320</v>
      </c>
      <c r="N1" s="136" t="s">
        <v>322</v>
      </c>
      <c r="O1" s="136" t="s">
        <v>323</v>
      </c>
      <c r="P1" t="s">
        <v>332</v>
      </c>
      <c r="Q1" t="s">
        <v>333</v>
      </c>
      <c r="R1" s="159" t="s">
        <v>415</v>
      </c>
    </row>
    <row r="2" spans="1:18" hidden="1" x14ac:dyDescent="0.25">
      <c r="A2" s="135">
        <v>20283772323</v>
      </c>
      <c r="B2" s="133" t="str">
        <f>+VLOOKUP(Novedades[[#This Row],[CUIL]],Empleados[],2,FALSE)</f>
        <v>RIOS LUIS ALBERTO</v>
      </c>
      <c r="C2" s="132">
        <v>30519077635</v>
      </c>
      <c r="D2" s="134">
        <v>46023</v>
      </c>
      <c r="F2">
        <f>+Novedades[[#This Row],[DIAS TRABAJADO SUPLENTE]]*Novedades[[#This Row],[Horas JORNADA '[HS']]]+Novedades[[#This Row],[HORAS EXTRAS al 50% '[HS']]]+Novedades[[#This Row],[HORAS EXTRAS al 100% '[HS']]]+Novedades[[#This Row],[FERIADOS TRABAJADOS '[HS']]]</f>
        <v>8</v>
      </c>
      <c r="I2">
        <f>4*2</f>
        <v>8</v>
      </c>
      <c r="R2" s="57"/>
    </row>
    <row r="3" spans="1:18" hidden="1" x14ac:dyDescent="0.25">
      <c r="A3" s="132">
        <v>20338776390</v>
      </c>
      <c r="B3" s="133" t="str">
        <f>+VLOOKUP(Novedades[[#This Row],[CUIL]],Empleados[],2,FALSE)</f>
        <v>RIOS MATIAS ALEJANDRO</v>
      </c>
      <c r="C3" s="132">
        <v>30519077635</v>
      </c>
      <c r="D3" s="134">
        <v>46023</v>
      </c>
      <c r="F3">
        <f>+Novedades[[#This Row],[DIAS TRABAJADO SUPLENTE]]*Novedades[[#This Row],[Horas JORNADA '[HS']]]+Novedades[[#This Row],[HORAS EXTRAS al 50% '[HS']]]+Novedades[[#This Row],[HORAS EXTRAS al 100% '[HS']]]+Novedades[[#This Row],[FERIADOS TRABAJADOS '[HS']]]</f>
        <v>8</v>
      </c>
      <c r="I3">
        <f>4*2</f>
        <v>8</v>
      </c>
      <c r="R3" s="57"/>
    </row>
    <row r="4" spans="1:18" hidden="1" x14ac:dyDescent="0.25">
      <c r="A4" s="132">
        <v>20360647774</v>
      </c>
      <c r="B4" s="133" t="str">
        <f>+VLOOKUP(Novedades[[#This Row],[CUIL]],Empleados[],2,FALSE)</f>
        <v xml:space="preserve">GIACOMO SEBASTIAN LUIS </v>
      </c>
      <c r="C4" s="132">
        <v>30532673484</v>
      </c>
      <c r="D4" s="134">
        <v>46023</v>
      </c>
      <c r="F4">
        <f>+Novedades[[#This Row],[DIAS TRABAJADO SUPLENTE]]*Novedades[[#This Row],[Horas JORNADA '[HS']]]+Novedades[[#This Row],[HORAS EXTRAS al 50% '[HS']]]+Novedades[[#This Row],[HORAS EXTRAS al 100% '[HS']]]+Novedades[[#This Row],[FERIADOS TRABAJADOS '[HS']]]</f>
        <v>0</v>
      </c>
      <c r="K4">
        <v>12</v>
      </c>
      <c r="R4" s="57"/>
    </row>
    <row r="5" spans="1:18" hidden="1" x14ac:dyDescent="0.25">
      <c r="A5" s="132">
        <v>20175464299</v>
      </c>
      <c r="B5" s="133" t="str">
        <f>+VLOOKUP(Novedades[[#This Row],[CUIL]],Empleados[],2,FALSE)</f>
        <v>ESPONDA JOSE MARIA</v>
      </c>
      <c r="C5" s="132">
        <v>30537480544</v>
      </c>
      <c r="D5" s="134">
        <v>46023</v>
      </c>
      <c r="F5">
        <f>+Novedades[[#This Row],[DIAS TRABAJADO SUPLENTE]]*Novedades[[#This Row],[Horas JORNADA '[HS']]]+Novedades[[#This Row],[HORAS EXTRAS al 50% '[HS']]]+Novedades[[#This Row],[HORAS EXTRAS al 100% '[HS']]]+Novedades[[#This Row],[FERIADOS TRABAJADOS '[HS']]]</f>
        <v>0</v>
      </c>
      <c r="R5" s="57"/>
    </row>
    <row r="6" spans="1:18" hidden="1" x14ac:dyDescent="0.25">
      <c r="A6" s="132">
        <v>23289923934</v>
      </c>
      <c r="B6" s="133" t="str">
        <f>+VLOOKUP(Novedades[[#This Row],[CUIL]],Empleados[],2,FALSE)</f>
        <v xml:space="preserve">PIÑERO SONIA MERCEDES </v>
      </c>
      <c r="C6" s="132">
        <v>30538590009</v>
      </c>
      <c r="D6" s="134">
        <v>46023</v>
      </c>
      <c r="F6">
        <f>+Novedades[[#This Row],[DIAS TRABAJADO SUPLENTE]]*Novedades[[#This Row],[Horas JORNADA '[HS']]]+Novedades[[#This Row],[HORAS EXTRAS al 50% '[HS']]]+Novedades[[#This Row],[HORAS EXTRAS al 100% '[HS']]]+Novedades[[#This Row],[FERIADOS TRABAJADOS '[HS']]]</f>
        <v>0</v>
      </c>
      <c r="R6" s="57"/>
    </row>
    <row r="7" spans="1:18" hidden="1" x14ac:dyDescent="0.25">
      <c r="A7" s="132">
        <v>24269272801</v>
      </c>
      <c r="B7" s="133" t="str">
        <f>+VLOOKUP(Novedades[[#This Row],[CUIL]],Empleados[],2,FALSE)</f>
        <v>PIÑERO CLAUDIA ELIZABET</v>
      </c>
      <c r="C7" s="132">
        <v>30538590009</v>
      </c>
      <c r="D7" s="134">
        <v>46023</v>
      </c>
      <c r="F7">
        <f>+Novedades[[#This Row],[DIAS TRABAJADO SUPLENTE]]*Novedades[[#This Row],[Horas JORNADA '[HS']]]+Novedades[[#This Row],[HORAS EXTRAS al 50% '[HS']]]+Novedades[[#This Row],[HORAS EXTRAS al 100% '[HS']]]+Novedades[[#This Row],[FERIADOS TRABAJADOS '[HS']]]</f>
        <v>0</v>
      </c>
      <c r="R7" s="57"/>
    </row>
    <row r="8" spans="1:18" hidden="1" x14ac:dyDescent="0.25">
      <c r="A8" s="132">
        <v>20204210749</v>
      </c>
      <c r="B8" s="133" t="str">
        <f>+VLOOKUP(Novedades[[#This Row],[CUIL]],Empleados[],2,FALSE)</f>
        <v>RODA MARIO GUSTAVO</v>
      </c>
      <c r="C8" s="132">
        <v>30540887752</v>
      </c>
      <c r="D8" s="134">
        <v>46023</v>
      </c>
      <c r="F8">
        <f>+Novedades[[#This Row],[DIAS TRABAJADO SUPLENTE]]*Novedades[[#This Row],[Horas JORNADA '[HS']]]+Novedades[[#This Row],[HORAS EXTRAS al 50% '[HS']]]+Novedades[[#This Row],[HORAS EXTRAS al 100% '[HS']]]+Novedades[[#This Row],[FERIADOS TRABAJADOS '[HS']]]</f>
        <v>0</v>
      </c>
      <c r="R8" s="57"/>
    </row>
    <row r="9" spans="1:18" hidden="1" x14ac:dyDescent="0.25">
      <c r="A9" s="132">
        <v>20263485409</v>
      </c>
      <c r="B9" s="133" t="str">
        <f>+VLOOKUP(Novedades[[#This Row],[CUIL]],Empleados[],2,FALSE)</f>
        <v>LEDESMA SANTIAGO DAVID</v>
      </c>
      <c r="C9" s="132">
        <v>30559333022</v>
      </c>
      <c r="D9" s="134">
        <v>46023</v>
      </c>
      <c r="F9">
        <f>+Novedades[[#This Row],[DIAS TRABAJADO SUPLENTE]]*Novedades[[#This Row],[Horas JORNADA '[HS']]]+Novedades[[#This Row],[HORAS EXTRAS al 50% '[HS']]]+Novedades[[#This Row],[HORAS EXTRAS al 100% '[HS']]]+Novedades[[#This Row],[FERIADOS TRABAJADOS '[HS']]]</f>
        <v>0</v>
      </c>
      <c r="R9" s="57"/>
    </row>
    <row r="10" spans="1:18" hidden="1" x14ac:dyDescent="0.25">
      <c r="A10" s="132">
        <v>20275890074</v>
      </c>
      <c r="B10" s="133" t="str">
        <f>+VLOOKUP(Novedades[[#This Row],[CUIL]],Empleados[],2,FALSE)</f>
        <v xml:space="preserve">CORONEL EDGARDO DARIO </v>
      </c>
      <c r="C10" s="132">
        <v>30580260906</v>
      </c>
      <c r="D10" s="134">
        <v>46023</v>
      </c>
      <c r="F10">
        <f>+Novedades[[#This Row],[DIAS TRABAJADO SUPLENTE]]*Novedades[[#This Row],[Horas JORNADA '[HS']]]+Novedades[[#This Row],[HORAS EXTRAS al 50% '[HS']]]+Novedades[[#This Row],[HORAS EXTRAS al 100% '[HS']]]+Novedades[[#This Row],[FERIADOS TRABAJADOS '[HS']]]</f>
        <v>0</v>
      </c>
      <c r="K10">
        <v>12</v>
      </c>
      <c r="R10" s="57"/>
    </row>
    <row r="11" spans="1:18" hidden="1" x14ac:dyDescent="0.25">
      <c r="A11" s="132">
        <v>20331992314</v>
      </c>
      <c r="B11" s="133" t="str">
        <f>+VLOOKUP(Novedades[[#This Row],[CUIL]],Empleados[],2,FALSE)</f>
        <v>RODRIGUEZ ALFREDO RAUL</v>
      </c>
      <c r="C11" s="132">
        <v>30580260906</v>
      </c>
      <c r="D11" s="134">
        <v>46023</v>
      </c>
      <c r="F11">
        <f>+Novedades[[#This Row],[DIAS TRABAJADO SUPLENTE]]*Novedades[[#This Row],[Horas JORNADA '[HS']]]+Novedades[[#This Row],[HORAS EXTRAS al 50% '[HS']]]+Novedades[[#This Row],[HORAS EXTRAS al 100% '[HS']]]+Novedades[[#This Row],[FERIADOS TRABAJADOS '[HS']]]</f>
        <v>58</v>
      </c>
      <c r="H11">
        <v>58</v>
      </c>
      <c r="R11" s="57"/>
    </row>
    <row r="12" spans="1:18" hidden="1" x14ac:dyDescent="0.25">
      <c r="A12" s="132">
        <v>27174620410</v>
      </c>
      <c r="B12" s="133" t="str">
        <f>+VLOOKUP(Novedades[[#This Row],[CUIL]],Empleados[],2,FALSE)</f>
        <v>CANCINOS MARGARITA</v>
      </c>
      <c r="C12" s="132">
        <v>30604528166</v>
      </c>
      <c r="D12" s="134">
        <v>46023</v>
      </c>
      <c r="F12">
        <f>+Novedades[[#This Row],[DIAS TRABAJADO SUPLENTE]]*Novedades[[#This Row],[Horas JORNADA '[HS']]]+Novedades[[#This Row],[HORAS EXTRAS al 50% '[HS']]]+Novedades[[#This Row],[HORAS EXTRAS al 100% '[HS']]]+Novedades[[#This Row],[FERIADOS TRABAJADOS '[HS']]]</f>
        <v>0</v>
      </c>
      <c r="K12">
        <v>18</v>
      </c>
      <c r="R12" s="57"/>
    </row>
    <row r="13" spans="1:18" hidden="1" x14ac:dyDescent="0.25">
      <c r="A13" s="132">
        <v>20176328399</v>
      </c>
      <c r="B13" s="133" t="str">
        <f>+VLOOKUP(Novedades[[#This Row],[CUIL]],Empleados[],2,FALSE)</f>
        <v>ROJAS CARLOS MANUEL</v>
      </c>
      <c r="C13" s="132">
        <v>30630042670</v>
      </c>
      <c r="D13" s="134">
        <v>46023</v>
      </c>
      <c r="F13">
        <f>+Novedades[[#This Row],[DIAS TRABAJADO SUPLENTE]]*Novedades[[#This Row],[Horas JORNADA '[HS']]]+Novedades[[#This Row],[HORAS EXTRAS al 50% '[HS']]]+Novedades[[#This Row],[HORAS EXTRAS al 100% '[HS']]]+Novedades[[#This Row],[FERIADOS TRABAJADOS '[HS']]]</f>
        <v>0</v>
      </c>
      <c r="N13">
        <v>30</v>
      </c>
      <c r="O13">
        <v>30</v>
      </c>
      <c r="R13" s="57"/>
    </row>
    <row r="14" spans="1:18" hidden="1" x14ac:dyDescent="0.25">
      <c r="A14" s="132">
        <v>20947260481</v>
      </c>
      <c r="B14" s="133" t="str">
        <f>+VLOOKUP(Novedades[[#This Row],[CUIL]],Empleados[],2,FALSE)</f>
        <v>ESTIGARRIBIA ARCE DARIO</v>
      </c>
      <c r="C14" s="132">
        <v>30630042670</v>
      </c>
      <c r="D14" s="134">
        <v>46023</v>
      </c>
      <c r="F14">
        <f>+Novedades[[#This Row],[DIAS TRABAJADO SUPLENTE]]*Novedades[[#This Row],[Horas JORNADA '[HS']]]+Novedades[[#This Row],[HORAS EXTRAS al 50% '[HS']]]+Novedades[[#This Row],[HORAS EXTRAS al 100% '[HS']]]+Novedades[[#This Row],[FERIADOS TRABAJADOS '[HS']]]</f>
        <v>4</v>
      </c>
      <c r="I14">
        <v>4</v>
      </c>
      <c r="K14">
        <v>12</v>
      </c>
      <c r="L14">
        <v>43617.26</v>
      </c>
      <c r="R14" s="57"/>
    </row>
    <row r="15" spans="1:18" hidden="1" x14ac:dyDescent="0.25">
      <c r="A15" s="132">
        <v>23250288794</v>
      </c>
      <c r="B15" s="133" t="str">
        <f>+VLOOKUP(Novedades[[#This Row],[CUIL]],Empleados[],2,FALSE)</f>
        <v>PIÑERO BIBIANA PATRICIA</v>
      </c>
      <c r="C15" s="132">
        <v>30630042670</v>
      </c>
      <c r="D15" s="134">
        <v>46023</v>
      </c>
      <c r="E15">
        <v>26</v>
      </c>
      <c r="F15">
        <f>+Novedades[[#This Row],[DIAS TRABAJADO SUPLENTE]]*Novedades[[#This Row],[Horas JORNADA '[HS']]]+Novedades[[#This Row],[HORAS EXTRAS al 50% '[HS']]]+Novedades[[#This Row],[HORAS EXTRAS al 100% '[HS']]]+Novedades[[#This Row],[FERIADOS TRABAJADOS '[HS']]]</f>
        <v>104</v>
      </c>
      <c r="G15">
        <v>4</v>
      </c>
      <c r="J15">
        <v>0</v>
      </c>
      <c r="R15" s="57"/>
    </row>
    <row r="16" spans="1:18" hidden="1" x14ac:dyDescent="0.25">
      <c r="A16" s="132">
        <v>20942335351</v>
      </c>
      <c r="B16" s="133" t="str">
        <f>+VLOOKUP(Novedades[[#This Row],[CUIL]],Empleados[],2,FALSE)</f>
        <v>TORRES ORTIZ DENIS RAMON</v>
      </c>
      <c r="C16" s="132">
        <v>30711283338</v>
      </c>
      <c r="D16" s="134">
        <v>46023</v>
      </c>
      <c r="F16">
        <f>+Novedades[[#This Row],[DIAS TRABAJADO SUPLENTE]]*Novedades[[#This Row],[Horas JORNADA '[HS']]]+Novedades[[#This Row],[HORAS EXTRAS al 50% '[HS']]]+Novedades[[#This Row],[HORAS EXTRAS al 100% '[HS']]]+Novedades[[#This Row],[FERIADOS TRABAJADOS '[HS']]]</f>
        <v>0</v>
      </c>
      <c r="R16" s="57"/>
    </row>
    <row r="17" spans="1:18" hidden="1" x14ac:dyDescent="0.25">
      <c r="A17" s="132">
        <v>24269272801</v>
      </c>
      <c r="B17" s="133" t="str">
        <f>+VLOOKUP(Novedades[[#This Row],[CUIL]],Empleados[],2,FALSE)</f>
        <v>PIÑERO CLAUDIA ELIZABET</v>
      </c>
      <c r="C17" s="132">
        <v>30711283338</v>
      </c>
      <c r="D17" s="134">
        <v>46023</v>
      </c>
      <c r="F17">
        <f>+Novedades[[#This Row],[DIAS TRABAJADO SUPLENTE]]*Novedades[[#This Row],[Horas JORNADA '[HS']]]+Novedades[[#This Row],[HORAS EXTRAS al 50% '[HS']]]+Novedades[[#This Row],[HORAS EXTRAS al 100% '[HS']]]+Novedades[[#This Row],[FERIADOS TRABAJADOS '[HS']]]</f>
        <v>0</v>
      </c>
      <c r="R17" s="57"/>
    </row>
    <row r="18" spans="1:18" hidden="1" x14ac:dyDescent="0.25">
      <c r="A18" s="132">
        <v>20252571850</v>
      </c>
      <c r="B18" s="133" t="str">
        <f>+VLOOKUP(Novedades[[#This Row],[CUIL]],Empleados[],2,FALSE)</f>
        <v>VERON CARLOS ALBERTO</v>
      </c>
      <c r="C18" s="132">
        <v>30711553165</v>
      </c>
      <c r="D18" s="134">
        <v>46023</v>
      </c>
      <c r="F18">
        <f>+Novedades[[#This Row],[DIAS TRABAJADO SUPLENTE]]*Novedades[[#This Row],[Horas JORNADA '[HS']]]+Novedades[[#This Row],[HORAS EXTRAS al 50% '[HS']]]+Novedades[[#This Row],[HORAS EXTRAS al 100% '[HS']]]+Novedades[[#This Row],[FERIADOS TRABAJADOS '[HS']]]</f>
        <v>49</v>
      </c>
      <c r="H18">
        <v>40</v>
      </c>
      <c r="I18">
        <v>9</v>
      </c>
      <c r="R18" s="57"/>
    </row>
    <row r="19" spans="1:18" hidden="1" x14ac:dyDescent="0.25">
      <c r="A19" s="132">
        <v>20942347643</v>
      </c>
      <c r="B19" s="133" t="str">
        <f>+VLOOKUP(Novedades[[#This Row],[CUIL]],Empleados[],2,FALSE)</f>
        <v>LIMA CENTURION RONAL DEJESUS</v>
      </c>
      <c r="C19" s="132">
        <v>30711553165</v>
      </c>
      <c r="D19" s="134">
        <v>46023</v>
      </c>
      <c r="F19">
        <f>+Novedades[[#This Row],[DIAS TRABAJADO SUPLENTE]]*Novedades[[#This Row],[Horas JORNADA '[HS']]]+Novedades[[#This Row],[HORAS EXTRAS al 50% '[HS']]]+Novedades[[#This Row],[HORAS EXTRAS al 100% '[HS']]]+Novedades[[#This Row],[FERIADOS TRABAJADOS '[HS']]]</f>
        <v>0</v>
      </c>
      <c r="M19">
        <v>240108.92</v>
      </c>
      <c r="R19" s="57"/>
    </row>
    <row r="20" spans="1:18" hidden="1" x14ac:dyDescent="0.25">
      <c r="A20" s="132">
        <v>23175845879</v>
      </c>
      <c r="B20" s="133" t="str">
        <f>+VLOOKUP(Novedades[[#This Row],[CUIL]],Empleados[],2,FALSE)</f>
        <v>CORONEL CARLOS EMIGDIO</v>
      </c>
      <c r="C20" s="132">
        <v>30711776903</v>
      </c>
      <c r="D20" s="134">
        <v>46023</v>
      </c>
      <c r="F20">
        <f>+Novedades[[#This Row],[DIAS TRABAJADO SUPLENTE]]*Novedades[[#This Row],[Horas JORNADA '[HS']]]+Novedades[[#This Row],[HORAS EXTRAS al 50% '[HS']]]+Novedades[[#This Row],[HORAS EXTRAS al 100% '[HS']]]+Novedades[[#This Row],[FERIADOS TRABAJADOS '[HS']]]</f>
        <v>39</v>
      </c>
      <c r="H20">
        <v>29</v>
      </c>
      <c r="I20">
        <v>2</v>
      </c>
      <c r="J20">
        <v>8</v>
      </c>
      <c r="R20" s="57"/>
    </row>
    <row r="21" spans="1:18" hidden="1" x14ac:dyDescent="0.25">
      <c r="A21" s="68">
        <v>20283772323</v>
      </c>
      <c r="B21" s="67" t="str">
        <f>+VLOOKUP(Novedades[[#This Row],[CUIL]],Empleados[],2,FALSE)</f>
        <v>RIOS LUIS ALBERTO</v>
      </c>
      <c r="C21" s="68">
        <v>30519077635</v>
      </c>
      <c r="D21" s="69">
        <v>46054</v>
      </c>
      <c r="F21">
        <f>+Novedades[[#This Row],[DIAS TRABAJADO SUPLENTE]]*Novedades[[#This Row],[Horas JORNADA '[HS']]]+Novedades[[#This Row],[HORAS EXTRAS al 50% '[HS']]]+Novedades[[#This Row],[HORAS EXTRAS al 100% '[HS']]]+Novedades[[#This Row],[FERIADOS TRABAJADOS '[HS']]]</f>
        <v>12</v>
      </c>
      <c r="I21">
        <f>4*3</f>
        <v>12</v>
      </c>
      <c r="R21" s="57"/>
    </row>
    <row r="22" spans="1:18" hidden="1" x14ac:dyDescent="0.25">
      <c r="A22" s="68">
        <v>20338776390</v>
      </c>
      <c r="B22" s="67" t="str">
        <f>+VLOOKUP(Novedades[[#This Row],[CUIL]],Empleados[],2,FALSE)</f>
        <v>RIOS MATIAS ALEJANDRO</v>
      </c>
      <c r="C22" s="68">
        <v>30519077635</v>
      </c>
      <c r="D22" s="69">
        <v>46054</v>
      </c>
      <c r="F22">
        <f>+Novedades[[#This Row],[DIAS TRABAJADO SUPLENTE]]*Novedades[[#This Row],[Horas JORNADA '[HS']]]+Novedades[[#This Row],[HORAS EXTRAS al 50% '[HS']]]+Novedades[[#This Row],[HORAS EXTRAS al 100% '[HS']]]+Novedades[[#This Row],[FERIADOS TRABAJADOS '[HS']]]</f>
        <v>12</v>
      </c>
      <c r="I22">
        <f>4*3</f>
        <v>12</v>
      </c>
      <c r="R22" s="57"/>
    </row>
    <row r="23" spans="1:18" hidden="1" x14ac:dyDescent="0.25">
      <c r="A23" s="68">
        <v>20360647774</v>
      </c>
      <c r="B23" s="67" t="str">
        <f>+VLOOKUP(Novedades[[#This Row],[CUIL]],Empleados[],2,FALSE)</f>
        <v xml:space="preserve">GIACOMO SEBASTIAN LUIS </v>
      </c>
      <c r="C23" s="68">
        <v>30532673484</v>
      </c>
      <c r="D23" s="69">
        <v>46054</v>
      </c>
      <c r="F23">
        <f>+Novedades[[#This Row],[DIAS TRABAJADO SUPLENTE]]*Novedades[[#This Row],[Horas JORNADA '[HS']]]+Novedades[[#This Row],[HORAS EXTRAS al 50% '[HS']]]+Novedades[[#This Row],[HORAS EXTRAS al 100% '[HS']]]+Novedades[[#This Row],[FERIADOS TRABAJADOS '[HS']]]</f>
        <v>0</v>
      </c>
      <c r="R23" s="57"/>
    </row>
    <row r="24" spans="1:18" hidden="1" x14ac:dyDescent="0.25">
      <c r="A24" s="68">
        <v>20175464299</v>
      </c>
      <c r="B24" s="67" t="str">
        <f>+VLOOKUP(Novedades[[#This Row],[CUIL]],Empleados[],2,FALSE)</f>
        <v>ESPONDA JOSE MARIA</v>
      </c>
      <c r="C24" s="68">
        <v>30537480544</v>
      </c>
      <c r="D24" s="69">
        <v>46054</v>
      </c>
      <c r="F24">
        <f>+Novedades[[#This Row],[DIAS TRABAJADO SUPLENTE]]*Novedades[[#This Row],[Horas JORNADA '[HS']]]+Novedades[[#This Row],[HORAS EXTRAS al 50% '[HS']]]+Novedades[[#This Row],[HORAS EXTRAS al 100% '[HS']]]+Novedades[[#This Row],[FERIADOS TRABAJADOS '[HS']]]</f>
        <v>0</v>
      </c>
      <c r="R24" s="57"/>
    </row>
    <row r="25" spans="1:18" hidden="1" x14ac:dyDescent="0.25">
      <c r="A25" s="68">
        <v>23289923934</v>
      </c>
      <c r="B25" s="67" t="str">
        <f>+VLOOKUP(Novedades[[#This Row],[CUIL]],Empleados[],2,FALSE)</f>
        <v xml:space="preserve">PIÑERO SONIA MERCEDES </v>
      </c>
      <c r="C25" s="68">
        <v>30538590009</v>
      </c>
      <c r="D25" s="69">
        <v>46054</v>
      </c>
      <c r="F25">
        <f>+Novedades[[#This Row],[DIAS TRABAJADO SUPLENTE]]*Novedades[[#This Row],[Horas JORNADA '[HS']]]+Novedades[[#This Row],[HORAS EXTRAS al 50% '[HS']]]+Novedades[[#This Row],[HORAS EXTRAS al 100% '[HS']]]+Novedades[[#This Row],[FERIADOS TRABAJADOS '[HS']]]</f>
        <v>8</v>
      </c>
      <c r="J25">
        <f>4*2</f>
        <v>8</v>
      </c>
      <c r="R25" s="57"/>
    </row>
    <row r="26" spans="1:18" hidden="1" x14ac:dyDescent="0.25">
      <c r="A26" s="68">
        <v>24269272801</v>
      </c>
      <c r="B26" s="67" t="str">
        <f>+VLOOKUP(Novedades[[#This Row],[CUIL]],Empleados[],2,FALSE)</f>
        <v>PIÑERO CLAUDIA ELIZABET</v>
      </c>
      <c r="C26" s="68">
        <v>30538590009</v>
      </c>
      <c r="D26" s="69">
        <v>46054</v>
      </c>
      <c r="F26">
        <f>+Novedades[[#This Row],[DIAS TRABAJADO SUPLENTE]]*Novedades[[#This Row],[Horas JORNADA '[HS']]]+Novedades[[#This Row],[HORAS EXTRAS al 50% '[HS']]]+Novedades[[#This Row],[HORAS EXTRAS al 100% '[HS']]]+Novedades[[#This Row],[FERIADOS TRABAJADOS '[HS']]]</f>
        <v>0</v>
      </c>
      <c r="R26" s="57"/>
    </row>
    <row r="27" spans="1:18" hidden="1" x14ac:dyDescent="0.25">
      <c r="A27" s="68">
        <v>20204210749</v>
      </c>
      <c r="B27" s="67" t="str">
        <f>+VLOOKUP(Novedades[[#This Row],[CUIL]],Empleados[],2,FALSE)</f>
        <v>RODA MARIO GUSTAVO</v>
      </c>
      <c r="C27" s="68">
        <v>30540887752</v>
      </c>
      <c r="D27" s="69">
        <v>46054</v>
      </c>
      <c r="F27">
        <f>+Novedades[[#This Row],[DIAS TRABAJADO SUPLENTE]]*Novedades[[#This Row],[Horas JORNADA '[HS']]]+Novedades[[#This Row],[HORAS EXTRAS al 50% '[HS']]]+Novedades[[#This Row],[HORAS EXTRAS al 100% '[HS']]]+Novedades[[#This Row],[FERIADOS TRABAJADOS '[HS']]]</f>
        <v>0</v>
      </c>
      <c r="K27">
        <v>16</v>
      </c>
      <c r="R27" s="57"/>
    </row>
    <row r="28" spans="1:18" hidden="1" x14ac:dyDescent="0.25">
      <c r="A28" s="68">
        <v>20263485409</v>
      </c>
      <c r="B28" s="67" t="str">
        <f>+VLOOKUP(Novedades[[#This Row],[CUIL]],Empleados[],2,FALSE)</f>
        <v>LEDESMA SANTIAGO DAVID</v>
      </c>
      <c r="C28" s="68">
        <v>30559333022</v>
      </c>
      <c r="D28" s="69">
        <v>46054</v>
      </c>
      <c r="F28">
        <f>+Novedades[[#This Row],[DIAS TRABAJADO SUPLENTE]]*Novedades[[#This Row],[Horas JORNADA '[HS']]]+Novedades[[#This Row],[HORAS EXTRAS al 50% '[HS']]]+Novedades[[#This Row],[HORAS EXTRAS al 100% '[HS']]]+Novedades[[#This Row],[FERIADOS TRABAJADOS '[HS']]]</f>
        <v>0</v>
      </c>
      <c r="R28" s="57"/>
    </row>
    <row r="29" spans="1:18" hidden="1" x14ac:dyDescent="0.25">
      <c r="A29" s="68">
        <v>20275890074</v>
      </c>
      <c r="B29" s="67" t="str">
        <f>+VLOOKUP(Novedades[[#This Row],[CUIL]],Empleados[],2,FALSE)</f>
        <v xml:space="preserve">CORONEL EDGARDO DARIO </v>
      </c>
      <c r="C29" s="68">
        <v>30580260906</v>
      </c>
      <c r="D29" s="69">
        <v>46054</v>
      </c>
      <c r="F29">
        <f>+Novedades[[#This Row],[DIAS TRABAJADO SUPLENTE]]*Novedades[[#This Row],[Horas JORNADA '[HS']]]+Novedades[[#This Row],[HORAS EXTRAS al 50% '[HS']]]+Novedades[[#This Row],[HORAS EXTRAS al 100% '[HS']]]+Novedades[[#This Row],[FERIADOS TRABAJADOS '[HS']]]</f>
        <v>0</v>
      </c>
      <c r="R29" s="57"/>
    </row>
    <row r="30" spans="1:18" hidden="1" x14ac:dyDescent="0.25">
      <c r="A30" s="68">
        <v>20331992314</v>
      </c>
      <c r="B30" s="67" t="str">
        <f>+VLOOKUP(Novedades[[#This Row],[CUIL]],Empleados[],2,FALSE)</f>
        <v>RODRIGUEZ ALFREDO RAUL</v>
      </c>
      <c r="C30" s="68">
        <v>30580260906</v>
      </c>
      <c r="D30" s="69">
        <v>46054</v>
      </c>
      <c r="F30">
        <f>+Novedades[[#This Row],[DIAS TRABAJADO SUPLENTE]]*Novedades[[#This Row],[Horas JORNADA '[HS']]]+Novedades[[#This Row],[HORAS EXTRAS al 50% '[HS']]]+Novedades[[#This Row],[HORAS EXTRAS al 100% '[HS']]]+Novedades[[#This Row],[FERIADOS TRABAJADOS '[HS']]]</f>
        <v>0</v>
      </c>
      <c r="R30" s="57"/>
    </row>
    <row r="31" spans="1:18" hidden="1" x14ac:dyDescent="0.25">
      <c r="A31" s="68">
        <v>27174620410</v>
      </c>
      <c r="B31" s="67" t="str">
        <f>+VLOOKUP(Novedades[[#This Row],[CUIL]],Empleados[],2,FALSE)</f>
        <v>CANCINOS MARGARITA</v>
      </c>
      <c r="C31" s="68">
        <v>30604528166</v>
      </c>
      <c r="D31" s="69">
        <v>46054</v>
      </c>
      <c r="F31">
        <f>+Novedades[[#This Row],[DIAS TRABAJADO SUPLENTE]]*Novedades[[#This Row],[Horas JORNADA '[HS']]]+Novedades[[#This Row],[HORAS EXTRAS al 50% '[HS']]]+Novedades[[#This Row],[HORAS EXTRAS al 100% '[HS']]]+Novedades[[#This Row],[FERIADOS TRABAJADOS '[HS']]]</f>
        <v>0</v>
      </c>
      <c r="R31" s="57"/>
    </row>
    <row r="32" spans="1:18" hidden="1" x14ac:dyDescent="0.25">
      <c r="A32" s="68">
        <v>20176328399</v>
      </c>
      <c r="B32" s="67" t="str">
        <f>+VLOOKUP(Novedades[[#This Row],[CUIL]],Empleados[],2,FALSE)</f>
        <v>ROJAS CARLOS MANUEL</v>
      </c>
      <c r="C32" s="68">
        <v>30630042670</v>
      </c>
      <c r="D32" s="69">
        <v>46054</v>
      </c>
      <c r="F32">
        <f>+Novedades[[#This Row],[DIAS TRABAJADO SUPLENTE]]*Novedades[[#This Row],[Horas JORNADA '[HS']]]+Novedades[[#This Row],[HORAS EXTRAS al 50% '[HS']]]+Novedades[[#This Row],[HORAS EXTRAS al 100% '[HS']]]+Novedades[[#This Row],[FERIADOS TRABAJADOS '[HS']]]</f>
        <v>0</v>
      </c>
      <c r="N32">
        <v>30</v>
      </c>
      <c r="O32">
        <v>30</v>
      </c>
      <c r="R32" s="57"/>
    </row>
    <row r="33" spans="1:18" hidden="1" x14ac:dyDescent="0.25">
      <c r="A33" s="68">
        <v>20947260481</v>
      </c>
      <c r="B33" s="67" t="str">
        <f>+VLOOKUP(Novedades[[#This Row],[CUIL]],Empleados[],2,FALSE)</f>
        <v>ESTIGARRIBIA ARCE DARIO</v>
      </c>
      <c r="C33" s="68">
        <v>30630042670</v>
      </c>
      <c r="D33" s="69">
        <v>46054</v>
      </c>
      <c r="F33">
        <f>+Novedades[[#This Row],[DIAS TRABAJADO SUPLENTE]]*Novedades[[#This Row],[Horas JORNADA '[HS']]]+Novedades[[#This Row],[HORAS EXTRAS al 50% '[HS']]]+Novedades[[#This Row],[HORAS EXTRAS al 100% '[HS']]]+Novedades[[#This Row],[FERIADOS TRABAJADOS '[HS']]]</f>
        <v>4</v>
      </c>
      <c r="I33">
        <v>4</v>
      </c>
      <c r="L33">
        <v>44402.37</v>
      </c>
      <c r="R33" s="57"/>
    </row>
    <row r="34" spans="1:18" hidden="1" x14ac:dyDescent="0.25">
      <c r="A34" s="68">
        <v>23250288794</v>
      </c>
      <c r="B34" s="67" t="str">
        <f>+VLOOKUP(Novedades[[#This Row],[CUIL]],Empleados[],2,FALSE)</f>
        <v>PIÑERO BIBIANA PATRICIA</v>
      </c>
      <c r="C34" s="68">
        <v>30630042670</v>
      </c>
      <c r="D34" s="69">
        <v>46054</v>
      </c>
      <c r="E34">
        <v>22</v>
      </c>
      <c r="F34">
        <f>+Novedades[[#This Row],[DIAS TRABAJADO SUPLENTE]]*Novedades[[#This Row],[Horas JORNADA '[HS']]]+Novedades[[#This Row],[HORAS EXTRAS al 50% '[HS']]]+Novedades[[#This Row],[HORAS EXTRAS al 100% '[HS']]]+Novedades[[#This Row],[FERIADOS TRABAJADOS '[HS']]]</f>
        <v>92</v>
      </c>
      <c r="G34">
        <v>4</v>
      </c>
      <c r="J34">
        <v>4</v>
      </c>
      <c r="R34" s="57"/>
    </row>
    <row r="35" spans="1:18" hidden="1" x14ac:dyDescent="0.25">
      <c r="A35" s="68">
        <v>20942335351</v>
      </c>
      <c r="B35" s="67" t="str">
        <f>+VLOOKUP(Novedades[[#This Row],[CUIL]],Empleados[],2,FALSE)</f>
        <v>TORRES ORTIZ DENIS RAMON</v>
      </c>
      <c r="C35" s="68">
        <v>30711283338</v>
      </c>
      <c r="D35" s="69">
        <v>46054</v>
      </c>
      <c r="F35">
        <f>+Novedades[[#This Row],[DIAS TRABAJADO SUPLENTE]]*Novedades[[#This Row],[Horas JORNADA '[HS']]]+Novedades[[#This Row],[HORAS EXTRAS al 50% '[HS']]]+Novedades[[#This Row],[HORAS EXTRAS al 100% '[HS']]]+Novedades[[#This Row],[FERIADOS TRABAJADOS '[HS']]]</f>
        <v>0</v>
      </c>
      <c r="R35" s="57"/>
    </row>
    <row r="36" spans="1:18" hidden="1" x14ac:dyDescent="0.25">
      <c r="A36" s="68">
        <v>24269272801</v>
      </c>
      <c r="B36" s="67" t="str">
        <f>+VLOOKUP(Novedades[[#This Row],[CUIL]],Empleados[],2,FALSE)</f>
        <v>PIÑERO CLAUDIA ELIZABET</v>
      </c>
      <c r="C36" s="68">
        <v>30711283338</v>
      </c>
      <c r="D36" s="69">
        <v>46054</v>
      </c>
      <c r="F36">
        <f>+Novedades[[#This Row],[DIAS TRABAJADO SUPLENTE]]*Novedades[[#This Row],[Horas JORNADA '[HS']]]+Novedades[[#This Row],[HORAS EXTRAS al 50% '[HS']]]+Novedades[[#This Row],[HORAS EXTRAS al 100% '[HS']]]+Novedades[[#This Row],[FERIADOS TRABAJADOS '[HS']]]</f>
        <v>0</v>
      </c>
      <c r="R36" s="57"/>
    </row>
    <row r="37" spans="1:18" hidden="1" x14ac:dyDescent="0.25">
      <c r="A37" s="68">
        <v>20252571850</v>
      </c>
      <c r="B37" s="67" t="str">
        <f>+VLOOKUP(Novedades[[#This Row],[CUIL]],Empleados[],2,FALSE)</f>
        <v>VERON CARLOS ALBERTO</v>
      </c>
      <c r="C37" s="68">
        <v>30711553165</v>
      </c>
      <c r="D37" s="69">
        <v>46054</v>
      </c>
      <c r="F37">
        <f>+Novedades[[#This Row],[DIAS TRABAJADO SUPLENTE]]*Novedades[[#This Row],[Horas JORNADA '[HS']]]+Novedades[[#This Row],[HORAS EXTRAS al 50% '[HS']]]+Novedades[[#This Row],[HORAS EXTRAS al 100% '[HS']]]+Novedades[[#This Row],[FERIADOS TRABAJADOS '[HS']]]</f>
        <v>26</v>
      </c>
      <c r="H37">
        <v>20</v>
      </c>
      <c r="I37">
        <v>6</v>
      </c>
      <c r="K37">
        <v>10</v>
      </c>
      <c r="R37" s="57"/>
    </row>
    <row r="38" spans="1:18" hidden="1" x14ac:dyDescent="0.25">
      <c r="A38" s="68">
        <v>20942347643</v>
      </c>
      <c r="B38" s="67" t="str">
        <f>+VLOOKUP(Novedades[[#This Row],[CUIL]],Empleados[],2,FALSE)</f>
        <v>LIMA CENTURION RONAL DEJESUS</v>
      </c>
      <c r="C38" s="68">
        <v>30711553165</v>
      </c>
      <c r="D38" s="69">
        <v>46054</v>
      </c>
      <c r="F38">
        <f>+Novedades[[#This Row],[DIAS TRABAJADO SUPLENTE]]*Novedades[[#This Row],[Horas JORNADA '[HS']]]+Novedades[[#This Row],[HORAS EXTRAS al 50% '[HS']]]+Novedades[[#This Row],[HORAS EXTRAS al 100% '[HS']]]+Novedades[[#This Row],[FERIADOS TRABAJADOS '[HS']]]</f>
        <v>0</v>
      </c>
      <c r="M38">
        <v>244065.9</v>
      </c>
      <c r="R38" s="57"/>
    </row>
    <row r="39" spans="1:18" hidden="1" x14ac:dyDescent="0.25">
      <c r="A39" s="68">
        <v>23175845879</v>
      </c>
      <c r="B39" s="67" t="str">
        <f>+VLOOKUP(Novedades[[#This Row],[CUIL]],Empleados[],2,FALSE)</f>
        <v>CORONEL CARLOS EMIGDIO</v>
      </c>
      <c r="C39" s="68">
        <v>30711776903</v>
      </c>
      <c r="D39" s="69">
        <v>46054</v>
      </c>
      <c r="F39">
        <f>+Novedades[[#This Row],[DIAS TRABAJADO SUPLENTE]]*Novedades[[#This Row],[Horas JORNADA '[HS']]]+Novedades[[#This Row],[HORAS EXTRAS al 50% '[HS']]]+Novedades[[#This Row],[HORAS EXTRAS al 100% '[HS']]]+Novedades[[#This Row],[FERIADOS TRABAJADOS '[HS']]]</f>
        <v>41</v>
      </c>
      <c r="H39">
        <v>35</v>
      </c>
      <c r="I39">
        <v>6</v>
      </c>
      <c r="R39" s="57"/>
    </row>
    <row r="40" spans="1:18" hidden="1" x14ac:dyDescent="0.25">
      <c r="A40" s="132">
        <v>20283772323</v>
      </c>
      <c r="B40" s="133" t="str">
        <f>+VLOOKUP(Novedades[[#This Row],[CUIL]],Empleados[],2,FALSE)</f>
        <v>RIOS LUIS ALBERTO</v>
      </c>
      <c r="C40" s="132">
        <v>30519077635</v>
      </c>
      <c r="D40" s="134">
        <v>46082</v>
      </c>
      <c r="F40">
        <f>+Novedades[[#This Row],[DIAS TRABAJADO SUPLENTE]]*Novedades[[#This Row],[Horas JORNADA '[HS']]]+Novedades[[#This Row],[HORAS EXTRAS al 50% '[HS']]]+Novedades[[#This Row],[HORAS EXTRAS al 100% '[HS']]]+Novedades[[#This Row],[FERIADOS TRABAJADOS '[HS']]]</f>
        <v>12</v>
      </c>
      <c r="I40">
        <f>4*3</f>
        <v>12</v>
      </c>
      <c r="K40">
        <v>18</v>
      </c>
      <c r="R40" s="57"/>
    </row>
    <row r="41" spans="1:18" hidden="1" x14ac:dyDescent="0.25">
      <c r="A41" s="132">
        <v>20338776390</v>
      </c>
      <c r="B41" s="133" t="str">
        <f>+VLOOKUP(Novedades[[#This Row],[CUIL]],Empleados[],2,FALSE)</f>
        <v>RIOS MATIAS ALEJANDRO</v>
      </c>
      <c r="C41" s="132">
        <v>30519077635</v>
      </c>
      <c r="D41" s="134">
        <v>46082</v>
      </c>
      <c r="F41">
        <f>+Novedades[[#This Row],[DIAS TRABAJADO SUPLENTE]]*Novedades[[#This Row],[Horas JORNADA '[HS']]]+Novedades[[#This Row],[HORAS EXTRAS al 50% '[HS']]]+Novedades[[#This Row],[HORAS EXTRAS al 100% '[HS']]]+Novedades[[#This Row],[FERIADOS TRABAJADOS '[HS']]]</f>
        <v>12</v>
      </c>
      <c r="I41">
        <v>0</v>
      </c>
      <c r="J41">
        <v>12</v>
      </c>
      <c r="R41" s="57"/>
    </row>
    <row r="42" spans="1:18" hidden="1" x14ac:dyDescent="0.25">
      <c r="A42" s="132">
        <v>20360647774</v>
      </c>
      <c r="B42" s="133" t="str">
        <f>+VLOOKUP(Novedades[[#This Row],[CUIL]],Empleados[],2,FALSE)</f>
        <v xml:space="preserve">GIACOMO SEBASTIAN LUIS </v>
      </c>
      <c r="C42" s="132">
        <v>30532673484</v>
      </c>
      <c r="D42" s="134">
        <v>46082</v>
      </c>
      <c r="F42">
        <f>+Novedades[[#This Row],[DIAS TRABAJADO SUPLENTE]]*Novedades[[#This Row],[Horas JORNADA '[HS']]]+Novedades[[#This Row],[HORAS EXTRAS al 50% '[HS']]]+Novedades[[#This Row],[HORAS EXTRAS al 100% '[HS']]]+Novedades[[#This Row],[FERIADOS TRABAJADOS '[HS']]]</f>
        <v>0</v>
      </c>
      <c r="R42" s="57"/>
    </row>
    <row r="43" spans="1:18" hidden="1" x14ac:dyDescent="0.25">
      <c r="A43" s="132">
        <v>20175464299</v>
      </c>
      <c r="B43" s="133" t="str">
        <f>+VLOOKUP(Novedades[[#This Row],[CUIL]],Empleados[],2,FALSE)</f>
        <v>ESPONDA JOSE MARIA</v>
      </c>
      <c r="C43" s="132">
        <v>30537480544</v>
      </c>
      <c r="D43" s="134">
        <v>46082</v>
      </c>
      <c r="F43">
        <f>+Novedades[[#This Row],[DIAS TRABAJADO SUPLENTE]]*Novedades[[#This Row],[Horas JORNADA '[HS']]]+Novedades[[#This Row],[HORAS EXTRAS al 50% '[HS']]]+Novedades[[#This Row],[HORAS EXTRAS al 100% '[HS']]]+Novedades[[#This Row],[FERIADOS TRABAJADOS '[HS']]]</f>
        <v>0</v>
      </c>
      <c r="K43">
        <v>15</v>
      </c>
      <c r="R43" s="57"/>
    </row>
    <row r="44" spans="1:18" hidden="1" x14ac:dyDescent="0.25">
      <c r="A44" s="132">
        <v>23289923934</v>
      </c>
      <c r="B44" s="133" t="str">
        <f>+VLOOKUP(Novedades[[#This Row],[CUIL]],Empleados[],2,FALSE)</f>
        <v xml:space="preserve">PIÑERO SONIA MERCEDES </v>
      </c>
      <c r="C44" s="132">
        <v>30538590009</v>
      </c>
      <c r="D44" s="134">
        <v>46082</v>
      </c>
      <c r="F44">
        <f>+Novedades[[#This Row],[DIAS TRABAJADO SUPLENTE]]*Novedades[[#This Row],[Horas JORNADA '[HS']]]+Novedades[[#This Row],[HORAS EXTRAS al 50% '[HS']]]+Novedades[[#This Row],[HORAS EXTRAS al 100% '[HS']]]+Novedades[[#This Row],[FERIADOS TRABAJADOS '[HS']]]</f>
        <v>4</v>
      </c>
      <c r="J44">
        <f>4*1</f>
        <v>4</v>
      </c>
      <c r="R44" s="57"/>
    </row>
    <row r="45" spans="1:18" hidden="1" x14ac:dyDescent="0.25">
      <c r="A45" s="132">
        <v>24269272801</v>
      </c>
      <c r="B45" s="133" t="str">
        <f>+VLOOKUP(Novedades[[#This Row],[CUIL]],Empleados[],2,FALSE)</f>
        <v>PIÑERO CLAUDIA ELIZABET</v>
      </c>
      <c r="C45" s="132">
        <v>30538590009</v>
      </c>
      <c r="D45" s="134">
        <v>46082</v>
      </c>
      <c r="F45">
        <f>+Novedades[[#This Row],[DIAS TRABAJADO SUPLENTE]]*Novedades[[#This Row],[Horas JORNADA '[HS']]]+Novedades[[#This Row],[HORAS EXTRAS al 50% '[HS']]]+Novedades[[#This Row],[HORAS EXTRAS al 100% '[HS']]]+Novedades[[#This Row],[FERIADOS TRABAJADOS '[HS']]]</f>
        <v>0</v>
      </c>
      <c r="R45" s="57"/>
    </row>
    <row r="46" spans="1:18" hidden="1" x14ac:dyDescent="0.25">
      <c r="A46" s="132">
        <v>20204210749</v>
      </c>
      <c r="B46" s="133" t="str">
        <f>+VLOOKUP(Novedades[[#This Row],[CUIL]],Empleados[],2,FALSE)</f>
        <v>RODA MARIO GUSTAVO</v>
      </c>
      <c r="C46" s="132">
        <v>30540887752</v>
      </c>
      <c r="D46" s="134">
        <v>46082</v>
      </c>
      <c r="F46">
        <f>+Novedades[[#This Row],[DIAS TRABAJADO SUPLENTE]]*Novedades[[#This Row],[Horas JORNADA '[HS']]]+Novedades[[#This Row],[HORAS EXTRAS al 50% '[HS']]]+Novedades[[#This Row],[HORAS EXTRAS al 100% '[HS']]]+Novedades[[#This Row],[FERIADOS TRABAJADOS '[HS']]]</f>
        <v>0</v>
      </c>
      <c r="R46" s="57"/>
    </row>
    <row r="47" spans="1:18" hidden="1" x14ac:dyDescent="0.25">
      <c r="A47" s="132">
        <v>20263485409</v>
      </c>
      <c r="B47" s="133" t="str">
        <f>+VLOOKUP(Novedades[[#This Row],[CUIL]],Empleados[],2,FALSE)</f>
        <v>LEDESMA SANTIAGO DAVID</v>
      </c>
      <c r="C47" s="132">
        <v>30559333022</v>
      </c>
      <c r="D47" s="134">
        <v>46082</v>
      </c>
      <c r="F47">
        <f>+Novedades[[#This Row],[DIAS TRABAJADO SUPLENTE]]*Novedades[[#This Row],[Horas JORNADA '[HS']]]+Novedades[[#This Row],[HORAS EXTRAS al 50% '[HS']]]+Novedades[[#This Row],[HORAS EXTRAS al 100% '[HS']]]+Novedades[[#This Row],[FERIADOS TRABAJADOS '[HS']]]</f>
        <v>0</v>
      </c>
      <c r="K47">
        <v>7</v>
      </c>
      <c r="R47" s="57"/>
    </row>
    <row r="48" spans="1:18" hidden="1" x14ac:dyDescent="0.25">
      <c r="A48" s="132">
        <v>20275890074</v>
      </c>
      <c r="B48" s="133" t="str">
        <f>+VLOOKUP(Novedades[[#This Row],[CUIL]],Empleados[],2,FALSE)</f>
        <v xml:space="preserve">CORONEL EDGARDO DARIO </v>
      </c>
      <c r="C48" s="132">
        <v>30580260906</v>
      </c>
      <c r="D48" s="134">
        <v>46082</v>
      </c>
      <c r="F48">
        <f>+Novedades[[#This Row],[DIAS TRABAJADO SUPLENTE]]*Novedades[[#This Row],[Horas JORNADA '[HS']]]+Novedades[[#This Row],[HORAS EXTRAS al 50% '[HS']]]+Novedades[[#This Row],[HORAS EXTRAS al 100% '[HS']]]+Novedades[[#This Row],[FERIADOS TRABAJADOS '[HS']]]</f>
        <v>75</v>
      </c>
      <c r="H48">
        <v>75</v>
      </c>
      <c r="R48" s="57"/>
    </row>
    <row r="49" spans="1:18" hidden="1" x14ac:dyDescent="0.25">
      <c r="A49" s="132">
        <v>20331992314</v>
      </c>
      <c r="B49" s="133" t="str">
        <f>+VLOOKUP(Novedades[[#This Row],[CUIL]],Empleados[],2,FALSE)</f>
        <v>RODRIGUEZ ALFREDO RAUL</v>
      </c>
      <c r="C49" s="132">
        <v>30580260906</v>
      </c>
      <c r="D49" s="134">
        <v>46082</v>
      </c>
      <c r="F49">
        <f>+Novedades[[#This Row],[DIAS TRABAJADO SUPLENTE]]*Novedades[[#This Row],[Horas JORNADA '[HS']]]+Novedades[[#This Row],[HORAS EXTRAS al 50% '[HS']]]+Novedades[[#This Row],[HORAS EXTRAS al 100% '[HS']]]+Novedades[[#This Row],[FERIADOS TRABAJADOS '[HS']]]</f>
        <v>0</v>
      </c>
      <c r="K49">
        <v>18</v>
      </c>
      <c r="R49" s="57"/>
    </row>
    <row r="50" spans="1:18" hidden="1" x14ac:dyDescent="0.25">
      <c r="A50" s="132">
        <v>27174620410</v>
      </c>
      <c r="B50" s="133" t="str">
        <f>+VLOOKUP(Novedades[[#This Row],[CUIL]],Empleados[],2,FALSE)</f>
        <v>CANCINOS MARGARITA</v>
      </c>
      <c r="C50" s="132">
        <v>30604528166</v>
      </c>
      <c r="D50" s="134">
        <v>46082</v>
      </c>
      <c r="F50">
        <f>+Novedades[[#This Row],[DIAS TRABAJADO SUPLENTE]]*Novedades[[#This Row],[Horas JORNADA '[HS']]]+Novedades[[#This Row],[HORAS EXTRAS al 50% '[HS']]]+Novedades[[#This Row],[HORAS EXTRAS al 100% '[HS']]]+Novedades[[#This Row],[FERIADOS TRABAJADOS '[HS']]]</f>
        <v>0</v>
      </c>
      <c r="R50" s="57"/>
    </row>
    <row r="51" spans="1:18" hidden="1" x14ac:dyDescent="0.25">
      <c r="A51" s="132">
        <v>20176328399</v>
      </c>
      <c r="B51" s="133" t="str">
        <f>+VLOOKUP(Novedades[[#This Row],[CUIL]],Empleados[],2,FALSE)</f>
        <v>ROJAS CARLOS MANUEL</v>
      </c>
      <c r="C51" s="132">
        <v>30630042670</v>
      </c>
      <c r="D51" s="134">
        <v>46082</v>
      </c>
      <c r="F51">
        <f>+Novedades[[#This Row],[DIAS TRABAJADO SUPLENTE]]*Novedades[[#This Row],[Horas JORNADA '[HS']]]+Novedades[[#This Row],[HORAS EXTRAS al 50% '[HS']]]+Novedades[[#This Row],[HORAS EXTRAS al 100% '[HS']]]+Novedades[[#This Row],[FERIADOS TRABAJADOS '[HS']]]</f>
        <v>0</v>
      </c>
      <c r="R51" s="57"/>
    </row>
    <row r="52" spans="1:18" hidden="1" x14ac:dyDescent="0.25">
      <c r="A52" s="132">
        <v>20947260481</v>
      </c>
      <c r="B52" s="133" t="str">
        <f>+VLOOKUP(Novedades[[#This Row],[CUIL]],Empleados[],2,FALSE)</f>
        <v>ESTIGARRIBIA ARCE DARIO</v>
      </c>
      <c r="C52" s="132">
        <v>30630042670</v>
      </c>
      <c r="D52" s="134">
        <v>46082</v>
      </c>
      <c r="F52">
        <f>+Novedades[[#This Row],[DIAS TRABAJADO SUPLENTE]]*Novedades[[#This Row],[Horas JORNADA '[HS']]]+Novedades[[#This Row],[HORAS EXTRAS al 50% '[HS']]]+Novedades[[#This Row],[HORAS EXTRAS al 100% '[HS']]]+Novedades[[#This Row],[FERIADOS TRABAJADOS '[HS']]]</f>
        <v>5</v>
      </c>
      <c r="I52">
        <v>5</v>
      </c>
      <c r="L52">
        <v>45157.21</v>
      </c>
      <c r="R52" s="57"/>
    </row>
    <row r="53" spans="1:18" hidden="1" x14ac:dyDescent="0.25">
      <c r="A53" s="132">
        <v>23250288794</v>
      </c>
      <c r="B53" s="133" t="str">
        <f>+VLOOKUP(Novedades[[#This Row],[CUIL]],Empleados[],2,FALSE)</f>
        <v>PIÑERO BIBIANA PATRICIA</v>
      </c>
      <c r="C53" s="132">
        <v>30630042670</v>
      </c>
      <c r="D53" s="134">
        <v>46082</v>
      </c>
      <c r="E53">
        <v>25</v>
      </c>
      <c r="F53">
        <f>+Novedades[[#This Row],[DIAS TRABAJADO SUPLENTE]]*Novedades[[#This Row],[Horas JORNADA '[HS']]]+Novedades[[#This Row],[HORAS EXTRAS al 50% '[HS']]]+Novedades[[#This Row],[HORAS EXTRAS al 100% '[HS']]]+Novedades[[#This Row],[FERIADOS TRABAJADOS '[HS']]]</f>
        <v>104</v>
      </c>
      <c r="G53">
        <v>4</v>
      </c>
      <c r="J53">
        <v>4</v>
      </c>
      <c r="R53" s="57"/>
    </row>
    <row r="54" spans="1:18" hidden="1" x14ac:dyDescent="0.25">
      <c r="A54" s="132">
        <v>20942335351</v>
      </c>
      <c r="B54" s="133" t="str">
        <f>+VLOOKUP(Novedades[[#This Row],[CUIL]],Empleados[],2,FALSE)</f>
        <v>TORRES ORTIZ DENIS RAMON</v>
      </c>
      <c r="C54" s="132">
        <v>30711283338</v>
      </c>
      <c r="D54" s="134">
        <v>46082</v>
      </c>
      <c r="F54">
        <f>+Novedades[[#This Row],[DIAS TRABAJADO SUPLENTE]]*Novedades[[#This Row],[Horas JORNADA '[HS']]]+Novedades[[#This Row],[HORAS EXTRAS al 50% '[HS']]]+Novedades[[#This Row],[HORAS EXTRAS al 100% '[HS']]]+Novedades[[#This Row],[FERIADOS TRABAJADOS '[HS']]]</f>
        <v>0</v>
      </c>
      <c r="R54" s="57"/>
    </row>
    <row r="55" spans="1:18" hidden="1" x14ac:dyDescent="0.25">
      <c r="A55" s="132">
        <v>24269272801</v>
      </c>
      <c r="B55" s="133" t="str">
        <f>+VLOOKUP(Novedades[[#This Row],[CUIL]],Empleados[],2,FALSE)</f>
        <v>PIÑERO CLAUDIA ELIZABET</v>
      </c>
      <c r="C55" s="132">
        <v>30711283338</v>
      </c>
      <c r="D55" s="134">
        <v>46082</v>
      </c>
      <c r="F55">
        <f>+Novedades[[#This Row],[DIAS TRABAJADO SUPLENTE]]*Novedades[[#This Row],[Horas JORNADA '[HS']]]+Novedades[[#This Row],[HORAS EXTRAS al 50% '[HS']]]+Novedades[[#This Row],[HORAS EXTRAS al 100% '[HS']]]+Novedades[[#This Row],[FERIADOS TRABAJADOS '[HS']]]</f>
        <v>0</v>
      </c>
      <c r="R55" s="57"/>
    </row>
    <row r="56" spans="1:18" hidden="1" x14ac:dyDescent="0.25">
      <c r="A56" s="132">
        <v>20252571850</v>
      </c>
      <c r="B56" s="133" t="str">
        <f>+VLOOKUP(Novedades[[#This Row],[CUIL]],Empleados[],2,FALSE)</f>
        <v>VERON CARLOS ALBERTO</v>
      </c>
      <c r="C56" s="132">
        <v>30711553165</v>
      </c>
      <c r="D56" s="134">
        <v>46082</v>
      </c>
      <c r="F56">
        <f>+Novedades[[#This Row],[DIAS TRABAJADO SUPLENTE]]*Novedades[[#This Row],[Horas JORNADA '[HS']]]+Novedades[[#This Row],[HORAS EXTRAS al 50% '[HS']]]+Novedades[[#This Row],[HORAS EXTRAS al 100% '[HS']]]+Novedades[[#This Row],[FERIADOS TRABAJADOS '[HS']]]</f>
        <v>28</v>
      </c>
      <c r="H56">
        <v>16</v>
      </c>
      <c r="I56">
        <v>12</v>
      </c>
      <c r="K56">
        <v>15</v>
      </c>
      <c r="R56" s="57"/>
    </row>
    <row r="57" spans="1:18" hidden="1" x14ac:dyDescent="0.25">
      <c r="A57" s="132">
        <v>20942347643</v>
      </c>
      <c r="B57" s="133" t="str">
        <f>+VLOOKUP(Novedades[[#This Row],[CUIL]],Empleados[],2,FALSE)</f>
        <v>LIMA CENTURION RONAL DEJESUS</v>
      </c>
      <c r="C57" s="132">
        <v>30711553165</v>
      </c>
      <c r="D57" s="134">
        <v>46082</v>
      </c>
      <c r="F57">
        <f>+Novedades[[#This Row],[DIAS TRABAJADO SUPLENTE]]*Novedades[[#This Row],[Horas JORNADA '[HS']]]+Novedades[[#This Row],[HORAS EXTRAS al 50% '[HS']]]+Novedades[[#This Row],[HORAS EXTRAS al 100% '[HS']]]+Novedades[[#This Row],[FERIADOS TRABAJADOS '[HS']]]</f>
        <v>0</v>
      </c>
      <c r="M57">
        <v>247866.5</v>
      </c>
      <c r="R57" s="57"/>
    </row>
    <row r="58" spans="1:18" hidden="1" x14ac:dyDescent="0.25">
      <c r="A58" s="132">
        <v>23175845879</v>
      </c>
      <c r="B58" s="133" t="str">
        <f>+VLOOKUP(Novedades[[#This Row],[CUIL]],Empleados[],2,FALSE)</f>
        <v>CORONEL CARLOS EMIGDIO</v>
      </c>
      <c r="C58" s="132">
        <v>30711776903</v>
      </c>
      <c r="D58" s="134">
        <v>46082</v>
      </c>
      <c r="F58">
        <f>+Novedades[[#This Row],[DIAS TRABAJADO SUPLENTE]]*Novedades[[#This Row],[Horas JORNADA '[HS']]]+Novedades[[#This Row],[HORAS EXTRAS al 50% '[HS']]]+Novedades[[#This Row],[HORAS EXTRAS al 100% '[HS']]]+Novedades[[#This Row],[FERIADOS TRABAJADOS '[HS']]]</f>
        <v>45</v>
      </c>
      <c r="H58">
        <v>38</v>
      </c>
      <c r="I58">
        <v>7</v>
      </c>
      <c r="R58" s="57"/>
    </row>
    <row r="59" spans="1:18" x14ac:dyDescent="0.25">
      <c r="A59" s="68">
        <v>20283772323</v>
      </c>
      <c r="B59" s="67" t="str">
        <f>+VLOOKUP(Novedades[[#This Row],[CUIL]],Empleados[],2,FALSE)</f>
        <v>RIOS LUIS ALBERTO</v>
      </c>
      <c r="C59" s="68">
        <v>30519077635</v>
      </c>
      <c r="D59" s="69">
        <v>46113</v>
      </c>
      <c r="F59">
        <f>+Novedades[[#This Row],[DIAS TRABAJADO SUPLENTE]]*Novedades[[#This Row],[Horas JORNADA '[HS']]]+Novedades[[#This Row],[HORAS EXTRAS al 50% '[HS']]]+Novedades[[#This Row],[HORAS EXTRAS al 100% '[HS']]]+Novedades[[#This Row],[FERIADOS TRABAJADOS '[HS']]]</f>
        <v>12</v>
      </c>
      <c r="I59">
        <v>12</v>
      </c>
      <c r="R59" s="57"/>
    </row>
    <row r="60" spans="1:18" x14ac:dyDescent="0.25">
      <c r="A60" s="68">
        <v>20338776390</v>
      </c>
      <c r="B60" s="67" t="str">
        <f>+VLOOKUP(Novedades[[#This Row],[CUIL]],Empleados[],2,FALSE)</f>
        <v>RIOS MATIAS ALEJANDRO</v>
      </c>
      <c r="C60" s="68">
        <v>30519077635</v>
      </c>
      <c r="D60" s="69">
        <v>46113</v>
      </c>
      <c r="F60">
        <f>+Novedades[[#This Row],[DIAS TRABAJADO SUPLENTE]]*Novedades[[#This Row],[Horas JORNADA '[HS']]]+Novedades[[#This Row],[HORAS EXTRAS al 50% '[HS']]]+Novedades[[#This Row],[HORAS EXTRAS al 100% '[HS']]]+Novedades[[#This Row],[FERIADOS TRABAJADOS '[HS']]]</f>
        <v>12</v>
      </c>
      <c r="I60">
        <v>12</v>
      </c>
      <c r="R60" s="57"/>
    </row>
    <row r="61" spans="1:18" x14ac:dyDescent="0.25">
      <c r="A61" s="68">
        <v>20360647774</v>
      </c>
      <c r="B61" s="67" t="str">
        <f>+VLOOKUP(Novedades[[#This Row],[CUIL]],Empleados[],2,FALSE)</f>
        <v xml:space="preserve">GIACOMO SEBASTIAN LUIS </v>
      </c>
      <c r="C61" s="68">
        <v>30532673484</v>
      </c>
      <c r="D61" s="69">
        <v>46113</v>
      </c>
      <c r="F61">
        <f>+Novedades[[#This Row],[DIAS TRABAJADO SUPLENTE]]*Novedades[[#This Row],[Horas JORNADA '[HS']]]+Novedades[[#This Row],[HORAS EXTRAS al 50% '[HS']]]+Novedades[[#This Row],[HORAS EXTRAS al 100% '[HS']]]+Novedades[[#This Row],[FERIADOS TRABAJADOS '[HS']]]</f>
        <v>0</v>
      </c>
      <c r="R61" s="57"/>
    </row>
    <row r="62" spans="1:18" x14ac:dyDescent="0.25">
      <c r="A62" s="68">
        <v>20175464299</v>
      </c>
      <c r="B62" s="67" t="str">
        <f>+VLOOKUP(Novedades[[#This Row],[CUIL]],Empleados[],2,FALSE)</f>
        <v>ESPONDA JOSE MARIA</v>
      </c>
      <c r="C62" s="68">
        <v>30537480544</v>
      </c>
      <c r="D62" s="69">
        <v>46113</v>
      </c>
      <c r="F62">
        <f>+Novedades[[#This Row],[DIAS TRABAJADO SUPLENTE]]*Novedades[[#This Row],[Horas JORNADA '[HS']]]+Novedades[[#This Row],[HORAS EXTRAS al 50% '[HS']]]+Novedades[[#This Row],[HORAS EXTRAS al 100% '[HS']]]+Novedades[[#This Row],[FERIADOS TRABAJADOS '[HS']]]</f>
        <v>0</v>
      </c>
      <c r="R62" s="57"/>
    </row>
    <row r="63" spans="1:18" x14ac:dyDescent="0.25">
      <c r="A63" s="68">
        <v>23289923934</v>
      </c>
      <c r="B63" s="67" t="str">
        <f>+VLOOKUP(Novedades[[#This Row],[CUIL]],Empleados[],2,FALSE)</f>
        <v xml:space="preserve">PIÑERO SONIA MERCEDES </v>
      </c>
      <c r="C63" s="68">
        <v>30538590009</v>
      </c>
      <c r="D63" s="69">
        <v>46113</v>
      </c>
      <c r="F63">
        <f>+Novedades[[#This Row],[DIAS TRABAJADO SUPLENTE]]*Novedades[[#This Row],[Horas JORNADA '[HS']]]+Novedades[[#This Row],[HORAS EXTRAS al 50% '[HS']]]+Novedades[[#This Row],[HORAS EXTRAS al 100% '[HS']]]+Novedades[[#This Row],[FERIADOS TRABAJADOS '[HS']]]</f>
        <v>4</v>
      </c>
      <c r="J63">
        <v>4</v>
      </c>
      <c r="R63" s="57"/>
    </row>
    <row r="64" spans="1:18" x14ac:dyDescent="0.25">
      <c r="A64" s="68">
        <v>24269272801</v>
      </c>
      <c r="B64" s="67" t="str">
        <f>+VLOOKUP(Novedades[[#This Row],[CUIL]],Empleados[],2,FALSE)</f>
        <v>PIÑERO CLAUDIA ELIZABET</v>
      </c>
      <c r="C64" s="68">
        <v>30538590009</v>
      </c>
      <c r="D64" s="69">
        <v>46113</v>
      </c>
      <c r="F64">
        <f>+Novedades[[#This Row],[DIAS TRABAJADO SUPLENTE]]*Novedades[[#This Row],[Horas JORNADA '[HS']]]+Novedades[[#This Row],[HORAS EXTRAS al 50% '[HS']]]+Novedades[[#This Row],[HORAS EXTRAS al 100% '[HS']]]+Novedades[[#This Row],[FERIADOS TRABAJADOS '[HS']]]</f>
        <v>0</v>
      </c>
      <c r="R64" s="57"/>
    </row>
    <row r="65" spans="1:18" x14ac:dyDescent="0.25">
      <c r="A65" s="68">
        <v>20204210749</v>
      </c>
      <c r="B65" s="67" t="str">
        <f>+VLOOKUP(Novedades[[#This Row],[CUIL]],Empleados[],2,FALSE)</f>
        <v>RODA MARIO GUSTAVO</v>
      </c>
      <c r="C65" s="68">
        <v>30540887752</v>
      </c>
      <c r="D65" s="69">
        <v>46113</v>
      </c>
      <c r="F65">
        <f>+Novedades[[#This Row],[DIAS TRABAJADO SUPLENTE]]*Novedades[[#This Row],[Horas JORNADA '[HS']]]+Novedades[[#This Row],[HORAS EXTRAS al 50% '[HS']]]+Novedades[[#This Row],[HORAS EXTRAS al 100% '[HS']]]+Novedades[[#This Row],[FERIADOS TRABAJADOS '[HS']]]</f>
        <v>0</v>
      </c>
      <c r="R65" s="57"/>
    </row>
    <row r="66" spans="1:18" x14ac:dyDescent="0.25">
      <c r="A66" s="68">
        <v>20263485409</v>
      </c>
      <c r="B66" s="67" t="str">
        <f>+VLOOKUP(Novedades[[#This Row],[CUIL]],Empleados[],2,FALSE)</f>
        <v>LEDESMA SANTIAGO DAVID</v>
      </c>
      <c r="C66" s="68">
        <v>30559333022</v>
      </c>
      <c r="D66" s="69">
        <v>46113</v>
      </c>
      <c r="F66">
        <f>+Novedades[[#This Row],[DIAS TRABAJADO SUPLENTE]]*Novedades[[#This Row],[Horas JORNADA '[HS']]]+Novedades[[#This Row],[HORAS EXTRAS al 50% '[HS']]]+Novedades[[#This Row],[HORAS EXTRAS al 100% '[HS']]]+Novedades[[#This Row],[FERIADOS TRABAJADOS '[HS']]]</f>
        <v>0</v>
      </c>
      <c r="K66">
        <v>5</v>
      </c>
      <c r="R66" s="57"/>
    </row>
    <row r="67" spans="1:18" x14ac:dyDescent="0.25">
      <c r="A67" s="68">
        <v>20275890074</v>
      </c>
      <c r="B67" s="67" t="str">
        <f>+VLOOKUP(Novedades[[#This Row],[CUIL]],Empleados[],2,FALSE)</f>
        <v xml:space="preserve">CORONEL EDGARDO DARIO </v>
      </c>
      <c r="C67" s="68">
        <v>30580260906</v>
      </c>
      <c r="D67" s="69">
        <v>46113</v>
      </c>
      <c r="F67">
        <f>+Novedades[[#This Row],[DIAS TRABAJADO SUPLENTE]]*Novedades[[#This Row],[Horas JORNADA '[HS']]]+Novedades[[#This Row],[HORAS EXTRAS al 50% '[HS']]]+Novedades[[#This Row],[HORAS EXTRAS al 100% '[HS']]]+Novedades[[#This Row],[FERIADOS TRABAJADOS '[HS']]]</f>
        <v>0</v>
      </c>
      <c r="R67" s="57"/>
    </row>
    <row r="68" spans="1:18" x14ac:dyDescent="0.25">
      <c r="A68" s="68">
        <v>20331992314</v>
      </c>
      <c r="B68" s="67" t="str">
        <f>+VLOOKUP(Novedades[[#This Row],[CUIL]],Empleados[],2,FALSE)</f>
        <v>RODRIGUEZ ALFREDO RAUL</v>
      </c>
      <c r="C68" s="68">
        <v>30580260906</v>
      </c>
      <c r="D68" s="69">
        <v>46113</v>
      </c>
      <c r="F68">
        <f>+Novedades[[#This Row],[DIAS TRABAJADO SUPLENTE]]*Novedades[[#This Row],[Horas JORNADA '[HS']]]+Novedades[[#This Row],[HORAS EXTRAS al 50% '[HS']]]+Novedades[[#This Row],[HORAS EXTRAS al 100% '[HS']]]+Novedades[[#This Row],[FERIADOS TRABAJADOS '[HS']]]</f>
        <v>0</v>
      </c>
      <c r="R68" s="57"/>
    </row>
    <row r="69" spans="1:18" x14ac:dyDescent="0.25">
      <c r="A69" s="68">
        <v>27174620410</v>
      </c>
      <c r="B69" s="67" t="str">
        <f>+VLOOKUP(Novedades[[#This Row],[CUIL]],Empleados[],2,FALSE)</f>
        <v>CANCINOS MARGARITA</v>
      </c>
      <c r="C69" s="68">
        <v>30604528166</v>
      </c>
      <c r="D69" s="69">
        <v>46113</v>
      </c>
      <c r="F69">
        <f>+Novedades[[#This Row],[DIAS TRABAJADO SUPLENTE]]*Novedades[[#This Row],[Horas JORNADA '[HS']]]+Novedades[[#This Row],[HORAS EXTRAS al 50% '[HS']]]+Novedades[[#This Row],[HORAS EXTRAS al 100% '[HS']]]+Novedades[[#This Row],[FERIADOS TRABAJADOS '[HS']]]</f>
        <v>0</v>
      </c>
      <c r="R69" s="57"/>
    </row>
    <row r="70" spans="1:18" x14ac:dyDescent="0.25">
      <c r="A70" s="68">
        <v>20176328399</v>
      </c>
      <c r="B70" s="67" t="str">
        <f>+VLOOKUP(Novedades[[#This Row],[CUIL]],Empleados[],2,FALSE)</f>
        <v>ROJAS CARLOS MANUEL</v>
      </c>
      <c r="C70" s="68">
        <v>30630042670</v>
      </c>
      <c r="D70" s="69">
        <v>46113</v>
      </c>
      <c r="F70">
        <f>+Novedades[[#This Row],[DIAS TRABAJADO SUPLENTE]]*Novedades[[#This Row],[Horas JORNADA '[HS']]]+Novedades[[#This Row],[HORAS EXTRAS al 50% '[HS']]]+Novedades[[#This Row],[HORAS EXTRAS al 100% '[HS']]]+Novedades[[#This Row],[FERIADOS TRABAJADOS '[HS']]]</f>
        <v>0</v>
      </c>
      <c r="N70">
        <v>30</v>
      </c>
      <c r="O70">
        <v>30</v>
      </c>
      <c r="R70" s="57"/>
    </row>
    <row r="71" spans="1:18" x14ac:dyDescent="0.25">
      <c r="A71" s="68">
        <v>20947260481</v>
      </c>
      <c r="B71" s="67" t="str">
        <f>+VLOOKUP(Novedades[[#This Row],[CUIL]],Empleados[],2,FALSE)</f>
        <v>ESTIGARRIBIA ARCE DARIO</v>
      </c>
      <c r="C71" s="68">
        <v>30630042670</v>
      </c>
      <c r="D71" s="69">
        <v>46113</v>
      </c>
      <c r="F71">
        <f>+Novedades[[#This Row],[DIAS TRABAJADO SUPLENTE]]*Novedades[[#This Row],[Horas JORNADA '[HS']]]+Novedades[[#This Row],[HORAS EXTRAS al 50% '[HS']]]+Novedades[[#This Row],[HORAS EXTRAS al 100% '[HS']]]+Novedades[[#This Row],[FERIADOS TRABAJADOS '[HS']]]</f>
        <v>4</v>
      </c>
      <c r="I71">
        <v>4</v>
      </c>
      <c r="L71">
        <v>46963.5</v>
      </c>
      <c r="R71" s="57"/>
    </row>
    <row r="72" spans="1:18" x14ac:dyDescent="0.25">
      <c r="A72" s="68">
        <v>23250288794</v>
      </c>
      <c r="B72" s="67" t="str">
        <f>+VLOOKUP(Novedades[[#This Row],[CUIL]],Empleados[],2,FALSE)</f>
        <v>PIÑERO BIBIANA PATRICIA</v>
      </c>
      <c r="C72" s="68">
        <v>30630042670</v>
      </c>
      <c r="D72" s="69">
        <v>46113</v>
      </c>
      <c r="E72">
        <v>24</v>
      </c>
      <c r="F72">
        <f>+Novedades[[#This Row],[DIAS TRABAJADO SUPLENTE]]*Novedades[[#This Row],[Horas JORNADA '[HS']]]+Novedades[[#This Row],[HORAS EXTRAS al 50% '[HS']]]+Novedades[[#This Row],[HORAS EXTRAS al 100% '[HS']]]+Novedades[[#This Row],[FERIADOS TRABAJADOS '[HS']]]</f>
        <v>100</v>
      </c>
      <c r="G72">
        <v>4</v>
      </c>
      <c r="J72">
        <v>4</v>
      </c>
      <c r="R72" s="57"/>
    </row>
    <row r="73" spans="1:18" x14ac:dyDescent="0.25">
      <c r="A73" s="68">
        <v>20942335351</v>
      </c>
      <c r="B73" s="67" t="str">
        <f>+VLOOKUP(Novedades[[#This Row],[CUIL]],Empleados[],2,FALSE)</f>
        <v>TORRES ORTIZ DENIS RAMON</v>
      </c>
      <c r="C73" s="68">
        <v>30711283338</v>
      </c>
      <c r="D73" s="69">
        <v>46113</v>
      </c>
      <c r="F73">
        <f>+Novedades[[#This Row],[DIAS TRABAJADO SUPLENTE]]*Novedades[[#This Row],[Horas JORNADA '[HS']]]+Novedades[[#This Row],[HORAS EXTRAS al 50% '[HS']]]+Novedades[[#This Row],[HORAS EXTRAS al 100% '[HS']]]+Novedades[[#This Row],[FERIADOS TRABAJADOS '[HS']]]</f>
        <v>0</v>
      </c>
      <c r="R73" s="57"/>
    </row>
    <row r="74" spans="1:18" x14ac:dyDescent="0.25">
      <c r="A74" s="68">
        <v>24269272801</v>
      </c>
      <c r="B74" s="67" t="str">
        <f>+VLOOKUP(Novedades[[#This Row],[CUIL]],Empleados[],2,FALSE)</f>
        <v>PIÑERO CLAUDIA ELIZABET</v>
      </c>
      <c r="C74" s="68">
        <v>30711283338</v>
      </c>
      <c r="D74" s="69">
        <v>46113</v>
      </c>
      <c r="F74">
        <f>+Novedades[[#This Row],[DIAS TRABAJADO SUPLENTE]]*Novedades[[#This Row],[Horas JORNADA '[HS']]]+Novedades[[#This Row],[HORAS EXTRAS al 50% '[HS']]]+Novedades[[#This Row],[HORAS EXTRAS al 100% '[HS']]]+Novedades[[#This Row],[FERIADOS TRABAJADOS '[HS']]]</f>
        <v>0</v>
      </c>
      <c r="R74" s="57"/>
    </row>
    <row r="75" spans="1:18" x14ac:dyDescent="0.25">
      <c r="A75" s="68">
        <v>20252571850</v>
      </c>
      <c r="B75" s="67" t="str">
        <f>+VLOOKUP(Novedades[[#This Row],[CUIL]],Empleados[],2,FALSE)</f>
        <v>VERON CARLOS ALBERTO</v>
      </c>
      <c r="C75" s="68">
        <v>30711553165</v>
      </c>
      <c r="D75" s="69">
        <v>46113</v>
      </c>
      <c r="F75">
        <f>+Novedades[[#This Row],[DIAS TRABAJADO SUPLENTE]]*Novedades[[#This Row],[Horas JORNADA '[HS']]]+Novedades[[#This Row],[HORAS EXTRAS al 50% '[HS']]]+Novedades[[#This Row],[HORAS EXTRAS al 100% '[HS']]]+Novedades[[#This Row],[FERIADOS TRABAJADOS '[HS']]]</f>
        <v>55</v>
      </c>
      <c r="H75">
        <v>34</v>
      </c>
      <c r="I75">
        <v>21</v>
      </c>
      <c r="R75" s="57"/>
    </row>
    <row r="76" spans="1:18" x14ac:dyDescent="0.25">
      <c r="A76" s="68">
        <v>20942347643</v>
      </c>
      <c r="B76" s="67" t="str">
        <f>+VLOOKUP(Novedades[[#This Row],[CUIL]],Empleados[],2,FALSE)</f>
        <v>LIMA CENTURION RONAL DEJESUS</v>
      </c>
      <c r="C76" s="68">
        <v>30711553165</v>
      </c>
      <c r="D76" s="69">
        <v>46113</v>
      </c>
      <c r="F76">
        <f>+Novedades[[#This Row],[DIAS TRABAJADO SUPLENTE]]*Novedades[[#This Row],[Horas JORNADA '[HS']]]+Novedades[[#This Row],[HORAS EXTRAS al 50% '[HS']]]+Novedades[[#This Row],[HORAS EXTRAS al 100% '[HS']]]+Novedades[[#This Row],[FERIADOS TRABAJADOS '[HS']]]</f>
        <v>0</v>
      </c>
      <c r="M76" s="57">
        <v>255552.62</v>
      </c>
      <c r="R76" s="57"/>
    </row>
    <row r="77" spans="1:18" x14ac:dyDescent="0.25">
      <c r="A77" s="68">
        <v>23175845879</v>
      </c>
      <c r="B77" s="67" t="str">
        <f>+VLOOKUP(Novedades[[#This Row],[CUIL]],Empleados[],2,FALSE)</f>
        <v>CORONEL CARLOS EMIGDIO</v>
      </c>
      <c r="C77" s="68">
        <v>30711776903</v>
      </c>
      <c r="D77" s="69">
        <v>46113</v>
      </c>
      <c r="F77">
        <f>+Novedades[[#This Row],[DIAS TRABAJADO SUPLENTE]]*Novedades[[#This Row],[Horas JORNADA '[HS']]]+Novedades[[#This Row],[HORAS EXTRAS al 50% '[HS']]]+Novedades[[#This Row],[HORAS EXTRAS al 100% '[HS']]]+Novedades[[#This Row],[FERIADOS TRABAJADOS '[HS']]]</f>
        <v>38</v>
      </c>
      <c r="H77">
        <v>30</v>
      </c>
      <c r="I77">
        <v>8</v>
      </c>
      <c r="R77" s="57"/>
    </row>
    <row r="78" spans="1:18" hidden="1" x14ac:dyDescent="0.25">
      <c r="A78" s="17">
        <v>20283772323</v>
      </c>
      <c r="B78" s="70" t="str">
        <f>+VLOOKUP(Novedades[[#This Row],[CUIL]],Empleados[],2,FALSE())</f>
        <v>RIOS LUIS ALBERTO</v>
      </c>
      <c r="C78" s="57">
        <f>+VLOOKUP(Novedades[[#This Row],[CUIL]],Empleados[],6,FALSE)</f>
        <v>30519077635</v>
      </c>
      <c r="D78" s="34">
        <v>46143</v>
      </c>
      <c r="F78">
        <f>+Novedades[[#This Row],[DIAS TRABAJADO SUPLENTE]]*Novedades[[#This Row],[Horas JORNADA '[HS']]]+Novedades[[#This Row],[HORAS EXTRAS al 50% '[HS']]]+Novedades[[#This Row],[HORAS EXTRAS al 100% '[HS']]]+Novedades[[#This Row],[FERIADOS TRABAJADOS '[HS']]]</f>
        <v>20</v>
      </c>
      <c r="I78">
        <f>5*4</f>
        <v>20</v>
      </c>
      <c r="R78" s="57"/>
    </row>
    <row r="79" spans="1:18" hidden="1" x14ac:dyDescent="0.25">
      <c r="A79" s="17">
        <v>20338776390</v>
      </c>
      <c r="B79" s="70" t="str">
        <f>+VLOOKUP(Novedades[[#This Row],[CUIL]],Empleados[],2,FALSE())</f>
        <v>RIOS MATIAS ALEJANDRO</v>
      </c>
      <c r="C79" s="57">
        <f>+VLOOKUP(Novedades[[#This Row],[CUIL]],Empleados[],6,FALSE)</f>
        <v>30519077635</v>
      </c>
      <c r="D79" s="34">
        <v>46143</v>
      </c>
      <c r="F79">
        <f>+Novedades[[#This Row],[DIAS TRABAJADO SUPLENTE]]*Novedades[[#This Row],[Horas JORNADA '[HS']]]+Novedades[[#This Row],[HORAS EXTRAS al 50% '[HS']]]+Novedades[[#This Row],[HORAS EXTRAS al 100% '[HS']]]+Novedades[[#This Row],[FERIADOS TRABAJADOS '[HS']]]</f>
        <v>12</v>
      </c>
      <c r="I79">
        <f>4*3</f>
        <v>12</v>
      </c>
      <c r="R79" s="57"/>
    </row>
    <row r="80" spans="1:18" hidden="1" x14ac:dyDescent="0.25">
      <c r="A80">
        <v>23289923934</v>
      </c>
      <c r="B80" s="70" t="str">
        <f>+VLOOKUP(Novedades[[#This Row],[CUIL]],Empleados[],2,FALSE())</f>
        <v xml:space="preserve">PIÑERO SONIA MERCEDES </v>
      </c>
      <c r="C80" s="57">
        <f>+VLOOKUP(Novedades[[#This Row],[CUIL]],Empleados[],6,FALSE)</f>
        <v>30538590009</v>
      </c>
      <c r="D80" s="34">
        <v>46143</v>
      </c>
      <c r="F80">
        <f>+Novedades[[#This Row],[DIAS TRABAJADO SUPLENTE]]*Novedades[[#This Row],[Horas JORNADA '[HS']]]+Novedades[[#This Row],[HORAS EXTRAS al 50% '[HS']]]+Novedades[[#This Row],[HORAS EXTRAS al 100% '[HS']]]+Novedades[[#This Row],[FERIADOS TRABAJADOS '[HS']]]</f>
        <v>0</v>
      </c>
      <c r="J80">
        <v>0</v>
      </c>
      <c r="R80" s="57"/>
    </row>
    <row r="81" spans="1:18" hidden="1" x14ac:dyDescent="0.25">
      <c r="A81" s="17">
        <v>24269272801</v>
      </c>
      <c r="B81" s="71" t="s">
        <v>327</v>
      </c>
      <c r="C81" s="57">
        <f>+VLOOKUP(Novedades[[#This Row],[CUIL]],Empleados[],6,FALSE)</f>
        <v>30538590009</v>
      </c>
      <c r="D81" s="34">
        <v>46143</v>
      </c>
      <c r="F81">
        <f>+Novedades[[#This Row],[DIAS TRABAJADO SUPLENTE]]*Novedades[[#This Row],[Horas JORNADA '[HS']]]+Novedades[[#This Row],[HORAS EXTRAS al 50% '[HS']]]+Novedades[[#This Row],[HORAS EXTRAS al 100% '[HS']]]+Novedades[[#This Row],[FERIADOS TRABAJADOS '[HS']]]</f>
        <v>0</v>
      </c>
      <c r="P81">
        <f>6*3+4*2</f>
        <v>26</v>
      </c>
      <c r="R81" s="57"/>
    </row>
    <row r="82" spans="1:18" hidden="1" x14ac:dyDescent="0.25">
      <c r="A82" s="17">
        <v>20176328399</v>
      </c>
      <c r="B82" s="70" t="str">
        <f>+VLOOKUP(Novedades[[#This Row],[CUIL]],Empleados[],2,FALSE())</f>
        <v>ROJAS CARLOS MANUEL</v>
      </c>
      <c r="C82" s="17">
        <v>30630042670</v>
      </c>
      <c r="D82" s="34">
        <v>46143</v>
      </c>
      <c r="F82">
        <f>+Novedades[[#This Row],[DIAS TRABAJADO SUPLENTE]]*Novedades[[#This Row],[Horas JORNADA '[HS']]]+Novedades[[#This Row],[HORAS EXTRAS al 50% '[HS']]]+Novedades[[#This Row],[HORAS EXTRAS al 100% '[HS']]]+Novedades[[#This Row],[FERIADOS TRABAJADOS '[HS']]]</f>
        <v>0</v>
      </c>
      <c r="N82">
        <v>30</v>
      </c>
      <c r="O82">
        <v>30</v>
      </c>
      <c r="R82" s="57"/>
    </row>
    <row r="83" spans="1:18" hidden="1" x14ac:dyDescent="0.25">
      <c r="A83" s="17">
        <v>20947260481</v>
      </c>
      <c r="B83" s="70" t="str">
        <f>+VLOOKUP(Novedades[[#This Row],[CUIL]],Empleados[],2,FALSE())</f>
        <v>ESTIGARRIBIA ARCE DARIO</v>
      </c>
      <c r="C83" s="57">
        <f>+VLOOKUP(Novedades[[#This Row],[CUIL]],Empleados[],6,FALSE)</f>
        <v>30630042670</v>
      </c>
      <c r="D83" s="34">
        <v>46143</v>
      </c>
      <c r="F83">
        <f>+Novedades[[#This Row],[DIAS TRABAJADO SUPLENTE]]*Novedades[[#This Row],[Horas JORNADA '[HS']]]+Novedades[[#This Row],[HORAS EXTRAS al 50% '[HS']]]+Novedades[[#This Row],[HORAS EXTRAS al 100% '[HS']]]+Novedades[[#This Row],[FERIADOS TRABAJADOS '[HS']]]</f>
        <v>5</v>
      </c>
      <c r="I83">
        <v>5</v>
      </c>
      <c r="R83" s="57"/>
    </row>
    <row r="84" spans="1:18" hidden="1" x14ac:dyDescent="0.25">
      <c r="A84">
        <v>23250288794</v>
      </c>
      <c r="B84" s="70" t="str">
        <f>+VLOOKUP(Novedades[[#This Row],[CUIL]],Empleados[],2,FALSE())</f>
        <v>PIÑERO BIBIANA PATRICIA</v>
      </c>
      <c r="C84" s="57">
        <f>+VLOOKUP(Novedades[[#This Row],[CUIL]],Empleados[],6,FALSE)</f>
        <v>30630042670</v>
      </c>
      <c r="D84" s="34">
        <v>46143</v>
      </c>
      <c r="E84">
        <v>23</v>
      </c>
      <c r="F84">
        <f>+Novedades[[#This Row],[DIAS TRABAJADO SUPLENTE]]*Novedades[[#This Row],[Horas JORNADA '[HS']]]+Novedades[[#This Row],[HORAS EXTRAS al 50% '[HS']]]+Novedades[[#This Row],[HORAS EXTRAS al 100% '[HS']]]+Novedades[[#This Row],[FERIADOS TRABAJADOS '[HS']]]</f>
        <v>92</v>
      </c>
      <c r="G84">
        <v>4</v>
      </c>
      <c r="J84">
        <v>0</v>
      </c>
      <c r="R84" s="57"/>
    </row>
    <row r="85" spans="1:18" hidden="1" x14ac:dyDescent="0.25">
      <c r="A85" s="17">
        <v>20942335351</v>
      </c>
      <c r="B85" s="71" t="s">
        <v>125</v>
      </c>
      <c r="C85" s="57">
        <f>+VLOOKUP(Novedades[[#This Row],[CUIL]],Empleados[],6,FALSE)</f>
        <v>30711283338</v>
      </c>
      <c r="D85" s="34">
        <v>46143</v>
      </c>
      <c r="F85">
        <f>+Novedades[[#This Row],[DIAS TRABAJADO SUPLENTE]]*Novedades[[#This Row],[Horas JORNADA '[HS']]]+Novedades[[#This Row],[HORAS EXTRAS al 50% '[HS']]]+Novedades[[#This Row],[HORAS EXTRAS al 100% '[HS']]]+Novedades[[#This Row],[FERIADOS TRABAJADOS '[HS']]]</f>
        <v>0</v>
      </c>
      <c r="K85">
        <v>23</v>
      </c>
      <c r="R85" s="57"/>
    </row>
    <row r="86" spans="1:18" hidden="1" x14ac:dyDescent="0.25">
      <c r="A86" s="17">
        <v>24269272801</v>
      </c>
      <c r="B86" s="71" t="s">
        <v>327</v>
      </c>
      <c r="C86" s="17">
        <v>30711283338</v>
      </c>
      <c r="D86" s="34">
        <v>46143</v>
      </c>
      <c r="E86">
        <v>23</v>
      </c>
      <c r="F86">
        <f>+Novedades[[#This Row],[DIAS TRABAJADO SUPLENTE]]*4</f>
        <v>92</v>
      </c>
      <c r="G86">
        <v>4</v>
      </c>
      <c r="R86" s="57"/>
    </row>
    <row r="87" spans="1:18" hidden="1" x14ac:dyDescent="0.25">
      <c r="A87">
        <v>20252571850</v>
      </c>
      <c r="B87" s="70" t="str">
        <f>+VLOOKUP(Novedades[[#This Row],[CUIL]],Empleados[],2,FALSE())</f>
        <v>VERON CARLOS ALBERTO</v>
      </c>
      <c r="C87" s="57">
        <f>+VLOOKUP(Novedades[[#This Row],[CUIL]],Empleados[],6,FALSE)</f>
        <v>30711553165</v>
      </c>
      <c r="D87" s="34">
        <v>46143</v>
      </c>
      <c r="F87">
        <f>+Novedades[[#This Row],[DIAS TRABAJADO SUPLENTE]]*Novedades[[#This Row],[Horas JORNADA '[HS']]]+Novedades[[#This Row],[HORAS EXTRAS al 50% '[HS']]]+Novedades[[#This Row],[HORAS EXTRAS al 100% '[HS']]]+Novedades[[#This Row],[FERIADOS TRABAJADOS '[HS']]]</f>
        <v>54</v>
      </c>
      <c r="H87">
        <v>36</v>
      </c>
      <c r="I87">
        <v>18</v>
      </c>
      <c r="R87" s="57"/>
    </row>
    <row r="88" spans="1:18" hidden="1" x14ac:dyDescent="0.25">
      <c r="A88">
        <v>20942347643</v>
      </c>
      <c r="B88" s="70" t="str">
        <f>+VLOOKUP(Novedades[[#This Row],[CUIL]],Empleados[],2,FALSE())</f>
        <v>LIMA CENTURION RONAL DEJESUS</v>
      </c>
      <c r="C88" s="57">
        <f>+VLOOKUP(Novedades[[#This Row],[CUIL]],Empleados[],6,FALSE)</f>
        <v>30711553165</v>
      </c>
      <c r="D88" s="34">
        <v>46143</v>
      </c>
      <c r="F88">
        <f>+Novedades[[#This Row],[DIAS TRABAJADO SUPLENTE]]*Novedades[[#This Row],[Horas JORNADA '[HS']]]+Novedades[[#This Row],[HORAS EXTRAS al 50% '[HS']]]+Novedades[[#This Row],[HORAS EXTRAS al 100% '[HS']]]+Novedades[[#This Row],[FERIADOS TRABAJADOS '[HS']]]</f>
        <v>0</v>
      </c>
      <c r="M88" s="57">
        <v>264100.90999999997</v>
      </c>
      <c r="R88" s="57"/>
    </row>
    <row r="89" spans="1:18" hidden="1" x14ac:dyDescent="0.25">
      <c r="A89" s="17">
        <v>23175845879</v>
      </c>
      <c r="B89" s="71" t="s">
        <v>133</v>
      </c>
      <c r="C89" s="57">
        <f>+VLOOKUP(Novedades[[#This Row],[CUIL]],Empleados[],6,FALSE)</f>
        <v>30711776903</v>
      </c>
      <c r="D89" s="34">
        <v>46143</v>
      </c>
      <c r="F89">
        <f>+Novedades[[#This Row],[DIAS TRABAJADO SUPLENTE]]*Novedades[[#This Row],[Horas JORNADA '[HS']]]+Novedades[[#This Row],[HORAS EXTRAS al 50% '[HS']]]+Novedades[[#This Row],[HORAS EXTRAS al 100% '[HS']]]+Novedades[[#This Row],[FERIADOS TRABAJADOS '[HS']]]</f>
        <v>39</v>
      </c>
      <c r="H89">
        <v>32</v>
      </c>
      <c r="I89">
        <v>7</v>
      </c>
      <c r="R89" s="57"/>
    </row>
    <row r="90" spans="1:18" hidden="1" x14ac:dyDescent="0.25">
      <c r="A90" s="68">
        <v>20283772323</v>
      </c>
      <c r="B90" s="67" t="str">
        <f>+VLOOKUP(Novedades[[#This Row],[CUIL]],Empleados[],2,FALSE)</f>
        <v>RIOS LUIS ALBERTO</v>
      </c>
      <c r="C90" s="68">
        <v>30519077635</v>
      </c>
      <c r="D90" s="69">
        <v>46174</v>
      </c>
      <c r="F90">
        <f>+Novedades[[#This Row],[DIAS TRABAJADO SUPLENTE]]*Novedades[[#This Row],[Horas JORNADA '[HS']]]+Novedades[[#This Row],[HORAS EXTRAS al 50% '[HS']]]+Novedades[[#This Row],[HORAS EXTRAS al 100% '[HS']]]+Novedades[[#This Row],[FERIADOS TRABAJADOS '[HS']]]</f>
        <v>0</v>
      </c>
      <c r="R90" s="57"/>
    </row>
    <row r="91" spans="1:18" hidden="1" x14ac:dyDescent="0.25">
      <c r="A91" s="68">
        <v>20338776390</v>
      </c>
      <c r="B91" s="67" t="str">
        <f>+VLOOKUP(Novedades[[#This Row],[CUIL]],Empleados[],2,FALSE)</f>
        <v>RIOS MATIAS ALEJANDRO</v>
      </c>
      <c r="C91" s="68">
        <v>30519077635</v>
      </c>
      <c r="D91" s="69">
        <v>46174</v>
      </c>
      <c r="F91">
        <f>+Novedades[[#This Row],[DIAS TRABAJADO SUPLENTE]]*Novedades[[#This Row],[Horas JORNADA '[HS']]]+Novedades[[#This Row],[HORAS EXTRAS al 50% '[HS']]]+Novedades[[#This Row],[HORAS EXTRAS al 100% '[HS']]]+Novedades[[#This Row],[FERIADOS TRABAJADOS '[HS']]]</f>
        <v>0</v>
      </c>
      <c r="R91" s="57"/>
    </row>
    <row r="92" spans="1:18" hidden="1" x14ac:dyDescent="0.25">
      <c r="A92" s="68">
        <v>20360647774</v>
      </c>
      <c r="B92" s="67" t="str">
        <f>+VLOOKUP(Novedades[[#This Row],[CUIL]],Empleados[],2,FALSE)</f>
        <v xml:space="preserve">GIACOMO SEBASTIAN LUIS </v>
      </c>
      <c r="C92" s="68">
        <v>30532673484</v>
      </c>
      <c r="D92" s="69">
        <v>46174</v>
      </c>
      <c r="F92">
        <f>+Novedades[[#This Row],[DIAS TRABAJADO SUPLENTE]]*Novedades[[#This Row],[Horas JORNADA '[HS']]]+Novedades[[#This Row],[HORAS EXTRAS al 50% '[HS']]]+Novedades[[#This Row],[HORAS EXTRAS al 100% '[HS']]]+Novedades[[#This Row],[FERIADOS TRABAJADOS '[HS']]]</f>
        <v>0</v>
      </c>
      <c r="R92" s="57"/>
    </row>
    <row r="93" spans="1:18" hidden="1" x14ac:dyDescent="0.25">
      <c r="A93" s="68">
        <v>20175464299</v>
      </c>
      <c r="B93" s="67" t="str">
        <f>+VLOOKUP(Novedades[[#This Row],[CUIL]],Empleados[],2,FALSE)</f>
        <v>ESPONDA JOSE MARIA</v>
      </c>
      <c r="C93" s="68">
        <v>30537480544</v>
      </c>
      <c r="D93" s="69">
        <v>46174</v>
      </c>
      <c r="F93">
        <f>+Novedades[[#This Row],[DIAS TRABAJADO SUPLENTE]]*Novedades[[#This Row],[Horas JORNADA '[HS']]]+Novedades[[#This Row],[HORAS EXTRAS al 50% '[HS']]]+Novedades[[#This Row],[HORAS EXTRAS al 100% '[HS']]]+Novedades[[#This Row],[FERIADOS TRABAJADOS '[HS']]]</f>
        <v>0</v>
      </c>
      <c r="R93" s="57"/>
    </row>
    <row r="94" spans="1:18" hidden="1" x14ac:dyDescent="0.25">
      <c r="A94" s="68">
        <v>23289923934</v>
      </c>
      <c r="B94" s="67" t="str">
        <f>+VLOOKUP(Novedades[[#This Row],[CUIL]],Empleados[],2,FALSE)</f>
        <v xml:space="preserve">PIÑERO SONIA MERCEDES </v>
      </c>
      <c r="C94" s="68">
        <v>30538590009</v>
      </c>
      <c r="D94" s="69">
        <v>46174</v>
      </c>
      <c r="F94">
        <f>+Novedades[[#This Row],[DIAS TRABAJADO SUPLENTE]]*Novedades[[#This Row],[Horas JORNADA '[HS']]]+Novedades[[#This Row],[HORAS EXTRAS al 50% '[HS']]]+Novedades[[#This Row],[HORAS EXTRAS al 100% '[HS']]]+Novedades[[#This Row],[FERIADOS TRABAJADOS '[HS']]]</f>
        <v>0</v>
      </c>
      <c r="R94" s="57"/>
    </row>
    <row r="95" spans="1:18" hidden="1" x14ac:dyDescent="0.25">
      <c r="A95" s="68">
        <v>24269272801</v>
      </c>
      <c r="B95" s="67" t="str">
        <f>+VLOOKUP(Novedades[[#This Row],[CUIL]],Empleados[],2,FALSE)</f>
        <v>PIÑERO CLAUDIA ELIZABET</v>
      </c>
      <c r="C95" s="68">
        <v>30538590009</v>
      </c>
      <c r="D95" s="69">
        <v>46174</v>
      </c>
      <c r="F95">
        <f>+Novedades[[#This Row],[DIAS TRABAJADO SUPLENTE]]*Novedades[[#This Row],[Horas JORNADA '[HS']]]+Novedades[[#This Row],[HORAS EXTRAS al 50% '[HS']]]+Novedades[[#This Row],[HORAS EXTRAS al 100% '[HS']]]+Novedades[[#This Row],[FERIADOS TRABAJADOS '[HS']]]</f>
        <v>0</v>
      </c>
      <c r="R95" s="57"/>
    </row>
    <row r="96" spans="1:18" hidden="1" x14ac:dyDescent="0.25">
      <c r="A96" s="68">
        <v>20204210749</v>
      </c>
      <c r="B96" s="67" t="str">
        <f>+VLOOKUP(Novedades[[#This Row],[CUIL]],Empleados[],2,FALSE)</f>
        <v>RODA MARIO GUSTAVO</v>
      </c>
      <c r="C96" s="68">
        <v>30540887752</v>
      </c>
      <c r="D96" s="69">
        <v>46174</v>
      </c>
      <c r="F96">
        <f>+Novedades[[#This Row],[DIAS TRABAJADO SUPLENTE]]*Novedades[[#This Row],[Horas JORNADA '[HS']]]+Novedades[[#This Row],[HORAS EXTRAS al 50% '[HS']]]+Novedades[[#This Row],[HORAS EXTRAS al 100% '[HS']]]+Novedades[[#This Row],[FERIADOS TRABAJADOS '[HS']]]</f>
        <v>0</v>
      </c>
      <c r="R96" s="57"/>
    </row>
    <row r="97" spans="1:18" hidden="1" x14ac:dyDescent="0.25">
      <c r="A97" s="68">
        <v>20263485409</v>
      </c>
      <c r="B97" s="67" t="str">
        <f>+VLOOKUP(Novedades[[#This Row],[CUIL]],Empleados[],2,FALSE)</f>
        <v>LEDESMA SANTIAGO DAVID</v>
      </c>
      <c r="C97" s="68">
        <v>30559333022</v>
      </c>
      <c r="D97" s="69">
        <v>46174</v>
      </c>
      <c r="F97">
        <f>+Novedades[[#This Row],[DIAS TRABAJADO SUPLENTE]]*Novedades[[#This Row],[Horas JORNADA '[HS']]]+Novedades[[#This Row],[HORAS EXTRAS al 50% '[HS']]]+Novedades[[#This Row],[HORAS EXTRAS al 100% '[HS']]]+Novedades[[#This Row],[FERIADOS TRABAJADOS '[HS']]]</f>
        <v>0</v>
      </c>
      <c r="R97" s="57"/>
    </row>
    <row r="98" spans="1:18" hidden="1" x14ac:dyDescent="0.25">
      <c r="A98" s="68">
        <v>20275890074</v>
      </c>
      <c r="B98" s="67" t="str">
        <f>+VLOOKUP(Novedades[[#This Row],[CUIL]],Empleados[],2,FALSE)</f>
        <v xml:space="preserve">CORONEL EDGARDO DARIO </v>
      </c>
      <c r="C98" s="68">
        <v>30580260906</v>
      </c>
      <c r="D98" s="69">
        <v>46174</v>
      </c>
      <c r="F98">
        <f>+Novedades[[#This Row],[DIAS TRABAJADO SUPLENTE]]*Novedades[[#This Row],[Horas JORNADA '[HS']]]+Novedades[[#This Row],[HORAS EXTRAS al 50% '[HS']]]+Novedades[[#This Row],[HORAS EXTRAS al 100% '[HS']]]+Novedades[[#This Row],[FERIADOS TRABAJADOS '[HS']]]</f>
        <v>0</v>
      </c>
      <c r="R98" s="57"/>
    </row>
    <row r="99" spans="1:18" hidden="1" x14ac:dyDescent="0.25">
      <c r="A99" s="68">
        <v>20331992314</v>
      </c>
      <c r="B99" s="67" t="str">
        <f>+VLOOKUP(Novedades[[#This Row],[CUIL]],Empleados[],2,FALSE)</f>
        <v>RODRIGUEZ ALFREDO RAUL</v>
      </c>
      <c r="C99" s="68">
        <v>30580260906</v>
      </c>
      <c r="D99" s="69">
        <v>46174</v>
      </c>
      <c r="F99">
        <f>+Novedades[[#This Row],[DIAS TRABAJADO SUPLENTE]]*Novedades[[#This Row],[Horas JORNADA '[HS']]]+Novedades[[#This Row],[HORAS EXTRAS al 50% '[HS']]]+Novedades[[#This Row],[HORAS EXTRAS al 100% '[HS']]]+Novedades[[#This Row],[FERIADOS TRABAJADOS '[HS']]]</f>
        <v>0</v>
      </c>
      <c r="R99" s="57"/>
    </row>
    <row r="100" spans="1:18" hidden="1" x14ac:dyDescent="0.25">
      <c r="A100" s="68">
        <v>27174620410</v>
      </c>
      <c r="B100" s="67" t="str">
        <f>+VLOOKUP(Novedades[[#This Row],[CUIL]],Empleados[],2,FALSE)</f>
        <v>CANCINOS MARGARITA</v>
      </c>
      <c r="C100" s="68">
        <v>30604528166</v>
      </c>
      <c r="D100" s="69">
        <v>46174</v>
      </c>
      <c r="F100">
        <f>+Novedades[[#This Row],[DIAS TRABAJADO SUPLENTE]]*Novedades[[#This Row],[Horas JORNADA '[HS']]]+Novedades[[#This Row],[HORAS EXTRAS al 50% '[HS']]]+Novedades[[#This Row],[HORAS EXTRAS al 100% '[HS']]]+Novedades[[#This Row],[FERIADOS TRABAJADOS '[HS']]]</f>
        <v>0</v>
      </c>
      <c r="R100" s="57"/>
    </row>
    <row r="101" spans="1:18" hidden="1" x14ac:dyDescent="0.25">
      <c r="A101" s="68">
        <v>20176328399</v>
      </c>
      <c r="B101" s="67" t="str">
        <f>+VLOOKUP(Novedades[[#This Row],[CUIL]],Empleados[],2,FALSE)</f>
        <v>ROJAS CARLOS MANUEL</v>
      </c>
      <c r="C101" s="68">
        <v>30630042670</v>
      </c>
      <c r="D101" s="69">
        <v>46174</v>
      </c>
      <c r="F101">
        <f>+Novedades[[#This Row],[DIAS TRABAJADO SUPLENTE]]*Novedades[[#This Row],[Horas JORNADA '[HS']]]+Novedades[[#This Row],[HORAS EXTRAS al 50% '[HS']]]+Novedades[[#This Row],[HORAS EXTRAS al 100% '[HS']]]+Novedades[[#This Row],[FERIADOS TRABAJADOS '[HS']]]</f>
        <v>0</v>
      </c>
      <c r="R101" s="57"/>
    </row>
    <row r="102" spans="1:18" hidden="1" x14ac:dyDescent="0.25">
      <c r="A102" s="68">
        <v>20947260481</v>
      </c>
      <c r="B102" s="67" t="str">
        <f>+VLOOKUP(Novedades[[#This Row],[CUIL]],Empleados[],2,FALSE)</f>
        <v>ESTIGARRIBIA ARCE DARIO</v>
      </c>
      <c r="C102" s="68">
        <v>30630042670</v>
      </c>
      <c r="D102" s="69">
        <v>46174</v>
      </c>
      <c r="F102">
        <f>+Novedades[[#This Row],[DIAS TRABAJADO SUPLENTE]]*Novedades[[#This Row],[Horas JORNADA '[HS']]]+Novedades[[#This Row],[HORAS EXTRAS al 50% '[HS']]]+Novedades[[#This Row],[HORAS EXTRAS al 100% '[HS']]]+Novedades[[#This Row],[FERIADOS TRABAJADOS '[HS']]]</f>
        <v>0</v>
      </c>
      <c r="R102" s="57"/>
    </row>
    <row r="103" spans="1:18" hidden="1" x14ac:dyDescent="0.25">
      <c r="A103" s="68">
        <v>23250288794</v>
      </c>
      <c r="B103" s="67" t="str">
        <f>+VLOOKUP(Novedades[[#This Row],[CUIL]],Empleados[],2,FALSE)</f>
        <v>PIÑERO BIBIANA PATRICIA</v>
      </c>
      <c r="C103" s="68">
        <v>30630042670</v>
      </c>
      <c r="D103" s="69">
        <v>46174</v>
      </c>
      <c r="F103">
        <f>+Novedades[[#This Row],[DIAS TRABAJADO SUPLENTE]]*Novedades[[#This Row],[Horas JORNADA '[HS']]]+Novedades[[#This Row],[HORAS EXTRAS al 50% '[HS']]]+Novedades[[#This Row],[HORAS EXTRAS al 100% '[HS']]]+Novedades[[#This Row],[FERIADOS TRABAJADOS '[HS']]]</f>
        <v>0</v>
      </c>
      <c r="R103" s="57"/>
    </row>
    <row r="104" spans="1:18" hidden="1" x14ac:dyDescent="0.25">
      <c r="A104" s="68">
        <v>20942335351</v>
      </c>
      <c r="B104" s="67" t="str">
        <f>+VLOOKUP(Novedades[[#This Row],[CUIL]],Empleados[],2,FALSE)</f>
        <v>TORRES ORTIZ DENIS RAMON</v>
      </c>
      <c r="C104" s="68">
        <v>30711283338</v>
      </c>
      <c r="D104" s="69">
        <v>46174</v>
      </c>
      <c r="F104">
        <f>+Novedades[[#This Row],[DIAS TRABAJADO SUPLENTE]]*Novedades[[#This Row],[Horas JORNADA '[HS']]]+Novedades[[#This Row],[HORAS EXTRAS al 50% '[HS']]]+Novedades[[#This Row],[HORAS EXTRAS al 100% '[HS']]]+Novedades[[#This Row],[FERIADOS TRABAJADOS '[HS']]]</f>
        <v>0</v>
      </c>
      <c r="K104">
        <v>1</v>
      </c>
      <c r="R104" s="57"/>
    </row>
    <row r="105" spans="1:18" hidden="1" x14ac:dyDescent="0.25">
      <c r="A105" s="68">
        <v>24269272801</v>
      </c>
      <c r="B105" s="67" t="str">
        <f>+VLOOKUP(Novedades[[#This Row],[CUIL]],Empleados[],2,FALSE)</f>
        <v>PIÑERO CLAUDIA ELIZABET</v>
      </c>
      <c r="C105" s="68">
        <v>30711283338</v>
      </c>
      <c r="D105" s="69">
        <v>46174</v>
      </c>
      <c r="F105">
        <f>+Novedades[[#This Row],[DIAS TRABAJADO SUPLENTE]]*Novedades[[#This Row],[Horas JORNADA '[HS']]]+Novedades[[#This Row],[HORAS EXTRAS al 50% '[HS']]]+Novedades[[#This Row],[HORAS EXTRAS al 100% '[HS']]]+Novedades[[#This Row],[FERIADOS TRABAJADOS '[HS']]]</f>
        <v>0</v>
      </c>
      <c r="R105" s="57"/>
    </row>
    <row r="106" spans="1:18" hidden="1" x14ac:dyDescent="0.25">
      <c r="A106" s="68">
        <v>20252571850</v>
      </c>
      <c r="B106" s="67" t="str">
        <f>+VLOOKUP(Novedades[[#This Row],[CUIL]],Empleados[],2,FALSE)</f>
        <v>VERON CARLOS ALBERTO</v>
      </c>
      <c r="C106" s="68">
        <v>30711553165</v>
      </c>
      <c r="D106" s="69">
        <v>46174</v>
      </c>
      <c r="F106">
        <f>+Novedades[[#This Row],[DIAS TRABAJADO SUPLENTE]]*Novedades[[#This Row],[Horas JORNADA '[HS']]]+Novedades[[#This Row],[HORAS EXTRAS al 50% '[HS']]]+Novedades[[#This Row],[HORAS EXTRAS al 100% '[HS']]]+Novedades[[#This Row],[FERIADOS TRABAJADOS '[HS']]]</f>
        <v>0</v>
      </c>
      <c r="R106" s="57"/>
    </row>
    <row r="107" spans="1:18" hidden="1" x14ac:dyDescent="0.25">
      <c r="A107" s="68">
        <v>20942347643</v>
      </c>
      <c r="B107" s="67" t="str">
        <f>+VLOOKUP(Novedades[[#This Row],[CUIL]],Empleados[],2,FALSE)</f>
        <v>LIMA CENTURION RONAL DEJESUS</v>
      </c>
      <c r="C107" s="68">
        <v>30711553165</v>
      </c>
      <c r="D107" s="69">
        <v>46174</v>
      </c>
      <c r="F107">
        <f>+Novedades[[#This Row],[DIAS TRABAJADO SUPLENTE]]*Novedades[[#This Row],[Horas JORNADA '[HS']]]+Novedades[[#This Row],[HORAS EXTRAS al 50% '[HS']]]+Novedades[[#This Row],[HORAS EXTRAS al 100% '[HS']]]+Novedades[[#This Row],[FERIADOS TRABAJADOS '[HS']]]</f>
        <v>0</v>
      </c>
      <c r="Q107" s="131">
        <v>830000</v>
      </c>
      <c r="R107" s="57"/>
    </row>
    <row r="108" spans="1:18" hidden="1" x14ac:dyDescent="0.25">
      <c r="A108" s="68">
        <v>23175845879</v>
      </c>
      <c r="B108" s="67" t="str">
        <f>+VLOOKUP(Novedades[[#This Row],[CUIL]],Empleados[],2,FALSE)</f>
        <v>CORONEL CARLOS EMIGDIO</v>
      </c>
      <c r="C108" s="68">
        <v>30711776903</v>
      </c>
      <c r="D108" s="69">
        <v>46174</v>
      </c>
      <c r="F108">
        <f>+Novedades[[#This Row],[DIAS TRABAJADO SUPLENTE]]*Novedades[[#This Row],[Horas JORNADA '[HS']]]+Novedades[[#This Row],[HORAS EXTRAS al 50% '[HS']]]+Novedades[[#This Row],[HORAS EXTRAS al 100% '[HS']]]+Novedades[[#This Row],[FERIADOS TRABAJADOS '[HS']]]</f>
        <v>0</v>
      </c>
      <c r="R108" s="57"/>
    </row>
    <row r="109" spans="1:18" hidden="1" x14ac:dyDescent="0.25">
      <c r="A109" s="68">
        <v>20283772323</v>
      </c>
      <c r="B109" s="67" t="str">
        <f>+VLOOKUP(Novedades[[#This Row],[CUIL]],Empleados[],2,FALSE)</f>
        <v>RIOS LUIS ALBERTO</v>
      </c>
      <c r="C109" s="68">
        <v>30519077635</v>
      </c>
      <c r="D109" s="69">
        <v>46204</v>
      </c>
      <c r="F109">
        <f>+Novedades[[#This Row],[DIAS TRABAJADO SUPLENTE]]*Novedades[[#This Row],[Horas JORNADA '[HS']]]+Novedades[[#This Row],[HORAS EXTRAS al 50% '[HS']]]+Novedades[[#This Row],[HORAS EXTRAS al 100% '[HS']]]+Novedades[[#This Row],[FERIADOS TRABAJADOS '[HS']]]</f>
        <v>0</v>
      </c>
      <c r="R109" s="57"/>
    </row>
    <row r="110" spans="1:18" hidden="1" x14ac:dyDescent="0.25">
      <c r="A110" s="68">
        <v>20338776390</v>
      </c>
      <c r="B110" s="67" t="str">
        <f>+VLOOKUP(Novedades[[#This Row],[CUIL]],Empleados[],2,FALSE)</f>
        <v>RIOS MATIAS ALEJANDRO</v>
      </c>
      <c r="C110" s="68">
        <v>30519077635</v>
      </c>
      <c r="D110" s="69">
        <v>46204</v>
      </c>
      <c r="F110">
        <f>+Novedades[[#This Row],[DIAS TRABAJADO SUPLENTE]]*Novedades[[#This Row],[Horas JORNADA '[HS']]]+Novedades[[#This Row],[HORAS EXTRAS al 50% '[HS']]]+Novedades[[#This Row],[HORAS EXTRAS al 100% '[HS']]]+Novedades[[#This Row],[FERIADOS TRABAJADOS '[HS']]]</f>
        <v>0</v>
      </c>
      <c r="R110" s="57"/>
    </row>
    <row r="111" spans="1:18" hidden="1" x14ac:dyDescent="0.25">
      <c r="A111" s="68">
        <v>20360647774</v>
      </c>
      <c r="B111" s="67" t="str">
        <f>+VLOOKUP(Novedades[[#This Row],[CUIL]],Empleados[],2,FALSE)</f>
        <v xml:space="preserve">GIACOMO SEBASTIAN LUIS </v>
      </c>
      <c r="C111" s="68">
        <v>30532673484</v>
      </c>
      <c r="D111" s="69">
        <v>46204</v>
      </c>
      <c r="F111">
        <f>+Novedades[[#This Row],[DIAS TRABAJADO SUPLENTE]]*Novedades[[#This Row],[Horas JORNADA '[HS']]]+Novedades[[#This Row],[HORAS EXTRAS al 50% '[HS']]]+Novedades[[#This Row],[HORAS EXTRAS al 100% '[HS']]]+Novedades[[#This Row],[FERIADOS TRABAJADOS '[HS']]]</f>
        <v>0</v>
      </c>
      <c r="R111" s="57"/>
    </row>
    <row r="112" spans="1:18" hidden="1" x14ac:dyDescent="0.25">
      <c r="A112" s="68">
        <v>20175464299</v>
      </c>
      <c r="B112" s="67" t="str">
        <f>+VLOOKUP(Novedades[[#This Row],[CUIL]],Empleados[],2,FALSE)</f>
        <v>ESPONDA JOSE MARIA</v>
      </c>
      <c r="C112" s="68">
        <v>30537480544</v>
      </c>
      <c r="D112" s="69">
        <v>46204</v>
      </c>
      <c r="F112">
        <f>+Novedades[[#This Row],[DIAS TRABAJADO SUPLENTE]]*Novedades[[#This Row],[Horas JORNADA '[HS']]]+Novedades[[#This Row],[HORAS EXTRAS al 50% '[HS']]]+Novedades[[#This Row],[HORAS EXTRAS al 100% '[HS']]]+Novedades[[#This Row],[FERIADOS TRABAJADOS '[HS']]]</f>
        <v>0</v>
      </c>
      <c r="R112" s="57"/>
    </row>
    <row r="113" spans="1:18" hidden="1" x14ac:dyDescent="0.25">
      <c r="A113" s="68">
        <v>23289923934</v>
      </c>
      <c r="B113" s="67" t="str">
        <f>+VLOOKUP(Novedades[[#This Row],[CUIL]],Empleados[],2,FALSE)</f>
        <v xml:space="preserve">PIÑERO SONIA MERCEDES </v>
      </c>
      <c r="C113" s="68">
        <v>30538590009</v>
      </c>
      <c r="D113" s="69">
        <v>46204</v>
      </c>
      <c r="F113">
        <f>+Novedades[[#This Row],[DIAS TRABAJADO SUPLENTE]]*Novedades[[#This Row],[Horas JORNADA '[HS']]]+Novedades[[#This Row],[HORAS EXTRAS al 50% '[HS']]]+Novedades[[#This Row],[HORAS EXTRAS al 100% '[HS']]]+Novedades[[#This Row],[FERIADOS TRABAJADOS '[HS']]]</f>
        <v>0</v>
      </c>
      <c r="R113" s="57"/>
    </row>
    <row r="114" spans="1:18" hidden="1" x14ac:dyDescent="0.25">
      <c r="A114" s="68">
        <v>24269272801</v>
      </c>
      <c r="B114" s="67" t="str">
        <f>+VLOOKUP(Novedades[[#This Row],[CUIL]],Empleados[],2,FALSE)</f>
        <v>PIÑERO CLAUDIA ELIZABET</v>
      </c>
      <c r="C114" s="68">
        <v>30538590009</v>
      </c>
      <c r="D114" s="69">
        <v>46204</v>
      </c>
      <c r="F114">
        <f>+Novedades[[#This Row],[DIAS TRABAJADO SUPLENTE]]*Novedades[[#This Row],[Horas JORNADA '[HS']]]+Novedades[[#This Row],[HORAS EXTRAS al 50% '[HS']]]+Novedades[[#This Row],[HORAS EXTRAS al 100% '[HS']]]+Novedades[[#This Row],[FERIADOS TRABAJADOS '[HS']]]</f>
        <v>0</v>
      </c>
      <c r="R114" s="57"/>
    </row>
    <row r="115" spans="1:18" hidden="1" x14ac:dyDescent="0.25">
      <c r="A115" s="68">
        <v>20204210749</v>
      </c>
      <c r="B115" s="67" t="str">
        <f>+VLOOKUP(Novedades[[#This Row],[CUIL]],Empleados[],2,FALSE)</f>
        <v>RODA MARIO GUSTAVO</v>
      </c>
      <c r="C115" s="68">
        <v>30540887752</v>
      </c>
      <c r="D115" s="69">
        <v>46204</v>
      </c>
      <c r="F115">
        <f>+Novedades[[#This Row],[DIAS TRABAJADO SUPLENTE]]*Novedades[[#This Row],[Horas JORNADA '[HS']]]+Novedades[[#This Row],[HORAS EXTRAS al 50% '[HS']]]+Novedades[[#This Row],[HORAS EXTRAS al 100% '[HS']]]+Novedades[[#This Row],[FERIADOS TRABAJADOS '[HS']]]</f>
        <v>0</v>
      </c>
      <c r="R115" s="57"/>
    </row>
    <row r="116" spans="1:18" hidden="1" x14ac:dyDescent="0.25">
      <c r="A116" s="68">
        <v>20263485409</v>
      </c>
      <c r="B116" s="67" t="str">
        <f>+VLOOKUP(Novedades[[#This Row],[CUIL]],Empleados[],2,FALSE)</f>
        <v>LEDESMA SANTIAGO DAVID</v>
      </c>
      <c r="C116" s="68">
        <v>30559333022</v>
      </c>
      <c r="D116" s="69">
        <v>46204</v>
      </c>
      <c r="F116">
        <f>+Novedades[[#This Row],[DIAS TRABAJADO SUPLENTE]]*Novedades[[#This Row],[Horas JORNADA '[HS']]]+Novedades[[#This Row],[HORAS EXTRAS al 50% '[HS']]]+Novedades[[#This Row],[HORAS EXTRAS al 100% '[HS']]]+Novedades[[#This Row],[FERIADOS TRABAJADOS '[HS']]]</f>
        <v>0</v>
      </c>
      <c r="R116" s="57"/>
    </row>
    <row r="117" spans="1:18" hidden="1" x14ac:dyDescent="0.25">
      <c r="A117" s="68">
        <v>20275890074</v>
      </c>
      <c r="B117" s="67" t="str">
        <f>+VLOOKUP(Novedades[[#This Row],[CUIL]],Empleados[],2,FALSE)</f>
        <v xml:space="preserve">CORONEL EDGARDO DARIO </v>
      </c>
      <c r="C117" s="68">
        <v>30580260906</v>
      </c>
      <c r="D117" s="69">
        <v>46204</v>
      </c>
      <c r="F117">
        <f>+Novedades[[#This Row],[DIAS TRABAJADO SUPLENTE]]*Novedades[[#This Row],[Horas JORNADA '[HS']]]+Novedades[[#This Row],[HORAS EXTRAS al 50% '[HS']]]+Novedades[[#This Row],[HORAS EXTRAS al 100% '[HS']]]+Novedades[[#This Row],[FERIADOS TRABAJADOS '[HS']]]</f>
        <v>0</v>
      </c>
      <c r="R117" s="57"/>
    </row>
    <row r="118" spans="1:18" hidden="1" x14ac:dyDescent="0.25">
      <c r="A118" s="68">
        <v>20331992314</v>
      </c>
      <c r="B118" s="67" t="str">
        <f>+VLOOKUP(Novedades[[#This Row],[CUIL]],Empleados[],2,FALSE)</f>
        <v>RODRIGUEZ ALFREDO RAUL</v>
      </c>
      <c r="C118" s="68">
        <v>30580260906</v>
      </c>
      <c r="D118" s="69">
        <v>46204</v>
      </c>
      <c r="F118">
        <f>+Novedades[[#This Row],[DIAS TRABAJADO SUPLENTE]]*Novedades[[#This Row],[Horas JORNADA '[HS']]]+Novedades[[#This Row],[HORAS EXTRAS al 50% '[HS']]]+Novedades[[#This Row],[HORAS EXTRAS al 100% '[HS']]]+Novedades[[#This Row],[FERIADOS TRABAJADOS '[HS']]]</f>
        <v>0</v>
      </c>
      <c r="R118" s="57"/>
    </row>
    <row r="119" spans="1:18" hidden="1" x14ac:dyDescent="0.25">
      <c r="A119" s="68">
        <v>27174620410</v>
      </c>
      <c r="B119" s="67" t="str">
        <f>+VLOOKUP(Novedades[[#This Row],[CUIL]],Empleados[],2,FALSE)</f>
        <v>CANCINOS MARGARITA</v>
      </c>
      <c r="C119" s="68">
        <v>30604528166</v>
      </c>
      <c r="D119" s="69">
        <v>46204</v>
      </c>
      <c r="F119">
        <f>+Novedades[[#This Row],[DIAS TRABAJADO SUPLENTE]]*Novedades[[#This Row],[Horas JORNADA '[HS']]]+Novedades[[#This Row],[HORAS EXTRAS al 50% '[HS']]]+Novedades[[#This Row],[HORAS EXTRAS al 100% '[HS']]]+Novedades[[#This Row],[FERIADOS TRABAJADOS '[HS']]]</f>
        <v>0</v>
      </c>
      <c r="R119" s="57"/>
    </row>
    <row r="120" spans="1:18" hidden="1" x14ac:dyDescent="0.25">
      <c r="A120" s="68">
        <v>20176328399</v>
      </c>
      <c r="B120" s="67" t="str">
        <f>+VLOOKUP(Novedades[[#This Row],[CUIL]],Empleados[],2,FALSE)</f>
        <v>ROJAS CARLOS MANUEL</v>
      </c>
      <c r="C120" s="68">
        <v>30630042670</v>
      </c>
      <c r="D120" s="69">
        <v>46204</v>
      </c>
      <c r="F120">
        <f>+Novedades[[#This Row],[DIAS TRABAJADO SUPLENTE]]*Novedades[[#This Row],[Horas JORNADA '[HS']]]+Novedades[[#This Row],[HORAS EXTRAS al 50% '[HS']]]+Novedades[[#This Row],[HORAS EXTRAS al 100% '[HS']]]+Novedades[[#This Row],[FERIADOS TRABAJADOS '[HS']]]</f>
        <v>0</v>
      </c>
      <c r="R120" s="57"/>
    </row>
    <row r="121" spans="1:18" hidden="1" x14ac:dyDescent="0.25">
      <c r="A121" s="68">
        <v>20947260481</v>
      </c>
      <c r="B121" s="67" t="str">
        <f>+VLOOKUP(Novedades[[#This Row],[CUIL]],Empleados[],2,FALSE)</f>
        <v>ESTIGARRIBIA ARCE DARIO</v>
      </c>
      <c r="C121" s="68">
        <v>30630042670</v>
      </c>
      <c r="D121" s="69">
        <v>46204</v>
      </c>
      <c r="F121">
        <f>+Novedades[[#This Row],[DIAS TRABAJADO SUPLENTE]]*Novedades[[#This Row],[Horas JORNADA '[HS']]]+Novedades[[#This Row],[HORAS EXTRAS al 50% '[HS']]]+Novedades[[#This Row],[HORAS EXTRAS al 100% '[HS']]]+Novedades[[#This Row],[FERIADOS TRABAJADOS '[HS']]]</f>
        <v>0</v>
      </c>
      <c r="R121" s="57"/>
    </row>
    <row r="122" spans="1:18" hidden="1" x14ac:dyDescent="0.25">
      <c r="A122" s="68">
        <v>23250288794</v>
      </c>
      <c r="B122" s="67" t="str">
        <f>+VLOOKUP(Novedades[[#This Row],[CUIL]],Empleados[],2,FALSE)</f>
        <v>PIÑERO BIBIANA PATRICIA</v>
      </c>
      <c r="C122" s="68">
        <v>30630042670</v>
      </c>
      <c r="D122" s="69">
        <v>46204</v>
      </c>
      <c r="F122">
        <f>+Novedades[[#This Row],[DIAS TRABAJADO SUPLENTE]]*Novedades[[#This Row],[Horas JORNADA '[HS']]]+Novedades[[#This Row],[HORAS EXTRAS al 50% '[HS']]]+Novedades[[#This Row],[HORAS EXTRAS al 100% '[HS']]]+Novedades[[#This Row],[FERIADOS TRABAJADOS '[HS']]]</f>
        <v>0</v>
      </c>
      <c r="R122" s="57"/>
    </row>
    <row r="123" spans="1:18" hidden="1" x14ac:dyDescent="0.25">
      <c r="A123" s="68">
        <v>20942335351</v>
      </c>
      <c r="B123" s="67" t="str">
        <f>+VLOOKUP(Novedades[[#This Row],[CUIL]],Empleados[],2,FALSE)</f>
        <v>TORRES ORTIZ DENIS RAMON</v>
      </c>
      <c r="C123" s="68">
        <v>30711283338</v>
      </c>
      <c r="D123" s="69">
        <v>46204</v>
      </c>
      <c r="F123">
        <f>+Novedades[[#This Row],[DIAS TRABAJADO SUPLENTE]]*Novedades[[#This Row],[Horas JORNADA '[HS']]]+Novedades[[#This Row],[HORAS EXTRAS al 50% '[HS']]]+Novedades[[#This Row],[HORAS EXTRAS al 100% '[HS']]]+Novedades[[#This Row],[FERIADOS TRABAJADOS '[HS']]]</f>
        <v>0</v>
      </c>
      <c r="R123" s="57"/>
    </row>
    <row r="124" spans="1:18" hidden="1" x14ac:dyDescent="0.25">
      <c r="A124" s="68">
        <v>24269272801</v>
      </c>
      <c r="B124" s="67" t="str">
        <f>+VLOOKUP(Novedades[[#This Row],[CUIL]],Empleados[],2,FALSE)</f>
        <v>PIÑERO CLAUDIA ELIZABET</v>
      </c>
      <c r="C124" s="68">
        <v>30711283338</v>
      </c>
      <c r="D124" s="69">
        <v>46204</v>
      </c>
      <c r="F124">
        <f>+Novedades[[#This Row],[DIAS TRABAJADO SUPLENTE]]*Novedades[[#This Row],[Horas JORNADA '[HS']]]+Novedades[[#This Row],[HORAS EXTRAS al 50% '[HS']]]+Novedades[[#This Row],[HORAS EXTRAS al 100% '[HS']]]+Novedades[[#This Row],[FERIADOS TRABAJADOS '[HS']]]</f>
        <v>0</v>
      </c>
      <c r="R124" s="57"/>
    </row>
    <row r="125" spans="1:18" hidden="1" x14ac:dyDescent="0.25">
      <c r="A125" s="68">
        <v>20252571850</v>
      </c>
      <c r="B125" s="67" t="str">
        <f>+VLOOKUP(Novedades[[#This Row],[CUIL]],Empleados[],2,FALSE)</f>
        <v>VERON CARLOS ALBERTO</v>
      </c>
      <c r="C125" s="68">
        <v>30711553165</v>
      </c>
      <c r="D125" s="69">
        <v>46204</v>
      </c>
      <c r="F125">
        <f>+Novedades[[#This Row],[DIAS TRABAJADO SUPLENTE]]*Novedades[[#This Row],[Horas JORNADA '[HS']]]+Novedades[[#This Row],[HORAS EXTRAS al 50% '[HS']]]+Novedades[[#This Row],[HORAS EXTRAS al 100% '[HS']]]+Novedades[[#This Row],[FERIADOS TRABAJADOS '[HS']]]</f>
        <v>0</v>
      </c>
      <c r="R125" s="57"/>
    </row>
    <row r="126" spans="1:18" hidden="1" x14ac:dyDescent="0.25">
      <c r="A126" s="68">
        <v>20942347643</v>
      </c>
      <c r="B126" s="67" t="str">
        <f>+VLOOKUP(Novedades[[#This Row],[CUIL]],Empleados[],2,FALSE)</f>
        <v>LIMA CENTURION RONAL DEJESUS</v>
      </c>
      <c r="C126" s="68">
        <v>30711553165</v>
      </c>
      <c r="D126" s="69">
        <v>46204</v>
      </c>
      <c r="F126">
        <f>+Novedades[[#This Row],[DIAS TRABAJADO SUPLENTE]]*Novedades[[#This Row],[Horas JORNADA '[HS']]]+Novedades[[#This Row],[HORAS EXTRAS al 50% '[HS']]]+Novedades[[#This Row],[HORAS EXTRAS al 100% '[HS']]]+Novedades[[#This Row],[FERIADOS TRABAJADOS '[HS']]]</f>
        <v>0</v>
      </c>
      <c r="R126" s="57"/>
    </row>
    <row r="127" spans="1:18" hidden="1" x14ac:dyDescent="0.25">
      <c r="A127" s="68">
        <v>23175845879</v>
      </c>
      <c r="B127" s="67" t="str">
        <f>+VLOOKUP(Novedades[[#This Row],[CUIL]],Empleados[],2,FALSE)</f>
        <v>CORONEL CARLOS EMIGDIO</v>
      </c>
      <c r="C127" s="68">
        <v>30711776903</v>
      </c>
      <c r="D127" s="69">
        <v>46204</v>
      </c>
      <c r="F127">
        <f>+Novedades[[#This Row],[DIAS TRABAJADO SUPLENTE]]*Novedades[[#This Row],[Horas JORNADA '[HS']]]+Novedades[[#This Row],[HORAS EXTRAS al 50% '[HS']]]+Novedades[[#This Row],[HORAS EXTRAS al 100% '[HS']]]+Novedades[[#This Row],[FERIADOS TRABAJADOS '[HS']]]</f>
        <v>0</v>
      </c>
      <c r="R127" s="57"/>
    </row>
    <row r="128" spans="1:18" hidden="1" x14ac:dyDescent="0.25">
      <c r="A128" s="68">
        <v>20283772323</v>
      </c>
      <c r="B128" s="67" t="str">
        <f>+VLOOKUP(Novedades[[#This Row],[CUIL]],Empleados[],2,FALSE)</f>
        <v>RIOS LUIS ALBERTO</v>
      </c>
      <c r="C128" s="68">
        <v>30519077635</v>
      </c>
      <c r="D128" s="69">
        <v>46235</v>
      </c>
      <c r="F128">
        <f>+Novedades[[#This Row],[DIAS TRABAJADO SUPLENTE]]*Novedades[[#This Row],[Horas JORNADA '[HS']]]+Novedades[[#This Row],[HORAS EXTRAS al 50% '[HS']]]+Novedades[[#This Row],[HORAS EXTRAS al 100% '[HS']]]+Novedades[[#This Row],[FERIADOS TRABAJADOS '[HS']]]</f>
        <v>0</v>
      </c>
      <c r="R128" s="57"/>
    </row>
    <row r="129" spans="1:18" hidden="1" x14ac:dyDescent="0.25">
      <c r="A129" s="68">
        <v>20338776390</v>
      </c>
      <c r="B129" s="67" t="str">
        <f>+VLOOKUP(Novedades[[#This Row],[CUIL]],Empleados[],2,FALSE)</f>
        <v>RIOS MATIAS ALEJANDRO</v>
      </c>
      <c r="C129" s="68">
        <v>30519077635</v>
      </c>
      <c r="D129" s="69">
        <v>46235</v>
      </c>
      <c r="F129">
        <f>+Novedades[[#This Row],[DIAS TRABAJADO SUPLENTE]]*Novedades[[#This Row],[Horas JORNADA '[HS']]]+Novedades[[#This Row],[HORAS EXTRAS al 50% '[HS']]]+Novedades[[#This Row],[HORAS EXTRAS al 100% '[HS']]]+Novedades[[#This Row],[FERIADOS TRABAJADOS '[HS']]]</f>
        <v>0</v>
      </c>
      <c r="R129" s="57"/>
    </row>
    <row r="130" spans="1:18" hidden="1" x14ac:dyDescent="0.25">
      <c r="A130" s="68">
        <v>20360647774</v>
      </c>
      <c r="B130" s="67" t="str">
        <f>+VLOOKUP(Novedades[[#This Row],[CUIL]],Empleados[],2,FALSE)</f>
        <v xml:space="preserve">GIACOMO SEBASTIAN LUIS </v>
      </c>
      <c r="C130" s="68">
        <v>30532673484</v>
      </c>
      <c r="D130" s="69">
        <v>46235</v>
      </c>
      <c r="F130">
        <f>+Novedades[[#This Row],[DIAS TRABAJADO SUPLENTE]]*Novedades[[#This Row],[Horas JORNADA '[HS']]]+Novedades[[#This Row],[HORAS EXTRAS al 50% '[HS']]]+Novedades[[#This Row],[HORAS EXTRAS al 100% '[HS']]]+Novedades[[#This Row],[FERIADOS TRABAJADOS '[HS']]]</f>
        <v>0</v>
      </c>
      <c r="R130" s="57"/>
    </row>
    <row r="131" spans="1:18" hidden="1" x14ac:dyDescent="0.25">
      <c r="A131" s="68">
        <v>20175464299</v>
      </c>
      <c r="B131" s="67" t="str">
        <f>+VLOOKUP(Novedades[[#This Row],[CUIL]],Empleados[],2,FALSE)</f>
        <v>ESPONDA JOSE MARIA</v>
      </c>
      <c r="C131" s="68">
        <v>30537480544</v>
      </c>
      <c r="D131" s="69">
        <v>46235</v>
      </c>
      <c r="F131">
        <f>+Novedades[[#This Row],[DIAS TRABAJADO SUPLENTE]]*Novedades[[#This Row],[Horas JORNADA '[HS']]]+Novedades[[#This Row],[HORAS EXTRAS al 50% '[HS']]]+Novedades[[#This Row],[HORAS EXTRAS al 100% '[HS']]]+Novedades[[#This Row],[FERIADOS TRABAJADOS '[HS']]]</f>
        <v>0</v>
      </c>
      <c r="R131" s="57"/>
    </row>
    <row r="132" spans="1:18" hidden="1" x14ac:dyDescent="0.25">
      <c r="A132" s="68">
        <v>23289923934</v>
      </c>
      <c r="B132" s="67" t="str">
        <f>+VLOOKUP(Novedades[[#This Row],[CUIL]],Empleados[],2,FALSE)</f>
        <v xml:space="preserve">PIÑERO SONIA MERCEDES </v>
      </c>
      <c r="C132" s="68">
        <v>30538590009</v>
      </c>
      <c r="D132" s="69">
        <v>46235</v>
      </c>
      <c r="F132">
        <f>+Novedades[[#This Row],[DIAS TRABAJADO SUPLENTE]]*Novedades[[#This Row],[Horas JORNADA '[HS']]]+Novedades[[#This Row],[HORAS EXTRAS al 50% '[HS']]]+Novedades[[#This Row],[HORAS EXTRAS al 100% '[HS']]]+Novedades[[#This Row],[FERIADOS TRABAJADOS '[HS']]]</f>
        <v>0</v>
      </c>
      <c r="R132" s="57"/>
    </row>
    <row r="133" spans="1:18" hidden="1" x14ac:dyDescent="0.25">
      <c r="A133" s="68">
        <v>24269272801</v>
      </c>
      <c r="B133" s="67" t="str">
        <f>+VLOOKUP(Novedades[[#This Row],[CUIL]],Empleados[],2,FALSE)</f>
        <v>PIÑERO CLAUDIA ELIZABET</v>
      </c>
      <c r="C133" s="68">
        <v>30538590009</v>
      </c>
      <c r="D133" s="69">
        <v>46235</v>
      </c>
      <c r="F133">
        <f>+Novedades[[#This Row],[DIAS TRABAJADO SUPLENTE]]*Novedades[[#This Row],[Horas JORNADA '[HS']]]+Novedades[[#This Row],[HORAS EXTRAS al 50% '[HS']]]+Novedades[[#This Row],[HORAS EXTRAS al 100% '[HS']]]+Novedades[[#This Row],[FERIADOS TRABAJADOS '[HS']]]</f>
        <v>0</v>
      </c>
      <c r="R133" s="57"/>
    </row>
    <row r="134" spans="1:18" hidden="1" x14ac:dyDescent="0.25">
      <c r="A134" s="68">
        <v>20204210749</v>
      </c>
      <c r="B134" s="67" t="str">
        <f>+VLOOKUP(Novedades[[#This Row],[CUIL]],Empleados[],2,FALSE)</f>
        <v>RODA MARIO GUSTAVO</v>
      </c>
      <c r="C134" s="68">
        <v>30540887752</v>
      </c>
      <c r="D134" s="69">
        <v>46235</v>
      </c>
      <c r="F134">
        <f>+Novedades[[#This Row],[DIAS TRABAJADO SUPLENTE]]*Novedades[[#This Row],[Horas JORNADA '[HS']]]+Novedades[[#This Row],[HORAS EXTRAS al 50% '[HS']]]+Novedades[[#This Row],[HORAS EXTRAS al 100% '[HS']]]+Novedades[[#This Row],[FERIADOS TRABAJADOS '[HS']]]</f>
        <v>0</v>
      </c>
      <c r="R134" s="57"/>
    </row>
    <row r="135" spans="1:18" hidden="1" x14ac:dyDescent="0.25">
      <c r="A135" s="68">
        <v>20263485409</v>
      </c>
      <c r="B135" s="67" t="str">
        <f>+VLOOKUP(Novedades[[#This Row],[CUIL]],Empleados[],2,FALSE)</f>
        <v>LEDESMA SANTIAGO DAVID</v>
      </c>
      <c r="C135" s="68">
        <v>30559333022</v>
      </c>
      <c r="D135" s="69">
        <v>46235</v>
      </c>
      <c r="F135">
        <f>+Novedades[[#This Row],[DIAS TRABAJADO SUPLENTE]]*Novedades[[#This Row],[Horas JORNADA '[HS']]]+Novedades[[#This Row],[HORAS EXTRAS al 50% '[HS']]]+Novedades[[#This Row],[HORAS EXTRAS al 100% '[HS']]]+Novedades[[#This Row],[FERIADOS TRABAJADOS '[HS']]]</f>
        <v>0</v>
      </c>
      <c r="R135" s="57"/>
    </row>
    <row r="136" spans="1:18" hidden="1" x14ac:dyDescent="0.25">
      <c r="A136" s="68">
        <v>20275890074</v>
      </c>
      <c r="B136" s="67" t="str">
        <f>+VLOOKUP(Novedades[[#This Row],[CUIL]],Empleados[],2,FALSE)</f>
        <v xml:space="preserve">CORONEL EDGARDO DARIO </v>
      </c>
      <c r="C136" s="68">
        <v>30580260906</v>
      </c>
      <c r="D136" s="69">
        <v>46235</v>
      </c>
      <c r="F136">
        <f>+Novedades[[#This Row],[DIAS TRABAJADO SUPLENTE]]*Novedades[[#This Row],[Horas JORNADA '[HS']]]+Novedades[[#This Row],[HORAS EXTRAS al 50% '[HS']]]+Novedades[[#This Row],[HORAS EXTRAS al 100% '[HS']]]+Novedades[[#This Row],[FERIADOS TRABAJADOS '[HS']]]</f>
        <v>0</v>
      </c>
      <c r="R136" s="57"/>
    </row>
    <row r="137" spans="1:18" hidden="1" x14ac:dyDescent="0.25">
      <c r="A137" s="68">
        <v>20331992314</v>
      </c>
      <c r="B137" s="67" t="str">
        <f>+VLOOKUP(Novedades[[#This Row],[CUIL]],Empleados[],2,FALSE)</f>
        <v>RODRIGUEZ ALFREDO RAUL</v>
      </c>
      <c r="C137" s="68">
        <v>30580260906</v>
      </c>
      <c r="D137" s="69">
        <v>46235</v>
      </c>
      <c r="F137">
        <f>+Novedades[[#This Row],[DIAS TRABAJADO SUPLENTE]]*Novedades[[#This Row],[Horas JORNADA '[HS']]]+Novedades[[#This Row],[HORAS EXTRAS al 50% '[HS']]]+Novedades[[#This Row],[HORAS EXTRAS al 100% '[HS']]]+Novedades[[#This Row],[FERIADOS TRABAJADOS '[HS']]]</f>
        <v>0</v>
      </c>
      <c r="R137" s="57"/>
    </row>
    <row r="138" spans="1:18" hidden="1" x14ac:dyDescent="0.25">
      <c r="A138" s="68">
        <v>27174620410</v>
      </c>
      <c r="B138" s="67" t="str">
        <f>+VLOOKUP(Novedades[[#This Row],[CUIL]],Empleados[],2,FALSE)</f>
        <v>CANCINOS MARGARITA</v>
      </c>
      <c r="C138" s="68">
        <v>30604528166</v>
      </c>
      <c r="D138" s="69">
        <v>46235</v>
      </c>
      <c r="F138">
        <f>+Novedades[[#This Row],[DIAS TRABAJADO SUPLENTE]]*Novedades[[#This Row],[Horas JORNADA '[HS']]]+Novedades[[#This Row],[HORAS EXTRAS al 50% '[HS']]]+Novedades[[#This Row],[HORAS EXTRAS al 100% '[HS']]]+Novedades[[#This Row],[FERIADOS TRABAJADOS '[HS']]]</f>
        <v>0</v>
      </c>
      <c r="R138" s="57"/>
    </row>
    <row r="139" spans="1:18" hidden="1" x14ac:dyDescent="0.25">
      <c r="A139" s="68">
        <v>20176328399</v>
      </c>
      <c r="B139" s="67" t="str">
        <f>+VLOOKUP(Novedades[[#This Row],[CUIL]],Empleados[],2,FALSE)</f>
        <v>ROJAS CARLOS MANUEL</v>
      </c>
      <c r="C139" s="68">
        <v>30630042670</v>
      </c>
      <c r="D139" s="69">
        <v>46235</v>
      </c>
      <c r="F139">
        <f>+Novedades[[#This Row],[DIAS TRABAJADO SUPLENTE]]*Novedades[[#This Row],[Horas JORNADA '[HS']]]+Novedades[[#This Row],[HORAS EXTRAS al 50% '[HS']]]+Novedades[[#This Row],[HORAS EXTRAS al 100% '[HS']]]+Novedades[[#This Row],[FERIADOS TRABAJADOS '[HS']]]</f>
        <v>0</v>
      </c>
      <c r="R139" s="57"/>
    </row>
    <row r="140" spans="1:18" hidden="1" x14ac:dyDescent="0.25">
      <c r="A140" s="68">
        <v>20947260481</v>
      </c>
      <c r="B140" s="67" t="str">
        <f>+VLOOKUP(Novedades[[#This Row],[CUIL]],Empleados[],2,FALSE)</f>
        <v>ESTIGARRIBIA ARCE DARIO</v>
      </c>
      <c r="C140" s="68">
        <v>30630042670</v>
      </c>
      <c r="D140" s="69">
        <v>46235</v>
      </c>
      <c r="F140">
        <f>+Novedades[[#This Row],[DIAS TRABAJADO SUPLENTE]]*Novedades[[#This Row],[Horas JORNADA '[HS']]]+Novedades[[#This Row],[HORAS EXTRAS al 50% '[HS']]]+Novedades[[#This Row],[HORAS EXTRAS al 100% '[HS']]]+Novedades[[#This Row],[FERIADOS TRABAJADOS '[HS']]]</f>
        <v>0</v>
      </c>
      <c r="R140" s="57"/>
    </row>
    <row r="141" spans="1:18" hidden="1" x14ac:dyDescent="0.25">
      <c r="A141" s="68">
        <v>23250288794</v>
      </c>
      <c r="B141" s="67" t="str">
        <f>+VLOOKUP(Novedades[[#This Row],[CUIL]],Empleados[],2,FALSE)</f>
        <v>PIÑERO BIBIANA PATRICIA</v>
      </c>
      <c r="C141" s="68">
        <v>30630042670</v>
      </c>
      <c r="D141" s="69">
        <v>46235</v>
      </c>
      <c r="F141">
        <f>+Novedades[[#This Row],[DIAS TRABAJADO SUPLENTE]]*Novedades[[#This Row],[Horas JORNADA '[HS']]]+Novedades[[#This Row],[HORAS EXTRAS al 50% '[HS']]]+Novedades[[#This Row],[HORAS EXTRAS al 100% '[HS']]]+Novedades[[#This Row],[FERIADOS TRABAJADOS '[HS']]]</f>
        <v>0</v>
      </c>
      <c r="R141" s="57"/>
    </row>
    <row r="142" spans="1:18" hidden="1" x14ac:dyDescent="0.25">
      <c r="A142" s="68">
        <v>20942335351</v>
      </c>
      <c r="B142" s="67" t="str">
        <f>+VLOOKUP(Novedades[[#This Row],[CUIL]],Empleados[],2,FALSE)</f>
        <v>TORRES ORTIZ DENIS RAMON</v>
      </c>
      <c r="C142" s="68">
        <v>30711283338</v>
      </c>
      <c r="D142" s="69">
        <v>46235</v>
      </c>
      <c r="F142">
        <f>+Novedades[[#This Row],[DIAS TRABAJADO SUPLENTE]]*Novedades[[#This Row],[Horas JORNADA '[HS']]]+Novedades[[#This Row],[HORAS EXTRAS al 50% '[HS']]]+Novedades[[#This Row],[HORAS EXTRAS al 100% '[HS']]]+Novedades[[#This Row],[FERIADOS TRABAJADOS '[HS']]]</f>
        <v>0</v>
      </c>
      <c r="R142" s="57"/>
    </row>
    <row r="143" spans="1:18" hidden="1" x14ac:dyDescent="0.25">
      <c r="A143" s="68">
        <v>24269272801</v>
      </c>
      <c r="B143" s="67" t="str">
        <f>+VLOOKUP(Novedades[[#This Row],[CUIL]],Empleados[],2,FALSE)</f>
        <v>PIÑERO CLAUDIA ELIZABET</v>
      </c>
      <c r="C143" s="68">
        <v>30711283338</v>
      </c>
      <c r="D143" s="69">
        <v>46235</v>
      </c>
      <c r="F143">
        <f>+Novedades[[#This Row],[DIAS TRABAJADO SUPLENTE]]*Novedades[[#This Row],[Horas JORNADA '[HS']]]+Novedades[[#This Row],[HORAS EXTRAS al 50% '[HS']]]+Novedades[[#This Row],[HORAS EXTRAS al 100% '[HS']]]+Novedades[[#This Row],[FERIADOS TRABAJADOS '[HS']]]</f>
        <v>0</v>
      </c>
      <c r="R143" s="57"/>
    </row>
    <row r="144" spans="1:18" hidden="1" x14ac:dyDescent="0.25">
      <c r="A144" s="68">
        <v>20252571850</v>
      </c>
      <c r="B144" s="67" t="str">
        <f>+VLOOKUP(Novedades[[#This Row],[CUIL]],Empleados[],2,FALSE)</f>
        <v>VERON CARLOS ALBERTO</v>
      </c>
      <c r="C144" s="68">
        <v>30711553165</v>
      </c>
      <c r="D144" s="69">
        <v>46235</v>
      </c>
      <c r="F144">
        <f>+Novedades[[#This Row],[DIAS TRABAJADO SUPLENTE]]*Novedades[[#This Row],[Horas JORNADA '[HS']]]+Novedades[[#This Row],[HORAS EXTRAS al 50% '[HS']]]+Novedades[[#This Row],[HORAS EXTRAS al 100% '[HS']]]+Novedades[[#This Row],[FERIADOS TRABAJADOS '[HS']]]</f>
        <v>0</v>
      </c>
      <c r="R144" s="57"/>
    </row>
    <row r="145" spans="1:18" hidden="1" x14ac:dyDescent="0.25">
      <c r="A145" s="68">
        <v>20942347643</v>
      </c>
      <c r="B145" s="67" t="str">
        <f>+VLOOKUP(Novedades[[#This Row],[CUIL]],Empleados[],2,FALSE)</f>
        <v>LIMA CENTURION RONAL DEJESUS</v>
      </c>
      <c r="C145" s="68">
        <v>30711553165</v>
      </c>
      <c r="D145" s="69">
        <v>46235</v>
      </c>
      <c r="F145">
        <f>+Novedades[[#This Row],[DIAS TRABAJADO SUPLENTE]]*Novedades[[#This Row],[Horas JORNADA '[HS']]]+Novedades[[#This Row],[HORAS EXTRAS al 50% '[HS']]]+Novedades[[#This Row],[HORAS EXTRAS al 100% '[HS']]]+Novedades[[#This Row],[FERIADOS TRABAJADOS '[HS']]]</f>
        <v>0</v>
      </c>
      <c r="R145" s="57"/>
    </row>
    <row r="146" spans="1:18" hidden="1" x14ac:dyDescent="0.25">
      <c r="A146" s="68">
        <v>23175845879</v>
      </c>
      <c r="B146" s="67" t="str">
        <f>+VLOOKUP(Novedades[[#This Row],[CUIL]],Empleados[],2,FALSE)</f>
        <v>CORONEL CARLOS EMIGDIO</v>
      </c>
      <c r="C146" s="68">
        <v>30711776903</v>
      </c>
      <c r="D146" s="69">
        <v>46235</v>
      </c>
      <c r="F146">
        <f>+Novedades[[#This Row],[DIAS TRABAJADO SUPLENTE]]*Novedades[[#This Row],[Horas JORNADA '[HS']]]+Novedades[[#This Row],[HORAS EXTRAS al 50% '[HS']]]+Novedades[[#This Row],[HORAS EXTRAS al 100% '[HS']]]+Novedades[[#This Row],[FERIADOS TRABAJADOS '[HS']]]</f>
        <v>0</v>
      </c>
      <c r="R146" s="57"/>
    </row>
    <row r="147" spans="1:18" hidden="1" x14ac:dyDescent="0.25">
      <c r="A147" s="68">
        <v>20283772323</v>
      </c>
      <c r="B147" s="67" t="str">
        <f>+VLOOKUP(Novedades[[#This Row],[CUIL]],Empleados[],2,FALSE)</f>
        <v>RIOS LUIS ALBERTO</v>
      </c>
      <c r="C147" s="68">
        <v>30519077635</v>
      </c>
      <c r="D147" s="69">
        <v>46266</v>
      </c>
      <c r="F147">
        <f>+Novedades[[#This Row],[DIAS TRABAJADO SUPLENTE]]*Novedades[[#This Row],[Horas JORNADA '[HS']]]+Novedades[[#This Row],[HORAS EXTRAS al 50% '[HS']]]+Novedades[[#This Row],[HORAS EXTRAS al 100% '[HS']]]+Novedades[[#This Row],[FERIADOS TRABAJADOS '[HS']]]</f>
        <v>0</v>
      </c>
      <c r="R147" s="57"/>
    </row>
    <row r="148" spans="1:18" hidden="1" x14ac:dyDescent="0.25">
      <c r="A148" s="68">
        <v>20338776390</v>
      </c>
      <c r="B148" s="67" t="str">
        <f>+VLOOKUP(Novedades[[#This Row],[CUIL]],Empleados[],2,FALSE)</f>
        <v>RIOS MATIAS ALEJANDRO</v>
      </c>
      <c r="C148" s="68">
        <v>30519077635</v>
      </c>
      <c r="D148" s="69">
        <v>46266</v>
      </c>
      <c r="F148">
        <f>+Novedades[[#This Row],[DIAS TRABAJADO SUPLENTE]]*Novedades[[#This Row],[Horas JORNADA '[HS']]]+Novedades[[#This Row],[HORAS EXTRAS al 50% '[HS']]]+Novedades[[#This Row],[HORAS EXTRAS al 100% '[HS']]]+Novedades[[#This Row],[FERIADOS TRABAJADOS '[HS']]]</f>
        <v>0</v>
      </c>
      <c r="R148" s="57"/>
    </row>
    <row r="149" spans="1:18" hidden="1" x14ac:dyDescent="0.25">
      <c r="A149" s="68">
        <v>20360647774</v>
      </c>
      <c r="B149" s="67" t="str">
        <f>+VLOOKUP(Novedades[[#This Row],[CUIL]],Empleados[],2,FALSE)</f>
        <v xml:space="preserve">GIACOMO SEBASTIAN LUIS </v>
      </c>
      <c r="C149" s="68">
        <v>30532673484</v>
      </c>
      <c r="D149" s="69">
        <v>46266</v>
      </c>
      <c r="F149">
        <f>+Novedades[[#This Row],[DIAS TRABAJADO SUPLENTE]]*Novedades[[#This Row],[Horas JORNADA '[HS']]]+Novedades[[#This Row],[HORAS EXTRAS al 50% '[HS']]]+Novedades[[#This Row],[HORAS EXTRAS al 100% '[HS']]]+Novedades[[#This Row],[FERIADOS TRABAJADOS '[HS']]]</f>
        <v>0</v>
      </c>
      <c r="R149" s="57"/>
    </row>
    <row r="150" spans="1:18" hidden="1" x14ac:dyDescent="0.25">
      <c r="A150" s="68">
        <v>20175464299</v>
      </c>
      <c r="B150" s="67" t="str">
        <f>+VLOOKUP(Novedades[[#This Row],[CUIL]],Empleados[],2,FALSE)</f>
        <v>ESPONDA JOSE MARIA</v>
      </c>
      <c r="C150" s="68">
        <v>30537480544</v>
      </c>
      <c r="D150" s="69">
        <v>46266</v>
      </c>
      <c r="F150">
        <f>+Novedades[[#This Row],[DIAS TRABAJADO SUPLENTE]]*Novedades[[#This Row],[Horas JORNADA '[HS']]]+Novedades[[#This Row],[HORAS EXTRAS al 50% '[HS']]]+Novedades[[#This Row],[HORAS EXTRAS al 100% '[HS']]]+Novedades[[#This Row],[FERIADOS TRABAJADOS '[HS']]]</f>
        <v>0</v>
      </c>
      <c r="R150" s="57"/>
    </row>
    <row r="151" spans="1:18" hidden="1" x14ac:dyDescent="0.25">
      <c r="A151" s="68">
        <v>23289923934</v>
      </c>
      <c r="B151" s="67" t="str">
        <f>+VLOOKUP(Novedades[[#This Row],[CUIL]],Empleados[],2,FALSE)</f>
        <v xml:space="preserve">PIÑERO SONIA MERCEDES </v>
      </c>
      <c r="C151" s="68">
        <v>30538590009</v>
      </c>
      <c r="D151" s="69">
        <v>46266</v>
      </c>
      <c r="F151">
        <f>+Novedades[[#This Row],[DIAS TRABAJADO SUPLENTE]]*Novedades[[#This Row],[Horas JORNADA '[HS']]]+Novedades[[#This Row],[HORAS EXTRAS al 50% '[HS']]]+Novedades[[#This Row],[HORAS EXTRAS al 100% '[HS']]]+Novedades[[#This Row],[FERIADOS TRABAJADOS '[HS']]]</f>
        <v>0</v>
      </c>
      <c r="R151" s="57"/>
    </row>
    <row r="152" spans="1:18" hidden="1" x14ac:dyDescent="0.25">
      <c r="A152" s="68">
        <v>24269272801</v>
      </c>
      <c r="B152" s="67" t="str">
        <f>+VLOOKUP(Novedades[[#This Row],[CUIL]],Empleados[],2,FALSE)</f>
        <v>PIÑERO CLAUDIA ELIZABET</v>
      </c>
      <c r="C152" s="68">
        <v>30538590009</v>
      </c>
      <c r="D152" s="69">
        <v>46266</v>
      </c>
      <c r="F152">
        <f>+Novedades[[#This Row],[DIAS TRABAJADO SUPLENTE]]*Novedades[[#This Row],[Horas JORNADA '[HS']]]+Novedades[[#This Row],[HORAS EXTRAS al 50% '[HS']]]+Novedades[[#This Row],[HORAS EXTRAS al 100% '[HS']]]+Novedades[[#This Row],[FERIADOS TRABAJADOS '[HS']]]</f>
        <v>0</v>
      </c>
      <c r="R152" s="57"/>
    </row>
    <row r="153" spans="1:18" hidden="1" x14ac:dyDescent="0.25">
      <c r="A153" s="68">
        <v>20204210749</v>
      </c>
      <c r="B153" s="67" t="str">
        <f>+VLOOKUP(Novedades[[#This Row],[CUIL]],Empleados[],2,FALSE)</f>
        <v>RODA MARIO GUSTAVO</v>
      </c>
      <c r="C153" s="68">
        <v>30540887752</v>
      </c>
      <c r="D153" s="69">
        <v>46266</v>
      </c>
      <c r="F153">
        <f>+Novedades[[#This Row],[DIAS TRABAJADO SUPLENTE]]*Novedades[[#This Row],[Horas JORNADA '[HS']]]+Novedades[[#This Row],[HORAS EXTRAS al 50% '[HS']]]+Novedades[[#This Row],[HORAS EXTRAS al 100% '[HS']]]+Novedades[[#This Row],[FERIADOS TRABAJADOS '[HS']]]</f>
        <v>0</v>
      </c>
      <c r="R153" s="57"/>
    </row>
    <row r="154" spans="1:18" hidden="1" x14ac:dyDescent="0.25">
      <c r="A154" s="68">
        <v>20263485409</v>
      </c>
      <c r="B154" s="67" t="str">
        <f>+VLOOKUP(Novedades[[#This Row],[CUIL]],Empleados[],2,FALSE)</f>
        <v>LEDESMA SANTIAGO DAVID</v>
      </c>
      <c r="C154" s="68">
        <v>30559333022</v>
      </c>
      <c r="D154" s="69">
        <v>46266</v>
      </c>
      <c r="F154">
        <f>+Novedades[[#This Row],[DIAS TRABAJADO SUPLENTE]]*Novedades[[#This Row],[Horas JORNADA '[HS']]]+Novedades[[#This Row],[HORAS EXTRAS al 50% '[HS']]]+Novedades[[#This Row],[HORAS EXTRAS al 100% '[HS']]]+Novedades[[#This Row],[FERIADOS TRABAJADOS '[HS']]]</f>
        <v>0</v>
      </c>
      <c r="R154" s="57"/>
    </row>
    <row r="155" spans="1:18" hidden="1" x14ac:dyDescent="0.25">
      <c r="A155" s="68">
        <v>20275890074</v>
      </c>
      <c r="B155" s="67" t="str">
        <f>+VLOOKUP(Novedades[[#This Row],[CUIL]],Empleados[],2,FALSE)</f>
        <v xml:space="preserve">CORONEL EDGARDO DARIO </v>
      </c>
      <c r="C155" s="68">
        <v>30580260906</v>
      </c>
      <c r="D155" s="69">
        <v>46266</v>
      </c>
      <c r="F155">
        <f>+Novedades[[#This Row],[DIAS TRABAJADO SUPLENTE]]*Novedades[[#This Row],[Horas JORNADA '[HS']]]+Novedades[[#This Row],[HORAS EXTRAS al 50% '[HS']]]+Novedades[[#This Row],[HORAS EXTRAS al 100% '[HS']]]+Novedades[[#This Row],[FERIADOS TRABAJADOS '[HS']]]</f>
        <v>0</v>
      </c>
      <c r="R155" s="57"/>
    </row>
    <row r="156" spans="1:18" hidden="1" x14ac:dyDescent="0.25">
      <c r="A156" s="68">
        <v>20331992314</v>
      </c>
      <c r="B156" s="67" t="str">
        <f>+VLOOKUP(Novedades[[#This Row],[CUIL]],Empleados[],2,FALSE)</f>
        <v>RODRIGUEZ ALFREDO RAUL</v>
      </c>
      <c r="C156" s="68">
        <v>30580260906</v>
      </c>
      <c r="D156" s="69">
        <v>46266</v>
      </c>
      <c r="F156">
        <f>+Novedades[[#This Row],[DIAS TRABAJADO SUPLENTE]]*Novedades[[#This Row],[Horas JORNADA '[HS']]]+Novedades[[#This Row],[HORAS EXTRAS al 50% '[HS']]]+Novedades[[#This Row],[HORAS EXTRAS al 100% '[HS']]]+Novedades[[#This Row],[FERIADOS TRABAJADOS '[HS']]]</f>
        <v>0</v>
      </c>
      <c r="R156" s="57"/>
    </row>
    <row r="157" spans="1:18" hidden="1" x14ac:dyDescent="0.25">
      <c r="A157" s="68">
        <v>27174620410</v>
      </c>
      <c r="B157" s="67" t="str">
        <f>+VLOOKUP(Novedades[[#This Row],[CUIL]],Empleados[],2,FALSE)</f>
        <v>CANCINOS MARGARITA</v>
      </c>
      <c r="C157" s="68">
        <v>30604528166</v>
      </c>
      <c r="D157" s="69">
        <v>46266</v>
      </c>
      <c r="F157">
        <f>+Novedades[[#This Row],[DIAS TRABAJADO SUPLENTE]]*Novedades[[#This Row],[Horas JORNADA '[HS']]]+Novedades[[#This Row],[HORAS EXTRAS al 50% '[HS']]]+Novedades[[#This Row],[HORAS EXTRAS al 100% '[HS']]]+Novedades[[#This Row],[FERIADOS TRABAJADOS '[HS']]]</f>
        <v>0</v>
      </c>
      <c r="R157" s="57"/>
    </row>
    <row r="158" spans="1:18" hidden="1" x14ac:dyDescent="0.25">
      <c r="A158" s="68">
        <v>20176328399</v>
      </c>
      <c r="B158" s="67" t="str">
        <f>+VLOOKUP(Novedades[[#This Row],[CUIL]],Empleados[],2,FALSE)</f>
        <v>ROJAS CARLOS MANUEL</v>
      </c>
      <c r="C158" s="68">
        <v>30630042670</v>
      </c>
      <c r="D158" s="69">
        <v>46266</v>
      </c>
      <c r="F158">
        <f>+Novedades[[#This Row],[DIAS TRABAJADO SUPLENTE]]*Novedades[[#This Row],[Horas JORNADA '[HS']]]+Novedades[[#This Row],[HORAS EXTRAS al 50% '[HS']]]+Novedades[[#This Row],[HORAS EXTRAS al 100% '[HS']]]+Novedades[[#This Row],[FERIADOS TRABAJADOS '[HS']]]</f>
        <v>0</v>
      </c>
      <c r="R158" s="57"/>
    </row>
    <row r="159" spans="1:18" hidden="1" x14ac:dyDescent="0.25">
      <c r="A159" s="68">
        <v>20947260481</v>
      </c>
      <c r="B159" s="67" t="str">
        <f>+VLOOKUP(Novedades[[#This Row],[CUIL]],Empleados[],2,FALSE)</f>
        <v>ESTIGARRIBIA ARCE DARIO</v>
      </c>
      <c r="C159" s="68">
        <v>30630042670</v>
      </c>
      <c r="D159" s="69">
        <v>46266</v>
      </c>
      <c r="F159">
        <f>+Novedades[[#This Row],[DIAS TRABAJADO SUPLENTE]]*Novedades[[#This Row],[Horas JORNADA '[HS']]]+Novedades[[#This Row],[HORAS EXTRAS al 50% '[HS']]]+Novedades[[#This Row],[HORAS EXTRAS al 100% '[HS']]]+Novedades[[#This Row],[FERIADOS TRABAJADOS '[HS']]]</f>
        <v>0</v>
      </c>
      <c r="R159" s="57"/>
    </row>
    <row r="160" spans="1:18" hidden="1" x14ac:dyDescent="0.25">
      <c r="A160" s="68">
        <v>23250288794</v>
      </c>
      <c r="B160" s="67" t="str">
        <f>+VLOOKUP(Novedades[[#This Row],[CUIL]],Empleados[],2,FALSE)</f>
        <v>PIÑERO BIBIANA PATRICIA</v>
      </c>
      <c r="C160" s="68">
        <v>30630042670</v>
      </c>
      <c r="D160" s="69">
        <v>46266</v>
      </c>
      <c r="F160">
        <f>+Novedades[[#This Row],[DIAS TRABAJADO SUPLENTE]]*Novedades[[#This Row],[Horas JORNADA '[HS']]]+Novedades[[#This Row],[HORAS EXTRAS al 50% '[HS']]]+Novedades[[#This Row],[HORAS EXTRAS al 100% '[HS']]]+Novedades[[#This Row],[FERIADOS TRABAJADOS '[HS']]]</f>
        <v>0</v>
      </c>
      <c r="R160" s="57"/>
    </row>
    <row r="161" spans="1:18" hidden="1" x14ac:dyDescent="0.25">
      <c r="A161" s="68">
        <v>20942335351</v>
      </c>
      <c r="B161" s="67" t="str">
        <f>+VLOOKUP(Novedades[[#This Row],[CUIL]],Empleados[],2,FALSE)</f>
        <v>TORRES ORTIZ DENIS RAMON</v>
      </c>
      <c r="C161" s="68">
        <v>30711283338</v>
      </c>
      <c r="D161" s="69">
        <v>46266</v>
      </c>
      <c r="F161">
        <f>+Novedades[[#This Row],[DIAS TRABAJADO SUPLENTE]]*Novedades[[#This Row],[Horas JORNADA '[HS']]]+Novedades[[#This Row],[HORAS EXTRAS al 50% '[HS']]]+Novedades[[#This Row],[HORAS EXTRAS al 100% '[HS']]]+Novedades[[#This Row],[FERIADOS TRABAJADOS '[HS']]]</f>
        <v>0</v>
      </c>
      <c r="R161" s="57"/>
    </row>
    <row r="162" spans="1:18" hidden="1" x14ac:dyDescent="0.25">
      <c r="A162" s="68">
        <v>24269272801</v>
      </c>
      <c r="B162" s="67" t="str">
        <f>+VLOOKUP(Novedades[[#This Row],[CUIL]],Empleados[],2,FALSE)</f>
        <v>PIÑERO CLAUDIA ELIZABET</v>
      </c>
      <c r="C162" s="68">
        <v>30711283338</v>
      </c>
      <c r="D162" s="69">
        <v>46266</v>
      </c>
      <c r="F162">
        <f>+Novedades[[#This Row],[DIAS TRABAJADO SUPLENTE]]*Novedades[[#This Row],[Horas JORNADA '[HS']]]+Novedades[[#This Row],[HORAS EXTRAS al 50% '[HS']]]+Novedades[[#This Row],[HORAS EXTRAS al 100% '[HS']]]+Novedades[[#This Row],[FERIADOS TRABAJADOS '[HS']]]</f>
        <v>0</v>
      </c>
      <c r="R162" s="57"/>
    </row>
    <row r="163" spans="1:18" hidden="1" x14ac:dyDescent="0.25">
      <c r="A163" s="68">
        <v>20252571850</v>
      </c>
      <c r="B163" s="67" t="str">
        <f>+VLOOKUP(Novedades[[#This Row],[CUIL]],Empleados[],2,FALSE)</f>
        <v>VERON CARLOS ALBERTO</v>
      </c>
      <c r="C163" s="68">
        <v>30711553165</v>
      </c>
      <c r="D163" s="69">
        <v>46266</v>
      </c>
      <c r="F163">
        <f>+Novedades[[#This Row],[DIAS TRABAJADO SUPLENTE]]*Novedades[[#This Row],[Horas JORNADA '[HS']]]+Novedades[[#This Row],[HORAS EXTRAS al 50% '[HS']]]+Novedades[[#This Row],[HORAS EXTRAS al 100% '[HS']]]+Novedades[[#This Row],[FERIADOS TRABAJADOS '[HS']]]</f>
        <v>0</v>
      </c>
      <c r="R163" s="57"/>
    </row>
    <row r="164" spans="1:18" hidden="1" x14ac:dyDescent="0.25">
      <c r="A164" s="68">
        <v>20942347643</v>
      </c>
      <c r="B164" s="67" t="str">
        <f>+VLOOKUP(Novedades[[#This Row],[CUIL]],Empleados[],2,FALSE)</f>
        <v>LIMA CENTURION RONAL DEJESUS</v>
      </c>
      <c r="C164" s="68">
        <v>30711553165</v>
      </c>
      <c r="D164" s="69">
        <v>46266</v>
      </c>
      <c r="F164">
        <f>+Novedades[[#This Row],[DIAS TRABAJADO SUPLENTE]]*Novedades[[#This Row],[Horas JORNADA '[HS']]]+Novedades[[#This Row],[HORAS EXTRAS al 50% '[HS']]]+Novedades[[#This Row],[HORAS EXTRAS al 100% '[HS']]]+Novedades[[#This Row],[FERIADOS TRABAJADOS '[HS']]]</f>
        <v>0</v>
      </c>
      <c r="R164" s="57"/>
    </row>
    <row r="165" spans="1:18" hidden="1" x14ac:dyDescent="0.25">
      <c r="A165" s="68">
        <v>23175845879</v>
      </c>
      <c r="B165" s="67" t="str">
        <f>+VLOOKUP(Novedades[[#This Row],[CUIL]],Empleados[],2,FALSE)</f>
        <v>CORONEL CARLOS EMIGDIO</v>
      </c>
      <c r="C165" s="68">
        <v>30711776903</v>
      </c>
      <c r="D165" s="69">
        <v>46266</v>
      </c>
      <c r="F165">
        <f>+Novedades[[#This Row],[DIAS TRABAJADO SUPLENTE]]*Novedades[[#This Row],[Horas JORNADA '[HS']]]+Novedades[[#This Row],[HORAS EXTRAS al 50% '[HS']]]+Novedades[[#This Row],[HORAS EXTRAS al 100% '[HS']]]+Novedades[[#This Row],[FERIADOS TRABAJADOS '[HS']]]</f>
        <v>0</v>
      </c>
      <c r="R165" s="57"/>
    </row>
    <row r="166" spans="1:18" hidden="1" x14ac:dyDescent="0.25">
      <c r="A166" s="68">
        <v>20283772323</v>
      </c>
      <c r="B166" s="67" t="str">
        <f>+VLOOKUP(Novedades[[#This Row],[CUIL]],Empleados[],2,FALSE)</f>
        <v>RIOS LUIS ALBERTO</v>
      </c>
      <c r="C166" s="68">
        <v>30519077635</v>
      </c>
      <c r="D166" s="69">
        <v>46296</v>
      </c>
      <c r="F166">
        <f>+Novedades[[#This Row],[DIAS TRABAJADO SUPLENTE]]*Novedades[[#This Row],[Horas JORNADA '[HS']]]+Novedades[[#This Row],[HORAS EXTRAS al 50% '[HS']]]+Novedades[[#This Row],[HORAS EXTRAS al 100% '[HS']]]+Novedades[[#This Row],[FERIADOS TRABAJADOS '[HS']]]</f>
        <v>0</v>
      </c>
      <c r="R166" s="57"/>
    </row>
    <row r="167" spans="1:18" hidden="1" x14ac:dyDescent="0.25">
      <c r="A167" s="68">
        <v>20338776390</v>
      </c>
      <c r="B167" s="67" t="str">
        <f>+VLOOKUP(Novedades[[#This Row],[CUIL]],Empleados[],2,FALSE)</f>
        <v>RIOS MATIAS ALEJANDRO</v>
      </c>
      <c r="C167" s="68">
        <v>30519077635</v>
      </c>
      <c r="D167" s="69">
        <v>46296</v>
      </c>
      <c r="F167">
        <f>+Novedades[[#This Row],[DIAS TRABAJADO SUPLENTE]]*Novedades[[#This Row],[Horas JORNADA '[HS']]]+Novedades[[#This Row],[HORAS EXTRAS al 50% '[HS']]]+Novedades[[#This Row],[HORAS EXTRAS al 100% '[HS']]]+Novedades[[#This Row],[FERIADOS TRABAJADOS '[HS']]]</f>
        <v>0</v>
      </c>
      <c r="R167" s="57"/>
    </row>
    <row r="168" spans="1:18" hidden="1" x14ac:dyDescent="0.25">
      <c r="A168" s="68">
        <v>20360647774</v>
      </c>
      <c r="B168" s="67" t="str">
        <f>+VLOOKUP(Novedades[[#This Row],[CUIL]],Empleados[],2,FALSE)</f>
        <v xml:space="preserve">GIACOMO SEBASTIAN LUIS </v>
      </c>
      <c r="C168" s="68">
        <v>30532673484</v>
      </c>
      <c r="D168" s="69">
        <v>46296</v>
      </c>
      <c r="F168">
        <f>+Novedades[[#This Row],[DIAS TRABAJADO SUPLENTE]]*Novedades[[#This Row],[Horas JORNADA '[HS']]]+Novedades[[#This Row],[HORAS EXTRAS al 50% '[HS']]]+Novedades[[#This Row],[HORAS EXTRAS al 100% '[HS']]]+Novedades[[#This Row],[FERIADOS TRABAJADOS '[HS']]]</f>
        <v>0</v>
      </c>
      <c r="R168" s="57"/>
    </row>
    <row r="169" spans="1:18" hidden="1" x14ac:dyDescent="0.25">
      <c r="A169" s="68">
        <v>20175464299</v>
      </c>
      <c r="B169" s="67" t="str">
        <f>+VLOOKUP(Novedades[[#This Row],[CUIL]],Empleados[],2,FALSE)</f>
        <v>ESPONDA JOSE MARIA</v>
      </c>
      <c r="C169" s="68">
        <v>30537480544</v>
      </c>
      <c r="D169" s="69">
        <v>46296</v>
      </c>
      <c r="F169">
        <f>+Novedades[[#This Row],[DIAS TRABAJADO SUPLENTE]]*Novedades[[#This Row],[Horas JORNADA '[HS']]]+Novedades[[#This Row],[HORAS EXTRAS al 50% '[HS']]]+Novedades[[#This Row],[HORAS EXTRAS al 100% '[HS']]]+Novedades[[#This Row],[FERIADOS TRABAJADOS '[HS']]]</f>
        <v>0</v>
      </c>
      <c r="R169" s="57"/>
    </row>
    <row r="170" spans="1:18" hidden="1" x14ac:dyDescent="0.25">
      <c r="A170" s="68">
        <v>23289923934</v>
      </c>
      <c r="B170" s="67" t="str">
        <f>+VLOOKUP(Novedades[[#This Row],[CUIL]],Empleados[],2,FALSE)</f>
        <v xml:space="preserve">PIÑERO SONIA MERCEDES </v>
      </c>
      <c r="C170" s="68">
        <v>30538590009</v>
      </c>
      <c r="D170" s="69">
        <v>46296</v>
      </c>
      <c r="F170">
        <f>+Novedades[[#This Row],[DIAS TRABAJADO SUPLENTE]]*Novedades[[#This Row],[Horas JORNADA '[HS']]]+Novedades[[#This Row],[HORAS EXTRAS al 50% '[HS']]]+Novedades[[#This Row],[HORAS EXTRAS al 100% '[HS']]]+Novedades[[#This Row],[FERIADOS TRABAJADOS '[HS']]]</f>
        <v>0</v>
      </c>
      <c r="R170" s="57"/>
    </row>
    <row r="171" spans="1:18" hidden="1" x14ac:dyDescent="0.25">
      <c r="A171" s="68">
        <v>24269272801</v>
      </c>
      <c r="B171" s="67" t="str">
        <f>+VLOOKUP(Novedades[[#This Row],[CUIL]],Empleados[],2,FALSE)</f>
        <v>PIÑERO CLAUDIA ELIZABET</v>
      </c>
      <c r="C171" s="68">
        <v>30538590009</v>
      </c>
      <c r="D171" s="69">
        <v>46296</v>
      </c>
      <c r="F171">
        <f>+Novedades[[#This Row],[DIAS TRABAJADO SUPLENTE]]*Novedades[[#This Row],[Horas JORNADA '[HS']]]+Novedades[[#This Row],[HORAS EXTRAS al 50% '[HS']]]+Novedades[[#This Row],[HORAS EXTRAS al 100% '[HS']]]+Novedades[[#This Row],[FERIADOS TRABAJADOS '[HS']]]</f>
        <v>0</v>
      </c>
      <c r="R171" s="57"/>
    </row>
    <row r="172" spans="1:18" hidden="1" x14ac:dyDescent="0.25">
      <c r="A172" s="68">
        <v>20204210749</v>
      </c>
      <c r="B172" s="67" t="str">
        <f>+VLOOKUP(Novedades[[#This Row],[CUIL]],Empleados[],2,FALSE)</f>
        <v>RODA MARIO GUSTAVO</v>
      </c>
      <c r="C172" s="68">
        <v>30540887752</v>
      </c>
      <c r="D172" s="69">
        <v>46296</v>
      </c>
      <c r="F172">
        <f>+Novedades[[#This Row],[DIAS TRABAJADO SUPLENTE]]*Novedades[[#This Row],[Horas JORNADA '[HS']]]+Novedades[[#This Row],[HORAS EXTRAS al 50% '[HS']]]+Novedades[[#This Row],[HORAS EXTRAS al 100% '[HS']]]+Novedades[[#This Row],[FERIADOS TRABAJADOS '[HS']]]</f>
        <v>0</v>
      </c>
      <c r="R172" s="57"/>
    </row>
    <row r="173" spans="1:18" hidden="1" x14ac:dyDescent="0.25">
      <c r="A173" s="68">
        <v>20263485409</v>
      </c>
      <c r="B173" s="67" t="str">
        <f>+VLOOKUP(Novedades[[#This Row],[CUIL]],Empleados[],2,FALSE)</f>
        <v>LEDESMA SANTIAGO DAVID</v>
      </c>
      <c r="C173" s="68">
        <v>30559333022</v>
      </c>
      <c r="D173" s="69">
        <v>46296</v>
      </c>
      <c r="F173">
        <f>+Novedades[[#This Row],[DIAS TRABAJADO SUPLENTE]]*Novedades[[#This Row],[Horas JORNADA '[HS']]]+Novedades[[#This Row],[HORAS EXTRAS al 50% '[HS']]]+Novedades[[#This Row],[HORAS EXTRAS al 100% '[HS']]]+Novedades[[#This Row],[FERIADOS TRABAJADOS '[HS']]]</f>
        <v>0</v>
      </c>
      <c r="R173" s="57"/>
    </row>
    <row r="174" spans="1:18" hidden="1" x14ac:dyDescent="0.25">
      <c r="A174" s="68">
        <v>20275890074</v>
      </c>
      <c r="B174" s="67" t="str">
        <f>+VLOOKUP(Novedades[[#This Row],[CUIL]],Empleados[],2,FALSE)</f>
        <v xml:space="preserve">CORONEL EDGARDO DARIO </v>
      </c>
      <c r="C174" s="68">
        <v>30580260906</v>
      </c>
      <c r="D174" s="69">
        <v>46296</v>
      </c>
      <c r="F174">
        <f>+Novedades[[#This Row],[DIAS TRABAJADO SUPLENTE]]*Novedades[[#This Row],[Horas JORNADA '[HS']]]+Novedades[[#This Row],[HORAS EXTRAS al 50% '[HS']]]+Novedades[[#This Row],[HORAS EXTRAS al 100% '[HS']]]+Novedades[[#This Row],[FERIADOS TRABAJADOS '[HS']]]</f>
        <v>0</v>
      </c>
      <c r="R174" s="57"/>
    </row>
    <row r="175" spans="1:18" hidden="1" x14ac:dyDescent="0.25">
      <c r="A175" s="68">
        <v>20331992314</v>
      </c>
      <c r="B175" s="67" t="str">
        <f>+VLOOKUP(Novedades[[#This Row],[CUIL]],Empleados[],2,FALSE)</f>
        <v>RODRIGUEZ ALFREDO RAUL</v>
      </c>
      <c r="C175" s="68">
        <v>30580260906</v>
      </c>
      <c r="D175" s="69">
        <v>46296</v>
      </c>
      <c r="F175">
        <f>+Novedades[[#This Row],[DIAS TRABAJADO SUPLENTE]]*Novedades[[#This Row],[Horas JORNADA '[HS']]]+Novedades[[#This Row],[HORAS EXTRAS al 50% '[HS']]]+Novedades[[#This Row],[HORAS EXTRAS al 100% '[HS']]]+Novedades[[#This Row],[FERIADOS TRABAJADOS '[HS']]]</f>
        <v>0</v>
      </c>
      <c r="R175" s="57"/>
    </row>
    <row r="176" spans="1:18" hidden="1" x14ac:dyDescent="0.25">
      <c r="A176" s="68">
        <v>27174620410</v>
      </c>
      <c r="B176" s="67" t="str">
        <f>+VLOOKUP(Novedades[[#This Row],[CUIL]],Empleados[],2,FALSE)</f>
        <v>CANCINOS MARGARITA</v>
      </c>
      <c r="C176" s="68">
        <v>30604528166</v>
      </c>
      <c r="D176" s="69">
        <v>46296</v>
      </c>
      <c r="F176">
        <f>+Novedades[[#This Row],[DIAS TRABAJADO SUPLENTE]]*Novedades[[#This Row],[Horas JORNADA '[HS']]]+Novedades[[#This Row],[HORAS EXTRAS al 50% '[HS']]]+Novedades[[#This Row],[HORAS EXTRAS al 100% '[HS']]]+Novedades[[#This Row],[FERIADOS TRABAJADOS '[HS']]]</f>
        <v>0</v>
      </c>
      <c r="R176" s="57"/>
    </row>
    <row r="177" spans="1:18" hidden="1" x14ac:dyDescent="0.25">
      <c r="A177" s="68">
        <v>20176328399</v>
      </c>
      <c r="B177" s="67" t="str">
        <f>+VLOOKUP(Novedades[[#This Row],[CUIL]],Empleados[],2,FALSE)</f>
        <v>ROJAS CARLOS MANUEL</v>
      </c>
      <c r="C177" s="68">
        <v>30630042670</v>
      </c>
      <c r="D177" s="69">
        <v>46296</v>
      </c>
      <c r="F177">
        <f>+Novedades[[#This Row],[DIAS TRABAJADO SUPLENTE]]*Novedades[[#This Row],[Horas JORNADA '[HS']]]+Novedades[[#This Row],[HORAS EXTRAS al 50% '[HS']]]+Novedades[[#This Row],[HORAS EXTRAS al 100% '[HS']]]+Novedades[[#This Row],[FERIADOS TRABAJADOS '[HS']]]</f>
        <v>0</v>
      </c>
      <c r="R177" s="57"/>
    </row>
    <row r="178" spans="1:18" hidden="1" x14ac:dyDescent="0.25">
      <c r="A178" s="68">
        <v>20947260481</v>
      </c>
      <c r="B178" s="67" t="str">
        <f>+VLOOKUP(Novedades[[#This Row],[CUIL]],Empleados[],2,FALSE)</f>
        <v>ESTIGARRIBIA ARCE DARIO</v>
      </c>
      <c r="C178" s="68">
        <v>30630042670</v>
      </c>
      <c r="D178" s="69">
        <v>46296</v>
      </c>
      <c r="F178">
        <f>+Novedades[[#This Row],[DIAS TRABAJADO SUPLENTE]]*Novedades[[#This Row],[Horas JORNADA '[HS']]]+Novedades[[#This Row],[HORAS EXTRAS al 50% '[HS']]]+Novedades[[#This Row],[HORAS EXTRAS al 100% '[HS']]]+Novedades[[#This Row],[FERIADOS TRABAJADOS '[HS']]]</f>
        <v>0</v>
      </c>
      <c r="R178" s="57"/>
    </row>
    <row r="179" spans="1:18" hidden="1" x14ac:dyDescent="0.25">
      <c r="A179" s="68">
        <v>23250288794</v>
      </c>
      <c r="B179" s="67" t="str">
        <f>+VLOOKUP(Novedades[[#This Row],[CUIL]],Empleados[],2,FALSE)</f>
        <v>PIÑERO BIBIANA PATRICIA</v>
      </c>
      <c r="C179" s="68">
        <v>30630042670</v>
      </c>
      <c r="D179" s="69">
        <v>46296</v>
      </c>
      <c r="F179">
        <f>+Novedades[[#This Row],[DIAS TRABAJADO SUPLENTE]]*Novedades[[#This Row],[Horas JORNADA '[HS']]]+Novedades[[#This Row],[HORAS EXTRAS al 50% '[HS']]]+Novedades[[#This Row],[HORAS EXTRAS al 100% '[HS']]]+Novedades[[#This Row],[FERIADOS TRABAJADOS '[HS']]]</f>
        <v>0</v>
      </c>
      <c r="R179" s="57"/>
    </row>
    <row r="180" spans="1:18" hidden="1" x14ac:dyDescent="0.25">
      <c r="A180" s="68">
        <v>20942335351</v>
      </c>
      <c r="B180" s="67" t="str">
        <f>+VLOOKUP(Novedades[[#This Row],[CUIL]],Empleados[],2,FALSE)</f>
        <v>TORRES ORTIZ DENIS RAMON</v>
      </c>
      <c r="C180" s="68">
        <v>30711283338</v>
      </c>
      <c r="D180" s="69">
        <v>46296</v>
      </c>
      <c r="F180">
        <f>+Novedades[[#This Row],[DIAS TRABAJADO SUPLENTE]]*Novedades[[#This Row],[Horas JORNADA '[HS']]]+Novedades[[#This Row],[HORAS EXTRAS al 50% '[HS']]]+Novedades[[#This Row],[HORAS EXTRAS al 100% '[HS']]]+Novedades[[#This Row],[FERIADOS TRABAJADOS '[HS']]]</f>
        <v>0</v>
      </c>
      <c r="R180" s="57"/>
    </row>
    <row r="181" spans="1:18" hidden="1" x14ac:dyDescent="0.25">
      <c r="A181" s="68">
        <v>24269272801</v>
      </c>
      <c r="B181" s="67" t="str">
        <f>+VLOOKUP(Novedades[[#This Row],[CUIL]],Empleados[],2,FALSE)</f>
        <v>PIÑERO CLAUDIA ELIZABET</v>
      </c>
      <c r="C181" s="68">
        <v>30711283338</v>
      </c>
      <c r="D181" s="69">
        <v>46296</v>
      </c>
      <c r="F181">
        <f>+Novedades[[#This Row],[DIAS TRABAJADO SUPLENTE]]*Novedades[[#This Row],[Horas JORNADA '[HS']]]+Novedades[[#This Row],[HORAS EXTRAS al 50% '[HS']]]+Novedades[[#This Row],[HORAS EXTRAS al 100% '[HS']]]+Novedades[[#This Row],[FERIADOS TRABAJADOS '[HS']]]</f>
        <v>0</v>
      </c>
      <c r="R181" s="57"/>
    </row>
    <row r="182" spans="1:18" hidden="1" x14ac:dyDescent="0.25">
      <c r="A182" s="68">
        <v>20252571850</v>
      </c>
      <c r="B182" s="67" t="str">
        <f>+VLOOKUP(Novedades[[#This Row],[CUIL]],Empleados[],2,FALSE)</f>
        <v>VERON CARLOS ALBERTO</v>
      </c>
      <c r="C182" s="68">
        <v>30711553165</v>
      </c>
      <c r="D182" s="69">
        <v>46296</v>
      </c>
      <c r="F182">
        <f>+Novedades[[#This Row],[DIAS TRABAJADO SUPLENTE]]*Novedades[[#This Row],[Horas JORNADA '[HS']]]+Novedades[[#This Row],[HORAS EXTRAS al 50% '[HS']]]+Novedades[[#This Row],[HORAS EXTRAS al 100% '[HS']]]+Novedades[[#This Row],[FERIADOS TRABAJADOS '[HS']]]</f>
        <v>0</v>
      </c>
      <c r="R182" s="57"/>
    </row>
    <row r="183" spans="1:18" hidden="1" x14ac:dyDescent="0.25">
      <c r="A183" s="68">
        <v>20942347643</v>
      </c>
      <c r="B183" s="67" t="str">
        <f>+VLOOKUP(Novedades[[#This Row],[CUIL]],Empleados[],2,FALSE)</f>
        <v>LIMA CENTURION RONAL DEJESUS</v>
      </c>
      <c r="C183" s="68">
        <v>30711553165</v>
      </c>
      <c r="D183" s="69">
        <v>46296</v>
      </c>
      <c r="F183">
        <f>+Novedades[[#This Row],[DIAS TRABAJADO SUPLENTE]]*Novedades[[#This Row],[Horas JORNADA '[HS']]]+Novedades[[#This Row],[HORAS EXTRAS al 50% '[HS']]]+Novedades[[#This Row],[HORAS EXTRAS al 100% '[HS']]]+Novedades[[#This Row],[FERIADOS TRABAJADOS '[HS']]]</f>
        <v>0</v>
      </c>
      <c r="R183" s="57"/>
    </row>
    <row r="184" spans="1:18" hidden="1" x14ac:dyDescent="0.25">
      <c r="A184" s="68">
        <v>23175845879</v>
      </c>
      <c r="B184" s="67" t="str">
        <f>+VLOOKUP(Novedades[[#This Row],[CUIL]],Empleados[],2,FALSE)</f>
        <v>CORONEL CARLOS EMIGDIO</v>
      </c>
      <c r="C184" s="68">
        <v>30711776903</v>
      </c>
      <c r="D184" s="69">
        <v>46296</v>
      </c>
      <c r="F184">
        <f>+Novedades[[#This Row],[DIAS TRABAJADO SUPLENTE]]*Novedades[[#This Row],[Horas JORNADA '[HS']]]+Novedades[[#This Row],[HORAS EXTRAS al 50% '[HS']]]+Novedades[[#This Row],[HORAS EXTRAS al 100% '[HS']]]+Novedades[[#This Row],[FERIADOS TRABAJADOS '[HS']]]</f>
        <v>0</v>
      </c>
      <c r="R184" s="57"/>
    </row>
    <row r="185" spans="1:18" hidden="1" x14ac:dyDescent="0.25">
      <c r="A185" s="68">
        <v>20283772323</v>
      </c>
      <c r="B185" s="67" t="str">
        <f>+VLOOKUP(Novedades[[#This Row],[CUIL]],Empleados[],2,FALSE)</f>
        <v>RIOS LUIS ALBERTO</v>
      </c>
      <c r="C185" s="68">
        <v>30519077635</v>
      </c>
      <c r="D185" s="69">
        <v>46327</v>
      </c>
      <c r="F185">
        <f>+Novedades[[#This Row],[DIAS TRABAJADO SUPLENTE]]*Novedades[[#This Row],[Horas JORNADA '[HS']]]+Novedades[[#This Row],[HORAS EXTRAS al 50% '[HS']]]+Novedades[[#This Row],[HORAS EXTRAS al 100% '[HS']]]+Novedades[[#This Row],[FERIADOS TRABAJADOS '[HS']]]</f>
        <v>0</v>
      </c>
      <c r="R185" s="57"/>
    </row>
    <row r="186" spans="1:18" hidden="1" x14ac:dyDescent="0.25">
      <c r="A186" s="68">
        <v>20338776390</v>
      </c>
      <c r="B186" s="67" t="str">
        <f>+VLOOKUP(Novedades[[#This Row],[CUIL]],Empleados[],2,FALSE)</f>
        <v>RIOS MATIAS ALEJANDRO</v>
      </c>
      <c r="C186" s="68">
        <v>30519077635</v>
      </c>
      <c r="D186" s="69">
        <v>46327</v>
      </c>
      <c r="F186">
        <f>+Novedades[[#This Row],[DIAS TRABAJADO SUPLENTE]]*Novedades[[#This Row],[Horas JORNADA '[HS']]]+Novedades[[#This Row],[HORAS EXTRAS al 50% '[HS']]]+Novedades[[#This Row],[HORAS EXTRAS al 100% '[HS']]]+Novedades[[#This Row],[FERIADOS TRABAJADOS '[HS']]]</f>
        <v>0</v>
      </c>
      <c r="R186" s="57"/>
    </row>
    <row r="187" spans="1:18" hidden="1" x14ac:dyDescent="0.25">
      <c r="A187" s="68">
        <v>20360647774</v>
      </c>
      <c r="B187" s="67" t="str">
        <f>+VLOOKUP(Novedades[[#This Row],[CUIL]],Empleados[],2,FALSE)</f>
        <v xml:space="preserve">GIACOMO SEBASTIAN LUIS </v>
      </c>
      <c r="C187" s="68">
        <v>30532673484</v>
      </c>
      <c r="D187" s="69">
        <v>46327</v>
      </c>
      <c r="F187">
        <f>+Novedades[[#This Row],[DIAS TRABAJADO SUPLENTE]]*Novedades[[#This Row],[Horas JORNADA '[HS']]]+Novedades[[#This Row],[HORAS EXTRAS al 50% '[HS']]]+Novedades[[#This Row],[HORAS EXTRAS al 100% '[HS']]]+Novedades[[#This Row],[FERIADOS TRABAJADOS '[HS']]]</f>
        <v>0</v>
      </c>
      <c r="R187" s="57"/>
    </row>
    <row r="188" spans="1:18" hidden="1" x14ac:dyDescent="0.25">
      <c r="A188" s="68">
        <v>20175464299</v>
      </c>
      <c r="B188" s="67" t="str">
        <f>+VLOOKUP(Novedades[[#This Row],[CUIL]],Empleados[],2,FALSE)</f>
        <v>ESPONDA JOSE MARIA</v>
      </c>
      <c r="C188" s="68">
        <v>30537480544</v>
      </c>
      <c r="D188" s="69">
        <v>46327</v>
      </c>
      <c r="F188">
        <f>+Novedades[[#This Row],[DIAS TRABAJADO SUPLENTE]]*Novedades[[#This Row],[Horas JORNADA '[HS']]]+Novedades[[#This Row],[HORAS EXTRAS al 50% '[HS']]]+Novedades[[#This Row],[HORAS EXTRAS al 100% '[HS']]]+Novedades[[#This Row],[FERIADOS TRABAJADOS '[HS']]]</f>
        <v>0</v>
      </c>
      <c r="R188" s="57"/>
    </row>
    <row r="189" spans="1:18" hidden="1" x14ac:dyDescent="0.25">
      <c r="A189" s="68">
        <v>23289923934</v>
      </c>
      <c r="B189" s="67" t="str">
        <f>+VLOOKUP(Novedades[[#This Row],[CUIL]],Empleados[],2,FALSE)</f>
        <v xml:space="preserve">PIÑERO SONIA MERCEDES </v>
      </c>
      <c r="C189" s="68">
        <v>30538590009</v>
      </c>
      <c r="D189" s="69">
        <v>46327</v>
      </c>
      <c r="F189">
        <f>+Novedades[[#This Row],[DIAS TRABAJADO SUPLENTE]]*Novedades[[#This Row],[Horas JORNADA '[HS']]]+Novedades[[#This Row],[HORAS EXTRAS al 50% '[HS']]]+Novedades[[#This Row],[HORAS EXTRAS al 100% '[HS']]]+Novedades[[#This Row],[FERIADOS TRABAJADOS '[HS']]]</f>
        <v>0</v>
      </c>
      <c r="R189" s="57"/>
    </row>
    <row r="190" spans="1:18" hidden="1" x14ac:dyDescent="0.25">
      <c r="A190" s="68">
        <v>24269272801</v>
      </c>
      <c r="B190" s="67" t="str">
        <f>+VLOOKUP(Novedades[[#This Row],[CUIL]],Empleados[],2,FALSE)</f>
        <v>PIÑERO CLAUDIA ELIZABET</v>
      </c>
      <c r="C190" s="68">
        <v>30538590009</v>
      </c>
      <c r="D190" s="69">
        <v>46327</v>
      </c>
      <c r="F190">
        <f>+Novedades[[#This Row],[DIAS TRABAJADO SUPLENTE]]*Novedades[[#This Row],[Horas JORNADA '[HS']]]+Novedades[[#This Row],[HORAS EXTRAS al 50% '[HS']]]+Novedades[[#This Row],[HORAS EXTRAS al 100% '[HS']]]+Novedades[[#This Row],[FERIADOS TRABAJADOS '[HS']]]</f>
        <v>0</v>
      </c>
      <c r="R190" s="57"/>
    </row>
    <row r="191" spans="1:18" hidden="1" x14ac:dyDescent="0.25">
      <c r="A191" s="68">
        <v>20204210749</v>
      </c>
      <c r="B191" s="67" t="str">
        <f>+VLOOKUP(Novedades[[#This Row],[CUIL]],Empleados[],2,FALSE)</f>
        <v>RODA MARIO GUSTAVO</v>
      </c>
      <c r="C191" s="68">
        <v>30540887752</v>
      </c>
      <c r="D191" s="69">
        <v>46327</v>
      </c>
      <c r="F191">
        <f>+Novedades[[#This Row],[DIAS TRABAJADO SUPLENTE]]*Novedades[[#This Row],[Horas JORNADA '[HS']]]+Novedades[[#This Row],[HORAS EXTRAS al 50% '[HS']]]+Novedades[[#This Row],[HORAS EXTRAS al 100% '[HS']]]+Novedades[[#This Row],[FERIADOS TRABAJADOS '[HS']]]</f>
        <v>0</v>
      </c>
      <c r="R191" s="57"/>
    </row>
    <row r="192" spans="1:18" hidden="1" x14ac:dyDescent="0.25">
      <c r="A192" s="68">
        <v>20263485409</v>
      </c>
      <c r="B192" s="67" t="str">
        <f>+VLOOKUP(Novedades[[#This Row],[CUIL]],Empleados[],2,FALSE)</f>
        <v>LEDESMA SANTIAGO DAVID</v>
      </c>
      <c r="C192" s="68">
        <v>30559333022</v>
      </c>
      <c r="D192" s="69">
        <v>46327</v>
      </c>
      <c r="F192">
        <f>+Novedades[[#This Row],[DIAS TRABAJADO SUPLENTE]]*Novedades[[#This Row],[Horas JORNADA '[HS']]]+Novedades[[#This Row],[HORAS EXTRAS al 50% '[HS']]]+Novedades[[#This Row],[HORAS EXTRAS al 100% '[HS']]]+Novedades[[#This Row],[FERIADOS TRABAJADOS '[HS']]]</f>
        <v>0</v>
      </c>
      <c r="R192" s="57"/>
    </row>
    <row r="193" spans="1:18" hidden="1" x14ac:dyDescent="0.25">
      <c r="A193" s="68">
        <v>20275890074</v>
      </c>
      <c r="B193" s="67" t="str">
        <f>+VLOOKUP(Novedades[[#This Row],[CUIL]],Empleados[],2,FALSE)</f>
        <v xml:space="preserve">CORONEL EDGARDO DARIO </v>
      </c>
      <c r="C193" s="68">
        <v>30580260906</v>
      </c>
      <c r="D193" s="69">
        <v>46327</v>
      </c>
      <c r="F193">
        <f>+Novedades[[#This Row],[DIAS TRABAJADO SUPLENTE]]*Novedades[[#This Row],[Horas JORNADA '[HS']]]+Novedades[[#This Row],[HORAS EXTRAS al 50% '[HS']]]+Novedades[[#This Row],[HORAS EXTRAS al 100% '[HS']]]+Novedades[[#This Row],[FERIADOS TRABAJADOS '[HS']]]</f>
        <v>0</v>
      </c>
      <c r="R193" s="57"/>
    </row>
    <row r="194" spans="1:18" hidden="1" x14ac:dyDescent="0.25">
      <c r="A194" s="68">
        <v>20331992314</v>
      </c>
      <c r="B194" s="67" t="str">
        <f>+VLOOKUP(Novedades[[#This Row],[CUIL]],Empleados[],2,FALSE)</f>
        <v>RODRIGUEZ ALFREDO RAUL</v>
      </c>
      <c r="C194" s="68">
        <v>30580260906</v>
      </c>
      <c r="D194" s="69">
        <v>46327</v>
      </c>
      <c r="F194">
        <f>+Novedades[[#This Row],[DIAS TRABAJADO SUPLENTE]]*Novedades[[#This Row],[Horas JORNADA '[HS']]]+Novedades[[#This Row],[HORAS EXTRAS al 50% '[HS']]]+Novedades[[#This Row],[HORAS EXTRAS al 100% '[HS']]]+Novedades[[#This Row],[FERIADOS TRABAJADOS '[HS']]]</f>
        <v>0</v>
      </c>
      <c r="R194" s="57"/>
    </row>
    <row r="195" spans="1:18" hidden="1" x14ac:dyDescent="0.25">
      <c r="A195" s="68">
        <v>27174620410</v>
      </c>
      <c r="B195" s="67" t="str">
        <f>+VLOOKUP(Novedades[[#This Row],[CUIL]],Empleados[],2,FALSE)</f>
        <v>CANCINOS MARGARITA</v>
      </c>
      <c r="C195" s="68">
        <v>30604528166</v>
      </c>
      <c r="D195" s="69">
        <v>46327</v>
      </c>
      <c r="F195">
        <f>+Novedades[[#This Row],[DIAS TRABAJADO SUPLENTE]]*Novedades[[#This Row],[Horas JORNADA '[HS']]]+Novedades[[#This Row],[HORAS EXTRAS al 50% '[HS']]]+Novedades[[#This Row],[HORAS EXTRAS al 100% '[HS']]]+Novedades[[#This Row],[FERIADOS TRABAJADOS '[HS']]]</f>
        <v>0</v>
      </c>
      <c r="R195" s="57"/>
    </row>
    <row r="196" spans="1:18" hidden="1" x14ac:dyDescent="0.25">
      <c r="A196" s="68">
        <v>20176328399</v>
      </c>
      <c r="B196" s="67" t="str">
        <f>+VLOOKUP(Novedades[[#This Row],[CUIL]],Empleados[],2,FALSE)</f>
        <v>ROJAS CARLOS MANUEL</v>
      </c>
      <c r="C196" s="68">
        <v>30630042670</v>
      </c>
      <c r="D196" s="69">
        <v>46327</v>
      </c>
      <c r="F196">
        <f>+Novedades[[#This Row],[DIAS TRABAJADO SUPLENTE]]*Novedades[[#This Row],[Horas JORNADA '[HS']]]+Novedades[[#This Row],[HORAS EXTRAS al 50% '[HS']]]+Novedades[[#This Row],[HORAS EXTRAS al 100% '[HS']]]+Novedades[[#This Row],[FERIADOS TRABAJADOS '[HS']]]</f>
        <v>0</v>
      </c>
      <c r="R196" s="57"/>
    </row>
    <row r="197" spans="1:18" hidden="1" x14ac:dyDescent="0.25">
      <c r="A197" s="68">
        <v>20947260481</v>
      </c>
      <c r="B197" s="67" t="str">
        <f>+VLOOKUP(Novedades[[#This Row],[CUIL]],Empleados[],2,FALSE)</f>
        <v>ESTIGARRIBIA ARCE DARIO</v>
      </c>
      <c r="C197" s="68">
        <v>30630042670</v>
      </c>
      <c r="D197" s="69">
        <v>46327</v>
      </c>
      <c r="F197">
        <f>+Novedades[[#This Row],[DIAS TRABAJADO SUPLENTE]]*Novedades[[#This Row],[Horas JORNADA '[HS']]]+Novedades[[#This Row],[HORAS EXTRAS al 50% '[HS']]]+Novedades[[#This Row],[HORAS EXTRAS al 100% '[HS']]]+Novedades[[#This Row],[FERIADOS TRABAJADOS '[HS']]]</f>
        <v>0</v>
      </c>
      <c r="R197" s="57"/>
    </row>
    <row r="198" spans="1:18" hidden="1" x14ac:dyDescent="0.25">
      <c r="A198" s="68">
        <v>23250288794</v>
      </c>
      <c r="B198" s="67" t="str">
        <f>+VLOOKUP(Novedades[[#This Row],[CUIL]],Empleados[],2,FALSE)</f>
        <v>PIÑERO BIBIANA PATRICIA</v>
      </c>
      <c r="C198" s="68">
        <v>30630042670</v>
      </c>
      <c r="D198" s="69">
        <v>46327</v>
      </c>
      <c r="F198">
        <f>+Novedades[[#This Row],[DIAS TRABAJADO SUPLENTE]]*Novedades[[#This Row],[Horas JORNADA '[HS']]]+Novedades[[#This Row],[HORAS EXTRAS al 50% '[HS']]]+Novedades[[#This Row],[HORAS EXTRAS al 100% '[HS']]]+Novedades[[#This Row],[FERIADOS TRABAJADOS '[HS']]]</f>
        <v>0</v>
      </c>
      <c r="R198" s="57"/>
    </row>
    <row r="199" spans="1:18" hidden="1" x14ac:dyDescent="0.25">
      <c r="A199" s="68">
        <v>20942335351</v>
      </c>
      <c r="B199" s="67" t="str">
        <f>+VLOOKUP(Novedades[[#This Row],[CUIL]],Empleados[],2,FALSE)</f>
        <v>TORRES ORTIZ DENIS RAMON</v>
      </c>
      <c r="C199" s="68">
        <v>30711283338</v>
      </c>
      <c r="D199" s="69">
        <v>46327</v>
      </c>
      <c r="F199">
        <f>+Novedades[[#This Row],[DIAS TRABAJADO SUPLENTE]]*Novedades[[#This Row],[Horas JORNADA '[HS']]]+Novedades[[#This Row],[HORAS EXTRAS al 50% '[HS']]]+Novedades[[#This Row],[HORAS EXTRAS al 100% '[HS']]]+Novedades[[#This Row],[FERIADOS TRABAJADOS '[HS']]]</f>
        <v>0</v>
      </c>
      <c r="R199" s="57"/>
    </row>
    <row r="200" spans="1:18" hidden="1" x14ac:dyDescent="0.25">
      <c r="A200" s="68">
        <v>24269272801</v>
      </c>
      <c r="B200" s="67" t="str">
        <f>+VLOOKUP(Novedades[[#This Row],[CUIL]],Empleados[],2,FALSE)</f>
        <v>PIÑERO CLAUDIA ELIZABET</v>
      </c>
      <c r="C200" s="68">
        <v>30711283338</v>
      </c>
      <c r="D200" s="69">
        <v>46327</v>
      </c>
      <c r="F200">
        <f>+Novedades[[#This Row],[DIAS TRABAJADO SUPLENTE]]*Novedades[[#This Row],[Horas JORNADA '[HS']]]+Novedades[[#This Row],[HORAS EXTRAS al 50% '[HS']]]+Novedades[[#This Row],[HORAS EXTRAS al 100% '[HS']]]+Novedades[[#This Row],[FERIADOS TRABAJADOS '[HS']]]</f>
        <v>0</v>
      </c>
      <c r="R200" s="57"/>
    </row>
    <row r="201" spans="1:18" hidden="1" x14ac:dyDescent="0.25">
      <c r="A201" s="68">
        <v>20252571850</v>
      </c>
      <c r="B201" s="67" t="str">
        <f>+VLOOKUP(Novedades[[#This Row],[CUIL]],Empleados[],2,FALSE)</f>
        <v>VERON CARLOS ALBERTO</v>
      </c>
      <c r="C201" s="68">
        <v>30711553165</v>
      </c>
      <c r="D201" s="69">
        <v>46327</v>
      </c>
      <c r="F201">
        <f>+Novedades[[#This Row],[DIAS TRABAJADO SUPLENTE]]*Novedades[[#This Row],[Horas JORNADA '[HS']]]+Novedades[[#This Row],[HORAS EXTRAS al 50% '[HS']]]+Novedades[[#This Row],[HORAS EXTRAS al 100% '[HS']]]+Novedades[[#This Row],[FERIADOS TRABAJADOS '[HS']]]</f>
        <v>0</v>
      </c>
      <c r="R201" s="57"/>
    </row>
    <row r="202" spans="1:18" hidden="1" x14ac:dyDescent="0.25">
      <c r="A202" s="68">
        <v>20942347643</v>
      </c>
      <c r="B202" s="67" t="str">
        <f>+VLOOKUP(Novedades[[#This Row],[CUIL]],Empleados[],2,FALSE)</f>
        <v>LIMA CENTURION RONAL DEJESUS</v>
      </c>
      <c r="C202" s="68">
        <v>30711553165</v>
      </c>
      <c r="D202" s="69">
        <v>46327</v>
      </c>
      <c r="F202">
        <f>+Novedades[[#This Row],[DIAS TRABAJADO SUPLENTE]]*Novedades[[#This Row],[Horas JORNADA '[HS']]]+Novedades[[#This Row],[HORAS EXTRAS al 50% '[HS']]]+Novedades[[#This Row],[HORAS EXTRAS al 100% '[HS']]]+Novedades[[#This Row],[FERIADOS TRABAJADOS '[HS']]]</f>
        <v>0</v>
      </c>
      <c r="R202" s="57"/>
    </row>
    <row r="203" spans="1:18" hidden="1" x14ac:dyDescent="0.25">
      <c r="A203" s="68">
        <v>23175845879</v>
      </c>
      <c r="B203" s="67" t="str">
        <f>+VLOOKUP(Novedades[[#This Row],[CUIL]],Empleados[],2,FALSE)</f>
        <v>CORONEL CARLOS EMIGDIO</v>
      </c>
      <c r="C203" s="68">
        <v>30711776903</v>
      </c>
      <c r="D203" s="69">
        <v>46327</v>
      </c>
      <c r="F203">
        <f>+Novedades[[#This Row],[DIAS TRABAJADO SUPLENTE]]*Novedades[[#This Row],[Horas JORNADA '[HS']]]+Novedades[[#This Row],[HORAS EXTRAS al 50% '[HS']]]+Novedades[[#This Row],[HORAS EXTRAS al 100% '[HS']]]+Novedades[[#This Row],[FERIADOS TRABAJADOS '[HS']]]</f>
        <v>0</v>
      </c>
      <c r="R203" s="57"/>
    </row>
    <row r="204" spans="1:18" hidden="1" x14ac:dyDescent="0.25">
      <c r="A204" s="68">
        <v>20283772323</v>
      </c>
      <c r="B204" s="67" t="str">
        <f>+VLOOKUP(Novedades[[#This Row],[CUIL]],Empleados[],2,FALSE)</f>
        <v>RIOS LUIS ALBERTO</v>
      </c>
      <c r="C204" s="68">
        <v>30519077635</v>
      </c>
      <c r="D204" s="69">
        <v>46357</v>
      </c>
      <c r="F204">
        <f>+Novedades[[#This Row],[DIAS TRABAJADO SUPLENTE]]*Novedades[[#This Row],[Horas JORNADA '[HS']]]+Novedades[[#This Row],[HORAS EXTRAS al 50% '[HS']]]+Novedades[[#This Row],[HORAS EXTRAS al 100% '[HS']]]+Novedades[[#This Row],[FERIADOS TRABAJADOS '[HS']]]</f>
        <v>0</v>
      </c>
      <c r="R204" s="57"/>
    </row>
    <row r="205" spans="1:18" hidden="1" x14ac:dyDescent="0.25">
      <c r="A205" s="68">
        <v>20338776390</v>
      </c>
      <c r="B205" s="67" t="str">
        <f>+VLOOKUP(Novedades[[#This Row],[CUIL]],Empleados[],2,FALSE)</f>
        <v>RIOS MATIAS ALEJANDRO</v>
      </c>
      <c r="C205" s="68">
        <v>30519077635</v>
      </c>
      <c r="D205" s="69">
        <v>46357</v>
      </c>
      <c r="F205">
        <f>+Novedades[[#This Row],[DIAS TRABAJADO SUPLENTE]]*Novedades[[#This Row],[Horas JORNADA '[HS']]]+Novedades[[#This Row],[HORAS EXTRAS al 50% '[HS']]]+Novedades[[#This Row],[HORAS EXTRAS al 100% '[HS']]]+Novedades[[#This Row],[FERIADOS TRABAJADOS '[HS']]]</f>
        <v>0</v>
      </c>
      <c r="R205" s="57"/>
    </row>
    <row r="206" spans="1:18" hidden="1" x14ac:dyDescent="0.25">
      <c r="A206" s="68">
        <v>20360647774</v>
      </c>
      <c r="B206" s="67" t="str">
        <f>+VLOOKUP(Novedades[[#This Row],[CUIL]],Empleados[],2,FALSE)</f>
        <v xml:space="preserve">GIACOMO SEBASTIAN LUIS </v>
      </c>
      <c r="C206" s="68">
        <v>30532673484</v>
      </c>
      <c r="D206" s="69">
        <v>46357</v>
      </c>
      <c r="F206">
        <f>+Novedades[[#This Row],[DIAS TRABAJADO SUPLENTE]]*Novedades[[#This Row],[Horas JORNADA '[HS']]]+Novedades[[#This Row],[HORAS EXTRAS al 50% '[HS']]]+Novedades[[#This Row],[HORAS EXTRAS al 100% '[HS']]]+Novedades[[#This Row],[FERIADOS TRABAJADOS '[HS']]]</f>
        <v>0</v>
      </c>
      <c r="R206" s="57"/>
    </row>
    <row r="207" spans="1:18" hidden="1" x14ac:dyDescent="0.25">
      <c r="A207" s="68">
        <v>20175464299</v>
      </c>
      <c r="B207" s="67" t="str">
        <f>+VLOOKUP(Novedades[[#This Row],[CUIL]],Empleados[],2,FALSE)</f>
        <v>ESPONDA JOSE MARIA</v>
      </c>
      <c r="C207" s="68">
        <v>30537480544</v>
      </c>
      <c r="D207" s="69">
        <v>46357</v>
      </c>
      <c r="F207">
        <f>+Novedades[[#This Row],[DIAS TRABAJADO SUPLENTE]]*Novedades[[#This Row],[Horas JORNADA '[HS']]]+Novedades[[#This Row],[HORAS EXTRAS al 50% '[HS']]]+Novedades[[#This Row],[HORAS EXTRAS al 100% '[HS']]]+Novedades[[#This Row],[FERIADOS TRABAJADOS '[HS']]]</f>
        <v>0</v>
      </c>
      <c r="R207" s="57"/>
    </row>
    <row r="208" spans="1:18" hidden="1" x14ac:dyDescent="0.25">
      <c r="A208" s="68">
        <v>23289923934</v>
      </c>
      <c r="B208" s="67" t="str">
        <f>+VLOOKUP(Novedades[[#This Row],[CUIL]],Empleados[],2,FALSE)</f>
        <v xml:space="preserve">PIÑERO SONIA MERCEDES </v>
      </c>
      <c r="C208" s="68">
        <v>30538590009</v>
      </c>
      <c r="D208" s="69">
        <v>46357</v>
      </c>
      <c r="F208">
        <f>+Novedades[[#This Row],[DIAS TRABAJADO SUPLENTE]]*Novedades[[#This Row],[Horas JORNADA '[HS']]]+Novedades[[#This Row],[HORAS EXTRAS al 50% '[HS']]]+Novedades[[#This Row],[HORAS EXTRAS al 100% '[HS']]]+Novedades[[#This Row],[FERIADOS TRABAJADOS '[HS']]]</f>
        <v>0</v>
      </c>
      <c r="R208" s="57"/>
    </row>
    <row r="209" spans="1:18" hidden="1" x14ac:dyDescent="0.25">
      <c r="A209" s="68">
        <v>24269272801</v>
      </c>
      <c r="B209" s="67" t="str">
        <f>+VLOOKUP(Novedades[[#This Row],[CUIL]],Empleados[],2,FALSE)</f>
        <v>PIÑERO CLAUDIA ELIZABET</v>
      </c>
      <c r="C209" s="68">
        <v>30538590009</v>
      </c>
      <c r="D209" s="69">
        <v>46357</v>
      </c>
      <c r="F209">
        <f>+Novedades[[#This Row],[DIAS TRABAJADO SUPLENTE]]*Novedades[[#This Row],[Horas JORNADA '[HS']]]+Novedades[[#This Row],[HORAS EXTRAS al 50% '[HS']]]+Novedades[[#This Row],[HORAS EXTRAS al 100% '[HS']]]+Novedades[[#This Row],[FERIADOS TRABAJADOS '[HS']]]</f>
        <v>0</v>
      </c>
      <c r="R209" s="57"/>
    </row>
    <row r="210" spans="1:18" hidden="1" x14ac:dyDescent="0.25">
      <c r="A210" s="68">
        <v>20204210749</v>
      </c>
      <c r="B210" s="67" t="str">
        <f>+VLOOKUP(Novedades[[#This Row],[CUIL]],Empleados[],2,FALSE)</f>
        <v>RODA MARIO GUSTAVO</v>
      </c>
      <c r="C210" s="68">
        <v>30540887752</v>
      </c>
      <c r="D210" s="69">
        <v>46357</v>
      </c>
      <c r="F210">
        <f>+Novedades[[#This Row],[DIAS TRABAJADO SUPLENTE]]*Novedades[[#This Row],[Horas JORNADA '[HS']]]+Novedades[[#This Row],[HORAS EXTRAS al 50% '[HS']]]+Novedades[[#This Row],[HORAS EXTRAS al 100% '[HS']]]+Novedades[[#This Row],[FERIADOS TRABAJADOS '[HS']]]</f>
        <v>0</v>
      </c>
      <c r="R210" s="57"/>
    </row>
    <row r="211" spans="1:18" hidden="1" x14ac:dyDescent="0.25">
      <c r="A211" s="68">
        <v>20263485409</v>
      </c>
      <c r="B211" s="67" t="str">
        <f>+VLOOKUP(Novedades[[#This Row],[CUIL]],Empleados[],2,FALSE)</f>
        <v>LEDESMA SANTIAGO DAVID</v>
      </c>
      <c r="C211" s="68">
        <v>30559333022</v>
      </c>
      <c r="D211" s="69">
        <v>46357</v>
      </c>
      <c r="F211">
        <f>+Novedades[[#This Row],[DIAS TRABAJADO SUPLENTE]]*Novedades[[#This Row],[Horas JORNADA '[HS']]]+Novedades[[#This Row],[HORAS EXTRAS al 50% '[HS']]]+Novedades[[#This Row],[HORAS EXTRAS al 100% '[HS']]]+Novedades[[#This Row],[FERIADOS TRABAJADOS '[HS']]]</f>
        <v>0</v>
      </c>
      <c r="R211" s="57"/>
    </row>
    <row r="212" spans="1:18" hidden="1" x14ac:dyDescent="0.25">
      <c r="A212" s="68">
        <v>20275890074</v>
      </c>
      <c r="B212" s="67" t="str">
        <f>+VLOOKUP(Novedades[[#This Row],[CUIL]],Empleados[],2,FALSE)</f>
        <v xml:space="preserve">CORONEL EDGARDO DARIO </v>
      </c>
      <c r="C212" s="68">
        <v>30580260906</v>
      </c>
      <c r="D212" s="69">
        <v>46357</v>
      </c>
      <c r="F212">
        <f>+Novedades[[#This Row],[DIAS TRABAJADO SUPLENTE]]*Novedades[[#This Row],[Horas JORNADA '[HS']]]+Novedades[[#This Row],[HORAS EXTRAS al 50% '[HS']]]+Novedades[[#This Row],[HORAS EXTRAS al 100% '[HS']]]+Novedades[[#This Row],[FERIADOS TRABAJADOS '[HS']]]</f>
        <v>0</v>
      </c>
      <c r="R212" s="57"/>
    </row>
    <row r="213" spans="1:18" hidden="1" x14ac:dyDescent="0.25">
      <c r="A213" s="68">
        <v>20331992314</v>
      </c>
      <c r="B213" s="67" t="str">
        <f>+VLOOKUP(Novedades[[#This Row],[CUIL]],Empleados[],2,FALSE)</f>
        <v>RODRIGUEZ ALFREDO RAUL</v>
      </c>
      <c r="C213" s="68">
        <v>30580260906</v>
      </c>
      <c r="D213" s="69">
        <v>46357</v>
      </c>
      <c r="F213">
        <f>+Novedades[[#This Row],[DIAS TRABAJADO SUPLENTE]]*Novedades[[#This Row],[Horas JORNADA '[HS']]]+Novedades[[#This Row],[HORAS EXTRAS al 50% '[HS']]]+Novedades[[#This Row],[HORAS EXTRAS al 100% '[HS']]]+Novedades[[#This Row],[FERIADOS TRABAJADOS '[HS']]]</f>
        <v>0</v>
      </c>
      <c r="R213" s="57"/>
    </row>
    <row r="214" spans="1:18" hidden="1" x14ac:dyDescent="0.25">
      <c r="A214" s="68">
        <v>27174620410</v>
      </c>
      <c r="B214" s="67" t="str">
        <f>+VLOOKUP(Novedades[[#This Row],[CUIL]],Empleados[],2,FALSE)</f>
        <v>CANCINOS MARGARITA</v>
      </c>
      <c r="C214" s="68">
        <v>30604528166</v>
      </c>
      <c r="D214" s="69">
        <v>46357</v>
      </c>
      <c r="F214">
        <f>+Novedades[[#This Row],[DIAS TRABAJADO SUPLENTE]]*Novedades[[#This Row],[Horas JORNADA '[HS']]]+Novedades[[#This Row],[HORAS EXTRAS al 50% '[HS']]]+Novedades[[#This Row],[HORAS EXTRAS al 100% '[HS']]]+Novedades[[#This Row],[FERIADOS TRABAJADOS '[HS']]]</f>
        <v>0</v>
      </c>
      <c r="R214" s="57"/>
    </row>
    <row r="215" spans="1:18" hidden="1" x14ac:dyDescent="0.25">
      <c r="A215" s="68">
        <v>20176328399</v>
      </c>
      <c r="B215" s="67" t="str">
        <f>+VLOOKUP(Novedades[[#This Row],[CUIL]],Empleados[],2,FALSE)</f>
        <v>ROJAS CARLOS MANUEL</v>
      </c>
      <c r="C215" s="68">
        <v>30630042670</v>
      </c>
      <c r="D215" s="69">
        <v>46357</v>
      </c>
      <c r="F215">
        <f>+Novedades[[#This Row],[DIAS TRABAJADO SUPLENTE]]*Novedades[[#This Row],[Horas JORNADA '[HS']]]+Novedades[[#This Row],[HORAS EXTRAS al 50% '[HS']]]+Novedades[[#This Row],[HORAS EXTRAS al 100% '[HS']]]+Novedades[[#This Row],[FERIADOS TRABAJADOS '[HS']]]</f>
        <v>0</v>
      </c>
      <c r="R215" s="57"/>
    </row>
    <row r="216" spans="1:18" hidden="1" x14ac:dyDescent="0.25">
      <c r="A216" s="68">
        <v>20947260481</v>
      </c>
      <c r="B216" s="67" t="str">
        <f>+VLOOKUP(Novedades[[#This Row],[CUIL]],Empleados[],2,FALSE)</f>
        <v>ESTIGARRIBIA ARCE DARIO</v>
      </c>
      <c r="C216" s="68">
        <v>30630042670</v>
      </c>
      <c r="D216" s="69">
        <v>46357</v>
      </c>
      <c r="F216">
        <f>+Novedades[[#This Row],[DIAS TRABAJADO SUPLENTE]]*Novedades[[#This Row],[Horas JORNADA '[HS']]]+Novedades[[#This Row],[HORAS EXTRAS al 50% '[HS']]]+Novedades[[#This Row],[HORAS EXTRAS al 100% '[HS']]]+Novedades[[#This Row],[FERIADOS TRABAJADOS '[HS']]]</f>
        <v>0</v>
      </c>
      <c r="R216" s="57"/>
    </row>
    <row r="217" spans="1:18" hidden="1" x14ac:dyDescent="0.25">
      <c r="A217" s="68">
        <v>23250288794</v>
      </c>
      <c r="B217" s="67" t="str">
        <f>+VLOOKUP(Novedades[[#This Row],[CUIL]],Empleados[],2,FALSE)</f>
        <v>PIÑERO BIBIANA PATRICIA</v>
      </c>
      <c r="C217" s="68">
        <v>30630042670</v>
      </c>
      <c r="D217" s="69">
        <v>46357</v>
      </c>
      <c r="F217">
        <f>+Novedades[[#This Row],[DIAS TRABAJADO SUPLENTE]]*Novedades[[#This Row],[Horas JORNADA '[HS']]]+Novedades[[#This Row],[HORAS EXTRAS al 50% '[HS']]]+Novedades[[#This Row],[HORAS EXTRAS al 100% '[HS']]]+Novedades[[#This Row],[FERIADOS TRABAJADOS '[HS']]]</f>
        <v>0</v>
      </c>
      <c r="R217" s="57"/>
    </row>
    <row r="218" spans="1:18" hidden="1" x14ac:dyDescent="0.25">
      <c r="A218" s="68">
        <v>20942335351</v>
      </c>
      <c r="B218" s="67" t="str">
        <f>+VLOOKUP(Novedades[[#This Row],[CUIL]],Empleados[],2,FALSE)</f>
        <v>TORRES ORTIZ DENIS RAMON</v>
      </c>
      <c r="C218" s="68">
        <v>30711283338</v>
      </c>
      <c r="D218" s="69">
        <v>46357</v>
      </c>
      <c r="F218">
        <f>+Novedades[[#This Row],[DIAS TRABAJADO SUPLENTE]]*Novedades[[#This Row],[Horas JORNADA '[HS']]]+Novedades[[#This Row],[HORAS EXTRAS al 50% '[HS']]]+Novedades[[#This Row],[HORAS EXTRAS al 100% '[HS']]]+Novedades[[#This Row],[FERIADOS TRABAJADOS '[HS']]]</f>
        <v>0</v>
      </c>
      <c r="R218" s="57"/>
    </row>
    <row r="219" spans="1:18" hidden="1" x14ac:dyDescent="0.25">
      <c r="A219" s="68">
        <v>24269272801</v>
      </c>
      <c r="B219" s="67" t="str">
        <f>+VLOOKUP(Novedades[[#This Row],[CUIL]],Empleados[],2,FALSE)</f>
        <v>PIÑERO CLAUDIA ELIZABET</v>
      </c>
      <c r="C219" s="68">
        <v>30711283338</v>
      </c>
      <c r="D219" s="69">
        <v>46357</v>
      </c>
      <c r="F219">
        <f>+Novedades[[#This Row],[DIAS TRABAJADO SUPLENTE]]*Novedades[[#This Row],[Horas JORNADA '[HS']]]+Novedades[[#This Row],[HORAS EXTRAS al 50% '[HS']]]+Novedades[[#This Row],[HORAS EXTRAS al 100% '[HS']]]+Novedades[[#This Row],[FERIADOS TRABAJADOS '[HS']]]</f>
        <v>0</v>
      </c>
      <c r="R219" s="57"/>
    </row>
    <row r="220" spans="1:18" hidden="1" x14ac:dyDescent="0.25">
      <c r="A220" s="68">
        <v>20252571850</v>
      </c>
      <c r="B220" s="67" t="str">
        <f>+VLOOKUP(Novedades[[#This Row],[CUIL]],Empleados[],2,FALSE)</f>
        <v>VERON CARLOS ALBERTO</v>
      </c>
      <c r="C220" s="68">
        <v>30711553165</v>
      </c>
      <c r="D220" s="69">
        <v>46357</v>
      </c>
      <c r="F220">
        <f>+Novedades[[#This Row],[DIAS TRABAJADO SUPLENTE]]*Novedades[[#This Row],[Horas JORNADA '[HS']]]+Novedades[[#This Row],[HORAS EXTRAS al 50% '[HS']]]+Novedades[[#This Row],[HORAS EXTRAS al 100% '[HS']]]+Novedades[[#This Row],[FERIADOS TRABAJADOS '[HS']]]</f>
        <v>0</v>
      </c>
      <c r="R220" s="57"/>
    </row>
    <row r="221" spans="1:18" hidden="1" x14ac:dyDescent="0.25">
      <c r="A221" s="68">
        <v>20942347643</v>
      </c>
      <c r="B221" s="67" t="str">
        <f>+VLOOKUP(Novedades[[#This Row],[CUIL]],Empleados[],2,FALSE)</f>
        <v>LIMA CENTURION RONAL DEJESUS</v>
      </c>
      <c r="C221" s="68">
        <v>30711553165</v>
      </c>
      <c r="D221" s="69">
        <v>46357</v>
      </c>
      <c r="F221">
        <f>+Novedades[[#This Row],[DIAS TRABAJADO SUPLENTE]]*Novedades[[#This Row],[Horas JORNADA '[HS']]]+Novedades[[#This Row],[HORAS EXTRAS al 50% '[HS']]]+Novedades[[#This Row],[HORAS EXTRAS al 100% '[HS']]]+Novedades[[#This Row],[FERIADOS TRABAJADOS '[HS']]]</f>
        <v>0</v>
      </c>
      <c r="R221" s="57"/>
    </row>
    <row r="222" spans="1:18" hidden="1" x14ac:dyDescent="0.25">
      <c r="A222" s="68">
        <v>23175845879</v>
      </c>
      <c r="B222" s="67" t="str">
        <f>+VLOOKUP(Novedades[[#This Row],[CUIL]],Empleados[],2,FALSE)</f>
        <v>CORONEL CARLOS EMIGDIO</v>
      </c>
      <c r="C222" s="68">
        <v>30711776903</v>
      </c>
      <c r="D222" s="69">
        <v>46357</v>
      </c>
      <c r="F222">
        <f>+Novedades[[#This Row],[DIAS TRABAJADO SUPLENTE]]*Novedades[[#This Row],[Horas JORNADA '[HS']]]+Novedades[[#This Row],[HORAS EXTRAS al 50% '[HS']]]+Novedades[[#This Row],[HORAS EXTRAS al 100% '[HS']]]+Novedades[[#This Row],[FERIADOS TRABAJADOS '[HS']]]</f>
        <v>0</v>
      </c>
      <c r="R222" s="57"/>
    </row>
  </sheetData>
  <pageMargins left="0.7" right="0.7" top="0.75" bottom="0.75" header="0.511811023622047" footer="0.511811023622047"/>
  <pageSetup paperSize="9" orientation="portrait" horizontalDpi="300" verticalDpi="300"/>
  <legacy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608D-92C3-41AF-B26F-3B0E2AB06060}">
  <sheetPr codeName="Hoja20"/>
  <dimension ref="A1:C10"/>
  <sheetViews>
    <sheetView workbookViewId="0">
      <selection activeCell="B5" sqref="B5"/>
    </sheetView>
  </sheetViews>
  <sheetFormatPr baseColWidth="10" defaultRowHeight="15" x14ac:dyDescent="0.25"/>
  <cols>
    <col min="1" max="1" width="29.28515625" style="65" bestFit="1" customWidth="1"/>
    <col min="2" max="16384" width="11.42578125" style="65"/>
  </cols>
  <sheetData>
    <row r="1" spans="1:3" x14ac:dyDescent="0.25">
      <c r="B1" s="65" t="s">
        <v>342</v>
      </c>
    </row>
    <row r="2" spans="1:3" ht="15.75" x14ac:dyDescent="0.25">
      <c r="A2" s="74" t="s">
        <v>341</v>
      </c>
      <c r="B2" s="65" t="s">
        <v>84</v>
      </c>
    </row>
    <row r="3" spans="1:3" ht="15.75" x14ac:dyDescent="0.25">
      <c r="A3" s="75" t="s">
        <v>340</v>
      </c>
      <c r="B3" s="65" t="s">
        <v>84</v>
      </c>
    </row>
    <row r="4" spans="1:3" ht="15.75" x14ac:dyDescent="0.25">
      <c r="A4" s="75" t="s">
        <v>339</v>
      </c>
      <c r="B4" s="65" t="s">
        <v>84</v>
      </c>
    </row>
    <row r="5" spans="1:3" ht="15.75" x14ac:dyDescent="0.25">
      <c r="A5" s="75" t="s">
        <v>336</v>
      </c>
      <c r="B5" s="65" t="s">
        <v>83</v>
      </c>
    </row>
    <row r="6" spans="1:3" ht="15.75" x14ac:dyDescent="0.25">
      <c r="A6" s="75" t="s">
        <v>337</v>
      </c>
      <c r="B6" s="65" t="s">
        <v>84</v>
      </c>
    </row>
    <row r="7" spans="1:3" ht="15.75" x14ac:dyDescent="0.25">
      <c r="A7" s="75" t="s">
        <v>338</v>
      </c>
      <c r="B7" s="65" t="s">
        <v>84</v>
      </c>
    </row>
    <row r="9" spans="1:3" x14ac:dyDescent="0.25">
      <c r="A9" s="65" t="s">
        <v>343</v>
      </c>
      <c r="B9" s="65" t="s">
        <v>83</v>
      </c>
      <c r="C9" s="65" t="s">
        <v>345</v>
      </c>
    </row>
    <row r="10" spans="1:3" x14ac:dyDescent="0.25">
      <c r="A10" s="65" t="s">
        <v>344</v>
      </c>
      <c r="B10" s="65" t="s">
        <v>83</v>
      </c>
      <c r="C10" s="65" t="s">
        <v>346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27848-871B-4740-9EF3-3BDA4750AD74}">
  <sheetPr codeName="Hoja21"/>
  <dimension ref="A1:I41"/>
  <sheetViews>
    <sheetView topLeftCell="A7" workbookViewId="0">
      <selection activeCell="G10" sqref="G10"/>
    </sheetView>
  </sheetViews>
  <sheetFormatPr baseColWidth="10" defaultRowHeight="15" x14ac:dyDescent="0.25"/>
  <cols>
    <col min="1" max="1" width="3.42578125" customWidth="1"/>
    <col min="2" max="2" width="22" customWidth="1"/>
    <col min="3" max="3" width="28.28515625" customWidth="1"/>
    <col min="6" max="6" width="13" customWidth="1"/>
    <col min="7" max="7" width="13.140625" customWidth="1"/>
    <col min="8" max="8" width="69.140625" customWidth="1"/>
    <col min="9" max="9" width="13.140625" customWidth="1"/>
    <col min="257" max="257" width="3.42578125" customWidth="1"/>
    <col min="258" max="258" width="22" customWidth="1"/>
    <col min="259" max="259" width="28.28515625" customWidth="1"/>
    <col min="262" max="262" width="13" customWidth="1"/>
    <col min="263" max="263" width="13.140625" customWidth="1"/>
    <col min="264" max="264" width="69.140625" customWidth="1"/>
    <col min="265" max="265" width="13.140625" customWidth="1"/>
    <col min="513" max="513" width="3.42578125" customWidth="1"/>
    <col min="514" max="514" width="22" customWidth="1"/>
    <col min="515" max="515" width="28.28515625" customWidth="1"/>
    <col min="518" max="518" width="13" customWidth="1"/>
    <col min="519" max="519" width="13.140625" customWidth="1"/>
    <col min="520" max="520" width="69.140625" customWidth="1"/>
    <col min="521" max="521" width="13.140625" customWidth="1"/>
    <col min="769" max="769" width="3.42578125" customWidth="1"/>
    <col min="770" max="770" width="22" customWidth="1"/>
    <col min="771" max="771" width="28.28515625" customWidth="1"/>
    <col min="774" max="774" width="13" customWidth="1"/>
    <col min="775" max="775" width="13.140625" customWidth="1"/>
    <col min="776" max="776" width="69.140625" customWidth="1"/>
    <col min="777" max="777" width="13.140625" customWidth="1"/>
    <col min="1025" max="1025" width="3.42578125" customWidth="1"/>
    <col min="1026" max="1026" width="22" customWidth="1"/>
    <col min="1027" max="1027" width="28.28515625" customWidth="1"/>
    <col min="1030" max="1030" width="13" customWidth="1"/>
    <col min="1031" max="1031" width="13.140625" customWidth="1"/>
    <col min="1032" max="1032" width="69.140625" customWidth="1"/>
    <col min="1033" max="1033" width="13.140625" customWidth="1"/>
    <col min="1281" max="1281" width="3.42578125" customWidth="1"/>
    <col min="1282" max="1282" width="22" customWidth="1"/>
    <col min="1283" max="1283" width="28.28515625" customWidth="1"/>
    <col min="1286" max="1286" width="13" customWidth="1"/>
    <col min="1287" max="1287" width="13.140625" customWidth="1"/>
    <col min="1288" max="1288" width="69.140625" customWidth="1"/>
    <col min="1289" max="1289" width="13.140625" customWidth="1"/>
    <col min="1537" max="1537" width="3.42578125" customWidth="1"/>
    <col min="1538" max="1538" width="22" customWidth="1"/>
    <col min="1539" max="1539" width="28.28515625" customWidth="1"/>
    <col min="1542" max="1542" width="13" customWidth="1"/>
    <col min="1543" max="1543" width="13.140625" customWidth="1"/>
    <col min="1544" max="1544" width="69.140625" customWidth="1"/>
    <col min="1545" max="1545" width="13.140625" customWidth="1"/>
    <col min="1793" max="1793" width="3.42578125" customWidth="1"/>
    <col min="1794" max="1794" width="22" customWidth="1"/>
    <col min="1795" max="1795" width="28.28515625" customWidth="1"/>
    <col min="1798" max="1798" width="13" customWidth="1"/>
    <col min="1799" max="1799" width="13.140625" customWidth="1"/>
    <col min="1800" max="1800" width="69.140625" customWidth="1"/>
    <col min="1801" max="1801" width="13.140625" customWidth="1"/>
    <col min="2049" max="2049" width="3.42578125" customWidth="1"/>
    <col min="2050" max="2050" width="22" customWidth="1"/>
    <col min="2051" max="2051" width="28.28515625" customWidth="1"/>
    <col min="2054" max="2054" width="13" customWidth="1"/>
    <col min="2055" max="2055" width="13.140625" customWidth="1"/>
    <col min="2056" max="2056" width="69.140625" customWidth="1"/>
    <col min="2057" max="2057" width="13.140625" customWidth="1"/>
    <col min="2305" max="2305" width="3.42578125" customWidth="1"/>
    <col min="2306" max="2306" width="22" customWidth="1"/>
    <col min="2307" max="2307" width="28.28515625" customWidth="1"/>
    <col min="2310" max="2310" width="13" customWidth="1"/>
    <col min="2311" max="2311" width="13.140625" customWidth="1"/>
    <col min="2312" max="2312" width="69.140625" customWidth="1"/>
    <col min="2313" max="2313" width="13.140625" customWidth="1"/>
    <col min="2561" max="2561" width="3.42578125" customWidth="1"/>
    <col min="2562" max="2562" width="22" customWidth="1"/>
    <col min="2563" max="2563" width="28.28515625" customWidth="1"/>
    <col min="2566" max="2566" width="13" customWidth="1"/>
    <col min="2567" max="2567" width="13.140625" customWidth="1"/>
    <col min="2568" max="2568" width="69.140625" customWidth="1"/>
    <col min="2569" max="2569" width="13.140625" customWidth="1"/>
    <col min="2817" max="2817" width="3.42578125" customWidth="1"/>
    <col min="2818" max="2818" width="22" customWidth="1"/>
    <col min="2819" max="2819" width="28.28515625" customWidth="1"/>
    <col min="2822" max="2822" width="13" customWidth="1"/>
    <col min="2823" max="2823" width="13.140625" customWidth="1"/>
    <col min="2824" max="2824" width="69.140625" customWidth="1"/>
    <col min="2825" max="2825" width="13.140625" customWidth="1"/>
    <col min="3073" max="3073" width="3.42578125" customWidth="1"/>
    <col min="3074" max="3074" width="22" customWidth="1"/>
    <col min="3075" max="3075" width="28.28515625" customWidth="1"/>
    <col min="3078" max="3078" width="13" customWidth="1"/>
    <col min="3079" max="3079" width="13.140625" customWidth="1"/>
    <col min="3080" max="3080" width="69.140625" customWidth="1"/>
    <col min="3081" max="3081" width="13.140625" customWidth="1"/>
    <col min="3329" max="3329" width="3.42578125" customWidth="1"/>
    <col min="3330" max="3330" width="22" customWidth="1"/>
    <col min="3331" max="3331" width="28.28515625" customWidth="1"/>
    <col min="3334" max="3334" width="13" customWidth="1"/>
    <col min="3335" max="3335" width="13.140625" customWidth="1"/>
    <col min="3336" max="3336" width="69.140625" customWidth="1"/>
    <col min="3337" max="3337" width="13.140625" customWidth="1"/>
    <col min="3585" max="3585" width="3.42578125" customWidth="1"/>
    <col min="3586" max="3586" width="22" customWidth="1"/>
    <col min="3587" max="3587" width="28.28515625" customWidth="1"/>
    <col min="3590" max="3590" width="13" customWidth="1"/>
    <col min="3591" max="3591" width="13.140625" customWidth="1"/>
    <col min="3592" max="3592" width="69.140625" customWidth="1"/>
    <col min="3593" max="3593" width="13.140625" customWidth="1"/>
    <col min="3841" max="3841" width="3.42578125" customWidth="1"/>
    <col min="3842" max="3842" width="22" customWidth="1"/>
    <col min="3843" max="3843" width="28.28515625" customWidth="1"/>
    <col min="3846" max="3846" width="13" customWidth="1"/>
    <col min="3847" max="3847" width="13.140625" customWidth="1"/>
    <col min="3848" max="3848" width="69.140625" customWidth="1"/>
    <col min="3849" max="3849" width="13.140625" customWidth="1"/>
    <col min="4097" max="4097" width="3.42578125" customWidth="1"/>
    <col min="4098" max="4098" width="22" customWidth="1"/>
    <col min="4099" max="4099" width="28.28515625" customWidth="1"/>
    <col min="4102" max="4102" width="13" customWidth="1"/>
    <col min="4103" max="4103" width="13.140625" customWidth="1"/>
    <col min="4104" max="4104" width="69.140625" customWidth="1"/>
    <col min="4105" max="4105" width="13.140625" customWidth="1"/>
    <col min="4353" max="4353" width="3.42578125" customWidth="1"/>
    <col min="4354" max="4354" width="22" customWidth="1"/>
    <col min="4355" max="4355" width="28.28515625" customWidth="1"/>
    <col min="4358" max="4358" width="13" customWidth="1"/>
    <col min="4359" max="4359" width="13.140625" customWidth="1"/>
    <col min="4360" max="4360" width="69.140625" customWidth="1"/>
    <col min="4361" max="4361" width="13.140625" customWidth="1"/>
    <col min="4609" max="4609" width="3.42578125" customWidth="1"/>
    <col min="4610" max="4610" width="22" customWidth="1"/>
    <col min="4611" max="4611" width="28.28515625" customWidth="1"/>
    <col min="4614" max="4614" width="13" customWidth="1"/>
    <col min="4615" max="4615" width="13.140625" customWidth="1"/>
    <col min="4616" max="4616" width="69.140625" customWidth="1"/>
    <col min="4617" max="4617" width="13.140625" customWidth="1"/>
    <col min="4865" max="4865" width="3.42578125" customWidth="1"/>
    <col min="4866" max="4866" width="22" customWidth="1"/>
    <col min="4867" max="4867" width="28.28515625" customWidth="1"/>
    <col min="4870" max="4870" width="13" customWidth="1"/>
    <col min="4871" max="4871" width="13.140625" customWidth="1"/>
    <col min="4872" max="4872" width="69.140625" customWidth="1"/>
    <col min="4873" max="4873" width="13.140625" customWidth="1"/>
    <col min="5121" max="5121" width="3.42578125" customWidth="1"/>
    <col min="5122" max="5122" width="22" customWidth="1"/>
    <col min="5123" max="5123" width="28.28515625" customWidth="1"/>
    <col min="5126" max="5126" width="13" customWidth="1"/>
    <col min="5127" max="5127" width="13.140625" customWidth="1"/>
    <col min="5128" max="5128" width="69.140625" customWidth="1"/>
    <col min="5129" max="5129" width="13.140625" customWidth="1"/>
    <col min="5377" max="5377" width="3.42578125" customWidth="1"/>
    <col min="5378" max="5378" width="22" customWidth="1"/>
    <col min="5379" max="5379" width="28.28515625" customWidth="1"/>
    <col min="5382" max="5382" width="13" customWidth="1"/>
    <col min="5383" max="5383" width="13.140625" customWidth="1"/>
    <col min="5384" max="5384" width="69.140625" customWidth="1"/>
    <col min="5385" max="5385" width="13.140625" customWidth="1"/>
    <col min="5633" max="5633" width="3.42578125" customWidth="1"/>
    <col min="5634" max="5634" width="22" customWidth="1"/>
    <col min="5635" max="5635" width="28.28515625" customWidth="1"/>
    <col min="5638" max="5638" width="13" customWidth="1"/>
    <col min="5639" max="5639" width="13.140625" customWidth="1"/>
    <col min="5640" max="5640" width="69.140625" customWidth="1"/>
    <col min="5641" max="5641" width="13.140625" customWidth="1"/>
    <col min="5889" max="5889" width="3.42578125" customWidth="1"/>
    <col min="5890" max="5890" width="22" customWidth="1"/>
    <col min="5891" max="5891" width="28.28515625" customWidth="1"/>
    <col min="5894" max="5894" width="13" customWidth="1"/>
    <col min="5895" max="5895" width="13.140625" customWidth="1"/>
    <col min="5896" max="5896" width="69.140625" customWidth="1"/>
    <col min="5897" max="5897" width="13.140625" customWidth="1"/>
    <col min="6145" max="6145" width="3.42578125" customWidth="1"/>
    <col min="6146" max="6146" width="22" customWidth="1"/>
    <col min="6147" max="6147" width="28.28515625" customWidth="1"/>
    <col min="6150" max="6150" width="13" customWidth="1"/>
    <col min="6151" max="6151" width="13.140625" customWidth="1"/>
    <col min="6152" max="6152" width="69.140625" customWidth="1"/>
    <col min="6153" max="6153" width="13.140625" customWidth="1"/>
    <col min="6401" max="6401" width="3.42578125" customWidth="1"/>
    <col min="6402" max="6402" width="22" customWidth="1"/>
    <col min="6403" max="6403" width="28.28515625" customWidth="1"/>
    <col min="6406" max="6406" width="13" customWidth="1"/>
    <col min="6407" max="6407" width="13.140625" customWidth="1"/>
    <col min="6408" max="6408" width="69.140625" customWidth="1"/>
    <col min="6409" max="6409" width="13.140625" customWidth="1"/>
    <col min="6657" max="6657" width="3.42578125" customWidth="1"/>
    <col min="6658" max="6658" width="22" customWidth="1"/>
    <col min="6659" max="6659" width="28.28515625" customWidth="1"/>
    <col min="6662" max="6662" width="13" customWidth="1"/>
    <col min="6663" max="6663" width="13.140625" customWidth="1"/>
    <col min="6664" max="6664" width="69.140625" customWidth="1"/>
    <col min="6665" max="6665" width="13.140625" customWidth="1"/>
    <col min="6913" max="6913" width="3.42578125" customWidth="1"/>
    <col min="6914" max="6914" width="22" customWidth="1"/>
    <col min="6915" max="6915" width="28.28515625" customWidth="1"/>
    <col min="6918" max="6918" width="13" customWidth="1"/>
    <col min="6919" max="6919" width="13.140625" customWidth="1"/>
    <col min="6920" max="6920" width="69.140625" customWidth="1"/>
    <col min="6921" max="6921" width="13.140625" customWidth="1"/>
    <col min="7169" max="7169" width="3.42578125" customWidth="1"/>
    <col min="7170" max="7170" width="22" customWidth="1"/>
    <col min="7171" max="7171" width="28.28515625" customWidth="1"/>
    <col min="7174" max="7174" width="13" customWidth="1"/>
    <col min="7175" max="7175" width="13.140625" customWidth="1"/>
    <col min="7176" max="7176" width="69.140625" customWidth="1"/>
    <col min="7177" max="7177" width="13.140625" customWidth="1"/>
    <col min="7425" max="7425" width="3.42578125" customWidth="1"/>
    <col min="7426" max="7426" width="22" customWidth="1"/>
    <col min="7427" max="7427" width="28.28515625" customWidth="1"/>
    <col min="7430" max="7430" width="13" customWidth="1"/>
    <col min="7431" max="7431" width="13.140625" customWidth="1"/>
    <col min="7432" max="7432" width="69.140625" customWidth="1"/>
    <col min="7433" max="7433" width="13.140625" customWidth="1"/>
    <col min="7681" max="7681" width="3.42578125" customWidth="1"/>
    <col min="7682" max="7682" width="22" customWidth="1"/>
    <col min="7683" max="7683" width="28.28515625" customWidth="1"/>
    <col min="7686" max="7686" width="13" customWidth="1"/>
    <col min="7687" max="7687" width="13.140625" customWidth="1"/>
    <col min="7688" max="7688" width="69.140625" customWidth="1"/>
    <col min="7689" max="7689" width="13.140625" customWidth="1"/>
    <col min="7937" max="7937" width="3.42578125" customWidth="1"/>
    <col min="7938" max="7938" width="22" customWidth="1"/>
    <col min="7939" max="7939" width="28.28515625" customWidth="1"/>
    <col min="7942" max="7942" width="13" customWidth="1"/>
    <col min="7943" max="7943" width="13.140625" customWidth="1"/>
    <col min="7944" max="7944" width="69.140625" customWidth="1"/>
    <col min="7945" max="7945" width="13.140625" customWidth="1"/>
    <col min="8193" max="8193" width="3.42578125" customWidth="1"/>
    <col min="8194" max="8194" width="22" customWidth="1"/>
    <col min="8195" max="8195" width="28.28515625" customWidth="1"/>
    <col min="8198" max="8198" width="13" customWidth="1"/>
    <col min="8199" max="8199" width="13.140625" customWidth="1"/>
    <col min="8200" max="8200" width="69.140625" customWidth="1"/>
    <col min="8201" max="8201" width="13.140625" customWidth="1"/>
    <col min="8449" max="8449" width="3.42578125" customWidth="1"/>
    <col min="8450" max="8450" width="22" customWidth="1"/>
    <col min="8451" max="8451" width="28.28515625" customWidth="1"/>
    <col min="8454" max="8454" width="13" customWidth="1"/>
    <col min="8455" max="8455" width="13.140625" customWidth="1"/>
    <col min="8456" max="8456" width="69.140625" customWidth="1"/>
    <col min="8457" max="8457" width="13.140625" customWidth="1"/>
    <col min="8705" max="8705" width="3.42578125" customWidth="1"/>
    <col min="8706" max="8706" width="22" customWidth="1"/>
    <col min="8707" max="8707" width="28.28515625" customWidth="1"/>
    <col min="8710" max="8710" width="13" customWidth="1"/>
    <col min="8711" max="8711" width="13.140625" customWidth="1"/>
    <col min="8712" max="8712" width="69.140625" customWidth="1"/>
    <col min="8713" max="8713" width="13.140625" customWidth="1"/>
    <col min="8961" max="8961" width="3.42578125" customWidth="1"/>
    <col min="8962" max="8962" width="22" customWidth="1"/>
    <col min="8963" max="8963" width="28.28515625" customWidth="1"/>
    <col min="8966" max="8966" width="13" customWidth="1"/>
    <col min="8967" max="8967" width="13.140625" customWidth="1"/>
    <col min="8968" max="8968" width="69.140625" customWidth="1"/>
    <col min="8969" max="8969" width="13.140625" customWidth="1"/>
    <col min="9217" max="9217" width="3.42578125" customWidth="1"/>
    <col min="9218" max="9218" width="22" customWidth="1"/>
    <col min="9219" max="9219" width="28.28515625" customWidth="1"/>
    <col min="9222" max="9222" width="13" customWidth="1"/>
    <col min="9223" max="9223" width="13.140625" customWidth="1"/>
    <col min="9224" max="9224" width="69.140625" customWidth="1"/>
    <col min="9225" max="9225" width="13.140625" customWidth="1"/>
    <col min="9473" max="9473" width="3.42578125" customWidth="1"/>
    <col min="9474" max="9474" width="22" customWidth="1"/>
    <col min="9475" max="9475" width="28.28515625" customWidth="1"/>
    <col min="9478" max="9478" width="13" customWidth="1"/>
    <col min="9479" max="9479" width="13.140625" customWidth="1"/>
    <col min="9480" max="9480" width="69.140625" customWidth="1"/>
    <col min="9481" max="9481" width="13.140625" customWidth="1"/>
    <col min="9729" max="9729" width="3.42578125" customWidth="1"/>
    <col min="9730" max="9730" width="22" customWidth="1"/>
    <col min="9731" max="9731" width="28.28515625" customWidth="1"/>
    <col min="9734" max="9734" width="13" customWidth="1"/>
    <col min="9735" max="9735" width="13.140625" customWidth="1"/>
    <col min="9736" max="9736" width="69.140625" customWidth="1"/>
    <col min="9737" max="9737" width="13.140625" customWidth="1"/>
    <col min="9985" max="9985" width="3.42578125" customWidth="1"/>
    <col min="9986" max="9986" width="22" customWidth="1"/>
    <col min="9987" max="9987" width="28.28515625" customWidth="1"/>
    <col min="9990" max="9990" width="13" customWidth="1"/>
    <col min="9991" max="9991" width="13.140625" customWidth="1"/>
    <col min="9992" max="9992" width="69.140625" customWidth="1"/>
    <col min="9993" max="9993" width="13.140625" customWidth="1"/>
    <col min="10241" max="10241" width="3.42578125" customWidth="1"/>
    <col min="10242" max="10242" width="22" customWidth="1"/>
    <col min="10243" max="10243" width="28.28515625" customWidth="1"/>
    <col min="10246" max="10246" width="13" customWidth="1"/>
    <col min="10247" max="10247" width="13.140625" customWidth="1"/>
    <col min="10248" max="10248" width="69.140625" customWidth="1"/>
    <col min="10249" max="10249" width="13.140625" customWidth="1"/>
    <col min="10497" max="10497" width="3.42578125" customWidth="1"/>
    <col min="10498" max="10498" width="22" customWidth="1"/>
    <col min="10499" max="10499" width="28.28515625" customWidth="1"/>
    <col min="10502" max="10502" width="13" customWidth="1"/>
    <col min="10503" max="10503" width="13.140625" customWidth="1"/>
    <col min="10504" max="10504" width="69.140625" customWidth="1"/>
    <col min="10505" max="10505" width="13.140625" customWidth="1"/>
    <col min="10753" max="10753" width="3.42578125" customWidth="1"/>
    <col min="10754" max="10754" width="22" customWidth="1"/>
    <col min="10755" max="10755" width="28.28515625" customWidth="1"/>
    <col min="10758" max="10758" width="13" customWidth="1"/>
    <col min="10759" max="10759" width="13.140625" customWidth="1"/>
    <col min="10760" max="10760" width="69.140625" customWidth="1"/>
    <col min="10761" max="10761" width="13.140625" customWidth="1"/>
    <col min="11009" max="11009" width="3.42578125" customWidth="1"/>
    <col min="11010" max="11010" width="22" customWidth="1"/>
    <col min="11011" max="11011" width="28.28515625" customWidth="1"/>
    <col min="11014" max="11014" width="13" customWidth="1"/>
    <col min="11015" max="11015" width="13.140625" customWidth="1"/>
    <col min="11016" max="11016" width="69.140625" customWidth="1"/>
    <col min="11017" max="11017" width="13.140625" customWidth="1"/>
    <col min="11265" max="11265" width="3.42578125" customWidth="1"/>
    <col min="11266" max="11266" width="22" customWidth="1"/>
    <col min="11267" max="11267" width="28.28515625" customWidth="1"/>
    <col min="11270" max="11270" width="13" customWidth="1"/>
    <col min="11271" max="11271" width="13.140625" customWidth="1"/>
    <col min="11272" max="11272" width="69.140625" customWidth="1"/>
    <col min="11273" max="11273" width="13.140625" customWidth="1"/>
    <col min="11521" max="11521" width="3.42578125" customWidth="1"/>
    <col min="11522" max="11522" width="22" customWidth="1"/>
    <col min="11523" max="11523" width="28.28515625" customWidth="1"/>
    <col min="11526" max="11526" width="13" customWidth="1"/>
    <col min="11527" max="11527" width="13.140625" customWidth="1"/>
    <col min="11528" max="11528" width="69.140625" customWidth="1"/>
    <col min="11529" max="11529" width="13.140625" customWidth="1"/>
    <col min="11777" max="11777" width="3.42578125" customWidth="1"/>
    <col min="11778" max="11778" width="22" customWidth="1"/>
    <col min="11779" max="11779" width="28.28515625" customWidth="1"/>
    <col min="11782" max="11782" width="13" customWidth="1"/>
    <col min="11783" max="11783" width="13.140625" customWidth="1"/>
    <col min="11784" max="11784" width="69.140625" customWidth="1"/>
    <col min="11785" max="11785" width="13.140625" customWidth="1"/>
    <col min="12033" max="12033" width="3.42578125" customWidth="1"/>
    <col min="12034" max="12034" width="22" customWidth="1"/>
    <col min="12035" max="12035" width="28.28515625" customWidth="1"/>
    <col min="12038" max="12038" width="13" customWidth="1"/>
    <col min="12039" max="12039" width="13.140625" customWidth="1"/>
    <col min="12040" max="12040" width="69.140625" customWidth="1"/>
    <col min="12041" max="12041" width="13.140625" customWidth="1"/>
    <col min="12289" max="12289" width="3.42578125" customWidth="1"/>
    <col min="12290" max="12290" width="22" customWidth="1"/>
    <col min="12291" max="12291" width="28.28515625" customWidth="1"/>
    <col min="12294" max="12294" width="13" customWidth="1"/>
    <col min="12295" max="12295" width="13.140625" customWidth="1"/>
    <col min="12296" max="12296" width="69.140625" customWidth="1"/>
    <col min="12297" max="12297" width="13.140625" customWidth="1"/>
    <col min="12545" max="12545" width="3.42578125" customWidth="1"/>
    <col min="12546" max="12546" width="22" customWidth="1"/>
    <col min="12547" max="12547" width="28.28515625" customWidth="1"/>
    <col min="12550" max="12550" width="13" customWidth="1"/>
    <col min="12551" max="12551" width="13.140625" customWidth="1"/>
    <col min="12552" max="12552" width="69.140625" customWidth="1"/>
    <col min="12553" max="12553" width="13.140625" customWidth="1"/>
    <col min="12801" max="12801" width="3.42578125" customWidth="1"/>
    <col min="12802" max="12802" width="22" customWidth="1"/>
    <col min="12803" max="12803" width="28.28515625" customWidth="1"/>
    <col min="12806" max="12806" width="13" customWidth="1"/>
    <col min="12807" max="12807" width="13.140625" customWidth="1"/>
    <col min="12808" max="12808" width="69.140625" customWidth="1"/>
    <col min="12809" max="12809" width="13.140625" customWidth="1"/>
    <col min="13057" max="13057" width="3.42578125" customWidth="1"/>
    <col min="13058" max="13058" width="22" customWidth="1"/>
    <col min="13059" max="13059" width="28.28515625" customWidth="1"/>
    <col min="13062" max="13062" width="13" customWidth="1"/>
    <col min="13063" max="13063" width="13.140625" customWidth="1"/>
    <col min="13064" max="13064" width="69.140625" customWidth="1"/>
    <col min="13065" max="13065" width="13.140625" customWidth="1"/>
    <col min="13313" max="13313" width="3.42578125" customWidth="1"/>
    <col min="13314" max="13314" width="22" customWidth="1"/>
    <col min="13315" max="13315" width="28.28515625" customWidth="1"/>
    <col min="13318" max="13318" width="13" customWidth="1"/>
    <col min="13319" max="13319" width="13.140625" customWidth="1"/>
    <col min="13320" max="13320" width="69.140625" customWidth="1"/>
    <col min="13321" max="13321" width="13.140625" customWidth="1"/>
    <col min="13569" max="13569" width="3.42578125" customWidth="1"/>
    <col min="13570" max="13570" width="22" customWidth="1"/>
    <col min="13571" max="13571" width="28.28515625" customWidth="1"/>
    <col min="13574" max="13574" width="13" customWidth="1"/>
    <col min="13575" max="13575" width="13.140625" customWidth="1"/>
    <col min="13576" max="13576" width="69.140625" customWidth="1"/>
    <col min="13577" max="13577" width="13.140625" customWidth="1"/>
    <col min="13825" max="13825" width="3.42578125" customWidth="1"/>
    <col min="13826" max="13826" width="22" customWidth="1"/>
    <col min="13827" max="13827" width="28.28515625" customWidth="1"/>
    <col min="13830" max="13830" width="13" customWidth="1"/>
    <col min="13831" max="13831" width="13.140625" customWidth="1"/>
    <col min="13832" max="13832" width="69.140625" customWidth="1"/>
    <col min="13833" max="13833" width="13.140625" customWidth="1"/>
    <col min="14081" max="14081" width="3.42578125" customWidth="1"/>
    <col min="14082" max="14082" width="22" customWidth="1"/>
    <col min="14083" max="14083" width="28.28515625" customWidth="1"/>
    <col min="14086" max="14086" width="13" customWidth="1"/>
    <col min="14087" max="14087" width="13.140625" customWidth="1"/>
    <col min="14088" max="14088" width="69.140625" customWidth="1"/>
    <col min="14089" max="14089" width="13.140625" customWidth="1"/>
    <col min="14337" max="14337" width="3.42578125" customWidth="1"/>
    <col min="14338" max="14338" width="22" customWidth="1"/>
    <col min="14339" max="14339" width="28.28515625" customWidth="1"/>
    <col min="14342" max="14342" width="13" customWidth="1"/>
    <col min="14343" max="14343" width="13.140625" customWidth="1"/>
    <col min="14344" max="14344" width="69.140625" customWidth="1"/>
    <col min="14345" max="14345" width="13.140625" customWidth="1"/>
    <col min="14593" max="14593" width="3.42578125" customWidth="1"/>
    <col min="14594" max="14594" width="22" customWidth="1"/>
    <col min="14595" max="14595" width="28.28515625" customWidth="1"/>
    <col min="14598" max="14598" width="13" customWidth="1"/>
    <col min="14599" max="14599" width="13.140625" customWidth="1"/>
    <col min="14600" max="14600" width="69.140625" customWidth="1"/>
    <col min="14601" max="14601" width="13.140625" customWidth="1"/>
    <col min="14849" max="14849" width="3.42578125" customWidth="1"/>
    <col min="14850" max="14850" width="22" customWidth="1"/>
    <col min="14851" max="14851" width="28.28515625" customWidth="1"/>
    <col min="14854" max="14854" width="13" customWidth="1"/>
    <col min="14855" max="14855" width="13.140625" customWidth="1"/>
    <col min="14856" max="14856" width="69.140625" customWidth="1"/>
    <col min="14857" max="14857" width="13.140625" customWidth="1"/>
    <col min="15105" max="15105" width="3.42578125" customWidth="1"/>
    <col min="15106" max="15106" width="22" customWidth="1"/>
    <col min="15107" max="15107" width="28.28515625" customWidth="1"/>
    <col min="15110" max="15110" width="13" customWidth="1"/>
    <col min="15111" max="15111" width="13.140625" customWidth="1"/>
    <col min="15112" max="15112" width="69.140625" customWidth="1"/>
    <col min="15113" max="15113" width="13.140625" customWidth="1"/>
    <col min="15361" max="15361" width="3.42578125" customWidth="1"/>
    <col min="15362" max="15362" width="22" customWidth="1"/>
    <col min="15363" max="15363" width="28.28515625" customWidth="1"/>
    <col min="15366" max="15366" width="13" customWidth="1"/>
    <col min="15367" max="15367" width="13.140625" customWidth="1"/>
    <col min="15368" max="15368" width="69.140625" customWidth="1"/>
    <col min="15369" max="15369" width="13.140625" customWidth="1"/>
    <col min="15617" max="15617" width="3.42578125" customWidth="1"/>
    <col min="15618" max="15618" width="22" customWidth="1"/>
    <col min="15619" max="15619" width="28.28515625" customWidth="1"/>
    <col min="15622" max="15622" width="13" customWidth="1"/>
    <col min="15623" max="15623" width="13.140625" customWidth="1"/>
    <col min="15624" max="15624" width="69.140625" customWidth="1"/>
    <col min="15625" max="15625" width="13.140625" customWidth="1"/>
    <col min="15873" max="15873" width="3.42578125" customWidth="1"/>
    <col min="15874" max="15874" width="22" customWidth="1"/>
    <col min="15875" max="15875" width="28.28515625" customWidth="1"/>
    <col min="15878" max="15878" width="13" customWidth="1"/>
    <col min="15879" max="15879" width="13.140625" customWidth="1"/>
    <col min="15880" max="15880" width="69.140625" customWidth="1"/>
    <col min="15881" max="15881" width="13.140625" customWidth="1"/>
    <col min="16129" max="16129" width="3.42578125" customWidth="1"/>
    <col min="16130" max="16130" width="22" customWidth="1"/>
    <col min="16131" max="16131" width="28.28515625" customWidth="1"/>
    <col min="16134" max="16134" width="13" customWidth="1"/>
    <col min="16135" max="16135" width="13.140625" customWidth="1"/>
    <col min="16136" max="16136" width="69.140625" customWidth="1"/>
    <col min="16137" max="16137" width="13.140625" customWidth="1"/>
  </cols>
  <sheetData>
    <row r="1" spans="1:9" ht="16.5" thickBot="1" x14ac:dyDescent="0.3">
      <c r="B1" s="76" t="s">
        <v>347</v>
      </c>
    </row>
    <row r="2" spans="1:9" x14ac:dyDescent="0.25">
      <c r="B2" s="77" t="s">
        <v>348</v>
      </c>
      <c r="C2" s="78"/>
      <c r="D2" s="78"/>
      <c r="E2" s="78"/>
      <c r="F2" s="78"/>
      <c r="G2" s="78"/>
      <c r="H2" s="79"/>
    </row>
    <row r="3" spans="1:9" ht="15.75" thickBot="1" x14ac:dyDescent="0.3">
      <c r="B3" s="80" t="s">
        <v>349</v>
      </c>
      <c r="C3" s="81"/>
      <c r="D3" s="81"/>
      <c r="E3" s="81"/>
      <c r="F3" s="81"/>
      <c r="G3" s="81"/>
      <c r="H3" s="82"/>
    </row>
    <row r="4" spans="1:9" ht="15.75" thickBot="1" x14ac:dyDescent="0.3"/>
    <row r="5" spans="1:9" ht="30" x14ac:dyDescent="0.25">
      <c r="B5" s="83" t="s">
        <v>280</v>
      </c>
      <c r="C5" s="83" t="s">
        <v>350</v>
      </c>
      <c r="D5" s="84" t="s">
        <v>6</v>
      </c>
      <c r="E5" s="85" t="s">
        <v>351</v>
      </c>
      <c r="F5" s="84" t="s">
        <v>7</v>
      </c>
      <c r="G5" s="84" t="s">
        <v>352</v>
      </c>
      <c r="H5" s="86" t="s">
        <v>353</v>
      </c>
      <c r="I5" s="84" t="s">
        <v>354</v>
      </c>
    </row>
    <row r="6" spans="1:9" s="65" customFormat="1" ht="17.100000000000001" customHeight="1" x14ac:dyDescent="0.25">
      <c r="A6" s="65">
        <v>1</v>
      </c>
      <c r="B6" s="87" t="s">
        <v>355</v>
      </c>
      <c r="C6" s="88" t="s">
        <v>112</v>
      </c>
      <c r="D6" s="89">
        <v>36271</v>
      </c>
      <c r="E6" s="90">
        <v>46022</v>
      </c>
      <c r="F6" s="91">
        <f>(+E6-D6)/365</f>
        <v>26.715068493150685</v>
      </c>
      <c r="G6" s="92" t="s">
        <v>356</v>
      </c>
      <c r="H6" s="93" t="s">
        <v>357</v>
      </c>
      <c r="I6" s="92">
        <f>28-18</f>
        <v>10</v>
      </c>
    </row>
    <row r="7" spans="1:9" s="65" customFormat="1" ht="17.100000000000001" customHeight="1" x14ac:dyDescent="0.25">
      <c r="A7" s="65">
        <f>+A6+1</f>
        <v>2</v>
      </c>
      <c r="B7" s="87" t="s">
        <v>358</v>
      </c>
      <c r="C7" s="94" t="s">
        <v>359</v>
      </c>
      <c r="D7" s="89">
        <v>39272</v>
      </c>
      <c r="E7" s="90">
        <v>46022</v>
      </c>
      <c r="F7" s="91">
        <f t="shared" ref="F7:F21" si="0">(+E7-D7)/365</f>
        <v>18.493150684931507</v>
      </c>
      <c r="G7" s="92" t="s">
        <v>360</v>
      </c>
      <c r="H7" s="93" t="s">
        <v>361</v>
      </c>
      <c r="I7" s="92">
        <f>24-12</f>
        <v>12</v>
      </c>
    </row>
    <row r="8" spans="1:9" ht="17.100000000000001" customHeight="1" x14ac:dyDescent="0.25">
      <c r="B8" s="95"/>
      <c r="C8" s="56" t="s">
        <v>362</v>
      </c>
      <c r="D8" s="96">
        <v>37960</v>
      </c>
      <c r="E8" s="97">
        <v>46022</v>
      </c>
      <c r="F8" s="98">
        <f t="shared" si="0"/>
        <v>22.087671232876712</v>
      </c>
      <c r="G8" s="99" t="s">
        <v>356</v>
      </c>
      <c r="H8" s="100"/>
      <c r="I8" s="99">
        <v>0</v>
      </c>
    </row>
    <row r="9" spans="1:9" s="65" customFormat="1" ht="17.100000000000001" customHeight="1" x14ac:dyDescent="0.25">
      <c r="A9" s="65">
        <f>+A7+1</f>
        <v>3</v>
      </c>
      <c r="B9" s="87" t="s">
        <v>363</v>
      </c>
      <c r="C9" s="94" t="s">
        <v>99</v>
      </c>
      <c r="D9" s="89">
        <v>37165</v>
      </c>
      <c r="E9" s="90">
        <v>46022</v>
      </c>
      <c r="F9" s="91">
        <f t="shared" si="0"/>
        <v>24.265753424657536</v>
      </c>
      <c r="G9" s="92" t="s">
        <v>356</v>
      </c>
      <c r="H9" s="88" t="s">
        <v>364</v>
      </c>
      <c r="I9" s="92">
        <f>28-16</f>
        <v>12</v>
      </c>
    </row>
    <row r="10" spans="1:9" s="41" customFormat="1" ht="17.100000000000001" customHeight="1" x14ac:dyDescent="0.25">
      <c r="A10" s="41">
        <f>+A9+1</f>
        <v>4</v>
      </c>
      <c r="B10" s="103" t="s">
        <v>365</v>
      </c>
      <c r="C10" s="104" t="s">
        <v>366</v>
      </c>
      <c r="D10" s="105">
        <v>40497</v>
      </c>
      <c r="E10" s="105">
        <v>46022</v>
      </c>
      <c r="F10" s="106">
        <f t="shared" si="0"/>
        <v>15.136986301369863</v>
      </c>
      <c r="G10" s="107" t="s">
        <v>360</v>
      </c>
      <c r="H10" s="108" t="s">
        <v>404</v>
      </c>
      <c r="I10" s="109">
        <v>24</v>
      </c>
    </row>
    <row r="11" spans="1:9" s="123" customFormat="1" ht="17.100000000000001" customHeight="1" x14ac:dyDescent="0.25">
      <c r="B11" s="124"/>
      <c r="C11" s="125" t="s">
        <v>367</v>
      </c>
      <c r="D11" s="126">
        <v>40644</v>
      </c>
      <c r="E11" s="126">
        <v>46022</v>
      </c>
      <c r="F11" s="127">
        <f t="shared" si="0"/>
        <v>14.734246575342466</v>
      </c>
      <c r="G11" s="128" t="s">
        <v>360</v>
      </c>
      <c r="H11" s="129" t="s">
        <v>368</v>
      </c>
      <c r="I11" s="130">
        <v>0</v>
      </c>
    </row>
    <row r="12" spans="1:9" s="65" customFormat="1" ht="17.100000000000001" customHeight="1" x14ac:dyDescent="0.25">
      <c r="A12" s="65">
        <f>+A10+1</f>
        <v>5</v>
      </c>
      <c r="B12" s="101" t="s">
        <v>369</v>
      </c>
      <c r="C12" s="94" t="s">
        <v>93</v>
      </c>
      <c r="D12" s="90">
        <v>39311</v>
      </c>
      <c r="E12" s="90">
        <v>46022</v>
      </c>
      <c r="F12" s="91">
        <f t="shared" si="0"/>
        <v>18.386301369863013</v>
      </c>
      <c r="G12" s="102" t="s">
        <v>360</v>
      </c>
      <c r="H12" s="88" t="s">
        <v>370</v>
      </c>
      <c r="I12" s="92">
        <f>24-15</f>
        <v>9</v>
      </c>
    </row>
    <row r="13" spans="1:9" s="65" customFormat="1" ht="17.100000000000001" customHeight="1" x14ac:dyDescent="0.25">
      <c r="A13" s="65">
        <f t="shared" ref="A13:A18" si="1">+A12+1</f>
        <v>6</v>
      </c>
      <c r="B13" s="101" t="s">
        <v>371</v>
      </c>
      <c r="C13" s="94" t="s">
        <v>372</v>
      </c>
      <c r="D13" s="90">
        <v>40634</v>
      </c>
      <c r="E13" s="90">
        <v>46022</v>
      </c>
      <c r="F13" s="91">
        <f t="shared" si="0"/>
        <v>14.761643835616438</v>
      </c>
      <c r="G13" s="102" t="s">
        <v>360</v>
      </c>
      <c r="H13" s="88" t="s">
        <v>373</v>
      </c>
      <c r="I13" s="92">
        <f>24-12</f>
        <v>12</v>
      </c>
    </row>
    <row r="14" spans="1:9" s="65" customFormat="1" ht="17.100000000000001" customHeight="1" x14ac:dyDescent="0.25">
      <c r="A14" s="65">
        <f t="shared" si="1"/>
        <v>7</v>
      </c>
      <c r="B14" s="101" t="s">
        <v>374</v>
      </c>
      <c r="C14" s="94" t="s">
        <v>375</v>
      </c>
      <c r="D14" s="90">
        <v>41519</v>
      </c>
      <c r="E14" s="90">
        <v>46022</v>
      </c>
      <c r="F14" s="91">
        <f t="shared" si="0"/>
        <v>12.336986301369864</v>
      </c>
      <c r="G14" s="102" t="s">
        <v>360</v>
      </c>
      <c r="H14" s="88" t="s">
        <v>376</v>
      </c>
      <c r="I14" s="92">
        <f>24-15</f>
        <v>9</v>
      </c>
    </row>
    <row r="15" spans="1:9" s="65" customFormat="1" ht="17.100000000000001" customHeight="1" x14ac:dyDescent="0.25">
      <c r="A15" s="65">
        <f t="shared" si="1"/>
        <v>8</v>
      </c>
      <c r="B15" s="87" t="s">
        <v>377</v>
      </c>
      <c r="C15" s="94" t="s">
        <v>378</v>
      </c>
      <c r="D15" s="90">
        <v>41913</v>
      </c>
      <c r="E15" s="90">
        <v>46022</v>
      </c>
      <c r="F15" s="91">
        <f t="shared" si="0"/>
        <v>11.257534246575343</v>
      </c>
      <c r="G15" s="102" t="s">
        <v>360</v>
      </c>
      <c r="H15" s="93" t="s">
        <v>379</v>
      </c>
      <c r="I15" s="92">
        <v>7</v>
      </c>
    </row>
    <row r="16" spans="1:9" s="41" customFormat="1" ht="17.100000000000001" customHeight="1" x14ac:dyDescent="0.25">
      <c r="A16" s="41">
        <f t="shared" si="1"/>
        <v>9</v>
      </c>
      <c r="B16" s="110" t="s">
        <v>380</v>
      </c>
      <c r="C16" s="104" t="s">
        <v>381</v>
      </c>
      <c r="D16" s="105">
        <v>45278</v>
      </c>
      <c r="E16" s="105">
        <v>46022</v>
      </c>
      <c r="F16" s="106">
        <f t="shared" si="0"/>
        <v>2.0383561643835617</v>
      </c>
      <c r="G16" s="107" t="s">
        <v>382</v>
      </c>
      <c r="H16" s="111" t="s">
        <v>406</v>
      </c>
      <c r="I16" s="109">
        <v>12</v>
      </c>
    </row>
    <row r="17" spans="1:9" s="41" customFormat="1" ht="17.100000000000001" customHeight="1" x14ac:dyDescent="0.25">
      <c r="A17" s="41">
        <f t="shared" si="1"/>
        <v>10</v>
      </c>
      <c r="B17" s="110" t="s">
        <v>383</v>
      </c>
      <c r="C17" s="104" t="s">
        <v>125</v>
      </c>
      <c r="D17" s="112">
        <v>40179</v>
      </c>
      <c r="E17" s="105">
        <v>46022</v>
      </c>
      <c r="F17" s="106">
        <f t="shared" si="0"/>
        <v>16.008219178082193</v>
      </c>
      <c r="G17" s="109" t="s">
        <v>360</v>
      </c>
      <c r="H17" s="108" t="s">
        <v>405</v>
      </c>
      <c r="I17" s="109">
        <f>24-23</f>
        <v>1</v>
      </c>
    </row>
    <row r="18" spans="1:9" s="65" customFormat="1" ht="17.100000000000001" customHeight="1" x14ac:dyDescent="0.25">
      <c r="A18" s="65">
        <f t="shared" si="1"/>
        <v>11</v>
      </c>
      <c r="B18" s="87" t="s">
        <v>384</v>
      </c>
      <c r="C18" s="94" t="s">
        <v>385</v>
      </c>
      <c r="D18" s="90">
        <v>39587</v>
      </c>
      <c r="E18" s="90">
        <v>46022</v>
      </c>
      <c r="F18" s="91">
        <f t="shared" si="0"/>
        <v>17.63013698630137</v>
      </c>
      <c r="G18" s="102" t="s">
        <v>360</v>
      </c>
      <c r="H18" s="93" t="s">
        <v>386</v>
      </c>
      <c r="I18" s="92">
        <f>24-18</f>
        <v>6</v>
      </c>
    </row>
    <row r="19" spans="1:9" ht="17.100000000000001" customHeight="1" x14ac:dyDescent="0.25">
      <c r="B19" s="95" t="s">
        <v>384</v>
      </c>
      <c r="C19" s="100" t="s">
        <v>387</v>
      </c>
      <c r="D19" s="96">
        <v>45810</v>
      </c>
      <c r="E19" s="97">
        <v>46022</v>
      </c>
      <c r="F19" s="98">
        <f t="shared" si="0"/>
        <v>0.58082191780821912</v>
      </c>
      <c r="G19" s="99" t="s">
        <v>388</v>
      </c>
      <c r="H19" s="100"/>
      <c r="I19" s="99">
        <v>0</v>
      </c>
    </row>
    <row r="20" spans="1:9" s="65" customFormat="1" ht="17.100000000000001" customHeight="1" x14ac:dyDescent="0.25">
      <c r="A20" s="65">
        <f>+A18+1</f>
        <v>12</v>
      </c>
      <c r="B20" s="87" t="s">
        <v>389</v>
      </c>
      <c r="C20" s="94" t="s">
        <v>390</v>
      </c>
      <c r="D20" s="89">
        <v>40588</v>
      </c>
      <c r="E20" s="90">
        <v>46022</v>
      </c>
      <c r="F20" s="91">
        <f t="shared" si="0"/>
        <v>14.887671232876713</v>
      </c>
      <c r="G20" s="92" t="s">
        <v>360</v>
      </c>
      <c r="H20" s="88" t="s">
        <v>391</v>
      </c>
      <c r="I20" s="92">
        <f>24-12</f>
        <v>12</v>
      </c>
    </row>
    <row r="21" spans="1:9" s="65" customFormat="1" ht="17.100000000000001" customHeight="1" x14ac:dyDescent="0.25">
      <c r="B21" s="87"/>
      <c r="C21" s="94" t="s">
        <v>108</v>
      </c>
      <c r="D21" s="89">
        <v>40483</v>
      </c>
      <c r="E21" s="90">
        <v>46022</v>
      </c>
      <c r="F21" s="91">
        <f t="shared" si="0"/>
        <v>15.175342465753424</v>
      </c>
      <c r="G21" s="92" t="s">
        <v>360</v>
      </c>
      <c r="H21" s="88" t="s">
        <v>386</v>
      </c>
      <c r="I21" s="92">
        <f>24-18</f>
        <v>6</v>
      </c>
    </row>
    <row r="22" spans="1:9" ht="15.75" thickBot="1" x14ac:dyDescent="0.3">
      <c r="C22" s="56"/>
      <c r="D22" s="113"/>
      <c r="E22" s="113"/>
      <c r="F22" s="114"/>
      <c r="G22" s="57"/>
    </row>
    <row r="23" spans="1:9" x14ac:dyDescent="0.25">
      <c r="B23" s="115" t="s">
        <v>392</v>
      </c>
      <c r="C23" s="79" t="s">
        <v>393</v>
      </c>
      <c r="D23" s="113"/>
      <c r="E23" s="113" t="s">
        <v>394</v>
      </c>
      <c r="F23" s="114"/>
      <c r="G23" s="57"/>
    </row>
    <row r="24" spans="1:9" x14ac:dyDescent="0.25">
      <c r="B24" s="116" t="s">
        <v>395</v>
      </c>
      <c r="C24" s="117" t="s">
        <v>396</v>
      </c>
      <c r="E24" s="118"/>
    </row>
    <row r="25" spans="1:9" x14ac:dyDescent="0.25">
      <c r="B25" s="116" t="s">
        <v>397</v>
      </c>
      <c r="C25" s="117" t="s">
        <v>398</v>
      </c>
      <c r="E25" s="118"/>
    </row>
    <row r="26" spans="1:9" ht="15.75" thickBot="1" x14ac:dyDescent="0.3">
      <c r="B26" s="119" t="s">
        <v>399</v>
      </c>
      <c r="C26" s="82" t="s">
        <v>400</v>
      </c>
    </row>
    <row r="27" spans="1:9" ht="15.75" thickBot="1" x14ac:dyDescent="0.3"/>
    <row r="28" spans="1:9" ht="27" thickBot="1" x14ac:dyDescent="0.3">
      <c r="B28" s="120" t="s">
        <v>401</v>
      </c>
      <c r="C28" s="121"/>
      <c r="D28" s="121"/>
      <c r="E28" s="121"/>
      <c r="F28" s="121"/>
      <c r="G28" s="121"/>
      <c r="H28" s="121"/>
      <c r="I28" s="122"/>
    </row>
    <row r="29" spans="1:9" x14ac:dyDescent="0.25">
      <c r="B29" s="204" t="s">
        <v>402</v>
      </c>
      <c r="C29" s="205"/>
      <c r="D29" s="205"/>
      <c r="E29" s="205"/>
      <c r="F29" s="205"/>
      <c r="G29" s="205"/>
      <c r="H29" s="205"/>
      <c r="I29" s="206"/>
    </row>
    <row r="30" spans="1:9" x14ac:dyDescent="0.25">
      <c r="B30" s="207"/>
      <c r="C30" s="208"/>
      <c r="D30" s="208"/>
      <c r="E30" s="208"/>
      <c r="F30" s="208"/>
      <c r="G30" s="208"/>
      <c r="H30" s="208"/>
      <c r="I30" s="209"/>
    </row>
    <row r="31" spans="1:9" x14ac:dyDescent="0.25">
      <c r="B31" s="207"/>
      <c r="C31" s="208"/>
      <c r="D31" s="208"/>
      <c r="E31" s="208"/>
      <c r="F31" s="208"/>
      <c r="G31" s="208"/>
      <c r="H31" s="208"/>
      <c r="I31" s="209"/>
    </row>
    <row r="32" spans="1:9" x14ac:dyDescent="0.25">
      <c r="B32" s="207"/>
      <c r="C32" s="208"/>
      <c r="D32" s="208"/>
      <c r="E32" s="208"/>
      <c r="F32" s="208"/>
      <c r="G32" s="208"/>
      <c r="H32" s="208"/>
      <c r="I32" s="209"/>
    </row>
    <row r="33" spans="2:9" x14ac:dyDescent="0.25">
      <c r="B33" s="207"/>
      <c r="C33" s="208"/>
      <c r="D33" s="208"/>
      <c r="E33" s="208"/>
      <c r="F33" s="208"/>
      <c r="G33" s="208"/>
      <c r="H33" s="208"/>
      <c r="I33" s="209"/>
    </row>
    <row r="34" spans="2:9" x14ac:dyDescent="0.25">
      <c r="B34" s="207"/>
      <c r="C34" s="208"/>
      <c r="D34" s="208"/>
      <c r="E34" s="208"/>
      <c r="F34" s="208"/>
      <c r="G34" s="208"/>
      <c r="H34" s="208"/>
      <c r="I34" s="209"/>
    </row>
    <row r="35" spans="2:9" ht="15.75" thickBot="1" x14ac:dyDescent="0.3">
      <c r="B35" s="210"/>
      <c r="C35" s="211"/>
      <c r="D35" s="211"/>
      <c r="E35" s="211"/>
      <c r="F35" s="211"/>
      <c r="G35" s="211"/>
      <c r="H35" s="211"/>
      <c r="I35" s="212"/>
    </row>
    <row r="36" spans="2:9" ht="15.75" thickBot="1" x14ac:dyDescent="0.3"/>
    <row r="37" spans="2:9" x14ac:dyDescent="0.25">
      <c r="B37" s="213" t="s">
        <v>403</v>
      </c>
      <c r="C37" s="214"/>
      <c r="D37" s="214"/>
      <c r="E37" s="214"/>
      <c r="F37" s="214"/>
      <c r="G37" s="214"/>
      <c r="H37" s="214"/>
      <c r="I37" s="215"/>
    </row>
    <row r="38" spans="2:9" x14ac:dyDescent="0.25">
      <c r="B38" s="216"/>
      <c r="C38" s="217"/>
      <c r="D38" s="217"/>
      <c r="E38" s="217"/>
      <c r="F38" s="217"/>
      <c r="G38" s="217"/>
      <c r="H38" s="217"/>
      <c r="I38" s="218"/>
    </row>
    <row r="39" spans="2:9" x14ac:dyDescent="0.25">
      <c r="B39" s="216"/>
      <c r="C39" s="217"/>
      <c r="D39" s="217"/>
      <c r="E39" s="217"/>
      <c r="F39" s="217"/>
      <c r="G39" s="217"/>
      <c r="H39" s="217"/>
      <c r="I39" s="218"/>
    </row>
    <row r="40" spans="2:9" x14ac:dyDescent="0.25">
      <c r="B40" s="216"/>
      <c r="C40" s="217"/>
      <c r="D40" s="217"/>
      <c r="E40" s="217"/>
      <c r="F40" s="217"/>
      <c r="G40" s="217"/>
      <c r="H40" s="217"/>
      <c r="I40" s="218"/>
    </row>
    <row r="41" spans="2:9" ht="15.75" thickBot="1" x14ac:dyDescent="0.3">
      <c r="B41" s="219"/>
      <c r="C41" s="220"/>
      <c r="D41" s="220"/>
      <c r="E41" s="220"/>
      <c r="F41" s="220"/>
      <c r="G41" s="220"/>
      <c r="H41" s="220"/>
      <c r="I41" s="221"/>
    </row>
  </sheetData>
  <mergeCells count="2">
    <mergeCell ref="B29:I35"/>
    <mergeCell ref="B37:I4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Recibo</vt:lpstr>
      <vt:lpstr>BD_Recibo</vt:lpstr>
      <vt:lpstr>Empleados</vt:lpstr>
      <vt:lpstr>Empleador</vt:lpstr>
      <vt:lpstr>Escalas</vt:lpstr>
      <vt:lpstr>Descuentos</vt:lpstr>
      <vt:lpstr>Contribuciones SS</vt:lpstr>
      <vt:lpstr>PAGOS AyC</vt:lpstr>
      <vt:lpstr>Contribucion Sindical</vt:lpstr>
      <vt:lpstr>Novedades</vt:lpstr>
      <vt:lpstr>CONCEPTOS LIQ FINAL Y SAC</vt:lpstr>
      <vt:lpstr>PLANILLA DE VACACIONES</vt:lpstr>
      <vt:lpstr>Recibo!Área_de_impresión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Karina Malito</dc:creator>
  <dc:description/>
  <cp:lastModifiedBy>Karina Malito</cp:lastModifiedBy>
  <cp:revision>1</cp:revision>
  <cp:lastPrinted>2026-05-26T22:56:41Z</cp:lastPrinted>
  <dcterms:created xsi:type="dcterms:W3CDTF">2025-09-15T16:16:24Z</dcterms:created>
  <dcterms:modified xsi:type="dcterms:W3CDTF">2026-06-10T17:09:30Z</dcterms:modified>
  <dc:language>en-US</dc:language>
</cp:coreProperties>
</file>