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C KARINA 2026\URUGUAY II 2026\"/>
    </mc:Choice>
  </mc:AlternateContent>
  <xr:revisionPtr revIDLastSave="0" documentId="13_ncr:1_{0E9C47D7-185D-4D16-A0EF-475FC9166F12}" xr6:coauthVersionLast="47" xr6:coauthVersionMax="47" xr10:uidLastSave="{00000000-0000-0000-0000-000000000000}"/>
  <bookViews>
    <workbookView xWindow="-120" yWindow="-120" windowWidth="20730" windowHeight="11160" xr2:uid="{C6019143-2463-45B2-BB19-144153A998E0}"/>
  </bookViews>
  <sheets>
    <sheet name="LIQ" sheetId="1" r:id="rId1"/>
    <sheet name="RES CUENTA" sheetId="2" r:id="rId2"/>
    <sheet name="INTERESES" sheetId="8" r:id="rId3"/>
    <sheet name="SUELDO" sheetId="5" r:id="rId4"/>
    <sheet name="RECIBOS" sheetId="4" r:id="rId5"/>
    <sheet name="Gráfico1" sheetId="9" r:id="rId6"/>
    <sheet name="RET GCIA" sheetId="3" r:id="rId7"/>
    <sheet name="Hoja2" sheetId="7" r:id="rId8"/>
    <sheet name="Hoja1" sheetId="6" r:id="rId9"/>
    <sheet name="Hoja3" sheetId="10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_FilterDatabase" localSheetId="1" hidden="1">'RES CUENTA'!$A$12:$AE$48</definedName>
    <definedName name="_xlnm.Print_Area" localSheetId="0">LIQ!$A$1:$I$84</definedName>
    <definedName name="_xlnm.Print_Area" localSheetId="4">RECIBOS!$A$488:$H$520</definedName>
    <definedName name="_xlnm.Print_Area" localSheetId="1">'RES CUENTA'!$A$1:$R$69</definedName>
    <definedName name="_xlnm.Print_Area" localSheetId="6">'RET GCIA'!#REF!</definedName>
    <definedName name="_xlnm.Print_Area" localSheetId="3">SUELDO!$A$1:$G$65</definedName>
  </definedNames>
  <calcPr calcId="191029"/>
</workbook>
</file>

<file path=xl/calcChain.xml><?xml version="1.0" encoding="utf-8"?>
<calcChain xmlns="http://schemas.openxmlformats.org/spreadsheetml/2006/main">
  <c r="F95" i="1" l="1"/>
  <c r="F99" i="1"/>
  <c r="M90" i="1"/>
  <c r="L47" i="1"/>
  <c r="M82" i="1"/>
  <c r="G44" i="1"/>
  <c r="F44" i="1"/>
  <c r="S10" i="8"/>
  <c r="V10" i="8" s="1"/>
  <c r="G14" i="1"/>
  <c r="F14" i="1"/>
  <c r="H61" i="1"/>
  <c r="L61" i="1" s="1"/>
  <c r="X25" i="2"/>
  <c r="M83" i="1"/>
  <c r="G33" i="1"/>
  <c r="H78" i="1"/>
  <c r="G38" i="1"/>
  <c r="F38" i="1"/>
  <c r="G37" i="1"/>
  <c r="F37" i="1"/>
  <c r="G36" i="1"/>
  <c r="F36" i="1"/>
  <c r="G34" i="1"/>
  <c r="F34" i="1"/>
  <c r="F33" i="1"/>
  <c r="R61" i="8"/>
  <c r="R9" i="8"/>
  <c r="O14" i="2" s="1"/>
  <c r="G35" i="1"/>
  <c r="F35" i="1"/>
  <c r="L42" i="1" l="1"/>
  <c r="V61" i="8"/>
  <c r="V9" i="8"/>
  <c r="V16" i="8"/>
  <c r="N54" i="1"/>
  <c r="K74" i="1"/>
  <c r="N82" i="1" s="1"/>
  <c r="V57" i="8"/>
  <c r="M10" i="1"/>
  <c r="O83" i="1"/>
  <c r="D19" i="1"/>
  <c r="D30" i="1"/>
  <c r="V55" i="8"/>
  <c r="X51" i="8"/>
  <c r="V56" i="8"/>
  <c r="V54" i="8"/>
  <c r="V47" i="8"/>
  <c r="Y44" i="8"/>
  <c r="X43" i="8"/>
  <c r="J26" i="2"/>
  <c r="H26" i="2"/>
  <c r="N61" i="1"/>
  <c r="D196" i="4"/>
  <c r="F196" i="4"/>
  <c r="V18" i="8"/>
  <c r="H67" i="1"/>
  <c r="L67" i="1" s="1"/>
  <c r="N67" i="1" s="1"/>
  <c r="V53" i="8"/>
  <c r="V46" i="8"/>
  <c r="P80" i="1"/>
  <c r="M64" i="1"/>
  <c r="N64" i="1" s="1"/>
  <c r="V52" i="8"/>
  <c r="V45" i="8"/>
  <c r="H47" i="1"/>
  <c r="H64" i="1"/>
  <c r="X9" i="8"/>
  <c r="V14" i="2"/>
  <c r="W51" i="8"/>
  <c r="P84" i="1"/>
  <c r="V51" i="8"/>
  <c r="V62" i="8"/>
  <c r="P78" i="1"/>
  <c r="N87" i="1"/>
  <c r="W43" i="8"/>
  <c r="V38" i="8"/>
  <c r="V39" i="8" s="1"/>
  <c r="V33" i="8"/>
  <c r="V34" i="8" s="1"/>
  <c r="V26" i="8"/>
  <c r="V27" i="8" s="1"/>
  <c r="F25" i="2"/>
  <c r="D273" i="4"/>
  <c r="F273" i="4"/>
  <c r="F290" i="4" s="1"/>
  <c r="F19" i="2"/>
  <c r="F22" i="2"/>
  <c r="L58" i="5"/>
  <c r="L57" i="5"/>
  <c r="J60" i="5"/>
  <c r="J59" i="5"/>
  <c r="D2" i="4"/>
  <c r="M81" i="1"/>
  <c r="G19" i="10"/>
  <c r="G18" i="10"/>
  <c r="E15" i="10"/>
  <c r="D15" i="10"/>
  <c r="D389" i="4"/>
  <c r="F389" i="4" s="1"/>
  <c r="F405" i="4" s="1"/>
  <c r="E25" i="2"/>
  <c r="E24" i="2"/>
  <c r="E23" i="2"/>
  <c r="E22" i="2"/>
  <c r="E21" i="2"/>
  <c r="E20" i="2"/>
  <c r="E19" i="2"/>
  <c r="E18" i="2"/>
  <c r="E17" i="2"/>
  <c r="E16" i="2"/>
  <c r="E15" i="2"/>
  <c r="E13" i="2"/>
  <c r="C25" i="8"/>
  <c r="C18" i="8"/>
  <c r="C20" i="8"/>
  <c r="B514" i="4"/>
  <c r="B513" i="4"/>
  <c r="B512" i="4"/>
  <c r="B478" i="4"/>
  <c r="B477" i="4"/>
  <c r="B476" i="4"/>
  <c r="B439" i="4"/>
  <c r="B438" i="4"/>
  <c r="B437" i="4"/>
  <c r="B403" i="4"/>
  <c r="B402" i="4"/>
  <c r="B401" i="4"/>
  <c r="B363" i="4"/>
  <c r="B362" i="4"/>
  <c r="B361" i="4"/>
  <c r="B325" i="4"/>
  <c r="B324" i="4"/>
  <c r="B323" i="4"/>
  <c r="B287" i="4"/>
  <c r="B286" i="4"/>
  <c r="B285" i="4"/>
  <c r="B249" i="4"/>
  <c r="B248" i="4"/>
  <c r="B247" i="4"/>
  <c r="B211" i="4"/>
  <c r="B210" i="4"/>
  <c r="B209" i="4"/>
  <c r="B174" i="4"/>
  <c r="B173" i="4"/>
  <c r="B172" i="4"/>
  <c r="B135" i="4"/>
  <c r="B134" i="4"/>
  <c r="B133" i="4"/>
  <c r="B99" i="4"/>
  <c r="B98" i="4"/>
  <c r="B97" i="4"/>
  <c r="B59" i="4"/>
  <c r="B58" i="4"/>
  <c r="B57" i="4"/>
  <c r="F4" i="4"/>
  <c r="B288" i="4" s="1"/>
  <c r="L14" i="2"/>
  <c r="F84" i="4" s="1"/>
  <c r="F103" i="4" s="1"/>
  <c r="L13" i="2"/>
  <c r="F44" i="4"/>
  <c r="F63" i="4"/>
  <c r="Y26" i="2"/>
  <c r="N79" i="1" s="1"/>
  <c r="W36" i="8"/>
  <c r="C60" i="8"/>
  <c r="C43" i="8"/>
  <c r="W5" i="8"/>
  <c r="N3" i="2"/>
  <c r="E1" i="4" s="1"/>
  <c r="V28" i="8"/>
  <c r="C30" i="8"/>
  <c r="Z13" i="2"/>
  <c r="Z21" i="2"/>
  <c r="Z22" i="2"/>
  <c r="Z25" i="2"/>
  <c r="G25" i="2"/>
  <c r="G24" i="2"/>
  <c r="L24" i="2" s="1"/>
  <c r="I24" i="2"/>
  <c r="E462" i="4" s="1"/>
  <c r="G23" i="2"/>
  <c r="L23" i="2" s="1"/>
  <c r="G22" i="2"/>
  <c r="G21" i="2"/>
  <c r="E345" i="4"/>
  <c r="G20" i="2"/>
  <c r="G19" i="2"/>
  <c r="G18" i="2"/>
  <c r="E232" i="4" s="1"/>
  <c r="G17" i="2"/>
  <c r="C6" i="4"/>
  <c r="G16" i="2"/>
  <c r="C5" i="4" s="1"/>
  <c r="G15" i="2"/>
  <c r="I15" i="2"/>
  <c r="G7" i="2"/>
  <c r="G6" i="2"/>
  <c r="G5" i="2"/>
  <c r="A7" i="2"/>
  <c r="A6" i="2"/>
  <c r="A5" i="2"/>
  <c r="A4" i="2"/>
  <c r="A3" i="2"/>
  <c r="A2" i="2"/>
  <c r="F575" i="4"/>
  <c r="F594" i="4" s="1"/>
  <c r="F691" i="4"/>
  <c r="F707" i="4"/>
  <c r="F690" i="4"/>
  <c r="F706" i="4" s="1"/>
  <c r="C9" i="8"/>
  <c r="F24" i="2"/>
  <c r="F20" i="2"/>
  <c r="F18" i="2"/>
  <c r="F17" i="2"/>
  <c r="F16" i="2"/>
  <c r="F15" i="2"/>
  <c r="F13" i="2"/>
  <c r="B814" i="4"/>
  <c r="B813" i="4"/>
  <c r="B812" i="4"/>
  <c r="B779" i="4"/>
  <c r="B778" i="4"/>
  <c r="B777" i="4"/>
  <c r="B740" i="4"/>
  <c r="B739" i="4"/>
  <c r="B738" i="4"/>
  <c r="B704" i="4"/>
  <c r="B703" i="4"/>
  <c r="B702" i="4"/>
  <c r="B666" i="4"/>
  <c r="B665" i="4"/>
  <c r="B664" i="4"/>
  <c r="B628" i="4"/>
  <c r="B627" i="4"/>
  <c r="B626" i="4"/>
  <c r="B590" i="4"/>
  <c r="B589" i="4"/>
  <c r="B588" i="4"/>
  <c r="B554" i="4"/>
  <c r="B553" i="4"/>
  <c r="B552" i="4"/>
  <c r="C13" i="8"/>
  <c r="E8" i="6"/>
  <c r="E10" i="6"/>
  <c r="E12" i="6" s="1"/>
  <c r="D9" i="3"/>
  <c r="E9" i="3"/>
  <c r="F9" i="3"/>
  <c r="G9" i="3"/>
  <c r="D10" i="3"/>
  <c r="E10" i="3"/>
  <c r="F10" i="3"/>
  <c r="G10" i="3"/>
  <c r="L11" i="3"/>
  <c r="B1" i="4"/>
  <c r="E2012" i="4" s="1"/>
  <c r="B2" i="4"/>
  <c r="C2" i="4"/>
  <c r="E2" i="4"/>
  <c r="B3" i="4"/>
  <c r="B78" i="4" s="1"/>
  <c r="C3" i="4"/>
  <c r="B14" i="2"/>
  <c r="D3" i="4" s="1"/>
  <c r="E3" i="4"/>
  <c r="B1404" i="4" s="1"/>
  <c r="B4" i="4"/>
  <c r="B114" i="4" s="1"/>
  <c r="B129" i="4" s="1"/>
  <c r="E129" i="4" s="1"/>
  <c r="E4" i="4"/>
  <c r="B5" i="4"/>
  <c r="B154" i="4" s="1"/>
  <c r="E168" i="4"/>
  <c r="E5" i="4"/>
  <c r="B6" i="4"/>
  <c r="B190" i="4"/>
  <c r="B205" i="4" s="1"/>
  <c r="E205" i="4"/>
  <c r="E6" i="4"/>
  <c r="B7" i="4"/>
  <c r="B229" i="4"/>
  <c r="E243" i="4" s="1"/>
  <c r="E7" i="4"/>
  <c r="B8" i="4"/>
  <c r="B266" i="4" s="1"/>
  <c r="B281" i="4" s="1"/>
  <c r="E281" i="4" s="1"/>
  <c r="E8" i="4"/>
  <c r="B9" i="4"/>
  <c r="B306" i="4" s="1"/>
  <c r="E9" i="4"/>
  <c r="B10" i="4"/>
  <c r="B341" i="4"/>
  <c r="B357" i="4" s="1"/>
  <c r="E357" i="4" s="1"/>
  <c r="E10" i="4"/>
  <c r="B11" i="4"/>
  <c r="B382" i="4"/>
  <c r="E396" i="4" s="1"/>
  <c r="E11" i="4"/>
  <c r="B12" i="4"/>
  <c r="B418" i="4" s="1"/>
  <c r="B433" i="4" s="1"/>
  <c r="E433" i="4" s="1"/>
  <c r="E12" i="4"/>
  <c r="B13" i="4"/>
  <c r="B457" i="4" s="1"/>
  <c r="E13" i="4"/>
  <c r="B14" i="4"/>
  <c r="B493" i="4" s="1"/>
  <c r="B508" i="4" s="1"/>
  <c r="E508" i="4" s="1"/>
  <c r="E14" i="4"/>
  <c r="B15" i="4"/>
  <c r="B532" i="4"/>
  <c r="C15" i="4"/>
  <c r="E15" i="4"/>
  <c r="B16" i="4"/>
  <c r="B568" i="4" s="1"/>
  <c r="B583" i="4" s="1"/>
  <c r="E583" i="4" s="1"/>
  <c r="C16" i="4"/>
  <c r="E16" i="4"/>
  <c r="B17" i="4"/>
  <c r="B608" i="4" s="1"/>
  <c r="E622" i="4" s="1"/>
  <c r="C17" i="4"/>
  <c r="E17" i="4"/>
  <c r="B18" i="4"/>
  <c r="B644" i="4" s="1"/>
  <c r="B659" i="4" s="1"/>
  <c r="E659" i="4" s="1"/>
  <c r="C18" i="4"/>
  <c r="E18" i="4"/>
  <c r="B19" i="4"/>
  <c r="B683" i="4"/>
  <c r="C19" i="4"/>
  <c r="E19" i="4"/>
  <c r="B20" i="4"/>
  <c r="B718" i="4"/>
  <c r="B733" i="4" s="1"/>
  <c r="E733" i="4"/>
  <c r="C20" i="4"/>
  <c r="E20" i="4"/>
  <c r="B21" i="4"/>
  <c r="B757" i="4" s="1"/>
  <c r="E772" i="4" s="1"/>
  <c r="C21" i="4"/>
  <c r="E21" i="4"/>
  <c r="B22" i="4"/>
  <c r="B793" i="4" s="1"/>
  <c r="B807" i="4" s="1"/>
  <c r="E807" i="4" s="1"/>
  <c r="C22" i="4"/>
  <c r="E22" i="4"/>
  <c r="B23" i="4"/>
  <c r="B830" i="4" s="1"/>
  <c r="E844" i="4" s="1"/>
  <c r="D23" i="4"/>
  <c r="E23" i="4"/>
  <c r="B24" i="4"/>
  <c r="B866" i="4"/>
  <c r="B880" i="4"/>
  <c r="E880" i="4" s="1"/>
  <c r="C24" i="4"/>
  <c r="D24" i="4"/>
  <c r="E24" i="4"/>
  <c r="B25" i="4"/>
  <c r="B904" i="4" s="1"/>
  <c r="C25" i="4"/>
  <c r="D25" i="4"/>
  <c r="E25" i="4"/>
  <c r="B26" i="4"/>
  <c r="B940" i="4"/>
  <c r="B955" i="4" s="1"/>
  <c r="E955" i="4" s="1"/>
  <c r="C26" i="4"/>
  <c r="D26" i="4"/>
  <c r="E26" i="4"/>
  <c r="B27" i="4"/>
  <c r="B978" i="4" s="1"/>
  <c r="C27" i="4"/>
  <c r="D27" i="4"/>
  <c r="E27" i="4"/>
  <c r="B28" i="4"/>
  <c r="B1013" i="4"/>
  <c r="B1027" i="4"/>
  <c r="E1027" i="4" s="1"/>
  <c r="C28" i="4"/>
  <c r="D28" i="4"/>
  <c r="E28" i="4"/>
  <c r="B29" i="4"/>
  <c r="D29" i="4"/>
  <c r="E29" i="4"/>
  <c r="G34" i="4"/>
  <c r="B484" i="4" s="1"/>
  <c r="B1038" i="4"/>
  <c r="H1033" i="4" s="1"/>
  <c r="H39" i="4"/>
  <c r="H56" i="4" s="1"/>
  <c r="D56" i="4"/>
  <c r="E42" i="4"/>
  <c r="F42" i="4" s="1"/>
  <c r="F59" i="4" s="1"/>
  <c r="E43" i="4"/>
  <c r="D55" i="4"/>
  <c r="H55" i="4" s="1"/>
  <c r="H59" i="4"/>
  <c r="G75" i="4"/>
  <c r="H79" i="4"/>
  <c r="H95" i="4"/>
  <c r="D96" i="4" s="1"/>
  <c r="E82" i="4"/>
  <c r="E83" i="4"/>
  <c r="H94" i="4"/>
  <c r="H99" i="4"/>
  <c r="G110" i="4"/>
  <c r="H115" i="4"/>
  <c r="H132" i="4" s="1"/>
  <c r="D132" i="4" s="1"/>
  <c r="D131" i="4"/>
  <c r="H131" i="4" s="1"/>
  <c r="H136" i="4"/>
  <c r="G151" i="4"/>
  <c r="H155" i="4"/>
  <c r="H170" i="4" s="1"/>
  <c r="D171" i="4" s="1"/>
  <c r="B160" i="4"/>
  <c r="B195" i="4" s="1"/>
  <c r="B234" i="4" s="1"/>
  <c r="B272" i="4" s="1"/>
  <c r="B347" i="4" s="1"/>
  <c r="B388" i="4" s="1"/>
  <c r="B424" i="4" s="1"/>
  <c r="B463" i="4" s="1"/>
  <c r="B498" i="4" s="1"/>
  <c r="H174" i="4"/>
  <c r="G186" i="4"/>
  <c r="H191" i="4"/>
  <c r="H208" i="4" s="1"/>
  <c r="D208" i="4" s="1"/>
  <c r="D207" i="4"/>
  <c r="H207" i="4" s="1"/>
  <c r="H211" i="4"/>
  <c r="G226" i="4"/>
  <c r="H249" i="4" s="1"/>
  <c r="H230" i="4"/>
  <c r="H245" i="4" s="1"/>
  <c r="D246" i="4" s="1"/>
  <c r="G262" i="4"/>
  <c r="H267" i="4"/>
  <c r="H284" i="4" s="1"/>
  <c r="D284" i="4" s="1"/>
  <c r="D283" i="4"/>
  <c r="H283" i="4" s="1"/>
  <c r="H288" i="4"/>
  <c r="G303" i="4"/>
  <c r="H307" i="4"/>
  <c r="H321" i="4"/>
  <c r="D322" i="4" s="1"/>
  <c r="D313" i="4"/>
  <c r="F313" i="4" s="1"/>
  <c r="F327" i="4" s="1"/>
  <c r="D314" i="4"/>
  <c r="F314" i="4"/>
  <c r="F328" i="4" s="1"/>
  <c r="D321" i="4"/>
  <c r="H325" i="4"/>
  <c r="G337" i="4"/>
  <c r="H342" i="4"/>
  <c r="H360" i="4"/>
  <c r="D360" i="4"/>
  <c r="D359" i="4"/>
  <c r="H359" i="4" s="1"/>
  <c r="H364" i="4"/>
  <c r="G379" i="4"/>
  <c r="H383" i="4"/>
  <c r="H398" i="4"/>
  <c r="D399" i="4" s="1"/>
  <c r="H397" i="4"/>
  <c r="D398" i="4"/>
  <c r="H403" i="4"/>
  <c r="G414" i="4"/>
  <c r="H419" i="4"/>
  <c r="H436" i="4"/>
  <c r="D436" i="4" s="1"/>
  <c r="D435" i="4"/>
  <c r="H435" i="4" s="1"/>
  <c r="H439" i="4"/>
  <c r="G454" i="4"/>
  <c r="H458" i="4"/>
  <c r="H474" i="4"/>
  <c r="D475" i="4" s="1"/>
  <c r="D464" i="4"/>
  <c r="F464" i="4"/>
  <c r="F482" i="4" s="1"/>
  <c r="H473" i="4"/>
  <c r="D474" i="4" s="1"/>
  <c r="H478" i="4"/>
  <c r="G488" i="4"/>
  <c r="H494" i="4"/>
  <c r="H511" i="4"/>
  <c r="D511" i="4" s="1"/>
  <c r="D510" i="4"/>
  <c r="H510" i="4" s="1"/>
  <c r="G529" i="4"/>
  <c r="H533" i="4"/>
  <c r="H549" i="4"/>
  <c r="D550" i="4" s="1"/>
  <c r="E536" i="4"/>
  <c r="E537" i="4"/>
  <c r="F538" i="4"/>
  <c r="F557" i="4"/>
  <c r="D539" i="4"/>
  <c r="F539" i="4" s="1"/>
  <c r="F556" i="4" s="1"/>
  <c r="H548" i="4"/>
  <c r="D549" i="4" s="1"/>
  <c r="G564" i="4"/>
  <c r="H569" i="4"/>
  <c r="H586" i="4" s="1"/>
  <c r="D586" i="4" s="1"/>
  <c r="E571" i="4"/>
  <c r="E572" i="4"/>
  <c r="F573" i="4"/>
  <c r="F593" i="4"/>
  <c r="F574" i="4"/>
  <c r="D585" i="4"/>
  <c r="H585" i="4" s="1"/>
  <c r="G605" i="4"/>
  <c r="H609" i="4"/>
  <c r="H624" i="4" s="1"/>
  <c r="D625" i="4" s="1"/>
  <c r="E612" i="4"/>
  <c r="E613" i="4"/>
  <c r="F614" i="4"/>
  <c r="F631" i="4" s="1"/>
  <c r="F615" i="4"/>
  <c r="F632" i="4"/>
  <c r="H623" i="4"/>
  <c r="D624" i="4" s="1"/>
  <c r="G640" i="4"/>
  <c r="H645" i="4"/>
  <c r="H662" i="4" s="1"/>
  <c r="D662" i="4" s="1"/>
  <c r="E648" i="4"/>
  <c r="E649" i="4"/>
  <c r="F650" i="4"/>
  <c r="F668" i="4" s="1"/>
  <c r="F651" i="4"/>
  <c r="F669" i="4"/>
  <c r="F652" i="4"/>
  <c r="F670" i="4" s="1"/>
  <c r="D661" i="4"/>
  <c r="H661" i="4" s="1"/>
  <c r="G680" i="4"/>
  <c r="H684" i="4"/>
  <c r="H699" i="4"/>
  <c r="D700" i="4" s="1"/>
  <c r="E687" i="4"/>
  <c r="E688" i="4"/>
  <c r="F689" i="4"/>
  <c r="F705" i="4"/>
  <c r="D691" i="4"/>
  <c r="H698" i="4"/>
  <c r="D699" i="4"/>
  <c r="G714" i="4"/>
  <c r="H719" i="4"/>
  <c r="H736" i="4" s="1"/>
  <c r="D736" i="4" s="1"/>
  <c r="E721" i="4"/>
  <c r="E722" i="4"/>
  <c r="B723" i="4"/>
  <c r="B763" i="4" s="1"/>
  <c r="B798" i="4"/>
  <c r="B836" i="4" s="1"/>
  <c r="B872" i="4" s="1"/>
  <c r="B910" i="4" s="1"/>
  <c r="B946" i="4" s="1"/>
  <c r="B984" i="4" s="1"/>
  <c r="B1019" i="4" s="1"/>
  <c r="F723" i="4"/>
  <c r="F742" i="4"/>
  <c r="F724" i="4"/>
  <c r="F743" i="4" s="1"/>
  <c r="F725" i="4"/>
  <c r="F744" i="4"/>
  <c r="D735" i="4"/>
  <c r="H735" i="4" s="1"/>
  <c r="G754" i="4"/>
  <c r="H758" i="4"/>
  <c r="H774" i="4"/>
  <c r="D775" i="4" s="1"/>
  <c r="E761" i="4"/>
  <c r="E762" i="4"/>
  <c r="F763" i="4"/>
  <c r="F780" i="4"/>
  <c r="F764" i="4"/>
  <c r="F781" i="4"/>
  <c r="F765" i="4"/>
  <c r="F782" i="4" s="1"/>
  <c r="H773" i="4"/>
  <c r="D774" i="4" s="1"/>
  <c r="G789" i="4"/>
  <c r="H794" i="4"/>
  <c r="H810" i="4"/>
  <c r="E796" i="4"/>
  <c r="E797" i="4"/>
  <c r="F798" i="4"/>
  <c r="F815" i="4" s="1"/>
  <c r="F799" i="4"/>
  <c r="F816" i="4"/>
  <c r="F800" i="4"/>
  <c r="F817" i="4"/>
  <c r="D809" i="4"/>
  <c r="H809" i="4" s="1"/>
  <c r="H1050" i="4" s="1"/>
  <c r="H1065" i="4" s="1"/>
  <c r="D1066" i="4" s="1"/>
  <c r="G827" i="4"/>
  <c r="H831" i="4"/>
  <c r="H846" i="4" s="1"/>
  <c r="D847" i="4" s="1"/>
  <c r="E834" i="4"/>
  <c r="E835" i="4"/>
  <c r="D836" i="4"/>
  <c r="F836" i="4" s="1"/>
  <c r="F853" i="4" s="1"/>
  <c r="D837" i="4"/>
  <c r="F837" i="4"/>
  <c r="F854" i="4"/>
  <c r="D838" i="4"/>
  <c r="F838" i="4"/>
  <c r="F855" i="4" s="1"/>
  <c r="H845" i="4"/>
  <c r="D846" i="4" s="1"/>
  <c r="B849" i="4"/>
  <c r="B850" i="4"/>
  <c r="G862" i="4"/>
  <c r="H867" i="4"/>
  <c r="H883" i="4" s="1"/>
  <c r="D883" i="4" s="1"/>
  <c r="E870" i="4"/>
  <c r="E871" i="4"/>
  <c r="D872" i="4"/>
  <c r="F872" i="4" s="1"/>
  <c r="F889" i="4" s="1"/>
  <c r="D873" i="4"/>
  <c r="F873" i="4" s="1"/>
  <c r="F890" i="4" s="1"/>
  <c r="D874" i="4"/>
  <c r="F874" i="4"/>
  <c r="F891" i="4" s="1"/>
  <c r="D882" i="4"/>
  <c r="H882" i="4"/>
  <c r="B885" i="4"/>
  <c r="B886" i="4"/>
  <c r="G901" i="4"/>
  <c r="H905" i="4"/>
  <c r="H920" i="4"/>
  <c r="D921" i="4" s="1"/>
  <c r="E908" i="4"/>
  <c r="E909" i="4"/>
  <c r="D910" i="4"/>
  <c r="F910" i="4" s="1"/>
  <c r="F927" i="4" s="1"/>
  <c r="D911" i="4"/>
  <c r="F911" i="4" s="1"/>
  <c r="F928" i="4" s="1"/>
  <c r="D912" i="4"/>
  <c r="F912" i="4"/>
  <c r="F929" i="4" s="1"/>
  <c r="H919" i="4"/>
  <c r="D920" i="4"/>
  <c r="B923" i="4"/>
  <c r="B924" i="4"/>
  <c r="G936" i="4"/>
  <c r="H941" i="4"/>
  <c r="H958" i="4"/>
  <c r="D958" i="4"/>
  <c r="E944" i="4"/>
  <c r="E945" i="4"/>
  <c r="D946" i="4"/>
  <c r="F946" i="4" s="1"/>
  <c r="F963" i="4" s="1"/>
  <c r="D947" i="4"/>
  <c r="F947" i="4"/>
  <c r="F964" i="4" s="1"/>
  <c r="D948" i="4"/>
  <c r="F948" i="4"/>
  <c r="F965" i="4" s="1"/>
  <c r="D957" i="4"/>
  <c r="H957" i="4"/>
  <c r="B960" i="4"/>
  <c r="B961" i="4"/>
  <c r="G975" i="4"/>
  <c r="H979" i="4"/>
  <c r="H994" i="4"/>
  <c r="D995" i="4"/>
  <c r="E982" i="4"/>
  <c r="E983" i="4"/>
  <c r="D984" i="4"/>
  <c r="F984" i="4" s="1"/>
  <c r="F1000" i="4" s="1"/>
  <c r="D985" i="4"/>
  <c r="F985" i="4" s="1"/>
  <c r="F1001" i="4"/>
  <c r="E985" i="4"/>
  <c r="D986" i="4"/>
  <c r="F986" i="4"/>
  <c r="F1002" i="4" s="1"/>
  <c r="E986" i="4"/>
  <c r="H993" i="4"/>
  <c r="D994" i="4"/>
  <c r="B997" i="4"/>
  <c r="B998" i="4"/>
  <c r="G1009" i="4"/>
  <c r="H1014" i="4"/>
  <c r="H1030" i="4"/>
  <c r="D1030" i="4"/>
  <c r="E1017" i="4"/>
  <c r="E1018" i="4"/>
  <c r="D1019" i="4"/>
  <c r="F1019" i="4"/>
  <c r="F1035" i="4" s="1"/>
  <c r="D1020" i="4"/>
  <c r="F1020" i="4"/>
  <c r="F1036" i="4" s="1"/>
  <c r="D1021" i="4"/>
  <c r="F1021" i="4" s="1"/>
  <c r="F1037" i="4"/>
  <c r="D1022" i="4"/>
  <c r="F1022" i="4" s="1"/>
  <c r="F1038" i="4" s="1"/>
  <c r="D1029" i="4"/>
  <c r="H1029" i="4"/>
  <c r="B1032" i="4"/>
  <c r="B1033" i="4"/>
  <c r="G1047" i="4"/>
  <c r="B1049" i="4"/>
  <c r="B1064" i="4"/>
  <c r="F1055" i="4"/>
  <c r="F1072" i="4"/>
  <c r="D1056" i="4"/>
  <c r="F1056" i="4" s="1"/>
  <c r="F1073" i="4"/>
  <c r="E1056" i="4"/>
  <c r="D1057" i="4"/>
  <c r="F1057" i="4" s="1"/>
  <c r="F1075" i="4"/>
  <c r="E1057" i="4"/>
  <c r="B1069" i="4"/>
  <c r="B1070" i="4"/>
  <c r="F1074" i="4"/>
  <c r="B1088" i="4"/>
  <c r="B1103" i="4" s="1"/>
  <c r="E1103" i="4" s="1"/>
  <c r="H1090" i="4"/>
  <c r="F1093" i="4"/>
  <c r="C1115" i="4" s="1"/>
  <c r="D1105" i="4"/>
  <c r="H1105" i="4"/>
  <c r="H1110" i="4"/>
  <c r="B1115" i="4" s="1"/>
  <c r="B1125" i="4"/>
  <c r="H1126" i="4"/>
  <c r="H1141" i="4"/>
  <c r="D1142" i="4"/>
  <c r="E1130" i="4"/>
  <c r="E1131" i="4"/>
  <c r="F1132" i="4"/>
  <c r="F1149" i="4" s="1"/>
  <c r="D1133" i="4"/>
  <c r="F1133" i="4"/>
  <c r="F1151" i="4" s="1"/>
  <c r="E1133" i="4"/>
  <c r="F1134" i="4"/>
  <c r="B1145" i="4"/>
  <c r="B1181" i="4"/>
  <c r="B1146" i="4"/>
  <c r="B1182" i="4" s="1"/>
  <c r="H1147" i="4"/>
  <c r="B1151" i="4" s="1"/>
  <c r="F1150" i="4"/>
  <c r="B1161" i="4"/>
  <c r="B1176" i="4"/>
  <c r="E1176" i="4" s="1"/>
  <c r="H1163" i="4"/>
  <c r="H1179" i="4" s="1"/>
  <c r="H1201" i="4" s="1"/>
  <c r="H1216" i="4" s="1"/>
  <c r="D1217" i="4" s="1"/>
  <c r="D1166" i="4"/>
  <c r="E1166" i="4"/>
  <c r="F1166" i="4"/>
  <c r="F1183" i="4" s="1"/>
  <c r="D1167" i="4"/>
  <c r="E1167" i="4"/>
  <c r="F1167" i="4" s="1"/>
  <c r="F1184" i="4"/>
  <c r="D1168" i="4"/>
  <c r="E1168" i="4"/>
  <c r="F1168" i="4" s="1"/>
  <c r="F1169" i="4"/>
  <c r="F1187" i="4" s="1"/>
  <c r="F1170" i="4"/>
  <c r="F1186" i="4" s="1"/>
  <c r="D1178" i="4"/>
  <c r="H1178" i="4"/>
  <c r="H1200" i="4" s="1"/>
  <c r="H1215" i="4" s="1"/>
  <c r="D1216" i="4" s="1"/>
  <c r="H1183" i="4"/>
  <c r="B1188" i="4" s="1"/>
  <c r="E1204" i="4"/>
  <c r="F1204" i="4"/>
  <c r="F1209" i="4" s="1"/>
  <c r="C1225" i="4" s="1"/>
  <c r="E1205" i="4"/>
  <c r="F1205" i="4" s="1"/>
  <c r="F1222" i="4" s="1"/>
  <c r="F1206" i="4"/>
  <c r="F1223" i="4"/>
  <c r="D1207" i="4"/>
  <c r="F1207" i="4"/>
  <c r="F1225" i="4"/>
  <c r="E1207" i="4"/>
  <c r="E1208" i="4"/>
  <c r="F1208" i="4"/>
  <c r="F1224" i="4" s="1"/>
  <c r="B1219" i="4"/>
  <c r="B1220" i="4"/>
  <c r="H1221" i="4"/>
  <c r="J1224" i="4"/>
  <c r="G1232" i="4"/>
  <c r="B1235" i="4"/>
  <c r="B1250" i="4"/>
  <c r="E1250" i="4"/>
  <c r="E1240" i="4"/>
  <c r="D1241" i="4"/>
  <c r="E1241" i="4"/>
  <c r="F1241" i="4" s="1"/>
  <c r="F1258" i="4" s="1"/>
  <c r="D1242" i="4"/>
  <c r="F1242" i="4" s="1"/>
  <c r="F1259" i="4"/>
  <c r="D1243" i="4"/>
  <c r="F1243" i="4" s="1"/>
  <c r="F1260" i="4"/>
  <c r="D1252" i="4"/>
  <c r="H1252" i="4" s="1"/>
  <c r="G1271" i="4"/>
  <c r="B1273" i="4"/>
  <c r="E1278" i="4"/>
  <c r="D1279" i="4"/>
  <c r="F1279" i="4" s="1"/>
  <c r="F1296" i="4" s="1"/>
  <c r="E1279" i="4"/>
  <c r="D1280" i="4"/>
  <c r="F1280" i="4"/>
  <c r="F1297" i="4"/>
  <c r="E1280" i="4"/>
  <c r="D1281" i="4"/>
  <c r="F1281" i="4" s="1"/>
  <c r="F1298" i="4" s="1"/>
  <c r="E1281" i="4"/>
  <c r="H1289" i="4"/>
  <c r="D1290" i="4"/>
  <c r="G1306" i="4"/>
  <c r="B1309" i="4"/>
  <c r="B1324" i="4" s="1"/>
  <c r="E1324" i="4"/>
  <c r="E1314" i="4"/>
  <c r="D1315" i="4"/>
  <c r="F1315" i="4"/>
  <c r="F1332" i="4"/>
  <c r="E1315" i="4"/>
  <c r="D1316" i="4"/>
  <c r="F1316" i="4"/>
  <c r="F1333" i="4" s="1"/>
  <c r="D1317" i="4"/>
  <c r="F1317" i="4" s="1"/>
  <c r="F1334" i="4" s="1"/>
  <c r="D1326" i="4"/>
  <c r="H1326" i="4"/>
  <c r="G1345" i="4"/>
  <c r="B1347" i="4"/>
  <c r="B1362" i="4"/>
  <c r="E1352" i="4"/>
  <c r="D1353" i="4"/>
  <c r="E1353" i="4"/>
  <c r="F1353" i="4" s="1"/>
  <c r="F1370" i="4" s="1"/>
  <c r="D1354" i="4"/>
  <c r="F1354" i="4" s="1"/>
  <c r="F1371" i="4" s="1"/>
  <c r="E1354" i="4"/>
  <c r="D1355" i="4"/>
  <c r="F1355" i="4"/>
  <c r="F1372" i="4"/>
  <c r="E1355" i="4"/>
  <c r="H1363" i="4"/>
  <c r="D1364" i="4"/>
  <c r="G1380" i="4"/>
  <c r="B1383" i="4"/>
  <c r="B1398" i="4" s="1"/>
  <c r="E1398" i="4" s="1"/>
  <c r="E1388" i="4"/>
  <c r="D1389" i="4"/>
  <c r="E1389" i="4"/>
  <c r="D1390" i="4"/>
  <c r="F1390" i="4" s="1"/>
  <c r="F1407" i="4" s="1"/>
  <c r="D1391" i="4"/>
  <c r="F1391" i="4"/>
  <c r="F1408" i="4" s="1"/>
  <c r="D1400" i="4"/>
  <c r="H1400" i="4"/>
  <c r="G1419" i="4"/>
  <c r="B1421" i="4"/>
  <c r="E1426" i="4"/>
  <c r="D1427" i="4"/>
  <c r="E1427" i="4"/>
  <c r="D1428" i="4"/>
  <c r="F1428" i="4" s="1"/>
  <c r="F1445" i="4" s="1"/>
  <c r="E1428" i="4"/>
  <c r="D1429" i="4"/>
  <c r="F1429" i="4"/>
  <c r="F1446" i="4" s="1"/>
  <c r="E1429" i="4"/>
  <c r="H1437" i="4"/>
  <c r="D1438" i="4" s="1"/>
  <c r="G1454" i="4"/>
  <c r="B1457" i="4"/>
  <c r="B1472" i="4"/>
  <c r="E1472" i="4" s="1"/>
  <c r="E1462" i="4"/>
  <c r="D1463" i="4"/>
  <c r="E1463" i="4"/>
  <c r="D1464" i="4"/>
  <c r="F1464" i="4" s="1"/>
  <c r="F1481" i="4"/>
  <c r="D1465" i="4"/>
  <c r="F1465" i="4"/>
  <c r="F1482" i="4" s="1"/>
  <c r="D1474" i="4"/>
  <c r="H1474" i="4" s="1"/>
  <c r="G1493" i="4"/>
  <c r="B1495" i="4"/>
  <c r="E1500" i="4"/>
  <c r="D1501" i="4"/>
  <c r="E1501" i="4"/>
  <c r="D1502" i="4"/>
  <c r="F1502" i="4"/>
  <c r="F1519" i="4" s="1"/>
  <c r="E1502" i="4"/>
  <c r="D1503" i="4"/>
  <c r="F1503" i="4" s="1"/>
  <c r="F1520" i="4" s="1"/>
  <c r="E1503" i="4"/>
  <c r="H1511" i="4"/>
  <c r="D1512" i="4" s="1"/>
  <c r="G1528" i="4"/>
  <c r="B1531" i="4"/>
  <c r="B1546" i="4" s="1"/>
  <c r="E1546" i="4" s="1"/>
  <c r="E1536" i="4"/>
  <c r="D1537" i="4"/>
  <c r="E1537" i="4"/>
  <c r="D1538" i="4"/>
  <c r="F1538" i="4" s="1"/>
  <c r="F1555" i="4" s="1"/>
  <c r="D1539" i="4"/>
  <c r="F1539" i="4"/>
  <c r="F1556" i="4" s="1"/>
  <c r="D1548" i="4"/>
  <c r="H1548" i="4" s="1"/>
  <c r="G1567" i="4"/>
  <c r="B1569" i="4"/>
  <c r="E1584" i="4" s="1"/>
  <c r="E1574" i="4"/>
  <c r="D1575" i="4"/>
  <c r="E1575" i="4"/>
  <c r="D1576" i="4"/>
  <c r="F1576" i="4" s="1"/>
  <c r="F1593" i="4" s="1"/>
  <c r="E1576" i="4"/>
  <c r="D1577" i="4"/>
  <c r="F1577" i="4" s="1"/>
  <c r="F1594" i="4" s="1"/>
  <c r="E1577" i="4"/>
  <c r="H1585" i="4"/>
  <c r="D1586" i="4"/>
  <c r="G1603" i="4"/>
  <c r="B1606" i="4"/>
  <c r="B1621" i="4" s="1"/>
  <c r="E1621" i="4" s="1"/>
  <c r="E1611" i="4"/>
  <c r="D1612" i="4"/>
  <c r="F1612" i="4" s="1"/>
  <c r="F1629" i="4" s="1"/>
  <c r="E1612" i="4"/>
  <c r="D1613" i="4"/>
  <c r="F1613" i="4" s="1"/>
  <c r="F1630" i="4" s="1"/>
  <c r="D1614" i="4"/>
  <c r="F1614" i="4" s="1"/>
  <c r="F1631" i="4" s="1"/>
  <c r="D1623" i="4"/>
  <c r="H1623" i="4" s="1"/>
  <c r="G1642" i="4"/>
  <c r="B1644" i="4"/>
  <c r="B1659" i="4" s="1"/>
  <c r="E1649" i="4"/>
  <c r="D1650" i="4"/>
  <c r="F1650" i="4" s="1"/>
  <c r="E1650" i="4"/>
  <c r="D1651" i="4"/>
  <c r="F1651" i="4"/>
  <c r="F1668" i="4" s="1"/>
  <c r="E1651" i="4"/>
  <c r="D1652" i="4"/>
  <c r="F1652" i="4"/>
  <c r="F1669" i="4"/>
  <c r="E1652" i="4"/>
  <c r="H1660" i="4"/>
  <c r="D1661" i="4" s="1"/>
  <c r="G1677" i="4"/>
  <c r="B1680" i="4"/>
  <c r="B1695" i="4" s="1"/>
  <c r="E1695" i="4" s="1"/>
  <c r="E1685" i="4"/>
  <c r="D1686" i="4"/>
  <c r="E1686" i="4"/>
  <c r="D1687" i="4"/>
  <c r="F1687" i="4"/>
  <c r="F1704" i="4" s="1"/>
  <c r="D1688" i="4"/>
  <c r="F1688" i="4"/>
  <c r="F1705" i="4" s="1"/>
  <c r="D1697" i="4"/>
  <c r="H1697" i="4" s="1"/>
  <c r="G1716" i="4"/>
  <c r="B1718" i="4"/>
  <c r="B1733" i="4" s="1"/>
  <c r="E1723" i="4"/>
  <c r="D1724" i="4"/>
  <c r="E1724" i="4"/>
  <c r="D1725" i="4"/>
  <c r="F1725" i="4"/>
  <c r="F1742" i="4" s="1"/>
  <c r="E1725" i="4"/>
  <c r="D1726" i="4"/>
  <c r="F1726" i="4" s="1"/>
  <c r="F1743" i="4" s="1"/>
  <c r="E1726" i="4"/>
  <c r="H1734" i="4"/>
  <c r="D1735" i="4"/>
  <c r="G1751" i="4"/>
  <c r="B1754" i="4"/>
  <c r="B1769" i="4" s="1"/>
  <c r="E1769" i="4" s="1"/>
  <c r="E1759" i="4"/>
  <c r="D1760" i="4"/>
  <c r="E1760" i="4"/>
  <c r="D1761" i="4"/>
  <c r="F1761" i="4" s="1"/>
  <c r="F1778" i="4" s="1"/>
  <c r="D1762" i="4"/>
  <c r="F1762" i="4"/>
  <c r="F1779" i="4" s="1"/>
  <c r="D1771" i="4"/>
  <c r="H1771" i="4" s="1"/>
  <c r="G1790" i="4"/>
  <c r="B1792" i="4"/>
  <c r="E1807" i="4"/>
  <c r="E1797" i="4"/>
  <c r="D1798" i="4"/>
  <c r="F1798" i="4" s="1"/>
  <c r="F1815" i="4" s="1"/>
  <c r="E1798" i="4"/>
  <c r="D1799" i="4"/>
  <c r="F1799" i="4" s="1"/>
  <c r="F1816" i="4" s="1"/>
  <c r="E1799" i="4"/>
  <c r="D1800" i="4"/>
  <c r="F1800" i="4" s="1"/>
  <c r="F1817" i="4" s="1"/>
  <c r="E1800" i="4"/>
  <c r="H1808" i="4"/>
  <c r="D1809" i="4" s="1"/>
  <c r="G1825" i="4"/>
  <c r="B1828" i="4"/>
  <c r="B1843" i="4"/>
  <c r="E1843" i="4" s="1"/>
  <c r="E1833" i="4"/>
  <c r="D1834" i="4"/>
  <c r="F1834" i="4" s="1"/>
  <c r="F1851" i="4" s="1"/>
  <c r="E1834" i="4"/>
  <c r="D1835" i="4"/>
  <c r="F1835" i="4"/>
  <c r="F1852" i="4"/>
  <c r="D1836" i="4"/>
  <c r="F1836" i="4" s="1"/>
  <c r="F1853" i="4" s="1"/>
  <c r="D1845" i="4"/>
  <c r="H1845" i="4"/>
  <c r="D1874" i="4"/>
  <c r="F1874" i="4"/>
  <c r="F1854" i="4" s="1"/>
  <c r="F1891" i="4"/>
  <c r="G1864" i="4"/>
  <c r="B1866" i="4"/>
  <c r="E1881" i="4"/>
  <c r="E1871" i="4"/>
  <c r="D1872" i="4"/>
  <c r="E1872" i="4"/>
  <c r="D1873" i="4"/>
  <c r="F1873" i="4" s="1"/>
  <c r="F1890" i="4" s="1"/>
  <c r="E1873" i="4"/>
  <c r="E1874" i="4"/>
  <c r="H1882" i="4"/>
  <c r="D1883" i="4"/>
  <c r="G1899" i="4"/>
  <c r="B1902" i="4"/>
  <c r="B1917" i="4"/>
  <c r="E1917" i="4" s="1"/>
  <c r="E1907" i="4"/>
  <c r="D1908" i="4"/>
  <c r="E1908" i="4"/>
  <c r="D1909" i="4"/>
  <c r="F1909" i="4" s="1"/>
  <c r="F1926" i="4" s="1"/>
  <c r="D1910" i="4"/>
  <c r="F1910" i="4"/>
  <c r="F1927" i="4"/>
  <c r="D1919" i="4"/>
  <c r="H1919" i="4" s="1"/>
  <c r="G1938" i="4"/>
  <c r="B1940" i="4"/>
  <c r="E1945" i="4"/>
  <c r="D1946" i="4"/>
  <c r="E1946" i="4"/>
  <c r="F1946" i="4" s="1"/>
  <c r="F1963" i="4" s="1"/>
  <c r="D1947" i="4"/>
  <c r="F1947" i="4"/>
  <c r="F1964" i="4" s="1"/>
  <c r="E1947" i="4"/>
  <c r="D1948" i="4"/>
  <c r="F1948" i="4"/>
  <c r="F1965" i="4" s="1"/>
  <c r="E1948" i="4"/>
  <c r="H1956" i="4"/>
  <c r="D1957" i="4" s="1"/>
  <c r="G1973" i="4"/>
  <c r="B1976" i="4"/>
  <c r="B1991" i="4"/>
  <c r="E1991" i="4" s="1"/>
  <c r="E1981" i="4"/>
  <c r="D1982" i="4"/>
  <c r="E1982" i="4"/>
  <c r="D1983" i="4"/>
  <c r="F1983" i="4" s="1"/>
  <c r="F2000" i="4" s="1"/>
  <c r="D1984" i="4"/>
  <c r="F1984" i="4"/>
  <c r="F2001" i="4" s="1"/>
  <c r="D1993" i="4"/>
  <c r="H1993" i="4" s="1"/>
  <c r="G2012" i="4"/>
  <c r="B2014" i="4"/>
  <c r="E2029" i="4" s="1"/>
  <c r="E2019" i="4"/>
  <c r="D2020" i="4"/>
  <c r="F2020" i="4"/>
  <c r="F2037" i="4" s="1"/>
  <c r="E2020" i="4"/>
  <c r="D2021" i="4"/>
  <c r="F2021" i="4" s="1"/>
  <c r="F2038" i="4" s="1"/>
  <c r="E2021" i="4"/>
  <c r="D2022" i="4"/>
  <c r="F2022" i="4" s="1"/>
  <c r="F2039" i="4" s="1"/>
  <c r="E2022" i="4"/>
  <c r="H2030" i="4"/>
  <c r="D2031" i="4" s="1"/>
  <c r="G2047" i="4"/>
  <c r="B2050" i="4"/>
  <c r="B2065" i="4"/>
  <c r="E2065" i="4"/>
  <c r="E2055" i="4"/>
  <c r="D2056" i="4"/>
  <c r="F2056" i="4"/>
  <c r="F2073" i="4" s="1"/>
  <c r="E2056" i="4"/>
  <c r="D2057" i="4"/>
  <c r="F2057" i="4"/>
  <c r="F2074" i="4" s="1"/>
  <c r="D2058" i="4"/>
  <c r="F2058" i="4" s="1"/>
  <c r="F2075" i="4" s="1"/>
  <c r="D2067" i="4"/>
  <c r="H2067" i="4"/>
  <c r="G2086" i="4"/>
  <c r="B2088" i="4"/>
  <c r="B2103" i="4" s="1"/>
  <c r="E2093" i="4"/>
  <c r="F2093" i="4" s="1"/>
  <c r="D2094" i="4"/>
  <c r="F2094" i="4" s="1"/>
  <c r="F2111" i="4"/>
  <c r="E2094" i="4"/>
  <c r="D2095" i="4"/>
  <c r="F2095" i="4" s="1"/>
  <c r="F2112" i="4"/>
  <c r="E2095" i="4"/>
  <c r="D2096" i="4"/>
  <c r="F2096" i="4" s="1"/>
  <c r="F2113" i="4"/>
  <c r="E2096" i="4"/>
  <c r="H2104" i="4"/>
  <c r="D2105" i="4"/>
  <c r="G2121" i="4"/>
  <c r="B2124" i="4"/>
  <c r="B2139" i="4"/>
  <c r="E2139" i="4" s="1"/>
  <c r="E2129" i="4"/>
  <c r="D2130" i="4"/>
  <c r="E2130" i="4"/>
  <c r="D2131" i="4"/>
  <c r="F2131" i="4" s="1"/>
  <c r="F2148" i="4" s="1"/>
  <c r="D2132" i="4"/>
  <c r="F2132" i="4" s="1"/>
  <c r="F2149" i="4" s="1"/>
  <c r="D2141" i="4"/>
  <c r="H2141" i="4"/>
  <c r="G2160" i="4"/>
  <c r="B2162" i="4"/>
  <c r="E2177" i="4" s="1"/>
  <c r="E2167" i="4"/>
  <c r="D2168" i="4"/>
  <c r="E2168" i="4"/>
  <c r="D2169" i="4"/>
  <c r="F2169" i="4" s="1"/>
  <c r="F2186" i="4" s="1"/>
  <c r="E2169" i="4"/>
  <c r="D2170" i="4"/>
  <c r="F2170" i="4"/>
  <c r="F2187" i="4"/>
  <c r="E2170" i="4"/>
  <c r="H2178" i="4"/>
  <c r="D2179" i="4"/>
  <c r="G2195" i="4"/>
  <c r="B2198" i="4"/>
  <c r="B2213" i="4" s="1"/>
  <c r="E2213" i="4" s="1"/>
  <c r="E2203" i="4"/>
  <c r="D2204" i="4"/>
  <c r="F2204" i="4" s="1"/>
  <c r="E2204" i="4"/>
  <c r="F2221" i="4"/>
  <c r="D2205" i="4"/>
  <c r="F2205" i="4" s="1"/>
  <c r="F2222" i="4" s="1"/>
  <c r="D2206" i="4"/>
  <c r="F2206" i="4" s="1"/>
  <c r="F2223" i="4" s="1"/>
  <c r="D2215" i="4"/>
  <c r="H2215" i="4"/>
  <c r="G2234" i="4"/>
  <c r="B2236" i="4"/>
  <c r="B2251" i="4"/>
  <c r="E2241" i="4"/>
  <c r="D2242" i="4"/>
  <c r="F2242" i="4" s="1"/>
  <c r="F2259" i="4"/>
  <c r="E2242" i="4"/>
  <c r="D2243" i="4"/>
  <c r="F2243" i="4" s="1"/>
  <c r="F2260" i="4"/>
  <c r="E2243" i="4"/>
  <c r="D2244" i="4"/>
  <c r="F2244" i="4" s="1"/>
  <c r="F2261" i="4"/>
  <c r="E2244" i="4"/>
  <c r="H2252" i="4"/>
  <c r="D2253" i="4" s="1"/>
  <c r="G2269" i="4"/>
  <c r="B2272" i="4"/>
  <c r="B2287" i="4" s="1"/>
  <c r="E2287" i="4" s="1"/>
  <c r="E2277" i="4"/>
  <c r="D2278" i="4"/>
  <c r="E2278" i="4"/>
  <c r="D2279" i="4"/>
  <c r="F2279" i="4"/>
  <c r="F2296" i="4" s="1"/>
  <c r="D2280" i="4"/>
  <c r="F2280" i="4" s="1"/>
  <c r="F2297" i="4" s="1"/>
  <c r="D2289" i="4"/>
  <c r="H2289" i="4"/>
  <c r="G2308" i="4"/>
  <c r="B2310" i="4"/>
  <c r="E2325" i="4" s="1"/>
  <c r="E2315" i="4"/>
  <c r="D2316" i="4"/>
  <c r="E2316" i="4"/>
  <c r="F2316" i="4"/>
  <c r="F2333" i="4" s="1"/>
  <c r="D2317" i="4"/>
  <c r="F2317" i="4" s="1"/>
  <c r="F2334" i="4" s="1"/>
  <c r="E2317" i="4"/>
  <c r="D2318" i="4"/>
  <c r="F2318" i="4" s="1"/>
  <c r="F2335" i="4" s="1"/>
  <c r="E2318" i="4"/>
  <c r="H2326" i="4"/>
  <c r="D2327" i="4"/>
  <c r="G2343" i="4"/>
  <c r="B2346" i="4"/>
  <c r="B2361" i="4"/>
  <c r="E2361" i="4" s="1"/>
  <c r="E2351" i="4"/>
  <c r="D2352" i="4"/>
  <c r="F2352" i="4"/>
  <c r="F2369" i="4" s="1"/>
  <c r="E2352" i="4"/>
  <c r="D2353" i="4"/>
  <c r="F2353" i="4" s="1"/>
  <c r="F2370" i="4"/>
  <c r="D2354" i="4"/>
  <c r="F2354" i="4"/>
  <c r="F2371" i="4" s="1"/>
  <c r="D2363" i="4"/>
  <c r="H2363" i="4" s="1"/>
  <c r="G2382" i="4"/>
  <c r="B2384" i="4"/>
  <c r="E2399" i="4" s="1"/>
  <c r="E2389" i="4"/>
  <c r="D2390" i="4"/>
  <c r="E2390" i="4"/>
  <c r="D2391" i="4"/>
  <c r="F2391" i="4"/>
  <c r="F2408" i="4"/>
  <c r="E2391" i="4"/>
  <c r="D2392" i="4"/>
  <c r="F2392" i="4"/>
  <c r="F2409" i="4" s="1"/>
  <c r="E2392" i="4"/>
  <c r="H2400" i="4"/>
  <c r="D2401" i="4" s="1"/>
  <c r="G2417" i="4"/>
  <c r="B2420" i="4"/>
  <c r="B2435" i="4" s="1"/>
  <c r="E2435" i="4" s="1"/>
  <c r="E2425" i="4"/>
  <c r="D2426" i="4"/>
  <c r="E2426" i="4"/>
  <c r="D2427" i="4"/>
  <c r="F2427" i="4"/>
  <c r="F2444" i="4" s="1"/>
  <c r="D2428" i="4"/>
  <c r="F2428" i="4" s="1"/>
  <c r="F2445" i="4" s="1"/>
  <c r="D2437" i="4"/>
  <c r="H2437" i="4"/>
  <c r="G2456" i="4"/>
  <c r="B2458" i="4"/>
  <c r="B2473" i="4"/>
  <c r="E2463" i="4"/>
  <c r="D2464" i="4"/>
  <c r="E2464" i="4"/>
  <c r="F2464" i="4" s="1"/>
  <c r="F2481" i="4" s="1"/>
  <c r="D2465" i="4"/>
  <c r="F2465" i="4" s="1"/>
  <c r="F2482" i="4" s="1"/>
  <c r="E2465" i="4"/>
  <c r="D2466" i="4"/>
  <c r="F2466" i="4" s="1"/>
  <c r="F2483" i="4" s="1"/>
  <c r="E2466" i="4"/>
  <c r="H2474" i="4"/>
  <c r="D2475" i="4" s="1"/>
  <c r="G2491" i="4"/>
  <c r="B2494" i="4"/>
  <c r="B2509" i="4"/>
  <c r="E2509" i="4" s="1"/>
  <c r="E2499" i="4"/>
  <c r="F2499" i="4" s="1"/>
  <c r="F2503" i="4" s="1"/>
  <c r="D2500" i="4"/>
  <c r="F2500" i="4" s="1"/>
  <c r="F2517" i="4" s="1"/>
  <c r="E2500" i="4"/>
  <c r="D2501" i="4"/>
  <c r="F2501" i="4" s="1"/>
  <c r="F2518" i="4" s="1"/>
  <c r="D2502" i="4"/>
  <c r="F2502" i="4" s="1"/>
  <c r="F2519" i="4" s="1"/>
  <c r="D2511" i="4"/>
  <c r="H2511" i="4"/>
  <c r="G2530" i="4"/>
  <c r="B2532" i="4"/>
  <c r="E2537" i="4"/>
  <c r="D2538" i="4"/>
  <c r="F2538" i="4"/>
  <c r="F2555" i="4" s="1"/>
  <c r="E2538" i="4"/>
  <c r="D2539" i="4"/>
  <c r="F2539" i="4" s="1"/>
  <c r="F2556" i="4" s="1"/>
  <c r="E2539" i="4"/>
  <c r="D2540" i="4"/>
  <c r="F2540" i="4" s="1"/>
  <c r="F2557" i="4" s="1"/>
  <c r="E2540" i="4"/>
  <c r="H2548" i="4"/>
  <c r="D2549" i="4"/>
  <c r="G2565" i="4"/>
  <c r="B2568" i="4"/>
  <c r="B2583" i="4" s="1"/>
  <c r="E2583" i="4" s="1"/>
  <c r="E2573" i="4"/>
  <c r="F2573" i="4" s="1"/>
  <c r="D2574" i="4"/>
  <c r="E2574" i="4"/>
  <c r="F2574" i="4" s="1"/>
  <c r="F2591" i="4" s="1"/>
  <c r="D2575" i="4"/>
  <c r="F2575" i="4"/>
  <c r="F2592" i="4"/>
  <c r="D2576" i="4"/>
  <c r="F2576" i="4"/>
  <c r="F2593" i="4" s="1"/>
  <c r="D2585" i="4"/>
  <c r="H2585" i="4"/>
  <c r="G2604" i="4"/>
  <c r="B2606" i="4"/>
  <c r="E2621" i="4"/>
  <c r="E2611" i="4"/>
  <c r="D2612" i="4"/>
  <c r="E2612" i="4"/>
  <c r="D2613" i="4"/>
  <c r="F2613" i="4" s="1"/>
  <c r="F2630" i="4" s="1"/>
  <c r="E2613" i="4"/>
  <c r="D2614" i="4"/>
  <c r="F2614" i="4"/>
  <c r="F2631" i="4" s="1"/>
  <c r="E2614" i="4"/>
  <c r="H2622" i="4"/>
  <c r="D2623" i="4"/>
  <c r="G2639" i="4"/>
  <c r="B2642" i="4"/>
  <c r="B2657" i="4" s="1"/>
  <c r="E2657" i="4"/>
  <c r="E2647" i="4"/>
  <c r="D2648" i="4"/>
  <c r="E2648" i="4"/>
  <c r="D2649" i="4"/>
  <c r="F2649" i="4" s="1"/>
  <c r="F2666" i="4" s="1"/>
  <c r="D2650" i="4"/>
  <c r="F2650" i="4"/>
  <c r="F2667" i="4" s="1"/>
  <c r="D2659" i="4"/>
  <c r="H2659" i="4"/>
  <c r="G2678" i="4"/>
  <c r="B2680" i="4"/>
  <c r="E2695" i="4" s="1"/>
  <c r="E2685" i="4"/>
  <c r="D2686" i="4"/>
  <c r="F2686" i="4"/>
  <c r="F2703" i="4" s="1"/>
  <c r="E2686" i="4"/>
  <c r="D2687" i="4"/>
  <c r="F2687" i="4"/>
  <c r="F2704" i="4" s="1"/>
  <c r="E2687" i="4"/>
  <c r="D2688" i="4"/>
  <c r="F2688" i="4" s="1"/>
  <c r="F2705" i="4" s="1"/>
  <c r="E2688" i="4"/>
  <c r="H2696" i="4"/>
  <c r="D2697" i="4"/>
  <c r="G2713" i="4"/>
  <c r="B2716" i="4"/>
  <c r="B2731" i="4" s="1"/>
  <c r="E2731" i="4" s="1"/>
  <c r="E2721" i="4"/>
  <c r="F2721" i="4" s="1"/>
  <c r="D2722" i="4"/>
  <c r="E2722" i="4"/>
  <c r="D2723" i="4"/>
  <c r="F2723" i="4" s="1"/>
  <c r="F2740" i="4" s="1"/>
  <c r="D2724" i="4"/>
  <c r="F2724" i="4"/>
  <c r="F2741" i="4"/>
  <c r="D2733" i="4"/>
  <c r="H2733" i="4" s="1"/>
  <c r="G2752" i="4"/>
  <c r="B2754" i="4"/>
  <c r="B2769" i="4" s="1"/>
  <c r="E2759" i="4"/>
  <c r="F2759" i="4" s="1"/>
  <c r="F2776" i="4" s="1"/>
  <c r="D2760" i="4"/>
  <c r="E2760" i="4"/>
  <c r="D2761" i="4"/>
  <c r="F2761" i="4"/>
  <c r="F2778" i="4" s="1"/>
  <c r="E2761" i="4"/>
  <c r="D2762" i="4"/>
  <c r="F2762" i="4"/>
  <c r="F2779" i="4"/>
  <c r="E2762" i="4"/>
  <c r="H2770" i="4"/>
  <c r="D2771" i="4" s="1"/>
  <c r="G2787" i="4"/>
  <c r="B2790" i="4"/>
  <c r="B2805" i="4" s="1"/>
  <c r="E2805" i="4" s="1"/>
  <c r="E2795" i="4"/>
  <c r="D2796" i="4"/>
  <c r="E2796" i="4"/>
  <c r="D2797" i="4"/>
  <c r="F2797" i="4"/>
  <c r="F2814" i="4"/>
  <c r="D2798" i="4"/>
  <c r="F2798" i="4" s="1"/>
  <c r="F2815" i="4" s="1"/>
  <c r="D2807" i="4"/>
  <c r="H2807" i="4"/>
  <c r="G2826" i="4"/>
  <c r="B2828" i="4"/>
  <c r="E2843" i="4"/>
  <c r="E2833" i="4"/>
  <c r="D2834" i="4"/>
  <c r="E2834" i="4"/>
  <c r="F2834" i="4"/>
  <c r="F2851" i="4" s="1"/>
  <c r="D2835" i="4"/>
  <c r="F2835" i="4" s="1"/>
  <c r="F2852" i="4" s="1"/>
  <c r="E2835" i="4"/>
  <c r="D2836" i="4"/>
  <c r="F2836" i="4" s="1"/>
  <c r="F2853" i="4"/>
  <c r="E2836" i="4"/>
  <c r="H2844" i="4"/>
  <c r="D2845" i="4"/>
  <c r="G2861" i="4"/>
  <c r="B2864" i="4"/>
  <c r="B2879" i="4"/>
  <c r="E2879" i="4" s="1"/>
  <c r="E2869" i="4"/>
  <c r="D2870" i="4"/>
  <c r="E2870" i="4"/>
  <c r="D2871" i="4"/>
  <c r="F2871" i="4" s="1"/>
  <c r="F2888" i="4" s="1"/>
  <c r="D2872" i="4"/>
  <c r="F2872" i="4"/>
  <c r="F2889" i="4"/>
  <c r="D2881" i="4"/>
  <c r="H2881" i="4"/>
  <c r="G2900" i="4"/>
  <c r="B2902" i="4"/>
  <c r="E2907" i="4"/>
  <c r="D2908" i="4"/>
  <c r="F2908" i="4" s="1"/>
  <c r="F2924" i="4" s="1"/>
  <c r="E2908" i="4"/>
  <c r="D2909" i="4"/>
  <c r="F2909" i="4"/>
  <c r="F2925" i="4" s="1"/>
  <c r="E2909" i="4"/>
  <c r="D2910" i="4"/>
  <c r="F2910" i="4" s="1"/>
  <c r="F2926" i="4" s="1"/>
  <c r="E2910" i="4"/>
  <c r="H2917" i="4"/>
  <c r="D2918" i="4" s="1"/>
  <c r="G2934" i="4"/>
  <c r="B2937" i="4"/>
  <c r="B2952" i="4" s="1"/>
  <c r="E2952" i="4" s="1"/>
  <c r="E2942" i="4"/>
  <c r="D2943" i="4"/>
  <c r="E2943" i="4"/>
  <c r="F2943" i="4"/>
  <c r="F2960" i="4" s="1"/>
  <c r="D2944" i="4"/>
  <c r="F2944" i="4" s="1"/>
  <c r="F2961" i="4" s="1"/>
  <c r="D2945" i="4"/>
  <c r="F2945" i="4"/>
  <c r="F2962" i="4"/>
  <c r="D2954" i="4"/>
  <c r="H2954" i="4" s="1"/>
  <c r="G2973" i="4"/>
  <c r="B2975" i="4"/>
  <c r="E2980" i="4"/>
  <c r="D2981" i="4"/>
  <c r="E2981" i="4"/>
  <c r="F2981" i="4" s="1"/>
  <c r="F2998" i="4" s="1"/>
  <c r="D2982" i="4"/>
  <c r="F2982" i="4" s="1"/>
  <c r="F2999" i="4"/>
  <c r="E2982" i="4"/>
  <c r="D2983" i="4"/>
  <c r="F2983" i="4"/>
  <c r="F3000" i="4" s="1"/>
  <c r="E2983" i="4"/>
  <c r="H2991" i="4"/>
  <c r="D2992" i="4"/>
  <c r="F11" i="5"/>
  <c r="F23" i="5" s="1"/>
  <c r="F12" i="5"/>
  <c r="F13" i="5"/>
  <c r="F14" i="5"/>
  <c r="I14" i="5"/>
  <c r="L16" i="5"/>
  <c r="H17" i="5"/>
  <c r="G54" i="5" s="1"/>
  <c r="L17" i="5"/>
  <c r="H20" i="5"/>
  <c r="H21" i="5"/>
  <c r="L21" i="5"/>
  <c r="L22" i="5"/>
  <c r="A39" i="5"/>
  <c r="E41" i="5"/>
  <c r="F44" i="5"/>
  <c r="E45" i="5"/>
  <c r="F45" i="5"/>
  <c r="F58" i="5" s="1"/>
  <c r="A46" i="5"/>
  <c r="E46" i="5"/>
  <c r="F46" i="5"/>
  <c r="F47" i="5"/>
  <c r="F48" i="5"/>
  <c r="F49" i="5"/>
  <c r="F50" i="5"/>
  <c r="P60" i="5"/>
  <c r="Q60" i="5"/>
  <c r="R60" i="5"/>
  <c r="D63" i="5"/>
  <c r="O63" i="5"/>
  <c r="K64" i="5"/>
  <c r="O65" i="5"/>
  <c r="C5" i="8"/>
  <c r="C22" i="8"/>
  <c r="C28" i="8"/>
  <c r="C36" i="8"/>
  <c r="C51" i="8"/>
  <c r="N2" i="2"/>
  <c r="N4" i="2"/>
  <c r="N5" i="2"/>
  <c r="U14" i="2"/>
  <c r="U15" i="2"/>
  <c r="U16" i="2"/>
  <c r="U17" i="2" s="1"/>
  <c r="U18" i="2" s="1"/>
  <c r="U19" i="2"/>
  <c r="U20" i="2" s="1"/>
  <c r="U21" i="2" s="1"/>
  <c r="U22" i="2" s="1"/>
  <c r="U23" i="2" s="1"/>
  <c r="U24" i="2" s="1"/>
  <c r="U25" i="2" s="1"/>
  <c r="AC20" i="2"/>
  <c r="K26" i="2"/>
  <c r="M26" i="2"/>
  <c r="Y93" i="1"/>
  <c r="D575" i="4"/>
  <c r="F616" i="4"/>
  <c r="F633" i="4"/>
  <c r="O59" i="5"/>
  <c r="R59" i="5"/>
  <c r="D15" i="4"/>
  <c r="D16" i="4"/>
  <c r="D17" i="4"/>
  <c r="D18" i="4"/>
  <c r="D19" i="4"/>
  <c r="D20" i="4"/>
  <c r="D21" i="4"/>
  <c r="D22" i="4"/>
  <c r="E1362" i="4"/>
  <c r="Q59" i="5"/>
  <c r="Q61" i="5" s="1"/>
  <c r="X5" i="8"/>
  <c r="Y30" i="8"/>
  <c r="B1881" i="4"/>
  <c r="V24" i="2"/>
  <c r="V16" i="2"/>
  <c r="V15" i="2"/>
  <c r="V13" i="2"/>
  <c r="V25" i="2"/>
  <c r="V18" i="2"/>
  <c r="V20" i="2"/>
  <c r="V19" i="2"/>
  <c r="V17" i="2"/>
  <c r="X36" i="8"/>
  <c r="L58" i="1"/>
  <c r="N58" i="1" s="1"/>
  <c r="H58" i="1"/>
  <c r="G17" i="5"/>
  <c r="G21" i="5"/>
  <c r="G55" i="5"/>
  <c r="E193" i="4"/>
  <c r="I23" i="2"/>
  <c r="J23" i="2" s="1"/>
  <c r="O15" i="5"/>
  <c r="E53" i="4"/>
  <c r="V22" i="2"/>
  <c r="B2029" i="4"/>
  <c r="F1115" i="4"/>
  <c r="B1807" i="4"/>
  <c r="B2621" i="4"/>
  <c r="E2103" i="4"/>
  <c r="E2547" i="4"/>
  <c r="B2547" i="4"/>
  <c r="E2251" i="4"/>
  <c r="E2769" i="4"/>
  <c r="B2325" i="4"/>
  <c r="B2695" i="4"/>
  <c r="B2843" i="4"/>
  <c r="E1733" i="4"/>
  <c r="E2473" i="4"/>
  <c r="B2990" i="4"/>
  <c r="E2990" i="4"/>
  <c r="B2399" i="4"/>
  <c r="B1955" i="4"/>
  <c r="E1955" i="4"/>
  <c r="E1510" i="4"/>
  <c r="B1510" i="4"/>
  <c r="B1436" i="4"/>
  <c r="E1436" i="4"/>
  <c r="B1288" i="4"/>
  <c r="E1288" i="4"/>
  <c r="AC19" i="2"/>
  <c r="D274" i="4"/>
  <c r="F274" i="4"/>
  <c r="F291" i="4"/>
  <c r="D348" i="4"/>
  <c r="F348" i="4" s="1"/>
  <c r="F23" i="2"/>
  <c r="V23" i="2"/>
  <c r="B855" i="4"/>
  <c r="H851" i="4" s="1"/>
  <c r="B64" i="4"/>
  <c r="B2558" i="4"/>
  <c r="H2554" i="4" s="1"/>
  <c r="B966" i="4"/>
  <c r="H961" i="4" s="1"/>
  <c r="B1336" i="4"/>
  <c r="H1331" i="4" s="1"/>
  <c r="B783" i="4"/>
  <c r="H778" i="4" s="1"/>
  <c r="B818" i="4"/>
  <c r="H813" i="4"/>
  <c r="B2262" i="4"/>
  <c r="H2258" i="4" s="1"/>
  <c r="B558" i="4"/>
  <c r="H553" i="4" s="1"/>
  <c r="B2743" i="4"/>
  <c r="H2738" i="4" s="1"/>
  <c r="B1781" i="4"/>
  <c r="H1776" i="4" s="1"/>
  <c r="B1521" i="4"/>
  <c r="H1517" i="4" s="1"/>
  <c r="B2299" i="4"/>
  <c r="H2294" i="4"/>
  <c r="D499" i="4"/>
  <c r="F499" i="4"/>
  <c r="F517" i="4" s="1"/>
  <c r="L17" i="2"/>
  <c r="F195" i="4" s="1"/>
  <c r="F215" i="4"/>
  <c r="I17" i="2"/>
  <c r="E194" i="4"/>
  <c r="C12" i="4"/>
  <c r="E118" i="4"/>
  <c r="E496" i="4"/>
  <c r="F496" i="4" s="1"/>
  <c r="F515" i="4" s="1"/>
  <c r="B2441" i="4"/>
  <c r="B1199" i="4"/>
  <c r="E1214" i="4" s="1"/>
  <c r="E119" i="4"/>
  <c r="E422" i="4"/>
  <c r="Z26" i="2"/>
  <c r="L20" i="2"/>
  <c r="F312" i="4"/>
  <c r="F329" i="4"/>
  <c r="F1667" i="4"/>
  <c r="B1403" i="4"/>
  <c r="C4" i="4"/>
  <c r="E461" i="4"/>
  <c r="B2070" i="4"/>
  <c r="L15" i="2"/>
  <c r="D463" i="4"/>
  <c r="F463" i="4" s="1"/>
  <c r="F483" i="4" s="1"/>
  <c r="C13" i="4"/>
  <c r="C7" i="4"/>
  <c r="I18" i="2"/>
  <c r="C10" i="4"/>
  <c r="I21" i="2"/>
  <c r="E346" i="4" s="1"/>
  <c r="F346" i="4" s="1"/>
  <c r="F365" i="4" s="1"/>
  <c r="E1064" i="4"/>
  <c r="L21" i="2"/>
  <c r="D347" i="4" s="1"/>
  <c r="F347" i="4" s="1"/>
  <c r="F368" i="4" s="1"/>
  <c r="L18" i="2"/>
  <c r="F234" i="4" s="1"/>
  <c r="F253" i="4" s="1"/>
  <c r="I19" i="2"/>
  <c r="E271" i="4"/>
  <c r="B2663" i="4"/>
  <c r="B1627" i="4"/>
  <c r="B2145" i="4"/>
  <c r="B2775" i="4"/>
  <c r="B2849" i="4"/>
  <c r="E14" i="2"/>
  <c r="L16" i="2"/>
  <c r="AC21" i="2"/>
  <c r="D349" i="4"/>
  <c r="F349" i="4"/>
  <c r="F367" i="4"/>
  <c r="D2942" i="4"/>
  <c r="F2942" i="4" s="1"/>
  <c r="F2959" i="4" s="1"/>
  <c r="D1314" i="4"/>
  <c r="F1314" i="4"/>
  <c r="F1318" i="4" s="1"/>
  <c r="F1336" i="4" s="1"/>
  <c r="D536" i="4"/>
  <c r="F536" i="4"/>
  <c r="D944" i="4"/>
  <c r="J24" i="2"/>
  <c r="N24" i="2" s="1"/>
  <c r="B2331" i="4"/>
  <c r="B2627" i="4"/>
  <c r="B2737" i="4"/>
  <c r="B2958" i="4"/>
  <c r="B1997" i="4"/>
  <c r="B2479" i="4"/>
  <c r="B2405" i="4"/>
  <c r="B2589" i="4"/>
  <c r="B1590" i="4"/>
  <c r="B1923" i="4"/>
  <c r="B2922" i="4"/>
  <c r="B2701" i="4"/>
  <c r="I25" i="2"/>
  <c r="L25" i="2"/>
  <c r="D498" i="4" s="1"/>
  <c r="F498" i="4"/>
  <c r="F519" i="4" s="1"/>
  <c r="C14" i="4"/>
  <c r="D390" i="4"/>
  <c r="F390" i="4"/>
  <c r="F406" i="4"/>
  <c r="AC22" i="2"/>
  <c r="B1330" i="4"/>
  <c r="B1701" i="4"/>
  <c r="B1665" i="4"/>
  <c r="H14" i="2"/>
  <c r="D2315" i="4"/>
  <c r="F2315" i="4" s="1"/>
  <c r="D1907" i="4"/>
  <c r="F1907" i="4"/>
  <c r="B1478" i="4"/>
  <c r="B1849" i="4"/>
  <c r="B2183" i="4"/>
  <c r="B2811" i="4"/>
  <c r="E158" i="4"/>
  <c r="B622" i="4"/>
  <c r="B15" i="2"/>
  <c r="D4" i="4" s="1"/>
  <c r="B1848" i="4"/>
  <c r="B2440" i="4"/>
  <c r="B2662" i="4"/>
  <c r="B2848" i="4"/>
  <c r="B2182" i="4"/>
  <c r="B1738" i="4"/>
  <c r="I20" i="2"/>
  <c r="E311" i="4" s="1"/>
  <c r="F311" i="4" s="1"/>
  <c r="F326" i="4" s="1"/>
  <c r="C9" i="4"/>
  <c r="E310" i="4"/>
  <c r="D612" i="4"/>
  <c r="F612" i="4"/>
  <c r="F629" i="4" s="1"/>
  <c r="D2351" i="4"/>
  <c r="F2351" i="4" s="1"/>
  <c r="F2368" i="4" s="1"/>
  <c r="D761" i="4"/>
  <c r="F761" i="4"/>
  <c r="F778" i="4"/>
  <c r="D310" i="4"/>
  <c r="F310" i="4" s="1"/>
  <c r="D1685" i="4"/>
  <c r="F1685" i="4" s="1"/>
  <c r="H21" i="2"/>
  <c r="H17" i="2"/>
  <c r="D2019" i="4"/>
  <c r="F2019" i="4"/>
  <c r="F2036" i="4" s="1"/>
  <c r="D1536" i="4"/>
  <c r="F1536" i="4" s="1"/>
  <c r="D2759" i="4"/>
  <c r="D945" i="4"/>
  <c r="F945" i="4" s="1"/>
  <c r="F962" i="4"/>
  <c r="D83" i="4"/>
  <c r="F83" i="4" s="1"/>
  <c r="F100" i="4" s="1"/>
  <c r="J17" i="2"/>
  <c r="B1442" i="4"/>
  <c r="B1552" i="4"/>
  <c r="D496" i="4"/>
  <c r="D193" i="4"/>
  <c r="F193" i="4"/>
  <c r="F198" i="4" s="1"/>
  <c r="B2219" i="4"/>
  <c r="D1611" i="4"/>
  <c r="F1611" i="4"/>
  <c r="F1615" i="4" s="1"/>
  <c r="I22" i="2"/>
  <c r="F2612" i="4"/>
  <c r="F2629" i="4" s="1"/>
  <c r="F1724" i="4"/>
  <c r="F1741" i="4" s="1"/>
  <c r="B772" i="4"/>
  <c r="B844" i="4"/>
  <c r="F2168" i="4"/>
  <c r="F2185" i="4"/>
  <c r="D1179" i="4"/>
  <c r="F1686" i="4"/>
  <c r="F1703" i="4"/>
  <c r="F1575" i="4"/>
  <c r="F1592" i="4"/>
  <c r="B16" i="2"/>
  <c r="D5" i="4" s="1"/>
  <c r="E497" i="4"/>
  <c r="B992" i="4"/>
  <c r="E992" i="4"/>
  <c r="B39" i="4"/>
  <c r="B53" i="4"/>
  <c r="V44" i="8"/>
  <c r="B1447" i="4"/>
  <c r="H1443" i="4" s="1"/>
  <c r="B892" i="4"/>
  <c r="H887" i="4"/>
  <c r="B2706" i="4"/>
  <c r="H2702" i="4" s="1"/>
  <c r="B1966" i="4"/>
  <c r="H1962" i="4" s="1"/>
  <c r="X26" i="2"/>
  <c r="F14" i="2"/>
  <c r="W9" i="8"/>
  <c r="D85" i="4"/>
  <c r="F85" i="4" s="1"/>
  <c r="F101" i="4" s="1"/>
  <c r="H80" i="1"/>
  <c r="Q80" i="1" s="1"/>
  <c r="AC16" i="2"/>
  <c r="F177" i="4"/>
  <c r="D162" i="4"/>
  <c r="F162" i="4"/>
  <c r="D161" i="4"/>
  <c r="F161" i="4"/>
  <c r="F176" i="4" s="1"/>
  <c r="V20" i="8"/>
  <c r="L22" i="2"/>
  <c r="D388" i="4" s="1"/>
  <c r="F388" i="4"/>
  <c r="F407" i="4" s="1"/>
  <c r="C11" i="4"/>
  <c r="H22" i="2"/>
  <c r="D43" i="4"/>
  <c r="F43" i="4" s="1"/>
  <c r="F60" i="4" s="1"/>
  <c r="D722" i="4"/>
  <c r="F722" i="4" s="1"/>
  <c r="F741" i="4"/>
  <c r="D797" i="4"/>
  <c r="F797" i="4" s="1"/>
  <c r="F814" i="4" s="1"/>
  <c r="D387" i="4"/>
  <c r="D871" i="4"/>
  <c r="F871" i="4"/>
  <c r="F888" i="4" s="1"/>
  <c r="J19" i="2"/>
  <c r="D271" i="4"/>
  <c r="D346" i="4"/>
  <c r="J13" i="2"/>
  <c r="D688" i="4"/>
  <c r="F688" i="4" s="1"/>
  <c r="F704" i="4"/>
  <c r="J25" i="2"/>
  <c r="D572" i="4"/>
  <c r="F572" i="4" s="1"/>
  <c r="F591" i="4" s="1"/>
  <c r="J14" i="2"/>
  <c r="N14" i="2" s="1"/>
  <c r="D909" i="4"/>
  <c r="F909" i="4" s="1"/>
  <c r="F926" i="4" s="1"/>
  <c r="D159" i="4"/>
  <c r="D1131" i="4"/>
  <c r="F1131" i="4" s="1"/>
  <c r="F1148" i="4" s="1"/>
  <c r="D1018" i="4"/>
  <c r="F1018" i="4" s="1"/>
  <c r="F1034" i="4" s="1"/>
  <c r="D497" i="4"/>
  <c r="F497" i="4" s="1"/>
  <c r="F516" i="4" s="1"/>
  <c r="D423" i="4"/>
  <c r="D194" i="4"/>
  <c r="F194" i="4"/>
  <c r="F212" i="4" s="1"/>
  <c r="J20" i="2"/>
  <c r="N20" i="2" s="1"/>
  <c r="Q20" i="2" s="1"/>
  <c r="D983" i="4"/>
  <c r="F1171" i="4"/>
  <c r="F1188" i="4" s="1"/>
  <c r="B1515" i="4"/>
  <c r="B2256" i="4"/>
  <c r="B1664" i="4"/>
  <c r="B1329" i="4"/>
  <c r="B1441" i="4"/>
  <c r="B1589" i="4"/>
  <c r="B2330" i="4"/>
  <c r="B1367" i="4"/>
  <c r="B2700" i="4"/>
  <c r="B2404" i="4"/>
  <c r="B2218" i="4"/>
  <c r="B1293" i="4"/>
  <c r="B1960" i="4"/>
  <c r="B2774" i="4"/>
  <c r="B1812" i="4"/>
  <c r="B1551" i="4"/>
  <c r="B2552" i="4"/>
  <c r="B1626" i="4"/>
  <c r="B2957" i="4"/>
  <c r="B2514" i="4"/>
  <c r="B2478" i="4"/>
  <c r="B2921" i="4"/>
  <c r="B2810" i="4"/>
  <c r="B2034" i="4"/>
  <c r="B2884" i="4"/>
  <c r="B2108" i="4"/>
  <c r="B2292" i="4"/>
  <c r="B2588" i="4"/>
  <c r="B2366" i="4"/>
  <c r="J21" i="2"/>
  <c r="N21" i="2"/>
  <c r="Q21" i="2" s="1"/>
  <c r="D233" i="4"/>
  <c r="D835" i="4"/>
  <c r="F835" i="4"/>
  <c r="F852" i="4" s="1"/>
  <c r="D119" i="4"/>
  <c r="F119" i="4"/>
  <c r="F137" i="4"/>
  <c r="B2626" i="4"/>
  <c r="B1477" i="4"/>
  <c r="B2144" i="4"/>
  <c r="B1886" i="4"/>
  <c r="B1255" i="4"/>
  <c r="B2736" i="4"/>
  <c r="B1996" i="4"/>
  <c r="E1140" i="4"/>
  <c r="B1140" i="4"/>
  <c r="E270" i="4"/>
  <c r="H19" i="2"/>
  <c r="E386" i="4"/>
  <c r="D311" i="4"/>
  <c r="D762" i="4"/>
  <c r="F762" i="4" s="1"/>
  <c r="F779" i="4" s="1"/>
  <c r="D537" i="4"/>
  <c r="F537" i="4" s="1"/>
  <c r="F554" i="4" s="1"/>
  <c r="B168" i="4"/>
  <c r="J15" i="2"/>
  <c r="D649" i="4"/>
  <c r="F649" i="4"/>
  <c r="F667" i="4" s="1"/>
  <c r="B1922" i="4"/>
  <c r="E30" i="4"/>
  <c r="B2995" i="4"/>
  <c r="L19" i="2"/>
  <c r="F272" i="4" s="1"/>
  <c r="B1700" i="4"/>
  <c r="B1774" i="4"/>
  <c r="C8" i="4"/>
  <c r="D810" i="4"/>
  <c r="H1051" i="4"/>
  <c r="F1760" i="4"/>
  <c r="F1777" i="4"/>
  <c r="N17" i="2"/>
  <c r="F1628" i="4"/>
  <c r="F617" i="4"/>
  <c r="C634" i="4" s="1"/>
  <c r="F766" i="4"/>
  <c r="F783" i="4" s="1"/>
  <c r="H20" i="2"/>
  <c r="H24" i="2"/>
  <c r="D982" i="4"/>
  <c r="F982" i="4"/>
  <c r="F998" i="4"/>
  <c r="D1462" i="4"/>
  <c r="F1462" i="4" s="1"/>
  <c r="F1466" i="4" s="1"/>
  <c r="D2980" i="4"/>
  <c r="F2980" i="4" s="1"/>
  <c r="D2129" i="4"/>
  <c r="F2129" i="4" s="1"/>
  <c r="D422" i="4"/>
  <c r="F422" i="4"/>
  <c r="F439" i="4" s="1"/>
  <c r="H13" i="2"/>
  <c r="N13" i="2" s="1"/>
  <c r="D1240" i="4"/>
  <c r="F1240" i="4" s="1"/>
  <c r="H16" i="2"/>
  <c r="D2611" i="4"/>
  <c r="F2611" i="4" s="1"/>
  <c r="F2615" i="4" s="1"/>
  <c r="D2499" i="4"/>
  <c r="D2795" i="4"/>
  <c r="F2795" i="4"/>
  <c r="F2799" i="4" s="1"/>
  <c r="F2812" i="4"/>
  <c r="D1574" i="4"/>
  <c r="F1574" i="4" s="1"/>
  <c r="F1578" i="4" s="1"/>
  <c r="D571" i="4"/>
  <c r="F571" i="4"/>
  <c r="D2537" i="4"/>
  <c r="F2537" i="4"/>
  <c r="F2541" i="4" s="1"/>
  <c r="D2463" i="4"/>
  <c r="D2093" i="4"/>
  <c r="D1426" i="4"/>
  <c r="F1426" i="4"/>
  <c r="D270" i="4"/>
  <c r="F270" i="4" s="1"/>
  <c r="F275" i="4" s="1"/>
  <c r="C293" i="4" s="1"/>
  <c r="D1981" i="4"/>
  <c r="F1981" i="4" s="1"/>
  <c r="F1998" i="4" s="1"/>
  <c r="F1985" i="4"/>
  <c r="F2003" i="4" s="1"/>
  <c r="H23" i="2"/>
  <c r="D1833" i="4"/>
  <c r="F1833" i="4" s="1"/>
  <c r="F1837" i="4" s="1"/>
  <c r="D42" i="4"/>
  <c r="D232" i="4"/>
  <c r="F232" i="4" s="1"/>
  <c r="D345" i="4"/>
  <c r="F345" i="4"/>
  <c r="F364" i="4" s="1"/>
  <c r="D386" i="4"/>
  <c r="F386" i="4" s="1"/>
  <c r="F403" i="4" s="1"/>
  <c r="D1017" i="4"/>
  <c r="F1017" i="4" s="1"/>
  <c r="F1023" i="4" s="1"/>
  <c r="D2389" i="4"/>
  <c r="F2389" i="4"/>
  <c r="D870" i="4"/>
  <c r="F870" i="4"/>
  <c r="F887" i="4"/>
  <c r="D687" i="4"/>
  <c r="F687" i="4"/>
  <c r="D2573" i="4"/>
  <c r="F2577" i="4"/>
  <c r="F2595" i="4" s="1"/>
  <c r="D2833" i="4"/>
  <c r="F2833" i="4" s="1"/>
  <c r="F2850" i="4" s="1"/>
  <c r="D1130" i="4"/>
  <c r="F1130" i="4" s="1"/>
  <c r="F1147" i="4" s="1"/>
  <c r="D1723" i="4"/>
  <c r="F1723" i="4" s="1"/>
  <c r="D82" i="4"/>
  <c r="F82" i="4" s="1"/>
  <c r="F99" i="4"/>
  <c r="D1388" i="4"/>
  <c r="F1388" i="4"/>
  <c r="F1392" i="4" s="1"/>
  <c r="F1405" i="4"/>
  <c r="D2241" i="4"/>
  <c r="F2241" i="4" s="1"/>
  <c r="F2258" i="4" s="1"/>
  <c r="D1871" i="4"/>
  <c r="F1871" i="4" s="1"/>
  <c r="F1875" i="4" s="1"/>
  <c r="F1888" i="4"/>
  <c r="D2869" i="4"/>
  <c r="F2869" i="4"/>
  <c r="F2886" i="4" s="1"/>
  <c r="D2203" i="4"/>
  <c r="F2203" i="4" s="1"/>
  <c r="D1797" i="4"/>
  <c r="F1797" i="4" s="1"/>
  <c r="D2647" i="4"/>
  <c r="F2647" i="4" s="1"/>
  <c r="F2651" i="4" s="1"/>
  <c r="D118" i="4"/>
  <c r="F118" i="4"/>
  <c r="F136" i="4"/>
  <c r="D2685" i="4"/>
  <c r="F2685" i="4" s="1"/>
  <c r="D1649" i="4"/>
  <c r="F1649" i="4"/>
  <c r="F1653" i="4" s="1"/>
  <c r="D1945" i="4"/>
  <c r="F1945" i="4"/>
  <c r="F1949" i="4"/>
  <c r="F1967" i="4" s="1"/>
  <c r="D721" i="4"/>
  <c r="F721" i="4" s="1"/>
  <c r="D2425" i="4"/>
  <c r="F2425" i="4"/>
  <c r="D2167" i="4"/>
  <c r="F2167" i="4" s="1"/>
  <c r="D2907" i="4"/>
  <c r="F2907" i="4" s="1"/>
  <c r="D2721" i="4"/>
  <c r="D461" i="4"/>
  <c r="F461" i="4" s="1"/>
  <c r="D1352" i="4"/>
  <c r="H15" i="2"/>
  <c r="N15" i="2"/>
  <c r="D158" i="4"/>
  <c r="F158" i="4"/>
  <c r="F174" i="4" s="1"/>
  <c r="D2055" i="4"/>
  <c r="F2055" i="4" s="1"/>
  <c r="D1759" i="4"/>
  <c r="F1759" i="4"/>
  <c r="D908" i="4"/>
  <c r="F908" i="4" s="1"/>
  <c r="F925" i="4" s="1"/>
  <c r="D796" i="4"/>
  <c r="F796" i="4"/>
  <c r="F813" i="4" s="1"/>
  <c r="H18" i="2"/>
  <c r="D834" i="4"/>
  <c r="F834" i="4"/>
  <c r="F839" i="4" s="1"/>
  <c r="F851" i="4"/>
  <c r="D1278" i="4"/>
  <c r="F1278" i="4"/>
  <c r="D2277" i="4"/>
  <c r="F2277" i="4" s="1"/>
  <c r="F2281" i="4" s="1"/>
  <c r="D648" i="4"/>
  <c r="F648" i="4" s="1"/>
  <c r="F653" i="4" s="1"/>
  <c r="D1500" i="4"/>
  <c r="F1500" i="4"/>
  <c r="F1504" i="4" s="1"/>
  <c r="C1521" i="4" s="1"/>
  <c r="H25" i="2"/>
  <c r="N25" i="2" s="1"/>
  <c r="F2837" i="4"/>
  <c r="F2855" i="4" s="1"/>
  <c r="F2590" i="4"/>
  <c r="F288" i="4"/>
  <c r="F1962" i="4"/>
  <c r="C1336" i="4"/>
  <c r="B634" i="4"/>
  <c r="H629" i="4"/>
  <c r="B2854" i="4"/>
  <c r="H2850" i="4" s="1"/>
  <c r="B2595" i="4"/>
  <c r="H2590" i="4"/>
  <c r="B2225" i="4"/>
  <c r="H2220" i="4" s="1"/>
  <c r="B1670" i="4"/>
  <c r="B745" i="4"/>
  <c r="H740" i="4" s="1"/>
  <c r="B1929" i="4"/>
  <c r="B1595" i="4"/>
  <c r="H1591" i="4"/>
  <c r="B1707" i="4"/>
  <c r="H1702" i="4" s="1"/>
  <c r="B2891" i="4"/>
  <c r="H2886" i="4"/>
  <c r="B1299" i="4"/>
  <c r="B1002" i="4"/>
  <c r="H998" i="4" s="1"/>
  <c r="B2447" i="4"/>
  <c r="H2442" i="4"/>
  <c r="B2484" i="4"/>
  <c r="H2480" i="4" s="1"/>
  <c r="B1855" i="4"/>
  <c r="H1850" i="4"/>
  <c r="B520" i="4"/>
  <c r="H515" i="4" s="1"/>
  <c r="F213" i="4"/>
  <c r="D197" i="4"/>
  <c r="F197" i="4" s="1"/>
  <c r="F214" i="4" s="1"/>
  <c r="Q17" i="2"/>
  <c r="AC17" i="2"/>
  <c r="V23" i="8"/>
  <c r="V24" i="8" s="1"/>
  <c r="D45" i="4"/>
  <c r="F45" i="4" s="1"/>
  <c r="AC18" i="2"/>
  <c r="D236" i="4"/>
  <c r="F236" i="4" s="1"/>
  <c r="F252" i="4" s="1"/>
  <c r="D235" i="4"/>
  <c r="F235" i="4" s="1"/>
  <c r="F251" i="4" s="1"/>
  <c r="V6" i="8"/>
  <c r="V7" i="8" s="1"/>
  <c r="AC13" i="2"/>
  <c r="D46" i="4"/>
  <c r="F46" i="4"/>
  <c r="F62" i="4"/>
  <c r="D121" i="4"/>
  <c r="F121" i="4" s="1"/>
  <c r="B1214" i="4"/>
  <c r="F2355" i="4"/>
  <c r="F2373" i="4" s="1"/>
  <c r="C783" i="4"/>
  <c r="F2023" i="4"/>
  <c r="F1221" i="4"/>
  <c r="F987" i="4"/>
  <c r="F1003" i="4" s="1"/>
  <c r="F478" i="4"/>
  <c r="F2393" i="4"/>
  <c r="C2410" i="4" s="1"/>
  <c r="F2406" i="4"/>
  <c r="F540" i="4"/>
  <c r="C558" i="4" s="1"/>
  <c r="F553" i="4"/>
  <c r="C30" i="4"/>
  <c r="F249" i="4"/>
  <c r="F2463" i="4"/>
  <c r="F2467" i="4" s="1"/>
  <c r="F2485" i="4" s="1"/>
  <c r="C1188" i="4"/>
  <c r="F2763" i="4"/>
  <c r="C2780" i="4" s="1"/>
  <c r="F1924" i="4"/>
  <c r="F1911" i="4"/>
  <c r="H1127" i="4"/>
  <c r="H1142" i="4"/>
  <c r="D1143" i="4"/>
  <c r="D1106" i="4"/>
  <c r="H1106" i="4"/>
  <c r="F875" i="4"/>
  <c r="F892" i="4"/>
  <c r="F1331" i="4"/>
  <c r="F983" i="4"/>
  <c r="F999" i="4" s="1"/>
  <c r="F271" i="4"/>
  <c r="F289" i="4" s="1"/>
  <c r="F2722" i="4"/>
  <c r="F2739" i="4" s="1"/>
  <c r="F1463" i="4"/>
  <c r="F1480" i="4"/>
  <c r="E918" i="4"/>
  <c r="B918" i="4"/>
  <c r="E697" i="4"/>
  <c r="B697" i="4"/>
  <c r="E547" i="4"/>
  <c r="B547" i="4"/>
  <c r="B243" i="4"/>
  <c r="F1908" i="4"/>
  <c r="F1925" i="4"/>
  <c r="F1689" i="4"/>
  <c r="F1707" i="4" s="1"/>
  <c r="F1702" i="4"/>
  <c r="C892" i="4"/>
  <c r="F1929" i="4"/>
  <c r="C1929" i="4"/>
  <c r="C2484" i="4"/>
  <c r="F2480" i="4"/>
  <c r="F2411" i="4"/>
  <c r="F558" i="4"/>
  <c r="C1707" i="4"/>
  <c r="F1295" i="4"/>
  <c r="F1282" i="4"/>
  <c r="F1300" i="4" s="1"/>
  <c r="F1763" i="4"/>
  <c r="F1781" i="4" s="1"/>
  <c r="F1776" i="4"/>
  <c r="F801" i="4"/>
  <c r="D1054" i="4"/>
  <c r="F1071" i="4" s="1"/>
  <c r="F726" i="4"/>
  <c r="F740" i="4"/>
  <c r="C2595" i="4"/>
  <c r="C2003" i="4"/>
  <c r="F2554" i="4"/>
  <c r="C1966" i="4"/>
  <c r="F1135" i="4"/>
  <c r="C1151" i="4" s="1"/>
  <c r="F1479" i="4"/>
  <c r="F2294" i="4"/>
  <c r="F2725" i="4"/>
  <c r="F2743" i="4" s="1"/>
  <c r="F2738" i="4"/>
  <c r="F2429" i="4"/>
  <c r="F2442" i="4"/>
  <c r="F2245" i="4"/>
  <c r="F2263" i="4" s="1"/>
  <c r="F1257" i="4"/>
  <c r="F1244" i="4"/>
  <c r="F1262" i="4" s="1"/>
  <c r="F292" i="4"/>
  <c r="F913" i="4"/>
  <c r="C929" i="4" s="1"/>
  <c r="F666" i="4"/>
  <c r="C1633" i="4"/>
  <c r="F1633" i="4"/>
  <c r="E93" i="4"/>
  <c r="B93" i="4"/>
  <c r="F293" i="4"/>
  <c r="C745" i="4"/>
  <c r="F745" i="4"/>
  <c r="F930" i="4"/>
  <c r="F1152" i="4"/>
  <c r="C1262" i="4"/>
  <c r="F2447" i="4"/>
  <c r="C2447" i="4"/>
  <c r="V11" i="8" l="1"/>
  <c r="P14" i="2" s="1"/>
  <c r="Q25" i="2"/>
  <c r="AC25" i="2"/>
  <c r="D500" i="4"/>
  <c r="F500" i="4" s="1"/>
  <c r="H1924" i="4"/>
  <c r="H1295" i="4"/>
  <c r="H1666" i="4"/>
  <c r="H42" i="1"/>
  <c r="N54" i="5"/>
  <c r="D32" i="1"/>
  <c r="Q78" i="1"/>
  <c r="R78" i="1" s="1"/>
  <c r="H81" i="1"/>
  <c r="Q81" i="1" s="1"/>
  <c r="N55" i="5"/>
  <c r="D21" i="1"/>
  <c r="R80" i="1"/>
  <c r="E11" i="3"/>
  <c r="B1892" i="4"/>
  <c r="H1888" i="4" s="1"/>
  <c r="B2114" i="4"/>
  <c r="H2110" i="4" s="1"/>
  <c r="B1558" i="4"/>
  <c r="H1553" i="4" s="1"/>
  <c r="B2964" i="4"/>
  <c r="H2959" i="4" s="1"/>
  <c r="B708" i="4"/>
  <c r="H703" i="4" s="1"/>
  <c r="B408" i="4"/>
  <c r="B2521" i="4"/>
  <c r="H2516" i="4" s="1"/>
  <c r="B1818" i="4"/>
  <c r="H1814" i="4" s="1"/>
  <c r="B254" i="4"/>
  <c r="B2927" i="4"/>
  <c r="H2923" i="4" s="1"/>
  <c r="B2003" i="4"/>
  <c r="H1998" i="4" s="1"/>
  <c r="B369" i="4"/>
  <c r="B2077" i="4"/>
  <c r="H2072" i="4" s="1"/>
  <c r="B141" i="4"/>
  <c r="B1075" i="4"/>
  <c r="H1071" i="4" s="1"/>
  <c r="B2188" i="4"/>
  <c r="H2184" i="4" s="1"/>
  <c r="B2410" i="4"/>
  <c r="H2406" i="4" s="1"/>
  <c r="B2373" i="4"/>
  <c r="H2368" i="4" s="1"/>
  <c r="B3001" i="4"/>
  <c r="H2997" i="4" s="1"/>
  <c r="B595" i="4"/>
  <c r="H590" i="4" s="1"/>
  <c r="B2336" i="4"/>
  <c r="H2332" i="4" s="1"/>
  <c r="B1744" i="4"/>
  <c r="H1740" i="4" s="1"/>
  <c r="B2817" i="4"/>
  <c r="H2812" i="4" s="1"/>
  <c r="B104" i="4"/>
  <c r="B2780" i="4"/>
  <c r="H2776" i="4" s="1"/>
  <c r="B1410" i="4"/>
  <c r="H1405" i="4" s="1"/>
  <c r="B1633" i="4"/>
  <c r="H1628" i="4" s="1"/>
  <c r="B216" i="4"/>
  <c r="B1262" i="4"/>
  <c r="H1257" i="4" s="1"/>
  <c r="B293" i="4"/>
  <c r="B1484" i="4"/>
  <c r="H1479" i="4" s="1"/>
  <c r="B2040" i="4"/>
  <c r="H2036" i="4" s="1"/>
  <c r="B1373" i="4"/>
  <c r="H1369" i="4" s="1"/>
  <c r="B671" i="4"/>
  <c r="H666" i="4" s="1"/>
  <c r="B929" i="4"/>
  <c r="H925" i="4" s="1"/>
  <c r="B444" i="4"/>
  <c r="Y43" i="8"/>
  <c r="Y45" i="8" s="1"/>
  <c r="C2632" i="4"/>
  <c r="F2633" i="4"/>
  <c r="F2059" i="4"/>
  <c r="F2072" i="4"/>
  <c r="Q13" i="2"/>
  <c r="C2299" i="4"/>
  <c r="F2299" i="4"/>
  <c r="F2559" i="4"/>
  <c r="C2558" i="4"/>
  <c r="C1670" i="4"/>
  <c r="F1671" i="4"/>
  <c r="C216" i="4"/>
  <c r="F216" i="4"/>
  <c r="C1855" i="4"/>
  <c r="F1855" i="4"/>
  <c r="F2689" i="4"/>
  <c r="F2702" i="4"/>
  <c r="F1596" i="4"/>
  <c r="C1595" i="4"/>
  <c r="F1484" i="4"/>
  <c r="C1484" i="4"/>
  <c r="F2911" i="4"/>
  <c r="F2923" i="4"/>
  <c r="F1740" i="4"/>
  <c r="F1727" i="4"/>
  <c r="F2171" i="4"/>
  <c r="F2184" i="4"/>
  <c r="D424" i="4"/>
  <c r="F424" i="4" s="1"/>
  <c r="F443" i="4" s="1"/>
  <c r="N23" i="2"/>
  <c r="C1299" i="4"/>
  <c r="F211" i="4"/>
  <c r="F1054" i="4"/>
  <c r="F1058" i="4" s="1"/>
  <c r="F1666" i="4"/>
  <c r="C2373" i="4"/>
  <c r="F634" i="4"/>
  <c r="F2516" i="4"/>
  <c r="F671" i="4"/>
  <c r="C671" i="4"/>
  <c r="F2946" i="4"/>
  <c r="S61" i="5"/>
  <c r="F2873" i="4"/>
  <c r="F2781" i="4"/>
  <c r="C1781" i="4"/>
  <c r="F1522" i="4"/>
  <c r="F1226" i="4"/>
  <c r="F2664" i="4"/>
  <c r="C1892" i="4"/>
  <c r="F1893" i="4"/>
  <c r="F325" i="4"/>
  <c r="F315" i="4"/>
  <c r="F2628" i="4"/>
  <c r="F1033" i="4"/>
  <c r="F692" i="4"/>
  <c r="F703" i="4"/>
  <c r="F576" i="4"/>
  <c r="F590" i="4"/>
  <c r="B17" i="2"/>
  <c r="F2319" i="4"/>
  <c r="F2332" i="4"/>
  <c r="F2110" i="4"/>
  <c r="F2097" i="4"/>
  <c r="F2133" i="4"/>
  <c r="F2146" i="4"/>
  <c r="C1410" i="4"/>
  <c r="F1410" i="4"/>
  <c r="J22" i="2"/>
  <c r="N22" i="2" s="1"/>
  <c r="Q22" i="2" s="1"/>
  <c r="E387" i="4"/>
  <c r="F387" i="4" s="1"/>
  <c r="F404" i="4" s="1"/>
  <c r="E233" i="4"/>
  <c r="F233" i="4" s="1"/>
  <c r="J18" i="2"/>
  <c r="N18" i="2" s="1"/>
  <c r="Q18" i="2" s="1"/>
  <c r="C2521" i="4"/>
  <c r="F2521" i="4"/>
  <c r="F2997" i="4"/>
  <c r="F3002" i="4" s="1"/>
  <c r="C3001" i="4" s="1"/>
  <c r="F2984" i="4"/>
  <c r="E472" i="4"/>
  <c r="B472" i="4"/>
  <c r="F2220" i="4"/>
  <c r="F2207" i="4"/>
  <c r="C1002" i="4"/>
  <c r="F856" i="4"/>
  <c r="C855" i="4"/>
  <c r="C2743" i="4"/>
  <c r="C2669" i="4"/>
  <c r="F2669" i="4"/>
  <c r="C2817" i="4"/>
  <c r="F2817" i="4"/>
  <c r="F1850" i="4"/>
  <c r="C2854" i="4"/>
  <c r="F1540" i="4"/>
  <c r="F1553" i="4"/>
  <c r="C1038" i="4"/>
  <c r="F1039" i="4"/>
  <c r="F1517" i="4"/>
  <c r="C2040" i="4"/>
  <c r="F2041" i="4"/>
  <c r="F1591" i="4"/>
  <c r="C818" i="4"/>
  <c r="F818" i="4"/>
  <c r="C2262" i="4"/>
  <c r="F1814" i="4"/>
  <c r="F1801" i="4"/>
  <c r="F1430" i="4"/>
  <c r="F1443" i="4"/>
  <c r="G51" i="5"/>
  <c r="B319" i="4"/>
  <c r="E319" i="4"/>
  <c r="G26" i="2"/>
  <c r="B1961" i="4"/>
  <c r="B2035" i="4"/>
  <c r="I16" i="2"/>
  <c r="B1887" i="4"/>
  <c r="E423" i="4"/>
  <c r="F423" i="4" s="1"/>
  <c r="F440" i="4" s="1"/>
  <c r="G53" i="5"/>
  <c r="F2130" i="4"/>
  <c r="F2147" i="4" s="1"/>
  <c r="F1872" i="4"/>
  <c r="F1889" i="4" s="1"/>
  <c r="F1110" i="4"/>
  <c r="N19" i="2"/>
  <c r="Q19" i="2" s="1"/>
  <c r="B1813" i="4"/>
  <c r="B2293" i="4"/>
  <c r="B1739" i="4"/>
  <c r="E26" i="2"/>
  <c r="F160" i="4"/>
  <c r="F178" i="4" s="1"/>
  <c r="F120" i="4"/>
  <c r="F140" i="4" s="1"/>
  <c r="F2760" i="4"/>
  <c r="F2777" i="4" s="1"/>
  <c r="F1185" i="4"/>
  <c r="S59" i="5"/>
  <c r="H22" i="5"/>
  <c r="B1775" i="4"/>
  <c r="B2257" i="4"/>
  <c r="B2071" i="4"/>
  <c r="B1294" i="4"/>
  <c r="B1256" i="4"/>
  <c r="B2885" i="4"/>
  <c r="B1368" i="4"/>
  <c r="B2367" i="4"/>
  <c r="B1516" i="4"/>
  <c r="B2515" i="4"/>
  <c r="B2996" i="4"/>
  <c r="B2177" i="4"/>
  <c r="F2870" i="4"/>
  <c r="F2887" i="4" s="1"/>
  <c r="F2648" i="4"/>
  <c r="F2665" i="4" s="1"/>
  <c r="F1537" i="4"/>
  <c r="F1554" i="4" s="1"/>
  <c r="F1501" i="4"/>
  <c r="F1518" i="4" s="1"/>
  <c r="B2553" i="4"/>
  <c r="L18" i="5"/>
  <c r="F2426" i="4"/>
  <c r="F2443" i="4" s="1"/>
  <c r="F1982" i="4"/>
  <c r="F1999" i="4" s="1"/>
  <c r="G52" i="5"/>
  <c r="H52" i="5" s="1"/>
  <c r="H53" i="5" s="1"/>
  <c r="G20" i="5"/>
  <c r="G18" i="5"/>
  <c r="G56" i="5"/>
  <c r="F1352" i="4"/>
  <c r="B2109" i="4"/>
  <c r="F944" i="4"/>
  <c r="G16" i="5"/>
  <c r="G19" i="5"/>
  <c r="S60" i="5"/>
  <c r="R61" i="5"/>
  <c r="E1659" i="4"/>
  <c r="F1389" i="4"/>
  <c r="F1406" i="4" s="1"/>
  <c r="B2632" i="4"/>
  <c r="H2628" i="4" s="1"/>
  <c r="B2669" i="4"/>
  <c r="H2664" i="4" s="1"/>
  <c r="B179" i="4"/>
  <c r="J16" i="2"/>
  <c r="N16" i="2" s="1"/>
  <c r="D613" i="4"/>
  <c r="F613" i="4" s="1"/>
  <c r="F630" i="4" s="1"/>
  <c r="D462" i="4"/>
  <c r="F462" i="4" s="1"/>
  <c r="F479" i="4" s="1"/>
  <c r="F2390" i="4"/>
  <c r="F2407" i="4" s="1"/>
  <c r="V58" i="8"/>
  <c r="E2916" i="4"/>
  <c r="B2916" i="4"/>
  <c r="B330" i="4"/>
  <c r="B1584" i="4"/>
  <c r="B396" i="4"/>
  <c r="F2796" i="4"/>
  <c r="F2813" i="4" s="1"/>
  <c r="F2278" i="4"/>
  <c r="F2295" i="4" s="1"/>
  <c r="F1427" i="4"/>
  <c r="F1444" i="4" s="1"/>
  <c r="B2151" i="4"/>
  <c r="H2146" i="4" s="1"/>
  <c r="F74" i="1"/>
  <c r="H82" i="1" s="1"/>
  <c r="N73" i="1"/>
  <c r="M91" i="1"/>
  <c r="M95" i="1" s="1"/>
  <c r="O87" i="1"/>
  <c r="P87" i="1" s="1"/>
  <c r="Q87" i="1" s="1"/>
  <c r="N90" i="1"/>
  <c r="N42" i="1"/>
  <c r="L10" i="1"/>
  <c r="O26" i="2"/>
  <c r="V48" i="8"/>
  <c r="V49" i="8" s="1"/>
  <c r="Y36" i="8"/>
  <c r="Y5" i="8"/>
  <c r="D11" i="3"/>
  <c r="Y9" i="8"/>
  <c r="B479" i="4"/>
  <c r="B364" i="4"/>
  <c r="B100" i="4"/>
  <c r="B175" i="4"/>
  <c r="B705" i="4"/>
  <c r="B136" i="4"/>
  <c r="B629" i="4"/>
  <c r="B60" i="4"/>
  <c r="B404" i="4"/>
  <c r="B326" i="4"/>
  <c r="B212" i="4"/>
  <c r="B667" i="4"/>
  <c r="B780" i="4"/>
  <c r="B440" i="4"/>
  <c r="B815" i="4"/>
  <c r="E2086" i="4"/>
  <c r="E1864" i="4"/>
  <c r="E1642" i="4"/>
  <c r="E2121" i="4"/>
  <c r="E151" i="4"/>
  <c r="E2047" i="4"/>
  <c r="E975" i="4"/>
  <c r="E2530" i="4"/>
  <c r="E1567" i="4"/>
  <c r="E226" i="4"/>
  <c r="E605" i="4"/>
  <c r="E2343" i="4"/>
  <c r="E186" i="4"/>
  <c r="E640" i="4"/>
  <c r="N86" i="1"/>
  <c r="N88" i="1" s="1"/>
  <c r="H10" i="1"/>
  <c r="E2585" i="4"/>
  <c r="E1623" i="4"/>
  <c r="B1438" i="4"/>
  <c r="B2289" i="4"/>
  <c r="B55" i="4"/>
  <c r="B359" i="4"/>
  <c r="E2903" i="4"/>
  <c r="E994" i="4"/>
  <c r="E2089" i="4"/>
  <c r="E154" i="4"/>
  <c r="E2659" i="4"/>
  <c r="B2954" i="4"/>
  <c r="E2511" i="4"/>
  <c r="B2215" i="4"/>
  <c r="E2163" i="4"/>
  <c r="B1957" i="4"/>
  <c r="E2215" i="4"/>
  <c r="B1142" i="4"/>
  <c r="E207" i="4"/>
  <c r="B1290" i="4"/>
  <c r="B2771" i="4"/>
  <c r="E1771" i="4"/>
  <c r="E1422" i="4"/>
  <c r="E1809" i="4"/>
  <c r="E39" i="4"/>
  <c r="E1126" i="4"/>
  <c r="E359" i="4"/>
  <c r="E2918" i="4"/>
  <c r="E1919" i="4"/>
  <c r="E1216" i="4"/>
  <c r="E1512" i="4"/>
  <c r="E978" i="4"/>
  <c r="B2067" i="4"/>
  <c r="E585" i="4"/>
  <c r="E1735" i="4"/>
  <c r="E2237" i="4"/>
  <c r="B435" i="4"/>
  <c r="B2659" i="4"/>
  <c r="E474" i="4"/>
  <c r="E2327" i="4"/>
  <c r="B398" i="4"/>
  <c r="B2327" i="4"/>
  <c r="E549" i="4"/>
  <c r="E1364" i="4"/>
  <c r="B2179" i="4"/>
  <c r="B661" i="4"/>
  <c r="E2067" i="4"/>
  <c r="B2437" i="4"/>
  <c r="G11" i="3"/>
  <c r="M74" i="1"/>
  <c r="O82" i="1" s="1"/>
  <c r="N47" i="1"/>
  <c r="F350" i="4"/>
  <c r="F366" i="4"/>
  <c r="F21" i="2"/>
  <c r="F26" i="2" s="1"/>
  <c r="V21" i="2"/>
  <c r="H79" i="1"/>
  <c r="Q79" i="1" s="1"/>
  <c r="V26" i="2"/>
  <c r="F61" i="4"/>
  <c r="F47" i="4"/>
  <c r="M79" i="1"/>
  <c r="P79" i="1" s="1"/>
  <c r="Y51" i="8"/>
  <c r="Y53" i="8" s="1"/>
  <c r="F11" i="3"/>
  <c r="F139" i="4"/>
  <c r="Q15" i="2"/>
  <c r="D122" i="4"/>
  <c r="F122" i="4" s="1"/>
  <c r="F123" i="4" s="1"/>
  <c r="AC15" i="2"/>
  <c r="F138" i="4"/>
  <c r="I9" i="3"/>
  <c r="I10" i="3"/>
  <c r="G74" i="1"/>
  <c r="H83" i="1" s="1"/>
  <c r="B2845" i="4"/>
  <c r="E245" i="4"/>
  <c r="E2771" i="4"/>
  <c r="E1105" i="4"/>
  <c r="E2549" i="4"/>
  <c r="E2253" i="4"/>
  <c r="B1364" i="4"/>
  <c r="E920" i="4"/>
  <c r="B1809" i="4"/>
  <c r="E2363" i="4"/>
  <c r="B1845" i="4"/>
  <c r="E2881" i="4"/>
  <c r="B1586" i="4"/>
  <c r="E321" i="4"/>
  <c r="B735" i="4"/>
  <c r="E2401" i="4"/>
  <c r="E2141" i="4"/>
  <c r="B2475" i="4"/>
  <c r="B920" i="4"/>
  <c r="B1474" i="4"/>
  <c r="E2385" i="4"/>
  <c r="B1400" i="4"/>
  <c r="E131" i="4"/>
  <c r="E510" i="4"/>
  <c r="B1735" i="4"/>
  <c r="B283" i="4"/>
  <c r="B1105" i="4"/>
  <c r="E2475" i="4"/>
  <c r="B1771" i="4"/>
  <c r="B846" i="4"/>
  <c r="E809" i="4"/>
  <c r="B809" i="4"/>
  <c r="B774" i="4"/>
  <c r="B1661" i="4"/>
  <c r="E1548" i="4"/>
  <c r="E2105" i="4"/>
  <c r="E1274" i="4"/>
  <c r="E170" i="4"/>
  <c r="E1845" i="4"/>
  <c r="E624" i="4"/>
  <c r="B2031" i="4"/>
  <c r="E2459" i="4"/>
  <c r="B95" i="4"/>
  <c r="B2401" i="4"/>
  <c r="E1252" i="4"/>
  <c r="B1623" i="4"/>
  <c r="E2992" i="4"/>
  <c r="E229" i="4"/>
  <c r="B2549" i="4"/>
  <c r="E2623" i="4"/>
  <c r="E435" i="4"/>
  <c r="B1326" i="4"/>
  <c r="E1348" i="4"/>
  <c r="E2607" i="4"/>
  <c r="E283" i="4"/>
  <c r="E78" i="4"/>
  <c r="E1883" i="4"/>
  <c r="E1496" i="4"/>
  <c r="B624" i="4"/>
  <c r="B207" i="4"/>
  <c r="B2807" i="4"/>
  <c r="E1290" i="4"/>
  <c r="E1326" i="4"/>
  <c r="B2697" i="4"/>
  <c r="E1029" i="4"/>
  <c r="E846" i="4"/>
  <c r="E2733" i="4"/>
  <c r="B321" i="4"/>
  <c r="B2141" i="4"/>
  <c r="E882" i="4"/>
  <c r="E95" i="4"/>
  <c r="B1252" i="4"/>
  <c r="B994" i="4"/>
  <c r="E2437" i="4"/>
  <c r="B2881" i="4"/>
  <c r="E608" i="4"/>
  <c r="E661" i="4"/>
  <c r="B549" i="4"/>
  <c r="E1066" i="4"/>
  <c r="E2755" i="4"/>
  <c r="E2829" i="4"/>
  <c r="E398" i="4"/>
  <c r="B2585" i="4"/>
  <c r="E1142" i="4"/>
  <c r="E1162" i="4" s="1"/>
  <c r="E1400" i="4"/>
  <c r="E683" i="4"/>
  <c r="E1438" i="4"/>
  <c r="B1919" i="4"/>
  <c r="B1548" i="4"/>
  <c r="E1719" i="4"/>
  <c r="E757" i="4"/>
  <c r="B1512" i="4"/>
  <c r="E2845" i="4"/>
  <c r="B170" i="4"/>
  <c r="E1793" i="4"/>
  <c r="E1867" i="4"/>
  <c r="E2289" i="4"/>
  <c r="B2253" i="4"/>
  <c r="B1993" i="4"/>
  <c r="E2681" i="4"/>
  <c r="E1178" i="4"/>
  <c r="E1200" i="4"/>
  <c r="B699" i="4"/>
  <c r="E2311" i="4"/>
  <c r="B2511" i="4"/>
  <c r="B474" i="4"/>
  <c r="E532" i="4"/>
  <c r="E1661" i="4"/>
  <c r="E1941" i="4"/>
  <c r="E2954" i="4"/>
  <c r="E830" i="4"/>
  <c r="E306" i="4"/>
  <c r="E1474" i="4"/>
  <c r="E1645" i="4"/>
  <c r="B882" i="4"/>
  <c r="E55" i="4"/>
  <c r="E2031" i="4"/>
  <c r="E1993" i="4"/>
  <c r="B1697" i="4"/>
  <c r="B2105" i="4"/>
  <c r="B1216" i="4"/>
  <c r="E1586" i="4"/>
  <c r="E1050" i="4"/>
  <c r="E1089" i="4" s="1"/>
  <c r="E1570" i="4"/>
  <c r="E2179" i="4"/>
  <c r="B2623" i="4"/>
  <c r="E2015" i="4"/>
  <c r="E1957" i="4"/>
  <c r="B2918" i="4"/>
  <c r="B510" i="4"/>
  <c r="E2697" i="4"/>
  <c r="B131" i="4"/>
  <c r="E2807" i="4"/>
  <c r="B2363" i="4"/>
  <c r="E1697" i="4"/>
  <c r="B957" i="4"/>
  <c r="B1066" i="4"/>
  <c r="B245" i="4"/>
  <c r="E774" i="4"/>
  <c r="E957" i="4"/>
  <c r="B585" i="4"/>
  <c r="B1178" i="4"/>
  <c r="B2992" i="4"/>
  <c r="B1029" i="4"/>
  <c r="B2733" i="4"/>
  <c r="E2533" i="4"/>
  <c r="E904" i="4"/>
  <c r="E2976" i="4"/>
  <c r="B1883" i="4"/>
  <c r="E754" i="4"/>
  <c r="E2752" i="4"/>
  <c r="E379" i="4"/>
  <c r="E2456" i="4"/>
  <c r="E1938" i="4"/>
  <c r="E2900" i="4"/>
  <c r="E2639" i="4"/>
  <c r="E2382" i="4"/>
  <c r="E2678" i="4"/>
  <c r="E2491" i="4"/>
  <c r="E1419" i="4"/>
  <c r="E1454" i="4"/>
  <c r="E1493" i="4"/>
  <c r="E414" i="4"/>
  <c r="E2160" i="4"/>
  <c r="E2565" i="4"/>
  <c r="E2787" i="4"/>
  <c r="E1716" i="4"/>
  <c r="E1899" i="4"/>
  <c r="B591" i="4"/>
  <c r="B515" i="4"/>
  <c r="B250" i="4"/>
  <c r="B741" i="4"/>
  <c r="B555" i="4"/>
  <c r="E110" i="4"/>
  <c r="E1751" i="4"/>
  <c r="E564" i="4"/>
  <c r="E1603" i="4"/>
  <c r="E1528" i="4"/>
  <c r="E936" i="4"/>
  <c r="P81" i="1"/>
  <c r="R81" i="1" s="1"/>
  <c r="E75" i="4"/>
  <c r="E1790" i="4"/>
  <c r="E2713" i="4"/>
  <c r="E2417" i="4"/>
  <c r="E1306" i="4"/>
  <c r="E1047" i="4"/>
  <c r="E680" i="4"/>
  <c r="E1232" i="4"/>
  <c r="E2826" i="4"/>
  <c r="E901" i="4"/>
  <c r="E1271" i="4"/>
  <c r="E2934" i="4"/>
  <c r="E529" i="4"/>
  <c r="E1825" i="4"/>
  <c r="E2973" i="4"/>
  <c r="E1973" i="4"/>
  <c r="E2861" i="4"/>
  <c r="E827" i="4"/>
  <c r="E714" i="4"/>
  <c r="E1345" i="4"/>
  <c r="E262" i="4"/>
  <c r="E2269" i="4"/>
  <c r="E488" i="4"/>
  <c r="E2604" i="4"/>
  <c r="E454" i="4"/>
  <c r="E2195" i="4"/>
  <c r="E789" i="4"/>
  <c r="E1009" i="4"/>
  <c r="E303" i="4"/>
  <c r="E2234" i="4"/>
  <c r="E337" i="4"/>
  <c r="E862" i="4"/>
  <c r="E1380" i="4"/>
  <c r="E34" i="4"/>
  <c r="E2308" i="4"/>
  <c r="E1677" i="4"/>
  <c r="Q14" i="2" l="1"/>
  <c r="D86" i="4"/>
  <c r="AC14" i="2"/>
  <c r="F102" i="4"/>
  <c r="F86" i="4"/>
  <c r="F87" i="4" s="1"/>
  <c r="C104" i="4" s="1"/>
  <c r="F518" i="4"/>
  <c r="F501" i="4"/>
  <c r="N56" i="5"/>
  <c r="H74" i="1"/>
  <c r="Q16" i="2"/>
  <c r="N26" i="2"/>
  <c r="AC24" i="2"/>
  <c r="F481" i="4"/>
  <c r="D466" i="4"/>
  <c r="F466" i="4" s="1"/>
  <c r="F1558" i="4"/>
  <c r="C1558" i="4"/>
  <c r="F2225" i="4"/>
  <c r="C2225" i="4"/>
  <c r="F595" i="4"/>
  <c r="C595" i="4"/>
  <c r="F1076" i="4"/>
  <c r="C1075" i="4"/>
  <c r="F520" i="4"/>
  <c r="C520" i="4"/>
  <c r="F104" i="4"/>
  <c r="F1448" i="4"/>
  <c r="C1447" i="4"/>
  <c r="F250" i="4"/>
  <c r="F237" i="4"/>
  <c r="F1819" i="4"/>
  <c r="C1818" i="4"/>
  <c r="F2928" i="4"/>
  <c r="C2927" i="4"/>
  <c r="I26" i="2"/>
  <c r="E159" i="4"/>
  <c r="F159" i="4" s="1"/>
  <c r="F708" i="4"/>
  <c r="C708" i="4"/>
  <c r="F2891" i="4"/>
  <c r="C2891" i="4"/>
  <c r="B18" i="2"/>
  <c r="D6" i="4"/>
  <c r="I11" i="3"/>
  <c r="C2151" i="4"/>
  <c r="F2151" i="4"/>
  <c r="H19" i="5"/>
  <c r="G24" i="5"/>
  <c r="G25" i="5" s="1"/>
  <c r="G26" i="5" s="1"/>
  <c r="C29" i="4"/>
  <c r="C23" i="4"/>
  <c r="C2114" i="4"/>
  <c r="F2115" i="4"/>
  <c r="F330" i="4"/>
  <c r="C330" i="4"/>
  <c r="F2964" i="4"/>
  <c r="C2964" i="4"/>
  <c r="C2706" i="4"/>
  <c r="F2707" i="4"/>
  <c r="F961" i="4"/>
  <c r="F949" i="4"/>
  <c r="P26" i="2"/>
  <c r="F391" i="4"/>
  <c r="C2188" i="4"/>
  <c r="F2189" i="4"/>
  <c r="C2077" i="4"/>
  <c r="F2077" i="4"/>
  <c r="F1369" i="4"/>
  <c r="F1356" i="4"/>
  <c r="G59" i="5"/>
  <c r="G60" i="5" s="1"/>
  <c r="G61" i="5" s="1"/>
  <c r="I52" i="5"/>
  <c r="C1744" i="4"/>
  <c r="F1745" i="4"/>
  <c r="H23" i="5"/>
  <c r="F2337" i="4"/>
  <c r="C2336" i="4"/>
  <c r="Q23" i="2"/>
  <c r="D425" i="4"/>
  <c r="F425" i="4" s="1"/>
  <c r="D426" i="4"/>
  <c r="F426" i="4" s="1"/>
  <c r="F442" i="4" s="1"/>
  <c r="AC23" i="2"/>
  <c r="D465" i="4"/>
  <c r="F465" i="4" s="1"/>
  <c r="Q24" i="2"/>
  <c r="E114" i="4"/>
  <c r="E1013" i="4"/>
  <c r="E866" i="4"/>
  <c r="E940" i="4"/>
  <c r="E718" i="4"/>
  <c r="E418" i="4"/>
  <c r="E493" i="4"/>
  <c r="E644" i="4"/>
  <c r="E190" i="4"/>
  <c r="E341" i="4"/>
  <c r="E568" i="4"/>
  <c r="E266" i="4"/>
  <c r="E793" i="4"/>
  <c r="O86" i="1"/>
  <c r="O88" i="1" s="1"/>
  <c r="P82" i="1"/>
  <c r="P86" i="1" s="1"/>
  <c r="C369" i="4"/>
  <c r="F369" i="4"/>
  <c r="R79" i="1"/>
  <c r="H84" i="1"/>
  <c r="Q82" i="1"/>
  <c r="F64" i="4"/>
  <c r="C64" i="4"/>
  <c r="C141" i="4"/>
  <c r="F141" i="4"/>
  <c r="L74" i="1"/>
  <c r="N10" i="1"/>
  <c r="N74" i="1" s="1"/>
  <c r="M86" i="1"/>
  <c r="M88" i="1" s="1"/>
  <c r="E382" i="4"/>
  <c r="E457" i="4"/>
  <c r="K59" i="5" l="1"/>
  <c r="M57" i="5"/>
  <c r="V27" i="2"/>
  <c r="AC26" i="2"/>
  <c r="O74" i="1"/>
  <c r="I58" i="1"/>
  <c r="I67" i="1"/>
  <c r="I10" i="1"/>
  <c r="I54" i="1"/>
  <c r="I56" i="1"/>
  <c r="I64" i="1"/>
  <c r="I61" i="1"/>
  <c r="I42" i="1"/>
  <c r="F111" i="1"/>
  <c r="I73" i="1"/>
  <c r="I47" i="1"/>
  <c r="I74" i="1"/>
  <c r="F1374" i="4"/>
  <c r="C1373" i="4"/>
  <c r="D7" i="4"/>
  <c r="B19" i="2"/>
  <c r="F254" i="4"/>
  <c r="C254" i="4"/>
  <c r="F408" i="4"/>
  <c r="C408" i="4"/>
  <c r="F175" i="4"/>
  <c r="F163" i="4"/>
  <c r="C966" i="4"/>
  <c r="F966" i="4"/>
  <c r="Q26" i="2"/>
  <c r="F427" i="4"/>
  <c r="F441" i="4"/>
  <c r="F480" i="4"/>
  <c r="F467" i="4"/>
  <c r="Q86" i="1"/>
  <c r="R82" i="1"/>
  <c r="M96" i="1"/>
  <c r="M97" i="1" s="1"/>
  <c r="N100" i="1" s="1"/>
  <c r="F109" i="1"/>
  <c r="N95" i="1"/>
  <c r="P88" i="1"/>
  <c r="F110" i="1" l="1"/>
  <c r="F112" i="1" s="1"/>
  <c r="N59" i="5"/>
  <c r="I60" i="5"/>
  <c r="M58" i="5"/>
  <c r="O64" i="5"/>
  <c r="T61" i="5"/>
  <c r="F100" i="1" s="1"/>
  <c r="K66" i="5"/>
  <c r="K67" i="5" s="1"/>
  <c r="I59" i="5"/>
  <c r="C179" i="4"/>
  <c r="F179" i="4"/>
  <c r="B20" i="2"/>
  <c r="D8" i="4"/>
  <c r="C444" i="4"/>
  <c r="F444" i="4"/>
  <c r="C484" i="4"/>
  <c r="F484" i="4"/>
  <c r="Q88" i="1"/>
  <c r="R86" i="1"/>
  <c r="I61" i="5" l="1"/>
  <c r="F111" i="2"/>
  <c r="M59" i="5"/>
  <c r="M60" i="5"/>
  <c r="B21" i="2"/>
  <c r="D9" i="4"/>
  <c r="M61" i="5" l="1"/>
  <c r="F98" i="1"/>
  <c r="F109" i="2"/>
  <c r="B22" i="2"/>
  <c r="D10" i="4"/>
  <c r="F110" i="2" l="1"/>
  <c r="F104" i="1"/>
  <c r="D11" i="4"/>
  <c r="B23" i="2"/>
  <c r="D12" i="4" l="1"/>
  <c r="B24" i="2"/>
  <c r="D13" i="4" l="1"/>
  <c r="B25" i="2"/>
  <c r="D14" i="4" s="1"/>
</calcChain>
</file>

<file path=xl/sharedStrings.xml><?xml version="1.0" encoding="utf-8"?>
<sst xmlns="http://schemas.openxmlformats.org/spreadsheetml/2006/main" count="1383" uniqueCount="436">
  <si>
    <t>TOTAL</t>
  </si>
  <si>
    <t>U.F.</t>
  </si>
  <si>
    <t>DTO</t>
  </si>
  <si>
    <t>NOMBRE</t>
  </si>
  <si>
    <t>EXP. A</t>
  </si>
  <si>
    <t>1-A</t>
  </si>
  <si>
    <t>1-B</t>
  </si>
  <si>
    <t>2-A</t>
  </si>
  <si>
    <t>2-B</t>
  </si>
  <si>
    <t>3-A</t>
  </si>
  <si>
    <t>3-B</t>
  </si>
  <si>
    <t>4-A</t>
  </si>
  <si>
    <t>4-B</t>
  </si>
  <si>
    <t>5-A</t>
  </si>
  <si>
    <t>5-B</t>
  </si>
  <si>
    <t>6-A</t>
  </si>
  <si>
    <t>6-B</t>
  </si>
  <si>
    <t>7-A</t>
  </si>
  <si>
    <t>%</t>
  </si>
  <si>
    <t>Recibo: 1 ORIGINAL</t>
  </si>
  <si>
    <t>PERIODO</t>
  </si>
  <si>
    <t>APELLIDO Y NOMBRES</t>
  </si>
  <si>
    <t>Categoria</t>
  </si>
  <si>
    <t>Legajo</t>
  </si>
  <si>
    <t>0-03</t>
  </si>
  <si>
    <t xml:space="preserve">BANCO </t>
  </si>
  <si>
    <t>PERIODO DEPOSITADO</t>
  </si>
  <si>
    <t>FECHA</t>
  </si>
  <si>
    <t>TAREA</t>
  </si>
  <si>
    <t>INGRESO</t>
  </si>
  <si>
    <t>Enc.Perm c/viv</t>
  </si>
  <si>
    <t>CONCEPTOS</t>
  </si>
  <si>
    <t>UNIDADES</t>
  </si>
  <si>
    <t>REMUNERAC.</t>
  </si>
  <si>
    <t>DESCUENT.</t>
  </si>
  <si>
    <t xml:space="preserve">BASICO </t>
  </si>
  <si>
    <t>feriados,dom</t>
  </si>
  <si>
    <t>RETIRO DE RESIDUOS</t>
  </si>
  <si>
    <t>DIAS</t>
  </si>
  <si>
    <t>RET. JUBILACION</t>
  </si>
  <si>
    <t xml:space="preserve"> -</t>
  </si>
  <si>
    <t>LEY N 19032</t>
  </si>
  <si>
    <t>OBRA SOCIAL</t>
  </si>
  <si>
    <t>ANSSAL</t>
  </si>
  <si>
    <t>CUOTA SINDICAL</t>
  </si>
  <si>
    <t>CAJA PROT FAMILIA</t>
  </si>
  <si>
    <t>TOTAL BRUTO</t>
  </si>
  <si>
    <t>TOTAL DESCUENTOS</t>
  </si>
  <si>
    <t>TOTAL NETO</t>
  </si>
  <si>
    <t>REDONDEO</t>
  </si>
  <si>
    <t xml:space="preserve">SON PESOS: </t>
  </si>
  <si>
    <t>FIRMA DEL EMPLEADO</t>
  </si>
  <si>
    <t>Recibí de la firma cuyo rubro se indica arriba el importe neto de esta liquidación en pago de mi</t>
  </si>
  <si>
    <t>remuneración correspondiente al período indicado y duplicado de la misma.</t>
  </si>
  <si>
    <t>Sindicato suterh</t>
  </si>
  <si>
    <t>art</t>
  </si>
  <si>
    <t>fija</t>
  </si>
  <si>
    <t>porcenta</t>
  </si>
  <si>
    <t>por empleado</t>
  </si>
  <si>
    <t>EMPLEADOR: CONS. DE PROP. BERUTI 4575/77</t>
  </si>
  <si>
    <t>CUIT: 30-70807291-1</t>
  </si>
  <si>
    <t>Cuil: 23-11424220-9</t>
  </si>
  <si>
    <t>OSUNA CLAUDIO R.</t>
  </si>
  <si>
    <t>PLUS JARDIN</t>
  </si>
  <si>
    <t>PLUS COCHERA</t>
  </si>
  <si>
    <t>1425 - Capital Federal</t>
  </si>
  <si>
    <t>GRATIFICACION</t>
  </si>
  <si>
    <t>DS NORMALES</t>
  </si>
  <si>
    <t>HS EXTRAS</t>
  </si>
  <si>
    <t>SETIEMBRE</t>
  </si>
  <si>
    <t>HORAS EXTRAS 100%</t>
  </si>
  <si>
    <t>FIRMA DEL EMPLEADOR</t>
  </si>
  <si>
    <t>FONDO</t>
  </si>
  <si>
    <t>Nación</t>
  </si>
  <si>
    <t>DEC.2641/02</t>
  </si>
  <si>
    <t>Domicilio:                               Beruti 4575/77</t>
  </si>
  <si>
    <t>LEY Nº 19032</t>
  </si>
  <si>
    <t>Recibo: 2 DUPLICADO</t>
  </si>
  <si>
    <t>SEICIENTOS OCHENTA Y OCHO</t>
  </si>
  <si>
    <t>Febrero 2003</t>
  </si>
  <si>
    <t>OBSERVACIONES</t>
  </si>
  <si>
    <t>S.del Estero 336 Capital Federal</t>
  </si>
  <si>
    <t>Expensas Gastos A</t>
  </si>
  <si>
    <t>Deuda Anterior</t>
  </si>
  <si>
    <t>Intereses</t>
  </si>
  <si>
    <t>G A</t>
  </si>
  <si>
    <t>D A</t>
  </si>
  <si>
    <t>INT</t>
  </si>
  <si>
    <t>TOT</t>
  </si>
  <si>
    <t>Unid. 1</t>
  </si>
  <si>
    <t>Unid. 2</t>
  </si>
  <si>
    <t>Unid. 3</t>
  </si>
  <si>
    <t>Unid. 4</t>
  </si>
  <si>
    <t>Unid. 5</t>
  </si>
  <si>
    <t>Unid. 6</t>
  </si>
  <si>
    <t>Unid. 7</t>
  </si>
  <si>
    <t>Unid. 8</t>
  </si>
  <si>
    <t>Unid. 9</t>
  </si>
  <si>
    <t>Unid. 10</t>
  </si>
  <si>
    <t>Unid. 11</t>
  </si>
  <si>
    <t>Unid. 12</t>
  </si>
  <si>
    <t>Unid. 13</t>
  </si>
  <si>
    <t>Unid. 14</t>
  </si>
  <si>
    <t>Unid. 15</t>
  </si>
  <si>
    <t>Unid. 16</t>
  </si>
  <si>
    <t>Unid. 17</t>
  </si>
  <si>
    <t>Unid. 18</t>
  </si>
  <si>
    <t>Unid. 19</t>
  </si>
  <si>
    <t>Unid. 20</t>
  </si>
  <si>
    <t>Unid. 21</t>
  </si>
  <si>
    <t>Unid. 22</t>
  </si>
  <si>
    <t>Unid. 23</t>
  </si>
  <si>
    <t>Unid. 24</t>
  </si>
  <si>
    <t>Unid. 25</t>
  </si>
  <si>
    <t>Unid. 26</t>
  </si>
  <si>
    <t>Unid. 27</t>
  </si>
  <si>
    <t>Unid. 33</t>
  </si>
  <si>
    <t>Unid. 34</t>
  </si>
  <si>
    <t>Unid. 35</t>
  </si>
  <si>
    <t>Unid. 36</t>
  </si>
  <si>
    <t>Unid. 37</t>
  </si>
  <si>
    <t>Unid. 38</t>
  </si>
  <si>
    <t>Unid. 39</t>
  </si>
  <si>
    <t>Unid. 40</t>
  </si>
  <si>
    <t>Unid. 41</t>
  </si>
  <si>
    <t>Unid. 42</t>
  </si>
  <si>
    <t>Unid. 43</t>
  </si>
  <si>
    <t>Unid. 44</t>
  </si>
  <si>
    <t>Unid. 45</t>
  </si>
  <si>
    <t>Unid. 46</t>
  </si>
  <si>
    <t>Unid. 47</t>
  </si>
  <si>
    <t>Unid. 48</t>
  </si>
  <si>
    <t>Unid. 49</t>
  </si>
  <si>
    <t>Unid. 50</t>
  </si>
  <si>
    <t>Unid. 51</t>
  </si>
  <si>
    <t>Unid. 52</t>
  </si>
  <si>
    <t>Unid. 53</t>
  </si>
  <si>
    <t>Unid. 54</t>
  </si>
  <si>
    <t>Unid. 55</t>
  </si>
  <si>
    <t>Unid. 56</t>
  </si>
  <si>
    <t>Unid. 57</t>
  </si>
  <si>
    <t>Unid. 58</t>
  </si>
  <si>
    <t>Unid. 59</t>
  </si>
  <si>
    <t>Unid. 60</t>
  </si>
  <si>
    <t>Unid. 61</t>
  </si>
  <si>
    <t>Unid. 62</t>
  </si>
  <si>
    <t>Unid. 63</t>
  </si>
  <si>
    <t>Unid. 64</t>
  </si>
  <si>
    <t>Unid. 65</t>
  </si>
  <si>
    <t>Unid. 66</t>
  </si>
  <si>
    <t>Unid. 67</t>
  </si>
  <si>
    <t>Unid. 68</t>
  </si>
  <si>
    <t>Unid. 69</t>
  </si>
  <si>
    <t>Unid. 70</t>
  </si>
  <si>
    <t>Unid. 71</t>
  </si>
  <si>
    <t>Unid. 72</t>
  </si>
  <si>
    <t>Unid. 73</t>
  </si>
  <si>
    <t>Unid. 74</t>
  </si>
  <si>
    <t>Unid. 75</t>
  </si>
  <si>
    <t>Unid. 76</t>
  </si>
  <si>
    <t>Unid. 77</t>
  </si>
  <si>
    <t>Unid. 78</t>
  </si>
  <si>
    <t>Unid. 79</t>
  </si>
  <si>
    <t>Unid. 80</t>
  </si>
  <si>
    <t>CONSORCIO SANTIAGO DEL ESTERO 338</t>
  </si>
  <si>
    <t>Deuda anterior incluye intereses</t>
  </si>
  <si>
    <t>Cobrado</t>
  </si>
  <si>
    <t>Control</t>
  </si>
  <si>
    <t>DETERMINACIÓN DE LAS COBRANZAS Y DE LOS SALDOS PENDIENTES DE COBRO AL 06/06/03</t>
  </si>
  <si>
    <t>Deuda anterior (solamente capital)</t>
  </si>
  <si>
    <t>Intereses pedientes de cobro correspondiente a deuda anterior</t>
  </si>
  <si>
    <t>Importe incluido en Cobranzas y no en resumen de cuenta por no haber sido identificado</t>
  </si>
  <si>
    <t>Cobranza</t>
  </si>
  <si>
    <t xml:space="preserve"> S/ liquid</t>
  </si>
  <si>
    <t>Dif</t>
  </si>
  <si>
    <t>dic</t>
  </si>
  <si>
    <t xml:space="preserve">enero </t>
  </si>
  <si>
    <t>feb</t>
  </si>
  <si>
    <t>abrul</t>
  </si>
  <si>
    <t>mayo</t>
  </si>
  <si>
    <t>julio</t>
  </si>
  <si>
    <t>agost</t>
  </si>
  <si>
    <t>set</t>
  </si>
  <si>
    <t>Local</t>
  </si>
  <si>
    <t>marz</t>
  </si>
  <si>
    <t>abruil</t>
  </si>
  <si>
    <t>TASA</t>
  </si>
  <si>
    <t>INTERES</t>
  </si>
  <si>
    <t>TOTALES</t>
  </si>
  <si>
    <t>% A</t>
  </si>
  <si>
    <t>%B</t>
  </si>
  <si>
    <t>EXP. B</t>
  </si>
  <si>
    <t>TOTALES DEL MES</t>
  </si>
  <si>
    <t>G B</t>
  </si>
  <si>
    <t>Expensas Gastos B</t>
  </si>
  <si>
    <t>GASTOS "A"</t>
  </si>
  <si>
    <t>GASTOS "B"</t>
  </si>
  <si>
    <t>%C</t>
  </si>
  <si>
    <t xml:space="preserve">Saldo al cierre </t>
  </si>
  <si>
    <t>OTROS</t>
  </si>
  <si>
    <t>Expensas Gastos C</t>
  </si>
  <si>
    <t>Deuda anterior</t>
  </si>
  <si>
    <t>G C</t>
  </si>
  <si>
    <t xml:space="preserve">D A </t>
  </si>
  <si>
    <t>Int</t>
  </si>
  <si>
    <t>A cuenta deuda anterior</t>
  </si>
  <si>
    <t>Total</t>
  </si>
  <si>
    <t>GE</t>
  </si>
  <si>
    <t>CONSORCIO DE PROPIETARIOS:</t>
  </si>
  <si>
    <t>Deuda</t>
  </si>
  <si>
    <t>A cuenta expensas de 12/2007</t>
  </si>
  <si>
    <t>A cuenta</t>
  </si>
  <si>
    <t xml:space="preserve">García: Sueldo neto de 04/08 </t>
  </si>
  <si>
    <t>Enero</t>
  </si>
  <si>
    <t>Feb</t>
  </si>
  <si>
    <t>Marz</t>
  </si>
  <si>
    <t>Ab</t>
  </si>
  <si>
    <t>May</t>
  </si>
  <si>
    <t>Gni</t>
  </si>
  <si>
    <t>Esposa</t>
  </si>
  <si>
    <t>Hijos</t>
  </si>
  <si>
    <t>Otras cargas</t>
  </si>
  <si>
    <t>Ded Esp</t>
  </si>
  <si>
    <t>20-16975070-0</t>
  </si>
  <si>
    <t>efvo</t>
  </si>
  <si>
    <t>´02/2011</t>
  </si>
  <si>
    <t>Otros</t>
  </si>
  <si>
    <t>11/2011, 12/2011, 01/2012, 02/2012 y 03/2012</t>
  </si>
  <si>
    <t>cobrados</t>
  </si>
  <si>
    <t>$</t>
  </si>
  <si>
    <t xml:space="preserve">Deuda anterior </t>
  </si>
  <si>
    <t>SEGUROS</t>
  </si>
  <si>
    <t>BANCO</t>
  </si>
  <si>
    <t>COB SIN IDEN</t>
  </si>
  <si>
    <t>CO IDEN</t>
  </si>
  <si>
    <t>GASTOS DEL MES</t>
  </si>
  <si>
    <t>GASTOS MES ANT</t>
  </si>
  <si>
    <t>SALDO</t>
  </si>
  <si>
    <t>COB DEL MES</t>
  </si>
  <si>
    <t>SALDO S/EXTRACTO</t>
  </si>
  <si>
    <t>DIF</t>
  </si>
  <si>
    <t>EFVO</t>
  </si>
  <si>
    <t>a debitar</t>
  </si>
  <si>
    <t>PEND</t>
  </si>
  <si>
    <t>TOTAL CONT</t>
  </si>
  <si>
    <t>PAGOS DEL PERIODO</t>
  </si>
  <si>
    <t>Total de pagos</t>
  </si>
  <si>
    <t>Cobranzas del período</t>
  </si>
  <si>
    <t>Pagos del período Gastos "A"</t>
  </si>
  <si>
    <t>Pagos del período Gastos "B"</t>
  </si>
  <si>
    <t>ADMINISTRACION:</t>
  </si>
  <si>
    <t>MARIANO CAUVIN</t>
  </si>
  <si>
    <t>AV.BELGRANO 1270 5°A C.A.B.A.</t>
  </si>
  <si>
    <t>masoca_administraciones@hotmail.com</t>
  </si>
  <si>
    <t>4381-0014</t>
  </si>
  <si>
    <t>Responsable Monotributo</t>
  </si>
  <si>
    <t>R.P.A. N° 470</t>
  </si>
  <si>
    <t>PAGOS POR SUMINISTROS, SERVICIOS, ABONOS Y SEGUROS</t>
  </si>
  <si>
    <t>SERVICIOS PUBLICOS Y TASAS</t>
  </si>
  <si>
    <t>ABONOS DE SERVICIOS</t>
  </si>
  <si>
    <t>MANTENIMIENTO DE PARTES COMUNES</t>
  </si>
  <si>
    <t>TRABAJOS DE REPARACIONES EN UNIDADES</t>
  </si>
  <si>
    <t>GASTOS BANCARIOS</t>
  </si>
  <si>
    <t>GASTOS DE LIMPIEZA</t>
  </si>
  <si>
    <t>GASTOS DE ADMINISTRACIÓN Y LEGALES</t>
  </si>
  <si>
    <t>Sueldo neto</t>
  </si>
  <si>
    <t>URGENCIAS 155248-3729</t>
  </si>
  <si>
    <t>ESTADO FINANCIERO</t>
  </si>
  <si>
    <t>REMUNERACIONES AL PERSONAL Y CARGAS SOCIALES</t>
  </si>
  <si>
    <t>DETALLE DE SUELDOS Y CARGAS SOCIALES:</t>
  </si>
  <si>
    <t>CUIT: 30-58026090-6</t>
  </si>
  <si>
    <t>LOC 1</t>
  </si>
  <si>
    <t>LOC 2</t>
  </si>
  <si>
    <t>´1-03</t>
  </si>
  <si>
    <t>´2-04</t>
  </si>
  <si>
    <t>´3-05</t>
  </si>
  <si>
    <t>´4-06</t>
  </si>
  <si>
    <t>´5-07</t>
  </si>
  <si>
    <t>´6-08</t>
  </si>
  <si>
    <t>´7-09</t>
  </si>
  <si>
    <t>´8-10</t>
  </si>
  <si>
    <t>´9-11</t>
  </si>
  <si>
    <t>´10-12</t>
  </si>
  <si>
    <t>´11-13</t>
  </si>
  <si>
    <t>CANOPUS TRAVEL</t>
  </si>
  <si>
    <t>LASTIRI JORGE ANTONIO</t>
  </si>
  <si>
    <t>GASTALDI JOSE MARIA</t>
  </si>
  <si>
    <t>ROCHERAY &amp; TESSI</t>
  </si>
  <si>
    <t>LISOPRAWSKI SILVIO</t>
  </si>
  <si>
    <t>DICARLO DORA C.</t>
  </si>
  <si>
    <t>ORO 2999 S.A.</t>
  </si>
  <si>
    <t>URUGUAY 1025/27/29 CAP. FED.</t>
  </si>
  <si>
    <t>METROS</t>
  </si>
  <si>
    <t>METROS COMPL</t>
  </si>
  <si>
    <t>DEUDA</t>
  </si>
  <si>
    <t xml:space="preserve">INTERE-SES </t>
  </si>
  <si>
    <t>CLAVE SUTERH: 1542</t>
  </si>
  <si>
    <t>junio</t>
  </si>
  <si>
    <t>LAS EXPENSAS VENCEN EL DIA 10. PAGO FUERA DE TERMINO 5% DE INTERÉS MENSUAL</t>
  </si>
  <si>
    <t>SUELOMAR S.A.</t>
  </si>
  <si>
    <t xml:space="preserve">Saldo anterior </t>
  </si>
  <si>
    <t xml:space="preserve">MIS EXPENSAS- Liquidación de  </t>
  </si>
  <si>
    <t>banco</t>
  </si>
  <si>
    <t>total</t>
  </si>
  <si>
    <t>Total bruto</t>
  </si>
  <si>
    <t>S INICIAL</t>
  </si>
  <si>
    <t>Conf. Art. 10 inc.d Ley N°941</t>
  </si>
  <si>
    <t>Conf. Art. 10 inc. e y f  Ley N°941</t>
  </si>
  <si>
    <t>Conf. Art. 10 inc. c Ley N°941</t>
  </si>
  <si>
    <t xml:space="preserve"> </t>
  </si>
  <si>
    <t>FEBOMAR SAICF</t>
  </si>
  <si>
    <t>DATOS DE JUICIOS</t>
  </si>
  <si>
    <t>Conf. Art. 10 inc. h Ley N°941</t>
  </si>
  <si>
    <t>CARATULA:</t>
  </si>
  <si>
    <t>N° EXPEDIENTE:</t>
  </si>
  <si>
    <t>JUZGADO/SECRETARÍA:</t>
  </si>
  <si>
    <t>ESTADO</t>
  </si>
  <si>
    <t>MONTO RECLAMADO</t>
  </si>
  <si>
    <t>Vigilador diurno:</t>
  </si>
  <si>
    <t>Dtos legales</t>
  </si>
  <si>
    <t>S/ASAMBLEA</t>
  </si>
  <si>
    <t>s/Asamblea</t>
  </si>
  <si>
    <t>dario</t>
  </si>
  <si>
    <t>alfredo</t>
  </si>
  <si>
    <t>ICBC</t>
  </si>
  <si>
    <t>EFECTIVO</t>
  </si>
  <si>
    <t>0538/02104658/84</t>
  </si>
  <si>
    <t>Cta. Cte. $ N°538/02104658/84</t>
  </si>
  <si>
    <t>´01505382020000104658840</t>
  </si>
  <si>
    <t>01505382/0200010465884</t>
  </si>
  <si>
    <t>CBU:0150538202000104658840</t>
  </si>
  <si>
    <t xml:space="preserve">P/depósito/transferencia en ICBC </t>
  </si>
  <si>
    <t>RIMASA S.A.</t>
  </si>
  <si>
    <t>davinquilmes</t>
  </si>
  <si>
    <t>PENDIENTE</t>
  </si>
  <si>
    <t>SERACARH- Capacitación</t>
  </si>
  <si>
    <t>Encargado permanente con vivienda:</t>
  </si>
  <si>
    <t xml:space="preserve">debe </t>
  </si>
  <si>
    <t xml:space="preserve">Cobranza bancaria del período sin identificar no aplicada a la unidad </t>
  </si>
  <si>
    <t>OBJETO:</t>
  </si>
  <si>
    <t>oficinauruguay3@gmail.com</t>
  </si>
  <si>
    <t>DUEÑO</t>
  </si>
  <si>
    <t>INQUILINO</t>
  </si>
  <si>
    <t>aletasiounis@gmail.com</t>
  </si>
  <si>
    <t>mscardac@gmail.com</t>
  </si>
  <si>
    <t>daniela_gastaldi@hotmail.com/jmarianogastaldi@estudiogastaldi.com.ar</t>
  </si>
  <si>
    <t>davinquilmes@yahoo.com.ar</t>
  </si>
  <si>
    <t>mbianchi@vialven.com.ar</t>
  </si>
  <si>
    <t>contadormarino@fibertel.com.ar</t>
  </si>
  <si>
    <t>dalinda@canopustravel.com</t>
  </si>
  <si>
    <t>pilar_rocheray@hotmail.com</t>
  </si>
  <si>
    <t>adenicola@estudiolisoprawski.com.ar</t>
  </si>
  <si>
    <t>fernando.iuliano@iulianocooreman.com.ar</t>
  </si>
  <si>
    <t>dcdicarlo@gmail.com</t>
  </si>
  <si>
    <t>dicarlodora@hotmail.com</t>
  </si>
  <si>
    <t>elalor@fibertel.com.ar/eduardolalor@hotmail.com</t>
  </si>
  <si>
    <t>2 aguinaldo y bonif anual dario</t>
  </si>
  <si>
    <t>2 aguinaldo y bonif anual alfredo</t>
  </si>
  <si>
    <t>ANTICIPO SUELDO</t>
  </si>
  <si>
    <t>Cobranza bancaria identificada de meses anteriores</t>
  </si>
  <si>
    <t>SALDO ANTERIOR</t>
  </si>
  <si>
    <t xml:space="preserve">SU PAGO </t>
  </si>
  <si>
    <t>scardaccione/BARTOLO</t>
  </si>
  <si>
    <t>lalor</t>
  </si>
  <si>
    <t>FORMAS DE PAGO:</t>
  </si>
  <si>
    <t>Depósito o transferencia:</t>
  </si>
  <si>
    <t>Titular:</t>
  </si>
  <si>
    <t>Banco:</t>
  </si>
  <si>
    <t>N°Cuenta:</t>
  </si>
  <si>
    <t>CBU:</t>
  </si>
  <si>
    <t>CONS DE PROPIETARIOS URUGUAY 1025 27 29</t>
  </si>
  <si>
    <t>Cuenta: CC $ 0538/02104658/84</t>
  </si>
  <si>
    <t>DEPOSITO/ RETIRO</t>
  </si>
  <si>
    <t>3vtech</t>
  </si>
  <si>
    <t>Alias:</t>
  </si>
  <si>
    <t>BICI.FRASE.BOTE</t>
  </si>
  <si>
    <t>20-10399484-6</t>
  </si>
  <si>
    <t>30-55608839-6</t>
  </si>
  <si>
    <t>MANUAL DE BUENAS PRÁCTICAS CONSORCIALES</t>
  </si>
  <si>
    <t>https://buenosaires.gob.ar/sites/default/files/2025-02/Manual%20buenas%20pr%C3%A1cticas%20consorciales_0.pdf</t>
  </si>
  <si>
    <t>REGLAMENTO DE COPROPIEDAD</t>
  </si>
  <si>
    <t>https://drive.google.com/file/d/13IEEGZWXVeYlSGhHHfeB7KnTorha8hGH/view?usp=drive_link</t>
  </si>
  <si>
    <t>YA PAGADO ANTI SUELDO</t>
  </si>
  <si>
    <t>$ 8331,75 CH 84 RECHAZADO 07/23</t>
  </si>
  <si>
    <t xml:space="preserve">Sueldo Básico </t>
  </si>
  <si>
    <t xml:space="preserve">Retiro de residuos </t>
  </si>
  <si>
    <t xml:space="preserve">Valor vivienda </t>
  </si>
  <si>
    <t>DALLAVIA ALEJANDRO A.</t>
  </si>
  <si>
    <t>Clasif. residuos Resol 243/13 SSRT</t>
  </si>
  <si>
    <t>Berkley: seguro de vida colectivo. Póliza 37532 vigencia</t>
  </si>
  <si>
    <t>APORTES Y CONTRIBUCIONES</t>
  </si>
  <si>
    <t>https://www.afip.gob.ar/aportesenlinea</t>
  </si>
  <si>
    <t>Disposición Nro: DI-2024-1146-GCABA-DGDYPC</t>
  </si>
  <si>
    <t xml:space="preserve">ACCESO A LA DOCUMENTACIÓN </t>
  </si>
  <si>
    <t>Allianz (30-50003721-7): seguro integral de consorcio. Póliza 250230768999</t>
  </si>
  <si>
    <t>marielambazbaz@yahoo.com.ar</t>
  </si>
  <si>
    <t>makabri2@gmail.com</t>
  </si>
  <si>
    <t>MBAZBAZ MARIELA L. Y OTRO</t>
  </si>
  <si>
    <t>Permite el acceso directo a los aportes, sin clave fiscal y con el CUIL de Personal</t>
  </si>
  <si>
    <t xml:space="preserve">FUEGOTECNIC 06/23? </t>
  </si>
  <si>
    <t>SE REVIERTE EN LIQ 11/2025</t>
  </si>
  <si>
    <t>Adicional viáticos</t>
  </si>
  <si>
    <t>Adicional remuneratorio</t>
  </si>
  <si>
    <t>Plus por Antigüedad -15 años</t>
  </si>
  <si>
    <t>Plus por Antigüedad- 15 años</t>
  </si>
  <si>
    <t>SUTERH 04/26</t>
  </si>
  <si>
    <t>FATERYH 04/26</t>
  </si>
  <si>
    <t>FATERYH - SERACARH 04/26</t>
  </si>
  <si>
    <t xml:space="preserve">Rodriguez Alfredo Raúl (20-33199231-4): sueldo neto 05/26 </t>
  </si>
  <si>
    <t>Coronel Edgardo Dario (20-27589007-4): sueldo neto 05/26</t>
  </si>
  <si>
    <t>ICBC: gastos bancarios e impuestos 05/26</t>
  </si>
  <si>
    <t>Honorarios Administración 05/26</t>
  </si>
  <si>
    <t>AFIP F.931:Cargas sociales: SIJP y Obra Social 05/26</t>
  </si>
  <si>
    <t>AFIP F 931: ART 05/26</t>
  </si>
  <si>
    <t>AFIP F.931: SCVO 05/26</t>
  </si>
  <si>
    <t>SUTERH 05/26</t>
  </si>
  <si>
    <t>FATERYH 05/26</t>
  </si>
  <si>
    <t>FATERYH - SERACARH 05/26</t>
  </si>
  <si>
    <t>ARCA AFIP F.931:Cargas sociales: SIJP y Obra Social 04/26</t>
  </si>
  <si>
    <t>ARCA AFIP F 931: ART 04/26</t>
  </si>
  <si>
    <t>ARCA AFIP F.931: SCVO 04/26</t>
  </si>
  <si>
    <t xml:space="preserve">FUEGOTECNIC SRL (30-70839022-0): cuota 7/12 mant. anual y controles periodicos </t>
  </si>
  <si>
    <t>vigencia 22/09/25 al 22/09/26. Cuota 7/10 y endoso cuota 2/5</t>
  </si>
  <si>
    <t>vigencia 01/10/2025 al 01/10/26. Cuota 8/10</t>
  </si>
  <si>
    <t>ESTADO DE CUENTAS Y PRORRATEO DE GASTOS AL 31/05/2026</t>
  </si>
  <si>
    <t>AVISO DE PAGO : FECHA DE VENCIMIENTO 10/06/2026</t>
  </si>
  <si>
    <t>https://drive.google.com/drive/folders/1O_Rne_4KKSXpXg6MAmhJh3MI07Gm96Cb?usp=drive_link</t>
  </si>
  <si>
    <t>PIPACH (30-55129402-8): arts de limpieza TK 80912</t>
  </si>
  <si>
    <t>6M Ascensores (30-71575069-0): mant de ascensores 04/26 FC 9407</t>
  </si>
  <si>
    <t>ARCH (27-04933062-1): certificación profesional de calderas 04/26 FC 5086</t>
  </si>
  <si>
    <t>MAFRAP Desinfecciones Urbanas SRL(30-64714402-7): servicio desinf. 04/26 FC 180558</t>
  </si>
  <si>
    <t>de la red fija contra incendio FC 161825</t>
  </si>
  <si>
    <t>Metrogas Medidor 3104606 Cliente 012866213. tramo 2/2-27/02 al 27/03</t>
  </si>
  <si>
    <t>Edesur Portería 05/26. Medidor 3832445 Cliente 284784. Débito 26/05</t>
  </si>
  <si>
    <t>Edesur Edificio 05/26. Medidor 73590 Cliente 80060529. Débito 22/05</t>
  </si>
  <si>
    <t>0150538202000104658840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</si>
</sst>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\ #,##0;&quot;$&quot;\ \-#,##0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_-* #,##0.00\ _€_-;\-* #,##0.00\ _€_-;_-* &quot;-&quot;??\ _€_-;_-@_-"/>
    <numFmt numFmtId="168" formatCode="0.000"/>
    <numFmt numFmtId="169" formatCode="#,##0.00000"/>
    <numFmt numFmtId="170" formatCode="&quot;$&quot;\ #,##0.00"/>
  </numFmts>
  <fonts count="2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u/>
      <sz val="11"/>
      <name val="Times New Roman"/>
      <family val="1"/>
    </font>
    <font>
      <b/>
      <sz val="11"/>
      <name val="Times New Roman"/>
      <family val="1"/>
    </font>
    <font>
      <sz val="11"/>
      <color indexed="10"/>
      <name val="Times New Roman"/>
      <family val="1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u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0"/>
      <color indexed="12"/>
      <name val="Arial"/>
      <family val="2"/>
    </font>
    <font>
      <u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6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u/>
      <sz val="10"/>
      <color indexed="12"/>
      <name val="Arial"/>
      <family val="2"/>
    </font>
    <font>
      <sz val="12"/>
      <color indexed="63"/>
      <name val="Calibri"/>
      <family val="2"/>
    </font>
    <font>
      <sz val="9"/>
      <name val="Arial"/>
      <family val="2"/>
    </font>
    <font>
      <sz val="11"/>
      <name val="Calibri"/>
      <family val="2"/>
    </font>
    <font>
      <sz val="10"/>
      <color indexed="8"/>
      <name val="Tahoma"/>
      <family val="2"/>
    </font>
    <font>
      <sz val="20"/>
      <color rgb="FF333333"/>
      <name val="Arial"/>
      <family val="2"/>
    </font>
    <font>
      <sz val="11"/>
      <color rgb="FF676767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5" fillId="0" borderId="0" applyNumberFormat="0" applyFill="0" applyBorder="0" applyAlignment="0" applyProtection="0">
      <alignment vertical="top"/>
      <protection locked="0"/>
    </xf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352">
    <xf numFmtId="0" fontId="0" fillId="0" borderId="0" xfId="0"/>
    <xf numFmtId="17" fontId="0" fillId="0" borderId="0" xfId="0" applyNumberFormat="1"/>
    <xf numFmtId="0" fontId="0" fillId="0" borderId="1" xfId="0" applyBorder="1"/>
    <xf numFmtId="2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3" fontId="0" fillId="0" borderId="0" xfId="0" applyNumberFormat="1"/>
    <xf numFmtId="1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7" fillId="2" borderId="14" xfId="0" applyFont="1" applyFill="1" applyBorder="1"/>
    <xf numFmtId="0" fontId="7" fillId="2" borderId="15" xfId="0" applyFont="1" applyFill="1" applyBorder="1"/>
    <xf numFmtId="0" fontId="7" fillId="0" borderId="0" xfId="0" applyFont="1"/>
    <xf numFmtId="0" fontId="0" fillId="0" borderId="14" xfId="0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0" fillId="0" borderId="16" xfId="0" applyBorder="1"/>
    <xf numFmtId="0" fontId="7" fillId="2" borderId="17" xfId="0" applyFont="1" applyFill="1" applyBorder="1"/>
    <xf numFmtId="14" fontId="7" fillId="2" borderId="17" xfId="0" applyNumberFormat="1" applyFont="1" applyFill="1" applyBorder="1" applyAlignment="1">
      <alignment horizontal="center"/>
    </xf>
    <xf numFmtId="0" fontId="0" fillId="0" borderId="18" xfId="0" applyBorder="1"/>
    <xf numFmtId="2" fontId="0" fillId="0" borderId="4" xfId="0" applyNumberFormat="1" applyBorder="1"/>
    <xf numFmtId="2" fontId="0" fillId="0" borderId="18" xfId="0" applyNumberFormat="1" applyBorder="1"/>
    <xf numFmtId="0" fontId="0" fillId="0" borderId="18" xfId="0" applyBorder="1" applyAlignment="1">
      <alignment horizontal="center"/>
    </xf>
    <xf numFmtId="0" fontId="8" fillId="0" borderId="0" xfId="0" applyFont="1"/>
    <xf numFmtId="0" fontId="0" fillId="0" borderId="19" xfId="0" applyBorder="1" applyAlignment="1">
      <alignment horizontal="center"/>
    </xf>
    <xf numFmtId="0" fontId="7" fillId="0" borderId="20" xfId="0" applyFont="1" applyBorder="1"/>
    <xf numFmtId="0" fontId="7" fillId="0" borderId="21" xfId="0" applyFont="1" applyBorder="1"/>
    <xf numFmtId="0" fontId="0" fillId="0" borderId="14" xfId="0" applyBorder="1"/>
    <xf numFmtId="2" fontId="0" fillId="0" borderId="15" xfId="0" applyNumberFormat="1" applyBorder="1"/>
    <xf numFmtId="0" fontId="7" fillId="2" borderId="20" xfId="0" applyFont="1" applyFill="1" applyBorder="1"/>
    <xf numFmtId="0" fontId="0" fillId="2" borderId="2" xfId="0" applyFill="1" applyBorder="1"/>
    <xf numFmtId="0" fontId="7" fillId="2" borderId="5" xfId="0" applyFont="1" applyFill="1" applyBorder="1"/>
    <xf numFmtId="0" fontId="7" fillId="2" borderId="1" xfId="0" applyFont="1" applyFill="1" applyBorder="1"/>
    <xf numFmtId="0" fontId="0" fillId="2" borderId="1" xfId="0" applyFill="1" applyBorder="1"/>
    <xf numFmtId="0" fontId="7" fillId="2" borderId="22" xfId="0" applyFont="1" applyFill="1" applyBorder="1"/>
    <xf numFmtId="0" fontId="7" fillId="2" borderId="23" xfId="0" applyFont="1" applyFill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17" fontId="7" fillId="2" borderId="22" xfId="0" applyNumberFormat="1" applyFont="1" applyFill="1" applyBorder="1"/>
    <xf numFmtId="0" fontId="7" fillId="2" borderId="23" xfId="0" applyFont="1" applyFill="1" applyBorder="1" applyAlignment="1">
      <alignment horizontal="center"/>
    </xf>
    <xf numFmtId="0" fontId="0" fillId="0" borderId="27" xfId="0" applyBorder="1"/>
    <xf numFmtId="0" fontId="7" fillId="2" borderId="28" xfId="0" applyFont="1" applyFill="1" applyBorder="1"/>
    <xf numFmtId="14" fontId="7" fillId="2" borderId="23" xfId="0" applyNumberFormat="1" applyFont="1" applyFill="1" applyBorder="1"/>
    <xf numFmtId="0" fontId="0" fillId="0" borderId="29" xfId="0" applyBorder="1"/>
    <xf numFmtId="0" fontId="0" fillId="0" borderId="30" xfId="0" applyBorder="1"/>
    <xf numFmtId="2" fontId="0" fillId="0" borderId="30" xfId="0" applyNumberFormat="1" applyBorder="1"/>
    <xf numFmtId="0" fontId="0" fillId="0" borderId="31" xfId="0" applyBorder="1"/>
    <xf numFmtId="2" fontId="0" fillId="0" borderId="32" xfId="0" applyNumberFormat="1" applyBorder="1"/>
    <xf numFmtId="0" fontId="8" fillId="0" borderId="12" xfId="0" applyFont="1" applyBorder="1"/>
    <xf numFmtId="0" fontId="8" fillId="0" borderId="13" xfId="0" applyFont="1" applyBorder="1"/>
    <xf numFmtId="0" fontId="0" fillId="0" borderId="9" xfId="0" applyBorder="1" applyAlignment="1">
      <alignment horizontal="center"/>
    </xf>
    <xf numFmtId="2" fontId="8" fillId="0" borderId="24" xfId="0" applyNumberFormat="1" applyFont="1" applyBorder="1"/>
    <xf numFmtId="0" fontId="8" fillId="0" borderId="9" xfId="0" applyFont="1" applyBorder="1"/>
    <xf numFmtId="2" fontId="0" fillId="0" borderId="23" xfId="0" applyNumberFormat="1" applyBorder="1"/>
    <xf numFmtId="2" fontId="8" fillId="0" borderId="33" xfId="0" applyNumberFormat="1" applyFont="1" applyBorder="1"/>
    <xf numFmtId="0" fontId="8" fillId="0" borderId="11" xfId="0" applyFont="1" applyBorder="1"/>
    <xf numFmtId="0" fontId="0" fillId="2" borderId="26" xfId="0" applyFill="1" applyBorder="1"/>
    <xf numFmtId="0" fontId="8" fillId="0" borderId="8" xfId="0" applyFont="1" applyBorder="1"/>
    <xf numFmtId="0" fontId="0" fillId="2" borderId="34" xfId="0" applyFill="1" applyBorder="1"/>
    <xf numFmtId="0" fontId="8" fillId="0" borderId="24" xfId="0" applyFont="1" applyBorder="1"/>
    <xf numFmtId="2" fontId="8" fillId="0" borderId="0" xfId="0" applyNumberFormat="1" applyFont="1"/>
    <xf numFmtId="2" fontId="8" fillId="0" borderId="9" xfId="0" applyNumberFormat="1" applyFont="1" applyBorder="1"/>
    <xf numFmtId="0" fontId="0" fillId="0" borderId="33" xfId="0" applyBorder="1"/>
    <xf numFmtId="0" fontId="8" fillId="0" borderId="33" xfId="0" applyFont="1" applyBorder="1"/>
    <xf numFmtId="0" fontId="8" fillId="0" borderId="10" xfId="0" applyFont="1" applyBorder="1"/>
    <xf numFmtId="0" fontId="9" fillId="0" borderId="2" xfId="0" applyFont="1" applyBorder="1"/>
    <xf numFmtId="0" fontId="5" fillId="0" borderId="3" xfId="0" applyFont="1" applyBorder="1"/>
    <xf numFmtId="0" fontId="9" fillId="0" borderId="0" xfId="0" applyFont="1"/>
    <xf numFmtId="0" fontId="9" fillId="0" borderId="3" xfId="0" applyFont="1" applyBorder="1"/>
    <xf numFmtId="2" fontId="9" fillId="0" borderId="3" xfId="0" applyNumberFormat="1" applyFont="1" applyBorder="1"/>
    <xf numFmtId="4" fontId="0" fillId="0" borderId="4" xfId="0" applyNumberFormat="1" applyBorder="1"/>
    <xf numFmtId="4" fontId="0" fillId="0" borderId="6" xfId="0" applyNumberFormat="1" applyBorder="1"/>
    <xf numFmtId="0" fontId="6" fillId="0" borderId="20" xfId="0" applyFont="1" applyBorder="1"/>
    <xf numFmtId="2" fontId="8" fillId="0" borderId="11" xfId="0" applyNumberFormat="1" applyFont="1" applyBorder="1"/>
    <xf numFmtId="49" fontId="0" fillId="0" borderId="25" xfId="0" applyNumberFormat="1" applyBorder="1"/>
    <xf numFmtId="0" fontId="4" fillId="0" borderId="0" xfId="0" applyFont="1"/>
    <xf numFmtId="4" fontId="0" fillId="0" borderId="0" xfId="0" applyNumberFormat="1"/>
    <xf numFmtId="4" fontId="0" fillId="0" borderId="1" xfId="0" applyNumberFormat="1" applyBorder="1"/>
    <xf numFmtId="165" fontId="10" fillId="0" borderId="0" xfId="0" applyNumberFormat="1" applyFont="1" applyAlignment="1">
      <alignment horizontal="center" vertical="center" wrapText="1"/>
    </xf>
    <xf numFmtId="0" fontId="11" fillId="0" borderId="0" xfId="0" applyFont="1"/>
    <xf numFmtId="0" fontId="10" fillId="0" borderId="0" xfId="0" applyFont="1"/>
    <xf numFmtId="165" fontId="11" fillId="0" borderId="0" xfId="3" applyFont="1" applyBorder="1"/>
    <xf numFmtId="4" fontId="11" fillId="0" borderId="0" xfId="0" applyNumberFormat="1" applyFont="1"/>
    <xf numFmtId="165" fontId="11" fillId="0" borderId="0" xfId="3" applyFont="1" applyBorder="1" applyAlignment="1">
      <alignment horizontal="center"/>
    </xf>
    <xf numFmtId="0" fontId="11" fillId="0" borderId="0" xfId="0" applyFont="1" applyAlignment="1">
      <alignment horizontal="center"/>
    </xf>
    <xf numFmtId="165" fontId="10" fillId="0" borderId="0" xfId="3" applyFont="1" applyBorder="1"/>
    <xf numFmtId="0" fontId="11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165" fontId="11" fillId="0" borderId="0" xfId="0" applyNumberFormat="1" applyFont="1"/>
    <xf numFmtId="0" fontId="10" fillId="0" borderId="0" xfId="0" applyFont="1" applyAlignment="1">
      <alignment horizontal="right" vertical="top"/>
    </xf>
    <xf numFmtId="17" fontId="11" fillId="0" borderId="0" xfId="0" applyNumberFormat="1" applyFont="1" applyAlignment="1">
      <alignment horizontal="center"/>
    </xf>
    <xf numFmtId="14" fontId="11" fillId="0" borderId="0" xfId="0" applyNumberFormat="1" applyFont="1" applyAlignment="1">
      <alignment horizontal="center"/>
    </xf>
    <xf numFmtId="17" fontId="11" fillId="0" borderId="0" xfId="0" applyNumberFormat="1" applyFont="1" applyAlignment="1">
      <alignment horizontal="left"/>
    </xf>
    <xf numFmtId="0" fontId="10" fillId="0" borderId="0" xfId="0" applyFont="1" applyAlignment="1">
      <alignment horizontal="right"/>
    </xf>
    <xf numFmtId="17" fontId="11" fillId="0" borderId="0" xfId="0" applyNumberFormat="1" applyFont="1"/>
    <xf numFmtId="164" fontId="11" fillId="0" borderId="0" xfId="3" applyNumberFormat="1" applyFont="1" applyBorder="1"/>
    <xf numFmtId="164" fontId="10" fillId="0" borderId="0" xfId="3" applyNumberFormat="1" applyFont="1" applyBorder="1"/>
    <xf numFmtId="164" fontId="11" fillId="0" borderId="0" xfId="0" applyNumberFormat="1" applyFont="1" applyAlignment="1">
      <alignment horizontal="left"/>
    </xf>
    <xf numFmtId="164" fontId="11" fillId="0" borderId="0" xfId="0" applyNumberFormat="1" applyFont="1"/>
    <xf numFmtId="164" fontId="11" fillId="0" borderId="0" xfId="3" applyNumberFormat="1" applyFont="1" applyBorder="1" applyAlignment="1">
      <alignment horizontal="center"/>
    </xf>
    <xf numFmtId="4" fontId="11" fillId="0" borderId="0" xfId="0" applyNumberFormat="1" applyFont="1" applyAlignment="1">
      <alignment horizontal="center"/>
    </xf>
    <xf numFmtId="17" fontId="11" fillId="0" borderId="0" xfId="0" applyNumberFormat="1" applyFont="1" applyAlignment="1">
      <alignment horizontal="center" vertical="center"/>
    </xf>
    <xf numFmtId="164" fontId="10" fillId="0" borderId="0" xfId="0" applyNumberFormat="1" applyFont="1"/>
    <xf numFmtId="0" fontId="3" fillId="0" borderId="0" xfId="0" applyFont="1"/>
    <xf numFmtId="0" fontId="13" fillId="0" borderId="0" xfId="0" applyFont="1"/>
    <xf numFmtId="0" fontId="14" fillId="0" borderId="0" xfId="0" applyFont="1"/>
    <xf numFmtId="4" fontId="14" fillId="0" borderId="0" xfId="0" applyNumberFormat="1" applyFont="1"/>
    <xf numFmtId="3" fontId="14" fillId="0" borderId="0" xfId="0" applyNumberFormat="1" applyFont="1"/>
    <xf numFmtId="0" fontId="14" fillId="0" borderId="1" xfId="0" applyFont="1" applyBorder="1"/>
    <xf numFmtId="4" fontId="14" fillId="0" borderId="1" xfId="0" applyNumberFormat="1" applyFont="1" applyBorder="1"/>
    <xf numFmtId="3" fontId="14" fillId="0" borderId="1" xfId="0" applyNumberFormat="1" applyFont="1" applyBorder="1"/>
    <xf numFmtId="0" fontId="13" fillId="0" borderId="35" xfId="0" applyFont="1" applyBorder="1" applyAlignment="1">
      <alignment horizontal="center"/>
    </xf>
    <xf numFmtId="0" fontId="13" fillId="0" borderId="36" xfId="0" applyFont="1" applyBorder="1" applyAlignment="1">
      <alignment horizontal="center"/>
    </xf>
    <xf numFmtId="0" fontId="13" fillId="0" borderId="37" xfId="0" applyFont="1" applyBorder="1" applyAlignment="1">
      <alignment horizontal="center"/>
    </xf>
    <xf numFmtId="3" fontId="13" fillId="0" borderId="0" xfId="0" applyNumberFormat="1" applyFont="1"/>
    <xf numFmtId="166" fontId="14" fillId="0" borderId="0" xfId="0" applyNumberFormat="1" applyFont="1"/>
    <xf numFmtId="4" fontId="13" fillId="0" borderId="36" xfId="0" applyNumberFormat="1" applyFont="1" applyBorder="1" applyAlignment="1">
      <alignment horizontal="center"/>
    </xf>
    <xf numFmtId="2" fontId="0" fillId="3" borderId="0" xfId="0" applyNumberFormat="1" applyFill="1"/>
    <xf numFmtId="0" fontId="13" fillId="0" borderId="12" xfId="0" applyFont="1" applyBorder="1" applyAlignment="1">
      <alignment horizontal="center"/>
    </xf>
    <xf numFmtId="3" fontId="14" fillId="0" borderId="24" xfId="0" applyNumberFormat="1" applyFont="1" applyBorder="1"/>
    <xf numFmtId="0" fontId="14" fillId="0" borderId="0" xfId="0" applyFont="1" applyAlignment="1">
      <alignment horizontal="center"/>
    </xf>
    <xf numFmtId="0" fontId="14" fillId="0" borderId="1" xfId="0" applyFont="1" applyBorder="1" applyAlignment="1">
      <alignment horizontal="center"/>
    </xf>
    <xf numFmtId="0" fontId="13" fillId="0" borderId="0" xfId="0" applyFont="1" applyAlignment="1">
      <alignment horizontal="center"/>
    </xf>
    <xf numFmtId="164" fontId="11" fillId="0" borderId="0" xfId="0" applyNumberFormat="1" applyFont="1" applyAlignment="1">
      <alignment horizontal="center"/>
    </xf>
    <xf numFmtId="0" fontId="13" fillId="0" borderId="37" xfId="0" applyFont="1" applyBorder="1" applyAlignment="1">
      <alignment horizontal="center" vertical="top"/>
    </xf>
    <xf numFmtId="4" fontId="13" fillId="0" borderId="37" xfId="0" applyNumberFormat="1" applyFont="1" applyBorder="1" applyAlignment="1">
      <alignment horizontal="center" vertical="top"/>
    </xf>
    <xf numFmtId="3" fontId="13" fillId="0" borderId="37" xfId="0" applyNumberFormat="1" applyFont="1" applyBorder="1" applyAlignment="1">
      <alignment horizontal="center" vertical="top"/>
    </xf>
    <xf numFmtId="3" fontId="13" fillId="0" borderId="37" xfId="0" applyNumberFormat="1" applyFont="1" applyBorder="1" applyAlignment="1">
      <alignment horizontal="center" vertical="top" wrapText="1"/>
    </xf>
    <xf numFmtId="3" fontId="13" fillId="0" borderId="38" xfId="0" applyNumberFormat="1" applyFont="1" applyBorder="1" applyAlignment="1">
      <alignment horizontal="center" vertical="top" wrapText="1"/>
    </xf>
    <xf numFmtId="0" fontId="13" fillId="0" borderId="39" xfId="0" applyFont="1" applyBorder="1" applyAlignment="1">
      <alignment horizontal="center"/>
    </xf>
    <xf numFmtId="0" fontId="13" fillId="0" borderId="39" xfId="0" applyFont="1" applyBorder="1"/>
    <xf numFmtId="3" fontId="13" fillId="0" borderId="39" xfId="0" applyNumberFormat="1" applyFont="1" applyBorder="1"/>
    <xf numFmtId="165" fontId="11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1" fillId="0" borderId="0" xfId="0" applyFont="1" applyAlignment="1">
      <alignment horizontal="right" vertical="top"/>
    </xf>
    <xf numFmtId="0" fontId="16" fillId="0" borderId="0" xfId="0" applyFont="1" applyAlignment="1">
      <alignment horizontal="right"/>
    </xf>
    <xf numFmtId="4" fontId="13" fillId="0" borderId="8" xfId="0" applyNumberFormat="1" applyFont="1" applyBorder="1"/>
    <xf numFmtId="17" fontId="13" fillId="0" borderId="36" xfId="0" applyNumberFormat="1" applyFont="1" applyBorder="1" applyAlignment="1">
      <alignment horizontal="center" wrapText="1"/>
    </xf>
    <xf numFmtId="166" fontId="14" fillId="0" borderId="0" xfId="2" applyFont="1" applyFill="1"/>
    <xf numFmtId="3" fontId="13" fillId="0" borderId="35" xfId="0" applyNumberFormat="1" applyFont="1" applyBorder="1" applyAlignment="1">
      <alignment horizontal="center" vertical="top" wrapText="1"/>
    </xf>
    <xf numFmtId="0" fontId="13" fillId="0" borderId="36" xfId="0" applyFont="1" applyBorder="1" applyAlignment="1">
      <alignment horizontal="center" vertical="top"/>
    </xf>
    <xf numFmtId="0" fontId="18" fillId="0" borderId="0" xfId="0" applyFont="1"/>
    <xf numFmtId="0" fontId="17" fillId="0" borderId="0" xfId="0" applyFont="1"/>
    <xf numFmtId="0" fontId="17" fillId="0" borderId="3" xfId="0" applyFont="1" applyBorder="1"/>
    <xf numFmtId="0" fontId="17" fillId="0" borderId="1" xfId="0" applyFont="1" applyBorder="1"/>
    <xf numFmtId="4" fontId="17" fillId="0" borderId="0" xfId="0" applyNumberFormat="1" applyFont="1"/>
    <xf numFmtId="4" fontId="13" fillId="0" borderId="39" xfId="0" applyNumberFormat="1" applyFont="1" applyBorder="1"/>
    <xf numFmtId="0" fontId="13" fillId="0" borderId="36" xfId="0" applyFont="1" applyBorder="1"/>
    <xf numFmtId="4" fontId="13" fillId="0" borderId="13" xfId="0" applyNumberFormat="1" applyFont="1" applyBorder="1"/>
    <xf numFmtId="4" fontId="14" fillId="0" borderId="9" xfId="0" applyNumberFormat="1" applyFont="1" applyBorder="1"/>
    <xf numFmtId="4" fontId="13" fillId="0" borderId="9" xfId="0" applyNumberFormat="1" applyFont="1" applyBorder="1"/>
    <xf numFmtId="3" fontId="17" fillId="0" borderId="0" xfId="0" applyNumberFormat="1" applyFont="1"/>
    <xf numFmtId="166" fontId="11" fillId="0" borderId="0" xfId="2" applyFont="1" applyFill="1"/>
    <xf numFmtId="166" fontId="11" fillId="0" borderId="1" xfId="2" applyFont="1" applyFill="1" applyBorder="1"/>
    <xf numFmtId="17" fontId="19" fillId="0" borderId="0" xfId="0" applyNumberFormat="1" applyFont="1"/>
    <xf numFmtId="164" fontId="11" fillId="0" borderId="1" xfId="3" applyNumberFormat="1" applyFont="1" applyBorder="1"/>
    <xf numFmtId="164" fontId="11" fillId="0" borderId="1" xfId="0" applyNumberFormat="1" applyFont="1" applyBorder="1"/>
    <xf numFmtId="0" fontId="0" fillId="3" borderId="0" xfId="0" applyFill="1"/>
    <xf numFmtId="4" fontId="0" fillId="3" borderId="0" xfId="0" applyNumberFormat="1" applyFill="1"/>
    <xf numFmtId="1" fontId="0" fillId="3" borderId="0" xfId="0" applyNumberFormat="1" applyFill="1"/>
    <xf numFmtId="164" fontId="11" fillId="0" borderId="2" xfId="0" applyNumberFormat="1" applyFont="1" applyBorder="1"/>
    <xf numFmtId="0" fontId="0" fillId="4" borderId="0" xfId="0" applyFill="1"/>
    <xf numFmtId="0" fontId="11" fillId="0" borderId="1" xfId="0" applyFont="1" applyBorder="1"/>
    <xf numFmtId="167" fontId="14" fillId="0" borderId="0" xfId="0" applyNumberFormat="1" applyFont="1"/>
    <xf numFmtId="168" fontId="0" fillId="0" borderId="0" xfId="0" applyNumberFormat="1"/>
    <xf numFmtId="17" fontId="13" fillId="0" borderId="0" xfId="0" applyNumberFormat="1" applyFont="1" applyAlignment="1">
      <alignment horizontal="center" wrapText="1"/>
    </xf>
    <xf numFmtId="4" fontId="13" fillId="0" borderId="0" xfId="0" applyNumberFormat="1" applyFont="1" applyAlignment="1">
      <alignment horizontal="center"/>
    </xf>
    <xf numFmtId="3" fontId="17" fillId="0" borderId="1" xfId="0" applyNumberFormat="1" applyFont="1" applyBorder="1"/>
    <xf numFmtId="169" fontId="14" fillId="0" borderId="0" xfId="0" applyNumberFormat="1" applyFont="1"/>
    <xf numFmtId="166" fontId="14" fillId="0" borderId="0" xfId="2" applyFont="1" applyFill="1" applyBorder="1"/>
    <xf numFmtId="0" fontId="20" fillId="2" borderId="21" xfId="0" applyFont="1" applyFill="1" applyBorder="1"/>
    <xf numFmtId="0" fontId="21" fillId="2" borderId="14" xfId="0" applyFont="1" applyFill="1" applyBorder="1"/>
    <xf numFmtId="166" fontId="21" fillId="2" borderId="14" xfId="2" applyFont="1" applyFill="1" applyBorder="1" applyAlignment="1">
      <alignment horizontal="center"/>
    </xf>
    <xf numFmtId="166" fontId="21" fillId="2" borderId="15" xfId="2" applyFont="1" applyFill="1" applyBorder="1" applyAlignment="1">
      <alignment horizontal="center"/>
    </xf>
    <xf numFmtId="166" fontId="21" fillId="2" borderId="17" xfId="2" applyFont="1" applyFill="1" applyBorder="1" applyAlignment="1">
      <alignment horizontal="center"/>
    </xf>
    <xf numFmtId="0" fontId="21" fillId="0" borderId="0" xfId="0" applyFont="1"/>
    <xf numFmtId="0" fontId="14" fillId="0" borderId="0" xfId="0" applyFont="1" applyAlignment="1">
      <alignment horizontal="left"/>
    </xf>
    <xf numFmtId="166" fontId="14" fillId="0" borderId="15" xfId="2" applyFont="1" applyFill="1" applyBorder="1"/>
    <xf numFmtId="166" fontId="13" fillId="0" borderId="0" xfId="2" applyFont="1" applyFill="1"/>
    <xf numFmtId="0" fontId="22" fillId="0" borderId="0" xfId="1" applyFont="1" applyBorder="1" applyAlignment="1" applyProtection="1"/>
    <xf numFmtId="17" fontId="19" fillId="0" borderId="1" xfId="0" applyNumberFormat="1" applyFont="1" applyBorder="1"/>
    <xf numFmtId="0" fontId="3" fillId="0" borderId="3" xfId="0" applyFont="1" applyBorder="1"/>
    <xf numFmtId="0" fontId="4" fillId="0" borderId="3" xfId="0" applyFont="1" applyBorder="1"/>
    <xf numFmtId="166" fontId="4" fillId="0" borderId="0" xfId="2" applyFont="1" applyFill="1" applyBorder="1"/>
    <xf numFmtId="166" fontId="4" fillId="0" borderId="4" xfId="0" applyNumberFormat="1" applyFont="1" applyBorder="1"/>
    <xf numFmtId="9" fontId="4" fillId="0" borderId="16" xfId="4" applyFont="1" applyFill="1" applyBorder="1"/>
    <xf numFmtId="9" fontId="4" fillId="0" borderId="18" xfId="4" applyFont="1" applyFill="1" applyBorder="1"/>
    <xf numFmtId="166" fontId="4" fillId="0" borderId="18" xfId="0" applyNumberFormat="1" applyFont="1" applyBorder="1"/>
    <xf numFmtId="166" fontId="4" fillId="0" borderId="0" xfId="0" applyNumberFormat="1" applyFont="1"/>
    <xf numFmtId="0" fontId="4" fillId="0" borderId="21" xfId="0" applyFont="1" applyBorder="1"/>
    <xf numFmtId="0" fontId="4" fillId="0" borderId="14" xfId="0" applyFont="1" applyBorder="1"/>
    <xf numFmtId="166" fontId="4" fillId="0" borderId="14" xfId="2" applyFont="1" applyFill="1" applyBorder="1"/>
    <xf numFmtId="0" fontId="4" fillId="0" borderId="1" xfId="0" applyFont="1" applyBorder="1"/>
    <xf numFmtId="0" fontId="4" fillId="0" borderId="0" xfId="0" applyFont="1" applyAlignment="1">
      <alignment horizontal="center"/>
    </xf>
    <xf numFmtId="0" fontId="0" fillId="5" borderId="0" xfId="0" applyFill="1"/>
    <xf numFmtId="0" fontId="3" fillId="0" borderId="20" xfId="0" applyFont="1" applyBorder="1"/>
    <xf numFmtId="166" fontId="14" fillId="0" borderId="1" xfId="2" applyFont="1" applyFill="1" applyBorder="1"/>
    <xf numFmtId="9" fontId="14" fillId="0" borderId="0" xfId="4" applyFont="1" applyFill="1" applyBorder="1"/>
    <xf numFmtId="14" fontId="11" fillId="0" borderId="0" xfId="0" applyNumberFormat="1" applyFont="1" applyAlignment="1">
      <alignment horizontal="left"/>
    </xf>
    <xf numFmtId="2" fontId="0" fillId="7" borderId="0" xfId="0" applyNumberFormat="1" applyFill="1"/>
    <xf numFmtId="4" fontId="0" fillId="7" borderId="0" xfId="0" applyNumberFormat="1" applyFill="1"/>
    <xf numFmtId="0" fontId="0" fillId="7" borderId="0" xfId="0" applyFill="1"/>
    <xf numFmtId="0" fontId="2" fillId="0" borderId="0" xfId="0" applyFont="1"/>
    <xf numFmtId="14" fontId="17" fillId="6" borderId="0" xfId="0" applyNumberFormat="1" applyFont="1" applyFill="1"/>
    <xf numFmtId="166" fontId="4" fillId="0" borderId="15" xfId="0" applyNumberFormat="1" applyFont="1" applyBorder="1"/>
    <xf numFmtId="3" fontId="18" fillId="0" borderId="0" xfId="0" applyNumberFormat="1" applyFont="1"/>
    <xf numFmtId="166" fontId="4" fillId="0" borderId="1" xfId="2" applyFont="1" applyFill="1" applyBorder="1"/>
    <xf numFmtId="0" fontId="1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0" fillId="8" borderId="0" xfId="0" applyFill="1"/>
    <xf numFmtId="3" fontId="4" fillId="0" borderId="0" xfId="0" applyNumberFormat="1" applyFont="1"/>
    <xf numFmtId="0" fontId="24" fillId="0" borderId="0" xfId="0" applyFont="1"/>
    <xf numFmtId="0" fontId="24" fillId="0" borderId="3" xfId="0" applyFont="1" applyBorder="1"/>
    <xf numFmtId="166" fontId="24" fillId="0" borderId="0" xfId="2" applyFont="1" applyFill="1" applyBorder="1"/>
    <xf numFmtId="13" fontId="24" fillId="0" borderId="0" xfId="2" applyNumberFormat="1" applyFont="1" applyFill="1" applyBorder="1"/>
    <xf numFmtId="166" fontId="24" fillId="0" borderId="4" xfId="0" applyNumberFormat="1" applyFont="1" applyBorder="1"/>
    <xf numFmtId="166" fontId="24" fillId="0" borderId="18" xfId="0" applyNumberFormat="1" applyFont="1" applyBorder="1"/>
    <xf numFmtId="166" fontId="24" fillId="0" borderId="1" xfId="2" applyFont="1" applyFill="1" applyBorder="1"/>
    <xf numFmtId="166" fontId="0" fillId="0" borderId="0" xfId="0" applyNumberFormat="1"/>
    <xf numFmtId="1" fontId="4" fillId="0" borderId="0" xfId="0" applyNumberFormat="1" applyFont="1"/>
    <xf numFmtId="0" fontId="4" fillId="9" borderId="15" xfId="0" applyFont="1" applyFill="1" applyBorder="1" applyAlignment="1">
      <alignment horizontal="center"/>
    </xf>
    <xf numFmtId="4" fontId="0" fillId="10" borderId="0" xfId="0" applyNumberFormat="1" applyFill="1"/>
    <xf numFmtId="0" fontId="0" fillId="10" borderId="0" xfId="0" applyFill="1"/>
    <xf numFmtId="1" fontId="0" fillId="7" borderId="0" xfId="0" applyNumberFormat="1" applyFill="1"/>
    <xf numFmtId="0" fontId="4" fillId="8" borderId="0" xfId="0" applyFont="1" applyFill="1"/>
    <xf numFmtId="0" fontId="25" fillId="0" borderId="0" xfId="0" applyFont="1"/>
    <xf numFmtId="0" fontId="27" fillId="0" borderId="0" xfId="0" applyFont="1"/>
    <xf numFmtId="3" fontId="14" fillId="7" borderId="0" xfId="0" applyNumberFormat="1" applyFont="1" applyFill="1"/>
    <xf numFmtId="9" fontId="4" fillId="0" borderId="17" xfId="4" applyFont="1" applyFill="1" applyBorder="1"/>
    <xf numFmtId="9" fontId="4" fillId="0" borderId="0" xfId="4" applyFont="1" applyFill="1" applyBorder="1"/>
    <xf numFmtId="166" fontId="4" fillId="0" borderId="0" xfId="0" applyNumberFormat="1" applyFont="1" applyAlignment="1">
      <alignment horizontal="center"/>
    </xf>
    <xf numFmtId="9" fontId="4" fillId="0" borderId="0" xfId="4" applyFont="1" applyFill="1"/>
    <xf numFmtId="0" fontId="14" fillId="11" borderId="0" xfId="0" applyFont="1" applyFill="1"/>
    <xf numFmtId="0" fontId="14" fillId="6" borderId="0" xfId="0" applyFont="1" applyFill="1"/>
    <xf numFmtId="166" fontId="14" fillId="11" borderId="0" xfId="2" applyFont="1" applyFill="1"/>
    <xf numFmtId="166" fontId="14" fillId="11" borderId="0" xfId="0" applyNumberFormat="1" applyFont="1" applyFill="1"/>
    <xf numFmtId="0" fontId="11" fillId="11" borderId="0" xfId="0" applyFont="1" applyFill="1"/>
    <xf numFmtId="0" fontId="21" fillId="11" borderId="0" xfId="0" applyFont="1" applyFill="1"/>
    <xf numFmtId="0" fontId="24" fillId="11" borderId="0" xfId="0" applyFont="1" applyFill="1"/>
    <xf numFmtId="0" fontId="15" fillId="0" borderId="0" xfId="1" applyAlignment="1" applyProtection="1"/>
    <xf numFmtId="12" fontId="4" fillId="0" borderId="0" xfId="2" applyNumberFormat="1" applyFont="1" applyFill="1" applyBorder="1"/>
    <xf numFmtId="43" fontId="14" fillId="0" borderId="0" xfId="0" applyNumberFormat="1" applyFont="1"/>
    <xf numFmtId="43" fontId="24" fillId="0" borderId="0" xfId="0" applyNumberFormat="1" applyFont="1"/>
    <xf numFmtId="43" fontId="4" fillId="0" borderId="0" xfId="0" applyNumberFormat="1" applyFont="1"/>
    <xf numFmtId="4" fontId="14" fillId="8" borderId="0" xfId="0" applyNumberFormat="1" applyFont="1" applyFill="1"/>
    <xf numFmtId="0" fontId="14" fillId="0" borderId="40" xfId="0" applyFont="1" applyBorder="1"/>
    <xf numFmtId="3" fontId="14" fillId="0" borderId="40" xfId="0" applyNumberFormat="1" applyFont="1" applyBorder="1"/>
    <xf numFmtId="4" fontId="14" fillId="0" borderId="40" xfId="0" applyNumberFormat="1" applyFont="1" applyBorder="1"/>
    <xf numFmtId="0" fontId="14" fillId="0" borderId="14" xfId="0" applyFont="1" applyBorder="1"/>
    <xf numFmtId="3" fontId="14" fillId="0" borderId="14" xfId="0" applyNumberFormat="1" applyFont="1" applyBorder="1"/>
    <xf numFmtId="4" fontId="14" fillId="0" borderId="14" xfId="0" applyNumberFormat="1" applyFont="1" applyBorder="1"/>
    <xf numFmtId="0" fontId="14" fillId="0" borderId="40" xfId="0" applyFont="1" applyBorder="1" applyAlignment="1">
      <alignment horizontal="center"/>
    </xf>
    <xf numFmtId="16" fontId="14" fillId="0" borderId="14" xfId="0" applyNumberFormat="1" applyFont="1" applyBorder="1" applyAlignment="1">
      <alignment horizontal="center"/>
    </xf>
    <xf numFmtId="0" fontId="23" fillId="0" borderId="0" xfId="0" applyFont="1"/>
    <xf numFmtId="9" fontId="14" fillId="0" borderId="0" xfId="5" applyFont="1" applyFill="1" applyBorder="1"/>
    <xf numFmtId="0" fontId="13" fillId="2" borderId="21" xfId="0" applyFont="1" applyFill="1" applyBorder="1"/>
    <xf numFmtId="0" fontId="13" fillId="2" borderId="14" xfId="0" applyFont="1" applyFill="1" applyBorder="1"/>
    <xf numFmtId="9" fontId="4" fillId="0" borderId="18" xfId="5" applyFont="1" applyFill="1" applyBorder="1"/>
    <xf numFmtId="166" fontId="4" fillId="0" borderId="16" xfId="2" applyFont="1" applyFill="1" applyBorder="1"/>
    <xf numFmtId="166" fontId="4" fillId="0" borderId="18" xfId="2" applyFont="1" applyFill="1" applyBorder="1"/>
    <xf numFmtId="17" fontId="14" fillId="0" borderId="0" xfId="0" applyNumberFormat="1" applyFont="1"/>
    <xf numFmtId="166" fontId="0" fillId="0" borderId="1" xfId="0" applyNumberFormat="1" applyBorder="1"/>
    <xf numFmtId="166" fontId="0" fillId="0" borderId="17" xfId="0" applyNumberFormat="1" applyBorder="1"/>
    <xf numFmtId="43" fontId="21" fillId="0" borderId="0" xfId="0" applyNumberFormat="1" applyFont="1"/>
    <xf numFmtId="9" fontId="14" fillId="0" borderId="0" xfId="4" applyFont="1" applyFill="1"/>
    <xf numFmtId="170" fontId="26" fillId="0" borderId="0" xfId="0" applyNumberFormat="1" applyFont="1" applyAlignment="1" applyProtection="1">
      <alignment horizontal="right"/>
      <protection locked="0"/>
    </xf>
    <xf numFmtId="2" fontId="14" fillId="0" borderId="0" xfId="0" applyNumberFormat="1" applyFont="1"/>
    <xf numFmtId="0" fontId="28" fillId="0" borderId="0" xfId="0" applyFont="1"/>
    <xf numFmtId="17" fontId="14" fillId="8" borderId="0" xfId="0" applyNumberFormat="1" applyFont="1" applyFill="1"/>
    <xf numFmtId="10" fontId="14" fillId="0" borderId="0" xfId="0" applyNumberFormat="1" applyFont="1"/>
    <xf numFmtId="0" fontId="15" fillId="0" borderId="0" xfId="1" applyFill="1" applyBorder="1" applyAlignment="1" applyProtection="1"/>
    <xf numFmtId="0" fontId="15" fillId="0" borderId="0" xfId="1" applyAlignment="1" applyProtection="1">
      <alignment horizontal="left"/>
    </xf>
    <xf numFmtId="4" fontId="14" fillId="12" borderId="0" xfId="0" applyNumberFormat="1" applyFont="1" applyFill="1"/>
    <xf numFmtId="0" fontId="14" fillId="0" borderId="14" xfId="0" applyFont="1" applyBorder="1" applyAlignment="1">
      <alignment horizontal="center"/>
    </xf>
    <xf numFmtId="3" fontId="14" fillId="13" borderId="0" xfId="0" applyNumberFormat="1" applyFont="1" applyFill="1"/>
    <xf numFmtId="3" fontId="14" fillId="10" borderId="24" xfId="0" applyNumberFormat="1" applyFont="1" applyFill="1" applyBorder="1"/>
    <xf numFmtId="166" fontId="0" fillId="0" borderId="0" xfId="2" applyFont="1" applyFill="1" applyBorder="1"/>
    <xf numFmtId="4" fontId="18" fillId="0" borderId="0" xfId="0" applyNumberFormat="1" applyFont="1"/>
    <xf numFmtId="10" fontId="14" fillId="0" borderId="0" xfId="5" applyNumberFormat="1" applyFont="1" applyFill="1"/>
    <xf numFmtId="0" fontId="24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3" fontId="14" fillId="14" borderId="0" xfId="0" applyNumberFormat="1" applyFont="1" applyFill="1"/>
    <xf numFmtId="0" fontId="4" fillId="0" borderId="15" xfId="0" applyFont="1" applyBorder="1"/>
    <xf numFmtId="0" fontId="1" fillId="0" borderId="3" xfId="0" applyFont="1" applyBorder="1"/>
    <xf numFmtId="0" fontId="1" fillId="0" borderId="0" xfId="0" applyFont="1"/>
    <xf numFmtId="166" fontId="1" fillId="0" borderId="0" xfId="2" applyFont="1" applyFill="1" applyBorder="1"/>
    <xf numFmtId="166" fontId="1" fillId="0" borderId="4" xfId="0" applyNumberFormat="1" applyFont="1" applyBorder="1"/>
    <xf numFmtId="9" fontId="1" fillId="0" borderId="18" xfId="4" applyFont="1" applyFill="1" applyBorder="1"/>
    <xf numFmtId="0" fontId="18" fillId="0" borderId="1" xfId="0" applyFont="1" applyBorder="1" applyAlignment="1">
      <alignment horizontal="center"/>
    </xf>
    <xf numFmtId="0" fontId="24" fillId="0" borderId="0" xfId="0" applyFont="1" applyAlignment="1">
      <alignment horizontal="center"/>
    </xf>
    <xf numFmtId="17" fontId="19" fillId="0" borderId="1" xfId="0" applyNumberFormat="1" applyFont="1" applyBorder="1" applyAlignment="1">
      <alignment horizontal="center"/>
    </xf>
    <xf numFmtId="0" fontId="2" fillId="2" borderId="21" xfId="0" applyFont="1" applyFill="1" applyBorder="1" applyAlignment="1">
      <alignment horizontal="left"/>
    </xf>
    <xf numFmtId="0" fontId="2" fillId="2" borderId="14" xfId="0" applyFont="1" applyFill="1" applyBorder="1" applyAlignment="1">
      <alignment horizontal="left"/>
    </xf>
    <xf numFmtId="0" fontId="2" fillId="2" borderId="15" xfId="0" applyFont="1" applyFill="1" applyBorder="1" applyAlignment="1">
      <alignment horizontal="left"/>
    </xf>
    <xf numFmtId="3" fontId="1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13" fillId="0" borderId="36" xfId="0" applyFont="1" applyBorder="1" applyAlignment="1">
      <alignment horizontal="center"/>
    </xf>
    <xf numFmtId="0" fontId="13" fillId="0" borderId="35" xfId="0" applyFont="1" applyBorder="1" applyAlignment="1">
      <alignment horizontal="center"/>
    </xf>
    <xf numFmtId="0" fontId="14" fillId="0" borderId="36" xfId="0" applyFont="1" applyBorder="1" applyAlignment="1">
      <alignment horizontal="center"/>
    </xf>
    <xf numFmtId="0" fontId="14" fillId="0" borderId="35" xfId="0" applyFont="1" applyBorder="1" applyAlignment="1">
      <alignment horizontal="center"/>
    </xf>
    <xf numFmtId="0" fontId="13" fillId="2" borderId="20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3" fillId="2" borderId="7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3" fillId="2" borderId="21" xfId="0" applyFont="1" applyFill="1" applyBorder="1" applyAlignment="1">
      <alignment horizontal="center"/>
    </xf>
    <xf numFmtId="0" fontId="13" fillId="2" borderId="14" xfId="0" applyFont="1" applyFill="1" applyBorder="1" applyAlignment="1">
      <alignment horizontal="center"/>
    </xf>
    <xf numFmtId="0" fontId="13" fillId="2" borderId="15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4" xfId="0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49" fontId="7" fillId="2" borderId="21" xfId="0" applyNumberFormat="1" applyFont="1" applyFill="1" applyBorder="1" applyAlignment="1">
      <alignment horizontal="center"/>
    </xf>
    <xf numFmtId="49" fontId="7" fillId="2" borderId="14" xfId="0" applyNumberFormat="1" applyFont="1" applyFill="1" applyBorder="1" applyAlignment="1">
      <alignment horizontal="center"/>
    </xf>
    <xf numFmtId="49" fontId="7" fillId="2" borderId="15" xfId="0" applyNumberFormat="1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165" fontId="10" fillId="0" borderId="0" xfId="0" applyNumberFormat="1" applyFont="1" applyAlignment="1">
      <alignment horizontal="center" vertical="center" wrapText="1"/>
    </xf>
    <xf numFmtId="165" fontId="11" fillId="0" borderId="0" xfId="3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17" fontId="11" fillId="0" borderId="0" xfId="0" applyNumberFormat="1" applyFont="1" applyAlignment="1">
      <alignment horizontal="center"/>
    </xf>
    <xf numFmtId="14" fontId="11" fillId="0" borderId="0" xfId="0" applyNumberFormat="1" applyFont="1" applyAlignment="1">
      <alignment horizontal="left"/>
    </xf>
    <xf numFmtId="17" fontId="11" fillId="0" borderId="0" xfId="0" applyNumberFormat="1" applyFont="1" applyAlignment="1">
      <alignment horizontal="center" wrapText="1"/>
    </xf>
    <xf numFmtId="0" fontId="0" fillId="0" borderId="0" xfId="0" applyAlignment="1">
      <alignment horizontal="center" wrapText="1"/>
    </xf>
    <xf numFmtId="0" fontId="11" fillId="0" borderId="0" xfId="0" applyFont="1" applyAlignment="1">
      <alignment horizontal="right"/>
    </xf>
    <xf numFmtId="165" fontId="11" fillId="0" borderId="0" xfId="0" applyNumberFormat="1" applyFont="1" applyAlignment="1">
      <alignment horizontal="center" vertical="center" wrapText="1"/>
    </xf>
    <xf numFmtId="14" fontId="11" fillId="0" borderId="0" xfId="0" applyNumberFormat="1" applyFont="1" applyAlignment="1">
      <alignment horizontal="left" vertical="center"/>
    </xf>
    <xf numFmtId="17" fontId="11" fillId="0" borderId="0" xfId="0" applyNumberFormat="1" applyFont="1" applyAlignment="1">
      <alignment horizontal="center" vertical="center"/>
    </xf>
    <xf numFmtId="14" fontId="11" fillId="0" borderId="0" xfId="0" applyNumberFormat="1" applyFont="1" applyAlignment="1">
      <alignment horizontal="left" vertical="top"/>
    </xf>
    <xf numFmtId="0" fontId="10" fillId="0" borderId="0" xfId="0" applyFont="1" applyAlignment="1">
      <alignment horizontal="right" vertical="top"/>
    </xf>
    <xf numFmtId="0" fontId="2" fillId="0" borderId="0" xfId="0" applyFont="1" applyAlignment="1">
      <alignment horizontal="center"/>
    </xf>
    <xf numFmtId="49" fontId="14" fillId="0" borderId="0" xfId="0" applyNumberFormat="1" applyFont="1"/>
  </cellXfs>
  <cellStyles count="6">
    <cellStyle name="Hipervínculo" xfId="1" builtinId="8"/>
    <cellStyle name="Millares" xfId="2" builtinId="3"/>
    <cellStyle name="Moneda" xfId="3" builtinId="4"/>
    <cellStyle name="Normal" xfId="0" builtinId="0"/>
    <cellStyle name="Porcentaje" xfId="4" builtinId="5"/>
    <cellStyle name="Porcentaje 2" xfId="5" xr:uid="{049C9824-91AE-4FD8-A4C4-E91CBB8DBE2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7" Type="http://schemas.openxmlformats.org/officeDocument/2006/relationships/worksheet" Target="worksheets/sheet6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externalLink" Target="externalLinks/externalLink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styles" Target="styles.xml"/><Relationship Id="rId10" Type="http://schemas.openxmlformats.org/officeDocument/2006/relationships/worksheet" Target="worksheets/sheet9.xml"/><Relationship Id="rId19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externalLink" Target="externalLinks/externalLink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009988901220862E-2"/>
          <c:y val="3.2626427406199018E-2"/>
          <c:w val="0.87236403995560485"/>
          <c:h val="0.931484502446982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RECIBOS!$B$713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RECIBOS!$A$714:$A$786</c:f>
              <c:numCache>
                <c:formatCode>General</c:formatCode>
                <c:ptCount val="73"/>
              </c:numCache>
            </c:numRef>
          </c:cat>
          <c:val>
            <c:numRef>
              <c:f>RECIBOS!$B$714:$B$786</c:f>
              <c:numCache>
                <c:formatCode>_ "$"\ * #,##0.00_ ;_ "$"\ * \-#,##0.00_ ;_ "$"\ * "-"??_ ;_ @_ </c:formatCode>
                <c:ptCount val="73"/>
                <c:pt idx="4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9" formatCode="General">
                  <c:v>0</c:v>
                </c:pt>
                <c:pt idx="21" formatCode="General">
                  <c:v>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0</c:v>
                </c:pt>
                <c:pt idx="27" formatCode="General">
                  <c:v>0</c:v>
                </c:pt>
                <c:pt idx="31" formatCode="m/d/yyyy">
                  <c:v>46183</c:v>
                </c:pt>
                <c:pt idx="43" formatCode="General">
                  <c:v>0</c:v>
                </c:pt>
                <c:pt idx="47" formatCode="General">
                  <c:v>0</c:v>
                </c:pt>
                <c:pt idx="48" formatCode="General">
                  <c:v>0</c:v>
                </c:pt>
                <c:pt idx="49" formatCode="General">
                  <c:v>0</c:v>
                </c:pt>
                <c:pt idx="50" formatCode="General">
                  <c:v>0</c:v>
                </c:pt>
                <c:pt idx="51" formatCode="General">
                  <c:v>0</c:v>
                </c:pt>
                <c:pt idx="52" formatCode="General">
                  <c:v>0</c:v>
                </c:pt>
                <c:pt idx="58" formatCode="General">
                  <c:v>0</c:v>
                </c:pt>
                <c:pt idx="60" formatCode="General">
                  <c:v>0</c:v>
                </c:pt>
                <c:pt idx="63" formatCode="General">
                  <c:v>0</c:v>
                </c:pt>
                <c:pt idx="64" formatCode="General">
                  <c:v>0</c:v>
                </c:pt>
                <c:pt idx="65" formatCode="General">
                  <c:v>0</c:v>
                </c:pt>
                <c:pt idx="66" formatCode="General">
                  <c:v>0</c:v>
                </c:pt>
                <c:pt idx="69" formatCode="m/d/yyyy">
                  <c:v>46183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3E-4634-AED6-6847B5DF6EB5}"/>
            </c:ext>
          </c:extLst>
        </c:ser>
        <c:ser>
          <c:idx val="1"/>
          <c:order val="1"/>
          <c:tx>
            <c:strRef>
              <c:f>RECIBOS!$C$713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RECIBOS!$A$714:$A$786</c:f>
              <c:numCache>
                <c:formatCode>General</c:formatCode>
                <c:ptCount val="73"/>
              </c:numCache>
            </c:numRef>
          </c:cat>
          <c:val>
            <c:numRef>
              <c:f>RECIBOS!$C$714:$C$786</c:f>
              <c:numCache>
                <c:formatCode>_ "$"\ * #,##0.00_ ;_ "$"\ * \-#,##0.00_ ;_ "$"\ * "-"??_ ;_ @_ </c:formatCode>
                <c:ptCount val="73"/>
                <c:pt idx="31" formatCode="&quot;$&quot;\ #,##0;&quot;$&quot;\ \-#,##0">
                  <c:v>0</c:v>
                </c:pt>
                <c:pt idx="69" formatCode="&quot;$&quot;\ #,##0;&quot;$&quot;\ \-#,##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3E-4634-AED6-6847B5DF6EB5}"/>
            </c:ext>
          </c:extLst>
        </c:ser>
        <c:ser>
          <c:idx val="2"/>
          <c:order val="2"/>
          <c:tx>
            <c:strRef>
              <c:f>RECIBOS!$D$713</c:f>
              <c:strCache>
                <c:ptCount val="1"/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RECIBOS!$A$714:$A$786</c:f>
              <c:numCache>
                <c:formatCode>General</c:formatCode>
                <c:ptCount val="73"/>
              </c:numCache>
            </c:numRef>
          </c:cat>
          <c:val>
            <c:numRef>
              <c:f>RECIBOS!$D$714:$D$786</c:f>
              <c:numCache>
                <c:formatCode>mmm\-yy</c:formatCode>
                <c:ptCount val="73"/>
                <c:pt idx="7" formatCode="&quot;$&quot;\ #,##0;&quot;$&quot;\ \-#,##0">
                  <c:v>6751880</c:v>
                </c:pt>
                <c:pt idx="8" formatCode="&quot;$&quot;\ #,##0;&quot;$&quot;\ \-#,##0">
                  <c:v>1482120</c:v>
                </c:pt>
                <c:pt idx="9" formatCode="&quot;$&quot;\ #,##0;&quot;$&quot;\ \-#,##0">
                  <c:v>0</c:v>
                </c:pt>
                <c:pt idx="10" formatCode="&quot;$&quot;\ #,##0;&quot;$&quot;\ \-#,##0">
                  <c:v>0</c:v>
                </c:pt>
                <c:pt idx="11" formatCode="&quot;$&quot;\ #,##0;&quot;$&quot;\ \-#,##0">
                  <c:v>0</c:v>
                </c:pt>
                <c:pt idx="21" formatCode="General">
                  <c:v>0</c:v>
                </c:pt>
                <c:pt idx="22" formatCode="General">
                  <c:v>0</c:v>
                </c:pt>
                <c:pt idx="47" formatCode="&quot;$&quot;\ #,##0;&quot;$&quot;\ \-#,##0">
                  <c:v>6751880</c:v>
                </c:pt>
                <c:pt idx="48" formatCode="&quot;$&quot;\ #,##0;&quot;$&quot;\ \-#,##0">
                  <c:v>1482120</c:v>
                </c:pt>
                <c:pt idx="49" formatCode="&quot;$&quot;\ #,##0;&quot;$&quot;\ \-#,##0">
                  <c:v>0</c:v>
                </c:pt>
                <c:pt idx="50" formatCode="&quot;$&quot;\ #,##0;&quot;$&quot;\ \-#,##0">
                  <c:v>0</c:v>
                </c:pt>
                <c:pt idx="51" formatCode="&quot;$&quot;\ #,##0;&quot;$&quot;\ \-#,##0">
                  <c:v>0</c:v>
                </c:pt>
                <c:pt idx="60" formatCode="General">
                  <c:v>0</c:v>
                </c:pt>
                <c:pt idx="61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3E-4634-AED6-6847B5DF6EB5}"/>
            </c:ext>
          </c:extLst>
        </c:ser>
        <c:ser>
          <c:idx val="3"/>
          <c:order val="3"/>
          <c:tx>
            <c:strRef>
              <c:f>RECIBOS!$E$713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RECIBOS!$A$714:$A$786</c:f>
              <c:numCache>
                <c:formatCode>General</c:formatCode>
                <c:ptCount val="73"/>
              </c:numCache>
            </c:numRef>
          </c:cat>
          <c:val>
            <c:numRef>
              <c:f>RECIBOS!$E$714:$E$786</c:f>
              <c:numCache>
                <c:formatCode>mmm\-yy</c:formatCode>
                <c:ptCount val="73"/>
                <c:pt idx="0">
                  <c:v>46143</c:v>
                </c:pt>
                <c:pt idx="4" formatCode="General">
                  <c:v>0</c:v>
                </c:pt>
                <c:pt idx="7" formatCode="#,##0.00">
                  <c:v>0</c:v>
                </c:pt>
                <c:pt idx="8" formatCode="#,##0.00">
                  <c:v>0</c:v>
                </c:pt>
                <c:pt idx="9" formatCode="#,##0.00">
                  <c:v>0</c:v>
                </c:pt>
                <c:pt idx="10" formatCode="#,##0.00">
                  <c:v>0</c:v>
                </c:pt>
                <c:pt idx="11" formatCode="#,##0.00">
                  <c:v>0</c:v>
                </c:pt>
                <c:pt idx="19" formatCode="General">
                  <c:v>0</c:v>
                </c:pt>
                <c:pt idx="26" formatCode="General">
                  <c:v>0</c:v>
                </c:pt>
                <c:pt idx="27" formatCode="General">
                  <c:v>0</c:v>
                </c:pt>
                <c:pt idx="28" formatCode="General">
                  <c:v>0</c:v>
                </c:pt>
                <c:pt idx="29" formatCode="General">
                  <c:v>0</c:v>
                </c:pt>
                <c:pt idx="30" formatCode="General">
                  <c:v>0</c:v>
                </c:pt>
                <c:pt idx="31" formatCode="General">
                  <c:v>0</c:v>
                </c:pt>
                <c:pt idx="40">
                  <c:v>46143</c:v>
                </c:pt>
                <c:pt idx="43" formatCode="General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8" formatCode="General">
                  <c:v>0</c:v>
                </c:pt>
                <c:pt idx="60" formatCode="General">
                  <c:v>0</c:v>
                </c:pt>
                <c:pt idx="64" formatCode="General">
                  <c:v>0</c:v>
                </c:pt>
                <c:pt idx="65" formatCode="General">
                  <c:v>0</c:v>
                </c:pt>
                <c:pt idx="66" formatCode="General">
                  <c:v>0</c:v>
                </c:pt>
                <c:pt idx="67" formatCode="General">
                  <c:v>0</c:v>
                </c:pt>
                <c:pt idx="68" formatCode="General">
                  <c:v>0</c:v>
                </c:pt>
                <c:pt idx="69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3E-4634-AED6-6847B5DF6EB5}"/>
            </c:ext>
          </c:extLst>
        </c:ser>
        <c:ser>
          <c:idx val="4"/>
          <c:order val="4"/>
          <c:tx>
            <c:strRef>
              <c:f>RECIBOS!$F$713</c:f>
              <c:strCache>
                <c:ptCount val="1"/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RECIBOS!$A$714:$A$786</c:f>
              <c:numCache>
                <c:formatCode>General</c:formatCode>
                <c:ptCount val="73"/>
              </c:numCache>
            </c:numRef>
          </c:cat>
          <c:val>
            <c:numRef>
              <c:f>RECIBOS!$F$714:$F$786</c:f>
              <c:numCache>
                <c:formatCode>General</c:formatCode>
                <c:ptCount val="73"/>
                <c:pt idx="7" formatCode="&quot;$&quot;\ #,##0;&quot;$&quot;\ \-#,##0">
                  <c:v>0</c:v>
                </c:pt>
                <c:pt idx="8" formatCode="&quot;$&quot;\ #,##0;&quot;$&quot;\ \-#,##0">
                  <c:v>0</c:v>
                </c:pt>
                <c:pt idx="9" formatCode="&quot;$&quot;\ #,##0;&quot;$&quot;\ \-#,##0">
                  <c:v>0</c:v>
                </c:pt>
                <c:pt idx="10" formatCode="&quot;$&quot;\ #,##0;&quot;$&quot;\ \-#,##0">
                  <c:v>0</c:v>
                </c:pt>
                <c:pt idx="11" formatCode="&quot;$&quot;\ #,##0;&quot;$&quot;\ \-#,##0">
                  <c:v>0</c:v>
                </c:pt>
                <c:pt idx="12" formatCode="&quot;$&quot;\ #,##0;&quot;$&quot;\ \-#,##0">
                  <c:v>0</c:v>
                </c:pt>
                <c:pt idx="26" formatCode="&quot;$&quot;\ #,##0;&quot;$&quot;\ \-#,##0">
                  <c:v>0</c:v>
                </c:pt>
                <c:pt idx="27" formatCode="&quot;$&quot;\ #,##0;&quot;$&quot;\ \-#,##0">
                  <c:v>0</c:v>
                </c:pt>
                <c:pt idx="28" formatCode="&quot;$&quot;\ #,##0;&quot;$&quot;\ \-#,##0">
                  <c:v>0</c:v>
                </c:pt>
                <c:pt idx="29" formatCode="&quot;$&quot;\ #,##0;&quot;$&quot;\ \-#,##0">
                  <c:v>0</c:v>
                </c:pt>
                <c:pt idx="30" formatCode="&quot;$&quot;\ #,##0;&quot;$&quot;\ \-#,##0">
                  <c:v>0</c:v>
                </c:pt>
                <c:pt idx="31" formatCode="&quot;$&quot;\ #,##0;&quot;$&quot;\ \-#,##0">
                  <c:v>0</c:v>
                </c:pt>
                <c:pt idx="47" formatCode="&quot;$&quot;\ #,##0;&quot;$&quot;\ \-#,##0">
                  <c:v>0</c:v>
                </c:pt>
                <c:pt idx="48" formatCode="&quot;$&quot;\ #,##0;&quot;$&quot;\ \-#,##0">
                  <c:v>0</c:v>
                </c:pt>
                <c:pt idx="49" formatCode="&quot;$&quot;\ #,##0;&quot;$&quot;\ \-#,##0">
                  <c:v>0</c:v>
                </c:pt>
                <c:pt idx="50" formatCode="&quot;$&quot;\ #,##0;&quot;$&quot;\ \-#,##0">
                  <c:v>0</c:v>
                </c:pt>
                <c:pt idx="51" formatCode="&quot;$&quot;\ #,##0;&quot;$&quot;\ \-#,##0">
                  <c:v>0</c:v>
                </c:pt>
                <c:pt idx="52" formatCode="&quot;$&quot;\ #,##0;&quot;$&quot;\ \-#,##0">
                  <c:v>0</c:v>
                </c:pt>
                <c:pt idx="64" formatCode="&quot;$&quot;\ #,##0;&quot;$&quot;\ \-#,##0">
                  <c:v>0</c:v>
                </c:pt>
                <c:pt idx="65" formatCode="&quot;$&quot;\ #,##0;&quot;$&quot;\ \-#,##0">
                  <c:v>0</c:v>
                </c:pt>
                <c:pt idx="66" formatCode="&quot;$&quot;\ #,##0;&quot;$&quot;\ \-#,##0">
                  <c:v>0</c:v>
                </c:pt>
                <c:pt idx="67" formatCode="&quot;$&quot;\ #,##0;&quot;$&quot;\ \-#,##0">
                  <c:v>0</c:v>
                </c:pt>
                <c:pt idx="68" formatCode="&quot;$&quot;\ #,##0;&quot;$&quot;\ \-#,##0">
                  <c:v>0</c:v>
                </c:pt>
                <c:pt idx="69" formatCode="&quot;$&quot;\ #,##0;&quot;$&quot;\ \-#,##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3E-4634-AED6-6847B5DF6EB5}"/>
            </c:ext>
          </c:extLst>
        </c:ser>
        <c:ser>
          <c:idx val="5"/>
          <c:order val="5"/>
          <c:tx>
            <c:strRef>
              <c:f>RECIBOS!$G$713</c:f>
              <c:strCache>
                <c:ptCount val="1"/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RECIBOS!$A$714:$A$786</c:f>
              <c:numCache>
                <c:formatCode>General</c:formatCode>
                <c:ptCount val="73"/>
              </c:numCache>
            </c:numRef>
          </c:cat>
          <c:val>
            <c:numRef>
              <c:f>RECIBOS!$G$714:$G$786</c:f>
              <c:numCache>
                <c:formatCode>m/d/yyyy</c:formatCode>
                <c:ptCount val="73"/>
                <c:pt idx="0">
                  <c:v>46183</c:v>
                </c:pt>
                <c:pt idx="40">
                  <c:v>46183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A3E-4634-AED6-6847B5DF6EB5}"/>
            </c:ext>
          </c:extLst>
        </c:ser>
        <c:ser>
          <c:idx val="6"/>
          <c:order val="6"/>
          <c:tx>
            <c:strRef>
              <c:f>RECIBOS!$H$713</c:f>
              <c:strCache>
                <c:ptCount val="1"/>
              </c:strCache>
            </c:strRef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RECIBOS!$A$714:$A$786</c:f>
              <c:numCache>
                <c:formatCode>General</c:formatCode>
                <c:ptCount val="73"/>
              </c:numCache>
            </c:numRef>
          </c:cat>
          <c:val>
            <c:numRef>
              <c:f>RECIBOS!$H$714:$H$786</c:f>
              <c:numCache>
                <c:formatCode>General</c:formatCode>
                <c:ptCount val="73"/>
                <c:pt idx="4">
                  <c:v>0</c:v>
                </c:pt>
                <c:pt idx="5">
                  <c:v>0</c:v>
                </c:pt>
                <c:pt idx="21">
                  <c:v>0</c:v>
                </c:pt>
                <c:pt idx="22">
                  <c:v>0</c:v>
                </c:pt>
                <c:pt idx="26" formatCode="m/d/yyyy">
                  <c:v>46183</c:v>
                </c:pt>
                <c:pt idx="43">
                  <c:v>0</c:v>
                </c:pt>
                <c:pt idx="44">
                  <c:v>0</c:v>
                </c:pt>
                <c:pt idx="59">
                  <c:v>0</c:v>
                </c:pt>
                <c:pt idx="60">
                  <c:v>0</c:v>
                </c:pt>
                <c:pt idx="64" formatCode="m/d/yyyy">
                  <c:v>46183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3E-4634-AED6-6847B5DF6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6388191"/>
        <c:axId val="1"/>
      </c:barChart>
      <c:catAx>
        <c:axId val="15463881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_ &quot;$&quot;\ * #,##0.00_ ;_ &quot;$&quot;\ * \-#,##0.00_ ;_ &quot;$&quot;\ * &quot;-&quot;??_ ;_ @_ 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154638819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97558257130992032"/>
          <c:y val="0.38813541527648027"/>
          <c:w val="0.99667038517806783"/>
          <c:h val="0.6050845678188531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A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AR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F345CAC-E037-4ADC-BA6A-33C2F28B7E7F}">
  <sheetPr/>
  <sheetViews>
    <sheetView zoomScale="45" workbookViewId="0"/>
  </sheetViews>
  <pageMargins left="0.75" right="0.75" top="1" bottom="1" header="0" footer="0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10675" cy="561975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20543E-48A9-A9B2-D990-21408C1BFE6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C%20KARINA%202026\URUGUAY%20II%202026\URUGUAY%20042026.xlsx" TargetMode="External"/><Relationship Id="rId1" Type="http://schemas.openxmlformats.org/officeDocument/2006/relationships/externalLinkPath" Target="URUGUAY%2004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URUGUAY%20II%202016\URUGUAY%200516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C%20KARINA%202026\URUGUAY%20II%202026\URUGUAY%20032026.xlsx" TargetMode="External"/><Relationship Id="rId1" Type="http://schemas.openxmlformats.org/officeDocument/2006/relationships/externalLinkPath" Target="URUGUAY%2003202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pmal\OneDrive\Escritorio\PC%20KARINA\URUGUAY%20II%202025\URUGUAY%2007202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URUGUAY%20II%202019\URUGUAY%20081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pmal\OneDrive\Escritorio\PC%20KARINA\URUGUAY%20II%202025\URUGUAY%20112025%20DEF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pmal\OneDrive\Escritorio\PC%20KARINA\URUGUAY%20II%202025\URUGUAY%2012202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AYACUCHO%202009\Recibo%20de%20Haberes%20%20%20010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AYACUCHO%202009\Recibo%20de%20Haberes%20%20%20030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AYACUCHO%202009\Recibo%20de%20Haberes%20%20%200408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AYACUCHO%202009\Recibo%20de%20Haberes%20%20%2002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RET GCIA"/>
      <sheetName val="Hoja2"/>
      <sheetName val="Hoja1"/>
      <sheetName val="Hoja3"/>
    </sheetNames>
    <sheetDataSet>
      <sheetData sheetId="0">
        <row r="83">
          <cell r="H83">
            <v>14331635.654665001</v>
          </cell>
        </row>
      </sheetData>
      <sheetData sheetId="1">
        <row r="14">
          <cell r="N14">
            <v>176224.068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RET GCIA"/>
      <sheetName val="Hoja2"/>
      <sheetName val="Hoja1"/>
    </sheetNames>
    <sheetDataSet>
      <sheetData sheetId="0" refreshError="1"/>
      <sheetData sheetId="1">
        <row r="13">
          <cell r="O13">
            <v>123.22500000000001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RET GCIA"/>
      <sheetName val="Hoja2"/>
      <sheetName val="Hoja1"/>
      <sheetName val="Hoja3"/>
    </sheetNames>
    <sheetDataSet>
      <sheetData sheetId="0">
        <row r="90">
          <cell r="H90">
            <v>11624418.654665001</v>
          </cell>
        </row>
      </sheetData>
      <sheetData sheetId="1">
        <row r="14">
          <cell r="N14">
            <v>176224.068</v>
          </cell>
        </row>
        <row r="25">
          <cell r="N25">
            <v>770690.63863041415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RET GCIA"/>
      <sheetName val="Hoja2"/>
      <sheetName val="Hoja1"/>
      <sheetName val="Hoja3"/>
    </sheetNames>
    <sheetDataSet>
      <sheetData sheetId="0">
        <row r="89">
          <cell r="G89">
            <v>0</v>
          </cell>
        </row>
      </sheetData>
      <sheetData sheetId="1">
        <row r="14">
          <cell r="P14">
            <v>175423.2102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RET GCIA"/>
      <sheetName val="Hoja2"/>
      <sheetName val="Hoja1"/>
    </sheetNames>
    <sheetDataSet>
      <sheetData sheetId="0"/>
      <sheetData sheetId="1">
        <row r="22">
          <cell r="O22">
            <v>1550.8740778801139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RET GCIA"/>
      <sheetName val="Hoja2"/>
      <sheetName val="Hoja1"/>
      <sheetName val="Hoja3"/>
    </sheetNames>
    <sheetDataSet>
      <sheetData sheetId="0"/>
      <sheetData sheetId="1">
        <row r="23">
          <cell r="P23">
            <v>189980.20132924436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RET GCIA"/>
      <sheetName val="Hoja2"/>
      <sheetName val="Hoja1"/>
      <sheetName val="Hoja3"/>
    </sheetNames>
    <sheetDataSet>
      <sheetData sheetId="0">
        <row r="98">
          <cell r="G98">
            <v>7911167.2146650013</v>
          </cell>
        </row>
      </sheetData>
      <sheetData sheetId="1">
        <row r="15">
          <cell r="N15">
            <v>720807.74939867214</v>
          </cell>
        </row>
        <row r="24">
          <cell r="P24">
            <v>48024.118694151126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  <sheetData sheetId="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ú"/>
      <sheetName val="Carga"/>
      <sheetName val="Recibo"/>
      <sheetName val="Reporte"/>
      <sheetName val="Libro Sueldo"/>
      <sheetName val="Cargas Sociales"/>
      <sheetName val="Recibo Vacaciones"/>
      <sheetName val="Recibo SAC"/>
      <sheetName val="Importante"/>
      <sheetName val="Listas"/>
      <sheetName val="Carga2"/>
      <sheetName val="Copia Base de Datos"/>
    </sheetNames>
    <sheetDataSet>
      <sheetData sheetId="0"/>
      <sheetData sheetId="1"/>
      <sheetData sheetId="2">
        <row r="51">
          <cell r="I51">
            <v>3168.4548249999998</v>
          </cell>
          <cell r="J51">
            <v>675.25751324999987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ú"/>
      <sheetName val="Carga"/>
      <sheetName val="Recibo"/>
      <sheetName val="Reporte"/>
      <sheetName val="Libro Sueldo"/>
      <sheetName val="Cargas Sociales"/>
      <sheetName val="Recibo Vacaciones"/>
      <sheetName val="Recibo SAC"/>
      <sheetName val="Importante"/>
      <sheetName val="Listas"/>
      <sheetName val="Carga2"/>
      <sheetName val="Copia Base de Datos"/>
    </sheetNames>
    <sheetDataSet>
      <sheetData sheetId="0"/>
      <sheetData sheetId="1"/>
      <sheetData sheetId="2">
        <row r="51">
          <cell r="I51">
            <v>3400.759</v>
          </cell>
          <cell r="J51">
            <v>723.30939000000001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ú"/>
      <sheetName val="Carga"/>
      <sheetName val="Recibo"/>
      <sheetName val="Reporte"/>
      <sheetName val="Libro Sueldo"/>
      <sheetName val="Cargas Sociales"/>
      <sheetName val="Recibo Vacaciones"/>
      <sheetName val="Recibo SAC"/>
      <sheetName val="Importante"/>
      <sheetName val="Listas"/>
      <sheetName val="Carga2"/>
      <sheetName val="Copia Base de Datos"/>
    </sheetNames>
    <sheetDataSet>
      <sheetData sheetId="0"/>
      <sheetData sheetId="1"/>
      <sheetData sheetId="2">
        <row r="103">
          <cell r="I103">
            <v>3820.1955000000003</v>
          </cell>
          <cell r="J103">
            <v>813.24105500000007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ú"/>
      <sheetName val="Carga"/>
      <sheetName val="Recibo"/>
      <sheetName val="Reporte"/>
      <sheetName val="Libro Sueldo"/>
      <sheetName val="Cargas Sociales"/>
      <sheetName val="Recibo Vacaciones"/>
      <sheetName val="Recibo SAC"/>
      <sheetName val="Importante"/>
      <sheetName val="Listas"/>
      <sheetName val="Carga2"/>
      <sheetName val="Copia Base de Datos"/>
    </sheetNames>
    <sheetDataSet>
      <sheetData sheetId="0"/>
      <sheetData sheetId="1"/>
      <sheetData sheetId="2">
        <row r="199">
          <cell r="J199">
            <v>511.10797500000001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soca_administraciones@hot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buenosaires.gob.ar/sites/default/files/2025-02/Manual%20buenas%20pr%C3%A1cticas%20consorciales_0.pdf" TargetMode="External"/><Relationship Id="rId2" Type="http://schemas.openxmlformats.org/officeDocument/2006/relationships/hyperlink" Target="mailto:elalor@fibertel.com.ar/eduardolalor@hotmail.com" TargetMode="External"/><Relationship Id="rId1" Type="http://schemas.openxmlformats.org/officeDocument/2006/relationships/hyperlink" Target="mailto:daniela_gastaldi@hotmail.com/jmarianogastaldi@estudiogastaldi.com.ar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29EA9-98CA-4473-9390-BB80241DA396}">
  <sheetPr>
    <pageSetUpPr fitToPage="1"/>
  </sheetPr>
  <dimension ref="A1:Y128"/>
  <sheetViews>
    <sheetView tabSelected="1" topLeftCell="A82" zoomScaleNormal="100" workbookViewId="0">
      <selection activeCell="F93" sqref="F93"/>
    </sheetView>
  </sheetViews>
  <sheetFormatPr baseColWidth="10" defaultColWidth="11.42578125" defaultRowHeight="14.25" x14ac:dyDescent="0.2"/>
  <cols>
    <col min="1" max="1" width="3.42578125" style="116" customWidth="1"/>
    <col min="2" max="2" width="11.85546875" style="116" bestFit="1" customWidth="1"/>
    <col min="3" max="3" width="18.42578125" style="116" customWidth="1"/>
    <col min="4" max="4" width="20.7109375" style="116" customWidth="1"/>
    <col min="5" max="5" width="28.42578125" style="116" customWidth="1"/>
    <col min="6" max="6" width="15.28515625" style="149" customWidth="1"/>
    <col min="7" max="7" width="13.5703125" style="149" customWidth="1"/>
    <col min="8" max="8" width="14.5703125" style="116" customWidth="1"/>
    <col min="9" max="9" width="7" style="116" customWidth="1"/>
    <col min="10" max="10" width="13.28515625" style="116" bestFit="1" customWidth="1"/>
    <col min="11" max="11" width="12.5703125" style="116" bestFit="1" customWidth="1"/>
    <col min="12" max="12" width="14.140625" style="116" bestFit="1" customWidth="1"/>
    <col min="13" max="13" width="14.85546875" style="116" customWidth="1"/>
    <col min="14" max="14" width="14.7109375" style="116" bestFit="1" customWidth="1"/>
    <col min="15" max="15" width="23.28515625" style="116" bestFit="1" customWidth="1"/>
    <col min="16" max="17" width="16.28515625" style="116" bestFit="1" customWidth="1"/>
    <col min="18" max="18" width="15.42578125" style="116" customWidth="1"/>
    <col min="19" max="19" width="2.85546875" style="243" customWidth="1"/>
    <col min="20" max="16384" width="11.42578125" style="116"/>
  </cols>
  <sheetData>
    <row r="1" spans="1:19" ht="18.75" customHeight="1" x14ac:dyDescent="0.3">
      <c r="A1" s="299" t="s">
        <v>301</v>
      </c>
      <c r="B1" s="299"/>
      <c r="C1" s="299"/>
      <c r="D1" s="299"/>
      <c r="E1" s="299"/>
      <c r="F1" s="299"/>
      <c r="G1" s="207"/>
      <c r="H1" s="301">
        <v>46143</v>
      </c>
      <c r="I1" s="301"/>
      <c r="K1" s="87"/>
    </row>
    <row r="2" spans="1:19" s="87" customFormat="1" ht="14.25" customHeight="1" x14ac:dyDescent="0.3">
      <c r="A2" s="152" t="s">
        <v>250</v>
      </c>
      <c r="B2" s="153"/>
      <c r="C2" s="153"/>
      <c r="D2" s="153"/>
      <c r="E2" s="153"/>
      <c r="F2" s="163"/>
      <c r="G2" s="189" t="s">
        <v>208</v>
      </c>
      <c r="H2" s="165"/>
      <c r="I2" s="165"/>
      <c r="S2" s="247"/>
    </row>
    <row r="3" spans="1:19" s="87" customFormat="1" ht="14.1" customHeight="1" x14ac:dyDescent="0.3">
      <c r="A3" s="153" t="s">
        <v>251</v>
      </c>
      <c r="B3" s="153"/>
      <c r="C3" s="153"/>
      <c r="D3" s="153"/>
      <c r="E3" s="153"/>
      <c r="F3" s="163"/>
      <c r="G3" s="149" t="s">
        <v>291</v>
      </c>
      <c r="H3" s="165"/>
      <c r="I3" s="165"/>
      <c r="S3" s="247"/>
    </row>
    <row r="4" spans="1:19" s="87" customFormat="1" ht="14.1" customHeight="1" x14ac:dyDescent="0.3">
      <c r="A4" s="153" t="s">
        <v>252</v>
      </c>
      <c r="B4" s="153"/>
      <c r="C4" s="153"/>
      <c r="D4" s="153"/>
      <c r="E4" s="153"/>
      <c r="F4" s="163"/>
      <c r="G4" s="149" t="s">
        <v>270</v>
      </c>
      <c r="H4" s="165"/>
      <c r="I4" s="165"/>
      <c r="S4" s="247"/>
    </row>
    <row r="5" spans="1:19" s="87" customFormat="1" ht="14.1" customHeight="1" x14ac:dyDescent="0.3">
      <c r="A5" s="190" t="s">
        <v>253</v>
      </c>
      <c r="B5" s="153"/>
      <c r="C5" s="153"/>
      <c r="D5" s="153"/>
      <c r="E5" s="187" t="s">
        <v>254</v>
      </c>
      <c r="F5" s="163"/>
      <c r="G5" s="149" t="s">
        <v>296</v>
      </c>
      <c r="H5" s="165"/>
      <c r="I5" s="165"/>
      <c r="S5" s="247"/>
    </row>
    <row r="6" spans="1:19" s="87" customFormat="1" ht="14.1" customHeight="1" x14ac:dyDescent="0.3">
      <c r="A6" s="153" t="s">
        <v>223</v>
      </c>
      <c r="B6" s="153"/>
      <c r="C6" s="153"/>
      <c r="D6" s="153"/>
      <c r="E6" s="116" t="s">
        <v>255</v>
      </c>
      <c r="F6" s="163"/>
      <c r="G6" s="163"/>
      <c r="H6" s="165"/>
      <c r="I6" s="165"/>
      <c r="S6" s="247"/>
    </row>
    <row r="7" spans="1:19" s="87" customFormat="1" ht="13.5" customHeight="1" x14ac:dyDescent="0.3">
      <c r="A7" s="155" t="s">
        <v>256</v>
      </c>
      <c r="B7" s="155"/>
      <c r="C7" s="2"/>
      <c r="D7" s="2"/>
      <c r="E7" s="119" t="s">
        <v>266</v>
      </c>
      <c r="F7" s="164"/>
      <c r="G7" s="164"/>
      <c r="H7" s="191"/>
      <c r="I7" s="191"/>
      <c r="S7" s="247"/>
    </row>
    <row r="8" spans="1:19" s="87" customFormat="1" ht="12.75" customHeight="1" x14ac:dyDescent="0.25">
      <c r="S8" s="247"/>
    </row>
    <row r="9" spans="1:19" s="186" customFormat="1" ht="16.5" customHeight="1" x14ac:dyDescent="0.2">
      <c r="B9" s="181" t="s">
        <v>245</v>
      </c>
      <c r="C9" s="182"/>
      <c r="D9" s="182"/>
      <c r="E9" s="182"/>
      <c r="F9" s="183" t="s">
        <v>195</v>
      </c>
      <c r="G9" s="183" t="s">
        <v>196</v>
      </c>
      <c r="H9" s="184" t="s">
        <v>0</v>
      </c>
      <c r="I9" s="185" t="s">
        <v>18</v>
      </c>
      <c r="J9" s="274"/>
      <c r="K9" s="186" t="s">
        <v>241</v>
      </c>
      <c r="L9" s="186" t="s">
        <v>25</v>
      </c>
      <c r="M9" s="186" t="s">
        <v>243</v>
      </c>
      <c r="N9" s="186" t="s">
        <v>0</v>
      </c>
      <c r="S9" s="248"/>
    </row>
    <row r="10" spans="1:19" ht="14.1" customHeight="1" x14ac:dyDescent="0.2">
      <c r="A10"/>
      <c r="B10" s="206" t="s">
        <v>268</v>
      </c>
      <c r="C10" s="83"/>
      <c r="D10" s="83"/>
      <c r="E10" s="83"/>
      <c r="F10" s="194"/>
      <c r="G10" s="194"/>
      <c r="H10" s="195">
        <f>SUM(F13:F38)+G14+G33+G34+G35+G36+G37+G38</f>
        <v>4278582.8599999994</v>
      </c>
      <c r="I10" s="196">
        <f>+H10/$H$74</f>
        <v>0.67125176687505006</v>
      </c>
      <c r="K10" s="126">
        <v>0</v>
      </c>
      <c r="L10" s="126">
        <f>+F33+F34+F35+F36+F37+F38+G33+G34+G35+G36+G37+G38</f>
        <v>1881373.8599999999</v>
      </c>
      <c r="M10" s="126">
        <f>+F14+G14+F23</f>
        <v>2397209</v>
      </c>
      <c r="N10" s="126">
        <f>SUM(K10:M10)</f>
        <v>4278582.8599999994</v>
      </c>
    </row>
    <row r="11" spans="1:19" ht="14.1" customHeight="1" x14ac:dyDescent="0.2">
      <c r="A11"/>
      <c r="B11" s="193" t="s">
        <v>306</v>
      </c>
      <c r="C11" s="83"/>
      <c r="D11" s="83"/>
      <c r="E11" s="83"/>
      <c r="F11" s="194"/>
      <c r="G11" s="194"/>
      <c r="H11" s="195"/>
      <c r="I11" s="197"/>
      <c r="K11" s="126"/>
      <c r="L11" s="126"/>
      <c r="M11" s="126"/>
      <c r="N11" s="126"/>
    </row>
    <row r="12" spans="1:19" ht="14.1" customHeight="1" x14ac:dyDescent="0.2">
      <c r="A12">
        <v>1</v>
      </c>
      <c r="B12" s="192" t="s">
        <v>269</v>
      </c>
      <c r="C12" s="83"/>
      <c r="D12" s="83"/>
      <c r="E12" s="83"/>
      <c r="F12" s="194"/>
      <c r="G12" s="194"/>
      <c r="H12" s="195"/>
      <c r="I12" s="197"/>
      <c r="K12" s="126"/>
      <c r="L12" s="126"/>
      <c r="M12" s="126"/>
      <c r="N12" s="126"/>
      <c r="O12" s="252"/>
    </row>
    <row r="13" spans="1:19" ht="14.1" customHeight="1" x14ac:dyDescent="0.2">
      <c r="B13" s="193" t="s">
        <v>318</v>
      </c>
      <c r="C13" s="83"/>
      <c r="D13" s="83"/>
      <c r="E13" s="83"/>
      <c r="F13" s="194"/>
      <c r="G13" s="194"/>
      <c r="H13" s="195"/>
      <c r="I13" s="197"/>
      <c r="L13" s="126"/>
    </row>
    <row r="14" spans="1:19" ht="14.1" customHeight="1" x14ac:dyDescent="0.2">
      <c r="B14" s="193" t="s">
        <v>408</v>
      </c>
      <c r="C14" s="83"/>
      <c r="D14" s="194"/>
      <c r="E14" s="83"/>
      <c r="F14" s="194">
        <f>1193914*0.635</f>
        <v>758135.39</v>
      </c>
      <c r="G14" s="194">
        <f>1193914*0.365</f>
        <v>435778.61</v>
      </c>
      <c r="H14" s="195"/>
      <c r="I14" s="198"/>
      <c r="O14" s="252"/>
    </row>
    <row r="15" spans="1:19" s="222" customFormat="1" ht="12" customHeight="1" x14ac:dyDescent="0.2">
      <c r="B15" s="223" t="s">
        <v>384</v>
      </c>
      <c r="D15" s="224">
        <v>1056829</v>
      </c>
      <c r="F15" s="225"/>
      <c r="G15" s="224"/>
      <c r="H15" s="226"/>
      <c r="I15" s="227"/>
      <c r="S15" s="249"/>
    </row>
    <row r="16" spans="1:19" s="222" customFormat="1" ht="12" customHeight="1" x14ac:dyDescent="0.2">
      <c r="B16" s="223" t="s">
        <v>403</v>
      </c>
      <c r="D16" s="224">
        <v>315174</v>
      </c>
      <c r="F16" s="225"/>
      <c r="G16" s="224"/>
      <c r="H16" s="226"/>
      <c r="I16" s="227"/>
      <c r="O16" s="253"/>
      <c r="S16" s="249"/>
    </row>
    <row r="17" spans="2:19" s="222" customFormat="1" ht="12" customHeight="1" x14ac:dyDescent="0.2">
      <c r="B17" s="223" t="s">
        <v>401</v>
      </c>
      <c r="D17" s="224">
        <v>73765.100000000006</v>
      </c>
      <c r="F17" s="225"/>
      <c r="G17" s="224"/>
      <c r="H17" s="226"/>
      <c r="I17" s="227"/>
      <c r="O17" s="253"/>
      <c r="S17" s="249"/>
    </row>
    <row r="18" spans="2:19" s="222" customFormat="1" ht="12" customHeight="1" x14ac:dyDescent="0.2">
      <c r="B18" s="223" t="s">
        <v>402</v>
      </c>
      <c r="D18" s="228">
        <v>80000</v>
      </c>
      <c r="F18" s="225"/>
      <c r="G18" s="224"/>
      <c r="H18" s="226"/>
      <c r="I18" s="227"/>
      <c r="O18" s="253"/>
      <c r="S18" s="249"/>
    </row>
    <row r="19" spans="2:19" s="222" customFormat="1" ht="12" customHeight="1" x14ac:dyDescent="0.2">
      <c r="B19" s="223" t="s">
        <v>304</v>
      </c>
      <c r="D19" s="224">
        <f>SUM(D15:D18)</f>
        <v>1525768.1</v>
      </c>
      <c r="F19" s="225"/>
      <c r="G19" s="224"/>
      <c r="H19" s="226"/>
      <c r="I19" s="227"/>
      <c r="S19" s="249"/>
    </row>
    <row r="20" spans="2:19" s="222" customFormat="1" ht="12" customHeight="1" x14ac:dyDescent="0.2">
      <c r="B20" s="223" t="s">
        <v>319</v>
      </c>
      <c r="D20" s="228">
        <v>-331854.56</v>
      </c>
      <c r="F20" s="224"/>
      <c r="G20" s="224"/>
      <c r="H20" s="226"/>
      <c r="I20" s="227"/>
      <c r="O20" s="253"/>
      <c r="S20" s="249"/>
    </row>
    <row r="21" spans="2:19" s="222" customFormat="1" ht="12" customHeight="1" x14ac:dyDescent="0.2">
      <c r="B21" s="223" t="s">
        <v>265</v>
      </c>
      <c r="D21" s="224">
        <f>SUM(D19:D20)</f>
        <v>1193913.54</v>
      </c>
      <c r="F21" s="224"/>
      <c r="G21" s="224"/>
      <c r="H21" s="226"/>
      <c r="I21" s="227"/>
      <c r="S21" s="249"/>
    </row>
    <row r="22" spans="2:19" ht="14.1" customHeight="1" x14ac:dyDescent="0.2">
      <c r="B22" s="193" t="s">
        <v>336</v>
      </c>
      <c r="C22" s="83"/>
      <c r="D22" s="83"/>
      <c r="E22" s="83"/>
      <c r="F22" s="194"/>
      <c r="G22" s="194"/>
      <c r="H22" s="195"/>
      <c r="I22" s="197"/>
      <c r="L22" s="126"/>
    </row>
    <row r="23" spans="2:19" ht="14.1" customHeight="1" x14ac:dyDescent="0.2">
      <c r="B23" s="193" t="s">
        <v>409</v>
      </c>
      <c r="C23" s="83"/>
      <c r="D23" s="194"/>
      <c r="E23" s="222"/>
      <c r="F23" s="194">
        <v>1203295</v>
      </c>
      <c r="G23" s="194">
        <v>0</v>
      </c>
      <c r="H23" s="195"/>
      <c r="I23" s="198"/>
    </row>
    <row r="24" spans="2:19" s="222" customFormat="1" ht="12" customHeight="1" x14ac:dyDescent="0.2">
      <c r="B24" s="223" t="s">
        <v>384</v>
      </c>
      <c r="D24" s="224">
        <v>1089785</v>
      </c>
      <c r="E24" s="276"/>
      <c r="F24" s="224"/>
      <c r="G24" s="224"/>
      <c r="H24" s="226"/>
      <c r="I24" s="227"/>
      <c r="J24" s="253"/>
      <c r="S24" s="249"/>
    </row>
    <row r="25" spans="2:19" s="222" customFormat="1" ht="12" customHeight="1" x14ac:dyDescent="0.2">
      <c r="B25" s="223" t="s">
        <v>404</v>
      </c>
      <c r="D25" s="224">
        <v>315174</v>
      </c>
      <c r="E25" s="276"/>
      <c r="F25" s="224"/>
      <c r="G25" s="224"/>
      <c r="H25" s="226"/>
      <c r="I25" s="227"/>
      <c r="S25" s="249"/>
    </row>
    <row r="26" spans="2:19" s="222" customFormat="1" ht="12" customHeight="1" x14ac:dyDescent="0.2">
      <c r="B26" s="223" t="s">
        <v>385</v>
      </c>
      <c r="D26" s="224">
        <v>21349.9</v>
      </c>
      <c r="E26" s="276"/>
      <c r="F26" s="224"/>
      <c r="G26" s="224"/>
      <c r="H26" s="226"/>
      <c r="I26" s="227"/>
      <c r="J26" s="253"/>
      <c r="S26" s="249"/>
    </row>
    <row r="27" spans="2:19" s="222" customFormat="1" ht="12" customHeight="1" x14ac:dyDescent="0.2">
      <c r="B27" s="223" t="s">
        <v>386</v>
      </c>
      <c r="D27" s="224">
        <v>7130.4</v>
      </c>
      <c r="E27" s="276"/>
      <c r="F27" s="224"/>
      <c r="G27" s="224"/>
      <c r="H27" s="226"/>
      <c r="I27" s="227"/>
      <c r="J27" s="253"/>
      <c r="S27" s="249"/>
    </row>
    <row r="28" spans="2:19" s="222" customFormat="1" ht="12" customHeight="1" x14ac:dyDescent="0.2">
      <c r="B28" s="223" t="s">
        <v>388</v>
      </c>
      <c r="D28" s="224">
        <v>33429.699999999997</v>
      </c>
      <c r="E28" s="276"/>
      <c r="F28" s="224"/>
      <c r="G28" s="224"/>
      <c r="H28" s="226"/>
      <c r="I28" s="227"/>
      <c r="J28" s="253"/>
      <c r="S28" s="249"/>
    </row>
    <row r="29" spans="2:19" s="222" customFormat="1" ht="12" customHeight="1" x14ac:dyDescent="0.2">
      <c r="B29" s="223" t="s">
        <v>402</v>
      </c>
      <c r="D29" s="228">
        <v>80000</v>
      </c>
      <c r="E29" s="276"/>
      <c r="F29" s="224"/>
      <c r="G29" s="224"/>
      <c r="H29" s="226"/>
      <c r="I29" s="227"/>
      <c r="J29" s="253"/>
      <c r="S29" s="249"/>
    </row>
    <row r="30" spans="2:19" s="222" customFormat="1" ht="12" customHeight="1" x14ac:dyDescent="0.2">
      <c r="B30" s="223" t="s">
        <v>304</v>
      </c>
      <c r="D30" s="224">
        <f>SUM(D24:D29)</f>
        <v>1546868.9999999998</v>
      </c>
      <c r="E30" s="224"/>
      <c r="F30" s="225"/>
      <c r="G30" s="224"/>
      <c r="H30" s="226"/>
      <c r="I30" s="227"/>
      <c r="S30" s="249"/>
    </row>
    <row r="31" spans="2:19" s="222" customFormat="1" ht="12" customHeight="1" x14ac:dyDescent="0.2">
      <c r="B31" s="223" t="s">
        <v>319</v>
      </c>
      <c r="D31" s="228">
        <v>-343574.41</v>
      </c>
      <c r="F31" s="194"/>
      <c r="G31" s="194"/>
      <c r="H31" s="226"/>
      <c r="I31" s="227"/>
      <c r="S31" s="249"/>
    </row>
    <row r="32" spans="2:19" s="222" customFormat="1" ht="12" customHeight="1" x14ac:dyDescent="0.2">
      <c r="B32" s="223" t="s">
        <v>265</v>
      </c>
      <c r="D32" s="224">
        <f>SUM(D30:D31)</f>
        <v>1203294.5899999999</v>
      </c>
      <c r="H32" s="226"/>
      <c r="I32" s="227"/>
      <c r="K32" s="199"/>
      <c r="S32" s="249"/>
    </row>
    <row r="33" spans="1:14" ht="14.1" customHeight="1" x14ac:dyDescent="0.2">
      <c r="A33"/>
      <c r="B33" s="193" t="s">
        <v>418</v>
      </c>
      <c r="C33" s="83"/>
      <c r="D33" s="83"/>
      <c r="E33" s="83"/>
      <c r="F33" s="199">
        <f>1224261.79*0.635</f>
        <v>777406.23664999998</v>
      </c>
      <c r="G33" s="199">
        <f>1224261.79*0.365</f>
        <v>446855.55335</v>
      </c>
      <c r="H33" s="195"/>
      <c r="I33" s="227"/>
      <c r="K33" s="199"/>
      <c r="L33" s="126"/>
      <c r="M33" s="126"/>
      <c r="N33" s="126"/>
    </row>
    <row r="34" spans="1:14" ht="14.1" customHeight="1" x14ac:dyDescent="0.2">
      <c r="A34"/>
      <c r="B34" s="193" t="s">
        <v>419</v>
      </c>
      <c r="C34" s="83"/>
      <c r="D34" s="83"/>
      <c r="E34" s="83"/>
      <c r="F34" s="194">
        <f>225192.26*0.635</f>
        <v>142997.0851</v>
      </c>
      <c r="G34" s="194">
        <f>225192.26*0.365</f>
        <v>82195.174899999998</v>
      </c>
      <c r="H34" s="195"/>
      <c r="I34" s="197"/>
      <c r="K34" s="194"/>
      <c r="L34" s="126"/>
      <c r="M34" s="126"/>
      <c r="N34" s="126"/>
    </row>
    <row r="35" spans="1:14" ht="14.1" customHeight="1" x14ac:dyDescent="0.2">
      <c r="A35"/>
      <c r="B35" s="193" t="s">
        <v>420</v>
      </c>
      <c r="C35" s="83"/>
      <c r="D35" s="83"/>
      <c r="E35" s="83"/>
      <c r="F35" s="194">
        <f>849.24*0.635</f>
        <v>539.26740000000007</v>
      </c>
      <c r="G35" s="194">
        <f>849.24*0.365</f>
        <v>309.9726</v>
      </c>
      <c r="H35" s="195"/>
      <c r="I35" s="197"/>
      <c r="J35" s="116" t="s">
        <v>297</v>
      </c>
      <c r="K35" s="126"/>
      <c r="L35" s="126"/>
      <c r="M35" s="126"/>
      <c r="N35" s="126"/>
    </row>
    <row r="36" spans="1:14" ht="14.1" customHeight="1" x14ac:dyDescent="0.2">
      <c r="A36"/>
      <c r="B36" s="193" t="s">
        <v>405</v>
      </c>
      <c r="C36" s="83"/>
      <c r="D36" s="83"/>
      <c r="E36" s="83"/>
      <c r="F36" s="194">
        <f>134844.48*0.635</f>
        <v>85626.244800000015</v>
      </c>
      <c r="G36" s="194">
        <f>134844.48*0.365</f>
        <v>49218.235200000003</v>
      </c>
      <c r="H36" s="195"/>
      <c r="I36" s="197"/>
      <c r="K36" s="194"/>
      <c r="L36" s="126"/>
      <c r="M36" s="126"/>
      <c r="N36" s="126"/>
    </row>
    <row r="37" spans="1:14" ht="14.1" customHeight="1" x14ac:dyDescent="0.2">
      <c r="A37"/>
      <c r="B37" s="193" t="s">
        <v>406</v>
      </c>
      <c r="C37" s="83"/>
      <c r="D37" s="83"/>
      <c r="E37" s="83"/>
      <c r="F37" s="194">
        <f>281243.37*0.635</f>
        <v>178589.53995000001</v>
      </c>
      <c r="G37" s="194">
        <f>281243.37*0.365</f>
        <v>102653.83004999999</v>
      </c>
      <c r="H37" s="195"/>
      <c r="I37" s="197"/>
      <c r="K37" s="194"/>
      <c r="L37" s="126"/>
      <c r="M37" s="126"/>
      <c r="N37" s="126"/>
    </row>
    <row r="38" spans="1:14" ht="14.1" customHeight="1" x14ac:dyDescent="0.2">
      <c r="A38"/>
      <c r="B38" s="193" t="s">
        <v>407</v>
      </c>
      <c r="C38" s="83"/>
      <c r="D38" s="83"/>
      <c r="E38" s="83"/>
      <c r="F38" s="194">
        <f>14982.72*0.635</f>
        <v>9514.0272000000004</v>
      </c>
      <c r="G38" s="194">
        <f>14982.72*0.365</f>
        <v>5468.6927999999998</v>
      </c>
      <c r="H38" s="195"/>
      <c r="I38" s="197"/>
      <c r="K38" s="194"/>
      <c r="L38" s="126"/>
      <c r="M38" s="126"/>
      <c r="N38" s="126"/>
    </row>
    <row r="39" spans="1:14" ht="14.1" customHeight="1" x14ac:dyDescent="0.2">
      <c r="A39" s="83"/>
      <c r="B39" s="193"/>
      <c r="C39" s="83"/>
      <c r="E39" s="83"/>
      <c r="F39" s="194"/>
      <c r="G39" s="194"/>
      <c r="H39" s="195"/>
      <c r="I39" s="198"/>
    </row>
    <row r="40" spans="1:14" ht="14.1" customHeight="1" x14ac:dyDescent="0.2">
      <c r="A40" s="83"/>
      <c r="B40" s="192" t="s">
        <v>257</v>
      </c>
      <c r="C40" s="83"/>
      <c r="E40" s="83"/>
      <c r="F40" s="194"/>
      <c r="G40" s="194"/>
      <c r="H40" s="195"/>
      <c r="I40" s="197"/>
      <c r="K40" s="126"/>
      <c r="L40" s="126"/>
      <c r="M40" s="126"/>
      <c r="N40" s="126"/>
    </row>
    <row r="41" spans="1:14" ht="14.1" customHeight="1" x14ac:dyDescent="0.2">
      <c r="A41" s="83"/>
      <c r="B41" s="193" t="s">
        <v>307</v>
      </c>
      <c r="C41" s="83"/>
      <c r="E41" s="83"/>
      <c r="F41" s="194"/>
      <c r="G41" s="194"/>
      <c r="H41" s="195"/>
      <c r="I41" s="198"/>
    </row>
    <row r="42" spans="1:14" ht="14.1" customHeight="1" x14ac:dyDescent="0.2">
      <c r="A42" s="83"/>
      <c r="B42" s="192" t="s">
        <v>258</v>
      </c>
      <c r="C42" s="83"/>
      <c r="E42" s="83"/>
      <c r="F42" s="194"/>
      <c r="G42" s="194"/>
      <c r="H42" s="195">
        <f>SUM(F43:F45)+G44</f>
        <v>604851.11</v>
      </c>
      <c r="I42" s="197">
        <f>+H42/H74</f>
        <v>9.4892956282219873E-2</v>
      </c>
      <c r="K42" s="126">
        <v>0</v>
      </c>
      <c r="L42" s="126">
        <f>+F45+F44+G44+F43</f>
        <v>604851.1100000001</v>
      </c>
      <c r="M42" s="126"/>
      <c r="N42" s="126">
        <f>+K42+L42+M42</f>
        <v>604851.1100000001</v>
      </c>
    </row>
    <row r="43" spans="1:14" ht="14.1" customHeight="1" x14ac:dyDescent="0.2">
      <c r="A43" s="83"/>
      <c r="B43" s="294" t="s">
        <v>433</v>
      </c>
      <c r="C43" s="83"/>
      <c r="E43" s="83"/>
      <c r="F43" s="194">
        <v>17563.560000000001</v>
      </c>
      <c r="G43" s="194">
        <v>0</v>
      </c>
      <c r="H43" s="195"/>
      <c r="I43" s="268"/>
      <c r="K43" s="126"/>
      <c r="L43" s="126"/>
      <c r="M43" s="126"/>
      <c r="N43" s="126"/>
    </row>
    <row r="44" spans="1:14" ht="14.1" customHeight="1" x14ac:dyDescent="0.2">
      <c r="A44" s="83"/>
      <c r="B44" s="294" t="s">
        <v>434</v>
      </c>
      <c r="C44" s="83"/>
      <c r="E44" s="83"/>
      <c r="F44" s="194">
        <f>467786.04*0.8</f>
        <v>374228.83199999999</v>
      </c>
      <c r="G44" s="194">
        <f>467786.04*0.2</f>
        <v>93557.207999999999</v>
      </c>
      <c r="H44" s="195"/>
      <c r="I44" s="197"/>
      <c r="K44" s="126"/>
      <c r="L44" s="126"/>
      <c r="M44" s="126"/>
      <c r="N44" s="126"/>
    </row>
    <row r="45" spans="1:14" ht="14.1" customHeight="1" x14ac:dyDescent="0.2">
      <c r="A45" s="83"/>
      <c r="B45" s="294" t="s">
        <v>432</v>
      </c>
      <c r="C45" s="83"/>
      <c r="E45" s="83"/>
      <c r="F45" s="194">
        <v>119501.51</v>
      </c>
      <c r="G45" s="194">
        <v>0</v>
      </c>
      <c r="H45" s="195"/>
      <c r="I45" s="197"/>
      <c r="K45" s="126"/>
      <c r="L45" s="126"/>
      <c r="M45" s="126"/>
      <c r="N45" s="126"/>
    </row>
    <row r="46" spans="1:14" ht="14.1" customHeight="1" x14ac:dyDescent="0.2">
      <c r="B46" s="193"/>
      <c r="C46" s="83"/>
      <c r="D46" s="83"/>
      <c r="E46" s="83"/>
      <c r="F46" s="194"/>
      <c r="G46" s="194"/>
      <c r="H46" s="195"/>
      <c r="I46" s="198"/>
    </row>
    <row r="47" spans="1:14" ht="14.1" customHeight="1" x14ac:dyDescent="0.2">
      <c r="A47">
        <v>3</v>
      </c>
      <c r="B47" s="192" t="s">
        <v>259</v>
      </c>
      <c r="C47" s="83"/>
      <c r="D47" s="83"/>
      <c r="E47" s="83"/>
      <c r="F47" s="194"/>
      <c r="G47" s="194"/>
      <c r="H47" s="195">
        <f>SUM(F48:F52)</f>
        <v>395606.22</v>
      </c>
      <c r="I47" s="197">
        <f>+H47/H74</f>
        <v>6.206526386210031E-2</v>
      </c>
      <c r="K47" s="126">
        <v>0</v>
      </c>
      <c r="L47" s="126">
        <f>+F48+F49+F50+F52</f>
        <v>395606.22</v>
      </c>
      <c r="M47" s="126">
        <v>0</v>
      </c>
      <c r="N47" s="126">
        <f>+K47+L47+M47</f>
        <v>395606.22</v>
      </c>
    </row>
    <row r="48" spans="1:14" ht="14.1" customHeight="1" x14ac:dyDescent="0.2">
      <c r="A48"/>
      <c r="B48" s="294" t="s">
        <v>428</v>
      </c>
      <c r="C48" s="83"/>
      <c r="D48" s="83"/>
      <c r="E48" s="83"/>
      <c r="F48" s="194">
        <v>180000</v>
      </c>
      <c r="G48" s="194">
        <v>0</v>
      </c>
      <c r="H48" s="195"/>
      <c r="I48" s="197"/>
      <c r="K48" s="126"/>
      <c r="L48" s="126"/>
      <c r="M48" s="126"/>
      <c r="N48" s="126"/>
    </row>
    <row r="49" spans="1:19" ht="14.1" customHeight="1" x14ac:dyDescent="0.2">
      <c r="A49"/>
      <c r="B49" s="294" t="s">
        <v>429</v>
      </c>
      <c r="C49" s="83"/>
      <c r="D49" s="83"/>
      <c r="E49" s="83"/>
      <c r="F49" s="194">
        <v>56000</v>
      </c>
      <c r="G49" s="194">
        <v>0</v>
      </c>
      <c r="H49" s="195"/>
      <c r="I49" s="197"/>
      <c r="K49" s="126"/>
      <c r="L49" s="126"/>
      <c r="M49" s="126"/>
      <c r="N49" s="126"/>
    </row>
    <row r="50" spans="1:19" ht="14.1" customHeight="1" x14ac:dyDescent="0.2">
      <c r="A50"/>
      <c r="B50" s="294" t="s">
        <v>430</v>
      </c>
      <c r="C50" s="83"/>
      <c r="D50" s="83"/>
      <c r="E50" s="83"/>
      <c r="F50" s="194">
        <v>85270</v>
      </c>
      <c r="G50" s="194">
        <v>0</v>
      </c>
      <c r="H50" s="195"/>
      <c r="I50" s="197"/>
      <c r="K50" s="126"/>
      <c r="L50" s="126"/>
      <c r="M50" s="126"/>
      <c r="N50" s="126"/>
    </row>
    <row r="51" spans="1:19" ht="14.1" customHeight="1" x14ac:dyDescent="0.2">
      <c r="A51"/>
      <c r="B51" s="294" t="s">
        <v>421</v>
      </c>
      <c r="C51" s="83"/>
      <c r="D51" s="83"/>
      <c r="E51" s="83"/>
      <c r="F51" s="194"/>
      <c r="G51" s="194">
        <v>0</v>
      </c>
      <c r="H51" s="195"/>
      <c r="I51" s="197"/>
      <c r="J51" s="252"/>
      <c r="K51" s="126"/>
      <c r="L51" s="126"/>
      <c r="M51" s="126"/>
      <c r="N51" s="126"/>
    </row>
    <row r="52" spans="1:19" ht="14.1" customHeight="1" x14ac:dyDescent="0.2">
      <c r="A52"/>
      <c r="B52" s="294" t="s">
        <v>431</v>
      </c>
      <c r="C52" s="83"/>
      <c r="D52" s="83"/>
      <c r="E52" s="83"/>
      <c r="F52" s="194">
        <v>74336.22</v>
      </c>
      <c r="G52" s="194">
        <v>0</v>
      </c>
      <c r="H52" s="195"/>
      <c r="I52" s="197"/>
      <c r="K52" s="126"/>
      <c r="L52" s="126"/>
      <c r="M52" s="126"/>
      <c r="N52" s="126"/>
      <c r="S52" s="116"/>
    </row>
    <row r="53" spans="1:19" ht="14.1" customHeight="1" x14ac:dyDescent="0.2">
      <c r="B53" s="193"/>
      <c r="C53" s="83"/>
      <c r="D53" s="83"/>
      <c r="E53" s="199"/>
      <c r="F53" s="194"/>
      <c r="G53" s="194"/>
      <c r="H53" s="195"/>
      <c r="I53" s="198"/>
    </row>
    <row r="54" spans="1:19" ht="14.1" customHeight="1" x14ac:dyDescent="0.2">
      <c r="A54">
        <v>4</v>
      </c>
      <c r="B54" s="192" t="s">
        <v>260</v>
      </c>
      <c r="C54" s="83"/>
      <c r="D54" s="83"/>
      <c r="E54" s="83"/>
      <c r="F54" s="194"/>
      <c r="G54" s="194"/>
      <c r="H54" s="195">
        <v>0</v>
      </c>
      <c r="I54" s="197">
        <f>+H54/H74</f>
        <v>0</v>
      </c>
      <c r="K54" s="126">
        <v>0</v>
      </c>
      <c r="L54" s="126">
        <v>0</v>
      </c>
      <c r="M54" s="126">
        <v>0</v>
      </c>
      <c r="N54" s="126">
        <f>+K54+L54+M54</f>
        <v>0</v>
      </c>
    </row>
    <row r="55" spans="1:19" ht="14.1" customHeight="1" x14ac:dyDescent="0.2">
      <c r="B55" s="193" t="s">
        <v>309</v>
      </c>
      <c r="C55" s="83"/>
      <c r="D55" s="83"/>
      <c r="E55" s="199"/>
      <c r="F55" s="194"/>
      <c r="G55" s="194"/>
      <c r="H55" s="83"/>
      <c r="I55" s="198"/>
    </row>
    <row r="56" spans="1:19" ht="14.1" customHeight="1" x14ac:dyDescent="0.2">
      <c r="A56">
        <v>5</v>
      </c>
      <c r="B56" s="192" t="s">
        <v>261</v>
      </c>
      <c r="C56" s="83"/>
      <c r="D56" s="83"/>
      <c r="E56" s="83"/>
      <c r="F56" s="194"/>
      <c r="G56" s="194"/>
      <c r="H56" s="195">
        <v>0</v>
      </c>
      <c r="I56" s="197">
        <f>+H56/H74</f>
        <v>0</v>
      </c>
      <c r="K56" s="126">
        <v>0</v>
      </c>
      <c r="L56" s="126">
        <v>0</v>
      </c>
      <c r="M56" s="126">
        <v>0</v>
      </c>
      <c r="N56" s="126"/>
    </row>
    <row r="57" spans="1:19" ht="14.1" customHeight="1" x14ac:dyDescent="0.2">
      <c r="B57" s="193"/>
      <c r="C57" s="83"/>
      <c r="D57" s="83"/>
      <c r="E57" s="199"/>
      <c r="F57" s="194"/>
      <c r="G57" s="194"/>
      <c r="H57" s="83"/>
      <c r="I57" s="198"/>
    </row>
    <row r="58" spans="1:19" ht="14.1" customHeight="1" x14ac:dyDescent="0.2">
      <c r="A58">
        <v>6</v>
      </c>
      <c r="B58" s="192" t="s">
        <v>262</v>
      </c>
      <c r="C58" s="83"/>
      <c r="D58" s="83"/>
      <c r="E58" s="83"/>
      <c r="F58" s="194"/>
      <c r="G58" s="194"/>
      <c r="H58" s="195">
        <f>SUM(F59:F59)</f>
        <v>125663.97</v>
      </c>
      <c r="I58" s="197">
        <f>+H58/H74</f>
        <v>1.9714976817121473E-2</v>
      </c>
      <c r="K58" s="126">
        <v>0</v>
      </c>
      <c r="L58" s="126">
        <f>+F59</f>
        <v>125663.97</v>
      </c>
      <c r="M58" s="126"/>
      <c r="N58" s="126">
        <f>+K58+L58+M58</f>
        <v>125663.97</v>
      </c>
    </row>
    <row r="59" spans="1:19" ht="14.1" customHeight="1" x14ac:dyDescent="0.2">
      <c r="A59"/>
      <c r="B59" s="193" t="s">
        <v>410</v>
      </c>
      <c r="C59" s="83"/>
      <c r="D59" s="83"/>
      <c r="E59" s="83"/>
      <c r="F59" s="194">
        <v>125663.97</v>
      </c>
      <c r="G59" s="194">
        <v>0</v>
      </c>
      <c r="H59" s="199"/>
      <c r="I59" s="197"/>
      <c r="K59" s="126"/>
      <c r="L59" s="126"/>
      <c r="M59" s="126"/>
      <c r="N59" s="126"/>
    </row>
    <row r="60" spans="1:19" ht="14.1" customHeight="1" x14ac:dyDescent="0.2">
      <c r="B60" s="193"/>
      <c r="C60" s="83"/>
      <c r="D60" s="83"/>
      <c r="E60" s="83"/>
      <c r="F60" s="194"/>
      <c r="G60" s="194"/>
      <c r="H60" s="199"/>
      <c r="I60" s="198"/>
    </row>
    <row r="61" spans="1:19" ht="14.1" customHeight="1" x14ac:dyDescent="0.2">
      <c r="A61">
        <v>7</v>
      </c>
      <c r="B61" s="192" t="s">
        <v>263</v>
      </c>
      <c r="C61" s="83"/>
      <c r="D61" s="83"/>
      <c r="E61" s="83"/>
      <c r="F61" s="194"/>
      <c r="G61" s="194"/>
      <c r="H61" s="195">
        <f>+F62</f>
        <v>88000</v>
      </c>
      <c r="I61" s="197">
        <f>+H61/H74</f>
        <v>1.3806009470389085E-2</v>
      </c>
      <c r="K61" s="126">
        <v>0</v>
      </c>
      <c r="L61" s="126">
        <f>+H61</f>
        <v>88000</v>
      </c>
      <c r="M61" s="126">
        <v>0</v>
      </c>
      <c r="N61" s="126">
        <f>+K61+L61+M61</f>
        <v>88000</v>
      </c>
    </row>
    <row r="62" spans="1:19" ht="14.1" customHeight="1" x14ac:dyDescent="0.2">
      <c r="A62"/>
      <c r="B62" s="294" t="s">
        <v>427</v>
      </c>
      <c r="C62" s="295"/>
      <c r="D62" s="295"/>
      <c r="E62" s="295"/>
      <c r="F62" s="296">
        <v>88000</v>
      </c>
      <c r="G62" s="296">
        <v>0</v>
      </c>
      <c r="H62" s="297"/>
      <c r="I62" s="298"/>
      <c r="J62" s="252"/>
      <c r="K62" s="126"/>
      <c r="L62" s="126"/>
      <c r="M62" s="126"/>
      <c r="N62" s="126"/>
    </row>
    <row r="63" spans="1:19" ht="14.1" customHeight="1" x14ac:dyDescent="0.2">
      <c r="A63"/>
      <c r="B63" s="192"/>
      <c r="C63" s="83"/>
      <c r="D63" s="83"/>
      <c r="E63" s="199"/>
      <c r="F63" s="194"/>
      <c r="G63" s="194"/>
      <c r="H63" s="83"/>
      <c r="I63" s="198"/>
    </row>
    <row r="64" spans="1:19" ht="14.1" customHeight="1" x14ac:dyDescent="0.2">
      <c r="A64">
        <v>8</v>
      </c>
      <c r="B64" s="192" t="s">
        <v>264</v>
      </c>
      <c r="C64" s="83"/>
      <c r="D64" s="83"/>
      <c r="E64" s="83"/>
      <c r="F64" s="194"/>
      <c r="G64" s="194"/>
      <c r="H64" s="195">
        <f>SUM(F65:F65)</f>
        <v>641000</v>
      </c>
      <c r="I64" s="197">
        <f>+H64/$H$74</f>
        <v>0.10056422807408412</v>
      </c>
      <c r="J64" s="279">
        <v>46143</v>
      </c>
      <c r="K64" s="126">
        <v>0</v>
      </c>
      <c r="L64" s="126">
        <v>0</v>
      </c>
      <c r="M64" s="126">
        <f>+F65</f>
        <v>641000</v>
      </c>
      <c r="N64" s="126">
        <f>+K64+L64+M64</f>
        <v>641000</v>
      </c>
    </row>
    <row r="65" spans="1:19" ht="14.1" customHeight="1" x14ac:dyDescent="0.2">
      <c r="A65"/>
      <c r="B65" s="193" t="s">
        <v>411</v>
      </c>
      <c r="C65" s="83"/>
      <c r="D65" s="83"/>
      <c r="E65" s="83"/>
      <c r="F65" s="194">
        <v>641000</v>
      </c>
      <c r="G65" s="194">
        <v>0</v>
      </c>
      <c r="H65" s="199"/>
      <c r="I65" s="268"/>
      <c r="K65" s="126"/>
      <c r="L65" s="126"/>
      <c r="M65" s="126"/>
      <c r="N65" s="126"/>
      <c r="S65" s="116"/>
    </row>
    <row r="66" spans="1:19" ht="14.1" customHeight="1" x14ac:dyDescent="0.2">
      <c r="B66" s="193"/>
      <c r="C66" s="83"/>
      <c r="D66" s="83"/>
      <c r="E66" s="83"/>
      <c r="F66" s="194"/>
      <c r="G66" s="194"/>
      <c r="H66" s="195"/>
      <c r="I66" s="198"/>
      <c r="J66" s="180"/>
      <c r="K66" s="126"/>
    </row>
    <row r="67" spans="1:19" ht="14.1" customHeight="1" x14ac:dyDescent="0.2">
      <c r="A67">
        <v>9</v>
      </c>
      <c r="B67" s="192" t="s">
        <v>231</v>
      </c>
      <c r="C67" s="83"/>
      <c r="D67" s="83"/>
      <c r="E67" s="83"/>
      <c r="F67" s="194"/>
      <c r="G67" s="194"/>
      <c r="H67" s="195">
        <f>SUM(F69:F71)</f>
        <v>240331.74</v>
      </c>
      <c r="I67" s="197">
        <f>+H67/$H$74</f>
        <v>3.7704798619035078E-2</v>
      </c>
      <c r="K67" s="126">
        <v>0</v>
      </c>
      <c r="L67" s="126">
        <f>+H67</f>
        <v>240331.74</v>
      </c>
      <c r="M67" s="126">
        <v>0</v>
      </c>
      <c r="N67" s="126">
        <f>+K67+L67+M67</f>
        <v>240331.74</v>
      </c>
    </row>
    <row r="68" spans="1:19" ht="14.1" customHeight="1" x14ac:dyDescent="0.2">
      <c r="A68"/>
      <c r="B68" s="193" t="s">
        <v>394</v>
      </c>
      <c r="C68" s="83"/>
      <c r="D68" s="83"/>
      <c r="E68" s="83"/>
      <c r="F68" s="194"/>
      <c r="G68" s="194"/>
      <c r="H68" s="195"/>
      <c r="I68" s="268"/>
      <c r="K68" s="126"/>
      <c r="L68" s="126"/>
      <c r="M68" s="126"/>
      <c r="N68" s="126"/>
    </row>
    <row r="69" spans="1:19" ht="14.1" customHeight="1" x14ac:dyDescent="0.2">
      <c r="A69"/>
      <c r="B69" s="294" t="s">
        <v>422</v>
      </c>
      <c r="C69" s="83"/>
      <c r="D69" s="83"/>
      <c r="E69" s="83"/>
      <c r="F69" s="194">
        <v>222789.87</v>
      </c>
      <c r="G69" s="194">
        <v>0</v>
      </c>
      <c r="H69" s="195"/>
      <c r="I69" s="268"/>
      <c r="K69" s="126"/>
      <c r="L69" s="126"/>
      <c r="M69" s="126"/>
      <c r="N69" s="126"/>
    </row>
    <row r="70" spans="1:19" ht="14.1" customHeight="1" x14ac:dyDescent="0.2">
      <c r="A70"/>
      <c r="B70" s="193" t="s">
        <v>389</v>
      </c>
      <c r="C70" s="83"/>
      <c r="D70" s="83"/>
      <c r="E70" s="83"/>
      <c r="F70" s="83"/>
      <c r="G70" s="194"/>
      <c r="H70" s="195"/>
      <c r="I70" s="268"/>
      <c r="K70" s="126"/>
      <c r="L70" s="126"/>
      <c r="M70" s="126"/>
      <c r="N70" s="126"/>
    </row>
    <row r="71" spans="1:19" ht="14.1" customHeight="1" x14ac:dyDescent="0.2">
      <c r="A71"/>
      <c r="B71" s="294" t="s">
        <v>423</v>
      </c>
      <c r="C71" s="83"/>
      <c r="D71" s="83"/>
      <c r="E71" s="83"/>
      <c r="F71" s="194">
        <v>17541.87</v>
      </c>
      <c r="G71" s="194">
        <v>0</v>
      </c>
      <c r="H71" s="195"/>
      <c r="I71" s="268"/>
      <c r="K71" s="126"/>
      <c r="L71" s="126"/>
      <c r="M71" s="126"/>
      <c r="N71" s="126"/>
    </row>
    <row r="72" spans="1:19" ht="14.1" customHeight="1" x14ac:dyDescent="0.2">
      <c r="B72" s="193"/>
      <c r="C72" s="83"/>
      <c r="D72" s="83"/>
      <c r="E72" s="83"/>
      <c r="F72" s="194"/>
      <c r="G72" s="194"/>
      <c r="H72" s="195"/>
      <c r="I72" s="197"/>
      <c r="K72" s="126"/>
      <c r="L72" s="126"/>
      <c r="N72" s="126"/>
    </row>
    <row r="73" spans="1:19" ht="14.1" customHeight="1" x14ac:dyDescent="0.2">
      <c r="A73">
        <v>10</v>
      </c>
      <c r="B73" s="192" t="s">
        <v>199</v>
      </c>
      <c r="C73" s="83"/>
      <c r="D73" s="83"/>
      <c r="E73" s="83"/>
      <c r="F73" s="194"/>
      <c r="G73" s="194"/>
      <c r="H73" s="195">
        <v>0</v>
      </c>
      <c r="I73" s="197">
        <f>+H73/H74</f>
        <v>0</v>
      </c>
      <c r="K73" s="126">
        <v>0</v>
      </c>
      <c r="L73" s="126">
        <v>0</v>
      </c>
      <c r="M73" s="126">
        <v>0</v>
      </c>
      <c r="N73" s="126">
        <f>+K73+L73+M73</f>
        <v>0</v>
      </c>
    </row>
    <row r="74" spans="1:19" ht="14.1" customHeight="1" x14ac:dyDescent="0.2">
      <c r="B74" s="200" t="s">
        <v>246</v>
      </c>
      <c r="C74" s="201"/>
      <c r="D74" s="201"/>
      <c r="E74" s="201"/>
      <c r="F74" s="202">
        <f>SUM(F12:F73)</f>
        <v>5157998.6230999995</v>
      </c>
      <c r="G74" s="202">
        <f>SUM(G12:G73)</f>
        <v>1216037.2769000002</v>
      </c>
      <c r="H74" s="202">
        <f>SUM(H10:H73)</f>
        <v>6374035.8999999994</v>
      </c>
      <c r="I74" s="239">
        <f>+H74/H74</f>
        <v>1</v>
      </c>
      <c r="K74" s="188">
        <f>SUM(K10:K73)</f>
        <v>0</v>
      </c>
      <c r="L74" s="188">
        <f>SUM(L10:L73)</f>
        <v>3335826.8999999994</v>
      </c>
      <c r="M74" s="188">
        <f>SUM(M10:M73)</f>
        <v>3038209</v>
      </c>
      <c r="N74" s="188">
        <f>SUM(N10:N73)</f>
        <v>6374035.8999999994</v>
      </c>
      <c r="O74" s="126">
        <f>+H74-N74</f>
        <v>0</v>
      </c>
    </row>
    <row r="75" spans="1:19" ht="11.25" customHeight="1" x14ac:dyDescent="0.2">
      <c r="B75" s="83"/>
      <c r="C75" s="83"/>
      <c r="D75" s="83"/>
      <c r="E75" s="83"/>
      <c r="F75" s="194"/>
      <c r="G75" s="194"/>
      <c r="H75" s="83"/>
      <c r="I75" s="83"/>
      <c r="K75" s="117"/>
      <c r="L75" s="117"/>
    </row>
    <row r="76" spans="1:19" ht="16.5" customHeight="1" x14ac:dyDescent="0.2">
      <c r="B76" s="302" t="s">
        <v>267</v>
      </c>
      <c r="C76" s="303"/>
      <c r="D76" s="303"/>
      <c r="E76" s="303"/>
      <c r="F76" s="303"/>
      <c r="G76" s="304"/>
      <c r="H76" s="231" t="s">
        <v>229</v>
      </c>
      <c r="I76" s="83"/>
      <c r="K76" s="116" t="s">
        <v>232</v>
      </c>
      <c r="M76" s="116" t="s">
        <v>324</v>
      </c>
      <c r="N76" s="116" t="s">
        <v>241</v>
      </c>
      <c r="O76" s="116" t="s">
        <v>334</v>
      </c>
      <c r="P76" s="116" t="s">
        <v>0</v>
      </c>
      <c r="Q76" s="116" t="s">
        <v>244</v>
      </c>
    </row>
    <row r="77" spans="1:19" ht="14.1" customHeight="1" x14ac:dyDescent="0.2">
      <c r="B77" s="193" t="s">
        <v>308</v>
      </c>
      <c r="C77" s="83"/>
      <c r="D77" s="83"/>
      <c r="F77" s="116"/>
      <c r="G77" s="116"/>
      <c r="H77" s="269"/>
      <c r="I77" s="83"/>
      <c r="M77" s="117"/>
      <c r="O77" s="117"/>
      <c r="Q77" s="126"/>
      <c r="R77" s="126"/>
    </row>
    <row r="78" spans="1:19" ht="14.1" customHeight="1" x14ac:dyDescent="0.2">
      <c r="B78" s="193" t="s">
        <v>300</v>
      </c>
      <c r="C78" s="83"/>
      <c r="D78" s="83"/>
      <c r="F78" s="116"/>
      <c r="G78" s="116"/>
      <c r="H78" s="270">
        <f>+[1]LIQ!$H$83</f>
        <v>14331635.654665001</v>
      </c>
      <c r="I78" s="83"/>
      <c r="K78" s="116" t="s">
        <v>305</v>
      </c>
      <c r="M78" s="117">
        <v>17257067.829999998</v>
      </c>
      <c r="N78" s="116">
        <v>34500</v>
      </c>
      <c r="O78" s="117">
        <v>-2959868.8</v>
      </c>
      <c r="P78" s="116">
        <f>SUM(M78:O78)</f>
        <v>14331699.029999997</v>
      </c>
      <c r="Q78" s="126">
        <f>+H78</f>
        <v>14331635.654665001</v>
      </c>
      <c r="R78" s="126">
        <f>+P78-Q78</f>
        <v>63.375334996730089</v>
      </c>
    </row>
    <row r="79" spans="1:19" ht="14.1" customHeight="1" x14ac:dyDescent="0.2">
      <c r="B79" s="193" t="s">
        <v>247</v>
      </c>
      <c r="C79" s="83"/>
      <c r="D79" s="83"/>
      <c r="F79" s="116"/>
      <c r="G79" s="116"/>
      <c r="H79" s="270">
        <f>+'RES CUENTA'!X26+'RES CUENTA'!Y26</f>
        <v>8866587</v>
      </c>
      <c r="I79" s="83"/>
      <c r="K79" s="116" t="s">
        <v>238</v>
      </c>
      <c r="M79" s="117">
        <f>+'RES CUENTA'!X26</f>
        <v>8866587</v>
      </c>
      <c r="N79" s="116">
        <f>+'RES CUENTA'!Y26</f>
        <v>0</v>
      </c>
      <c r="O79" s="117">
        <v>0</v>
      </c>
      <c r="P79" s="116">
        <f>SUM(M79:O79)</f>
        <v>8866587</v>
      </c>
      <c r="Q79" s="126">
        <f>+H79</f>
        <v>8866587</v>
      </c>
      <c r="R79" s="126">
        <f>+P79-Q79</f>
        <v>0</v>
      </c>
    </row>
    <row r="80" spans="1:19" ht="14.1" customHeight="1" x14ac:dyDescent="0.2">
      <c r="B80" s="193" t="s">
        <v>338</v>
      </c>
      <c r="C80" s="83"/>
      <c r="D80" s="83"/>
      <c r="F80" s="116"/>
      <c r="G80" s="116"/>
      <c r="H80" s="270">
        <f>+M80</f>
        <v>0</v>
      </c>
      <c r="I80" s="83"/>
      <c r="K80" s="116" t="s">
        <v>233</v>
      </c>
      <c r="M80" s="117">
        <v>0</v>
      </c>
      <c r="O80" s="117">
        <v>0</v>
      </c>
      <c r="P80" s="116">
        <f>SUM(M80:O80)</f>
        <v>0</v>
      </c>
      <c r="Q80" s="126">
        <f>+H80</f>
        <v>0</v>
      </c>
      <c r="R80" s="126">
        <f>+P80-Q80</f>
        <v>0</v>
      </c>
    </row>
    <row r="81" spans="2:25" ht="14.1" customHeight="1" x14ac:dyDescent="0.2">
      <c r="B81" s="193" t="s">
        <v>359</v>
      </c>
      <c r="C81" s="83"/>
      <c r="D81" s="83"/>
      <c r="F81" s="116"/>
      <c r="G81" s="116"/>
      <c r="H81" s="270">
        <f>+M81</f>
        <v>0</v>
      </c>
      <c r="I81" s="83"/>
      <c r="K81" s="116" t="s">
        <v>234</v>
      </c>
      <c r="M81" s="117">
        <f>+'RES CUENTA'!X27</f>
        <v>0</v>
      </c>
      <c r="N81" s="116">
        <v>0</v>
      </c>
      <c r="O81" s="117">
        <v>0</v>
      </c>
      <c r="P81" s="116">
        <f>SUM(M81:O81)</f>
        <v>0</v>
      </c>
      <c r="Q81" s="126">
        <f>+H81</f>
        <v>0</v>
      </c>
      <c r="R81" s="126">
        <f>+P81-Q81</f>
        <v>0</v>
      </c>
    </row>
    <row r="82" spans="2:25" ht="14.1" customHeight="1" x14ac:dyDescent="0.2">
      <c r="B82" s="193" t="s">
        <v>248</v>
      </c>
      <c r="C82" s="83"/>
      <c r="D82" s="83"/>
      <c r="F82" s="116"/>
      <c r="G82" s="116"/>
      <c r="H82" s="270">
        <f>-F74</f>
        <v>-5157998.6230999995</v>
      </c>
      <c r="I82" s="83"/>
      <c r="K82" s="116" t="s">
        <v>235</v>
      </c>
      <c r="M82" s="117">
        <f>-F59-F33-G33-G34-F34-F35-G35-F69-F45-F36-G36-F37-G37-F38-G38-F48-F49-F50-F62-F71-F43-F52-F44-G44</f>
        <v>-3335826.9</v>
      </c>
      <c r="N82" s="126">
        <f>-K74</f>
        <v>0</v>
      </c>
      <c r="O82" s="117">
        <f>-M74</f>
        <v>-3038209</v>
      </c>
      <c r="P82" s="117">
        <f>SUM(M82:O82)</f>
        <v>-6374035.9000000004</v>
      </c>
      <c r="Q82" s="126">
        <f>+H82+H83</f>
        <v>-6374035.8999999994</v>
      </c>
      <c r="R82" s="126">
        <f>+P82-Q82</f>
        <v>0</v>
      </c>
    </row>
    <row r="83" spans="2:25" ht="14.1" customHeight="1" x14ac:dyDescent="0.2">
      <c r="B83" s="193" t="s">
        <v>249</v>
      </c>
      <c r="C83" s="83"/>
      <c r="D83" s="83"/>
      <c r="F83" s="116"/>
      <c r="G83" s="116"/>
      <c r="H83" s="270">
        <f>-G74</f>
        <v>-1216037.2769000002</v>
      </c>
      <c r="I83" s="83"/>
      <c r="K83" s="116" t="s">
        <v>236</v>
      </c>
      <c r="M83" s="117">
        <f>-1165767-1172196-550000-71905.8</f>
        <v>-2959868.8</v>
      </c>
      <c r="N83" s="126">
        <v>0</v>
      </c>
      <c r="O83" s="117">
        <f>-M83-N83</f>
        <v>2959868.8</v>
      </c>
      <c r="P83" s="117">
        <v>0</v>
      </c>
      <c r="Q83" s="126"/>
      <c r="R83" s="126">
        <v>0</v>
      </c>
    </row>
    <row r="84" spans="2:25" ht="14.1" customHeight="1" x14ac:dyDescent="0.2">
      <c r="B84" s="200" t="s">
        <v>198</v>
      </c>
      <c r="C84" s="201"/>
      <c r="D84" s="201"/>
      <c r="E84" s="201"/>
      <c r="F84" s="201"/>
      <c r="G84" s="293"/>
      <c r="H84" s="215">
        <f>SUM(H78:H83)</f>
        <v>16824186.754665002</v>
      </c>
      <c r="K84" s="116" t="s">
        <v>358</v>
      </c>
      <c r="M84" s="117">
        <v>0</v>
      </c>
      <c r="N84" s="117">
        <v>0</v>
      </c>
      <c r="O84" s="117">
        <v>0</v>
      </c>
      <c r="P84" s="117">
        <f>SUM(M84:O84)</f>
        <v>0</v>
      </c>
      <c r="Q84" s="126"/>
      <c r="R84" s="126"/>
    </row>
    <row r="85" spans="2:25" x14ac:dyDescent="0.2">
      <c r="F85" s="116"/>
      <c r="G85" s="116"/>
      <c r="J85" s="131"/>
      <c r="K85" s="116" t="s">
        <v>372</v>
      </c>
      <c r="M85" s="255">
        <v>0</v>
      </c>
      <c r="N85" s="117">
        <v>0</v>
      </c>
      <c r="O85" s="117">
        <v>0</v>
      </c>
      <c r="P85" s="117">
        <v>0</v>
      </c>
      <c r="Q85" s="126"/>
      <c r="R85" s="126">
        <v>0</v>
      </c>
    </row>
    <row r="86" spans="2:25" x14ac:dyDescent="0.2">
      <c r="B86" s="83"/>
      <c r="C86" s="83"/>
      <c r="D86" s="83"/>
      <c r="E86" s="83"/>
      <c r="F86" s="83"/>
      <c r="G86" s="199"/>
      <c r="H86" s="300"/>
      <c r="I86" s="300"/>
      <c r="J86" s="131"/>
      <c r="K86" s="116" t="s">
        <v>237</v>
      </c>
      <c r="M86" s="117">
        <f>SUM(M78:M85)</f>
        <v>19827959.129999999</v>
      </c>
      <c r="N86" s="116">
        <f>SUM(N78:N85)</f>
        <v>34500</v>
      </c>
      <c r="O86" s="117">
        <f>SUM(O78:O85)</f>
        <v>-3038209</v>
      </c>
      <c r="P86" s="117">
        <f>SUM(P78:P85)</f>
        <v>16824250.129999995</v>
      </c>
      <c r="Q86" s="126">
        <f>SUM(Q78:Q85)</f>
        <v>16824186.754665002</v>
      </c>
      <c r="R86" s="126">
        <f>+P86-Q86</f>
        <v>63.375334993004799</v>
      </c>
    </row>
    <row r="87" spans="2:25" x14ac:dyDescent="0.2">
      <c r="B87" s="83"/>
      <c r="C87" s="83"/>
      <c r="D87" s="83"/>
      <c r="E87" s="83"/>
      <c r="F87" s="83"/>
      <c r="G87" s="199"/>
      <c r="H87" s="300"/>
      <c r="I87" s="300"/>
      <c r="J87" s="131"/>
      <c r="K87" s="116" t="s">
        <v>239</v>
      </c>
      <c r="M87" s="117">
        <v>19827959.129999999</v>
      </c>
      <c r="N87" s="117">
        <f>+M92+M94+M93</f>
        <v>34500</v>
      </c>
      <c r="O87" s="117">
        <f>+M90</f>
        <v>-3038209</v>
      </c>
      <c r="P87" s="117">
        <f>SUM(M87:O87)</f>
        <v>16824250.129999999</v>
      </c>
      <c r="Q87" s="126">
        <f>+P87</f>
        <v>16824250.129999999</v>
      </c>
      <c r="R87" s="126"/>
    </row>
    <row r="88" spans="2:25" x14ac:dyDescent="0.2">
      <c r="B88" s="83"/>
      <c r="C88" s="83"/>
      <c r="D88" s="83"/>
      <c r="E88" s="83"/>
      <c r="F88" s="116"/>
      <c r="G88" s="291"/>
      <c r="H88" s="83"/>
      <c r="I88" s="83"/>
      <c r="K88" s="116" t="s">
        <v>240</v>
      </c>
      <c r="M88" s="117">
        <f>+M86-M87</f>
        <v>0</v>
      </c>
      <c r="N88" s="117">
        <f>+N86-N87</f>
        <v>0</v>
      </c>
      <c r="O88" s="117">
        <f>+O86-O87</f>
        <v>0</v>
      </c>
      <c r="P88" s="174">
        <f>+P86-P87</f>
        <v>0</v>
      </c>
      <c r="Q88" s="174">
        <f>+Q87-Q86</f>
        <v>63.375334996730089</v>
      </c>
    </row>
    <row r="89" spans="2:25" x14ac:dyDescent="0.2">
      <c r="B89" s="83"/>
      <c r="C89" s="83"/>
      <c r="D89" s="83"/>
      <c r="E89" s="83"/>
      <c r="F89" s="116"/>
      <c r="G89" s="291"/>
      <c r="H89" s="83"/>
      <c r="I89" s="83"/>
      <c r="M89" s="117"/>
      <c r="N89" s="117"/>
      <c r="O89" s="117"/>
      <c r="P89" s="174"/>
      <c r="Q89" s="174"/>
    </row>
    <row r="90" spans="2:25" x14ac:dyDescent="0.2">
      <c r="B90" s="83"/>
      <c r="C90" s="83"/>
      <c r="D90" s="83"/>
      <c r="E90" s="242"/>
      <c r="F90" s="83"/>
      <c r="G90" s="204"/>
      <c r="H90" s="83"/>
      <c r="I90" s="83"/>
      <c r="J90" s="117"/>
      <c r="K90" s="116" t="s">
        <v>242</v>
      </c>
      <c r="M90" s="117">
        <f>-1203295-1193914-641000</f>
        <v>-3038209</v>
      </c>
      <c r="N90" s="117">
        <f>+M90-M83</f>
        <v>-78340.200000000186</v>
      </c>
      <c r="O90" s="117" t="s">
        <v>399</v>
      </c>
      <c r="P90" s="174" t="s">
        <v>383</v>
      </c>
      <c r="Q90" s="174"/>
    </row>
    <row r="91" spans="2:25" x14ac:dyDescent="0.2">
      <c r="B91" s="83"/>
      <c r="C91" s="83"/>
      <c r="D91" s="83"/>
      <c r="E91" s="242"/>
      <c r="F91" s="83"/>
      <c r="G91" s="204"/>
      <c r="H91" s="83"/>
      <c r="I91" s="83"/>
      <c r="K91" s="116" t="s">
        <v>302</v>
      </c>
      <c r="M91" s="117">
        <f>+M87+M90</f>
        <v>16789750.129999999</v>
      </c>
      <c r="N91" s="117"/>
      <c r="O91" s="117" t="s">
        <v>400</v>
      </c>
      <c r="P91" s="174"/>
      <c r="Q91" s="174"/>
    </row>
    <row r="92" spans="2:25" x14ac:dyDescent="0.2">
      <c r="B92" s="83"/>
      <c r="C92" s="83"/>
      <c r="D92" s="83"/>
      <c r="E92" s="242"/>
      <c r="F92" s="83"/>
      <c r="G92" s="204"/>
      <c r="H92" s="83"/>
      <c r="I92" s="83"/>
      <c r="K92" s="116" t="s">
        <v>224</v>
      </c>
      <c r="M92" s="117">
        <v>34500</v>
      </c>
      <c r="N92" s="117"/>
      <c r="O92" s="117"/>
      <c r="P92" s="174"/>
      <c r="Q92" s="174"/>
    </row>
    <row r="93" spans="2:25" x14ac:dyDescent="0.2">
      <c r="B93" s="83"/>
      <c r="C93" s="83"/>
      <c r="D93" s="83"/>
      <c r="E93" s="242"/>
      <c r="F93" s="83"/>
      <c r="G93" s="241"/>
      <c r="H93" s="83"/>
      <c r="I93" s="83"/>
      <c r="K93" s="116" t="s">
        <v>337</v>
      </c>
      <c r="M93" s="117">
        <v>0</v>
      </c>
      <c r="N93" s="117"/>
      <c r="O93" s="117"/>
      <c r="P93" s="174"/>
      <c r="Q93" s="174"/>
      <c r="Y93" s="116">
        <f>19609-105</f>
        <v>19504</v>
      </c>
    </row>
    <row r="94" spans="2:25" x14ac:dyDescent="0.2">
      <c r="B94" s="83"/>
      <c r="C94" s="83"/>
      <c r="D94" s="83"/>
      <c r="E94" s="83"/>
      <c r="F94" s="199"/>
      <c r="G94" s="241"/>
      <c r="H94" s="254"/>
      <c r="I94" s="83"/>
      <c r="K94" s="116" t="s">
        <v>382</v>
      </c>
      <c r="M94" s="117">
        <v>0</v>
      </c>
      <c r="N94" s="117"/>
      <c r="O94" s="117"/>
      <c r="P94" s="174"/>
      <c r="Q94" s="174"/>
    </row>
    <row r="95" spans="2:25" x14ac:dyDescent="0.2">
      <c r="B95" s="83" t="s">
        <v>412</v>
      </c>
      <c r="C95" s="83"/>
      <c r="D95" s="83"/>
      <c r="E95" s="83"/>
      <c r="F95" s="199">
        <f>443996.06+576407.08+78352.25+156704.49</f>
        <v>1255459.8799999999</v>
      </c>
      <c r="G95" s="241"/>
      <c r="H95" s="83"/>
      <c r="I95" s="83"/>
      <c r="K95" s="116" t="s">
        <v>303</v>
      </c>
      <c r="M95" s="117">
        <f>SUM(M91:M94)</f>
        <v>16824250.129999999</v>
      </c>
      <c r="N95" s="117">
        <f>+H84</f>
        <v>16824186.754665002</v>
      </c>
      <c r="O95" s="117"/>
      <c r="P95" s="174"/>
      <c r="Q95" s="174"/>
    </row>
    <row r="96" spans="2:25" x14ac:dyDescent="0.2">
      <c r="B96" s="83" t="s">
        <v>413</v>
      </c>
      <c r="C96" s="83"/>
      <c r="D96" s="83"/>
      <c r="E96" s="83"/>
      <c r="F96" s="199">
        <v>230905.15</v>
      </c>
      <c r="G96" s="241"/>
      <c r="H96" s="83"/>
      <c r="I96" s="83"/>
      <c r="M96" s="117">
        <f>+H84</f>
        <v>16824186.754665002</v>
      </c>
      <c r="N96" s="117"/>
      <c r="O96" s="117"/>
      <c r="P96" s="174"/>
      <c r="Q96" s="174"/>
    </row>
    <row r="97" spans="1:17" x14ac:dyDescent="0.2">
      <c r="B97" s="83" t="s">
        <v>414</v>
      </c>
      <c r="C97" s="83"/>
      <c r="D97" s="83"/>
      <c r="E97" s="83"/>
      <c r="F97" s="194">
        <v>861.24</v>
      </c>
      <c r="G97" s="241"/>
      <c r="H97" s="83"/>
      <c r="I97" s="83"/>
      <c r="M97" s="117">
        <f>+M96-M95</f>
        <v>-63.375334996730089</v>
      </c>
      <c r="N97" s="117"/>
      <c r="O97" s="117"/>
      <c r="P97" s="174"/>
      <c r="Q97" s="174"/>
    </row>
    <row r="98" spans="1:17" ht="12" customHeight="1" x14ac:dyDescent="0.2">
      <c r="A98"/>
      <c r="B98" s="83" t="s">
        <v>415</v>
      </c>
      <c r="C98" s="83"/>
      <c r="D98" s="83"/>
      <c r="E98" s="83"/>
      <c r="F98" s="194">
        <f>+SUELDO!I61</f>
        <v>138268.66949999996</v>
      </c>
      <c r="G98" s="194"/>
      <c r="H98" s="199"/>
      <c r="I98" s="240"/>
      <c r="K98" s="126"/>
      <c r="L98" s="126"/>
      <c r="M98" s="126"/>
      <c r="N98" s="126"/>
    </row>
    <row r="99" spans="1:17" ht="12" customHeight="1" x14ac:dyDescent="0.2">
      <c r="A99"/>
      <c r="B99" s="83" t="s">
        <v>416</v>
      </c>
      <c r="C99" s="83"/>
      <c r="D99" s="83"/>
      <c r="E99" s="83"/>
      <c r="F99" s="194">
        <f>+SUELDO!M61+44962*2</f>
        <v>289645.41149999993</v>
      </c>
      <c r="G99" s="194"/>
      <c r="H99" s="199"/>
      <c r="I99" s="240"/>
      <c r="K99" s="126"/>
      <c r="L99" s="126"/>
      <c r="M99" s="126"/>
      <c r="N99" s="126"/>
    </row>
    <row r="100" spans="1:17" ht="12" customHeight="1" x14ac:dyDescent="0.2">
      <c r="A100"/>
      <c r="B100" s="83" t="s">
        <v>417</v>
      </c>
      <c r="C100" s="83"/>
      <c r="D100" s="83"/>
      <c r="E100" s="83"/>
      <c r="F100" s="194">
        <f>+SUELDO!T61</f>
        <v>15363.185499999998</v>
      </c>
      <c r="G100" s="194"/>
      <c r="H100" s="199"/>
      <c r="I100" s="240"/>
      <c r="K100" s="126"/>
      <c r="L100" s="126"/>
      <c r="M100" s="126"/>
      <c r="N100" s="126">
        <f>+N99+M97</f>
        <v>-63.375334996730089</v>
      </c>
    </row>
    <row r="101" spans="1:17" ht="12" customHeight="1" x14ac:dyDescent="0.2">
      <c r="A101"/>
      <c r="B101" s="83" t="s">
        <v>335</v>
      </c>
      <c r="C101" s="83"/>
      <c r="D101" s="83"/>
      <c r="E101" s="83"/>
      <c r="F101" s="194"/>
      <c r="G101" s="194"/>
      <c r="H101" s="199"/>
      <c r="I101" s="240"/>
      <c r="K101" s="126"/>
      <c r="L101" s="126"/>
      <c r="M101" s="126"/>
      <c r="N101" s="126"/>
    </row>
    <row r="102" spans="1:17" ht="12" customHeight="1" x14ac:dyDescent="0.2">
      <c r="A102"/>
      <c r="B102" s="83" t="s">
        <v>356</v>
      </c>
      <c r="C102" s="83"/>
      <c r="D102" s="83"/>
      <c r="E102" s="83"/>
      <c r="F102" s="194"/>
      <c r="G102" s="194"/>
      <c r="H102" s="199"/>
      <c r="I102" s="240"/>
      <c r="K102" s="126"/>
      <c r="L102" s="126"/>
      <c r="M102" s="126"/>
      <c r="N102" s="126"/>
    </row>
    <row r="103" spans="1:17" ht="12" customHeight="1" x14ac:dyDescent="0.2">
      <c r="A103"/>
      <c r="B103" s="83" t="s">
        <v>357</v>
      </c>
      <c r="C103" s="83"/>
      <c r="D103" s="83"/>
      <c r="E103" s="83"/>
      <c r="F103" s="194"/>
      <c r="G103" s="194"/>
      <c r="H103" s="199"/>
      <c r="I103" s="240"/>
      <c r="K103" s="126"/>
      <c r="L103" s="126"/>
      <c r="M103" s="126"/>
      <c r="N103" s="126"/>
    </row>
    <row r="104" spans="1:17" ht="12" customHeight="1" x14ac:dyDescent="0.2">
      <c r="A104"/>
      <c r="B104" s="83"/>
      <c r="C104" s="83"/>
      <c r="D104" s="83"/>
      <c r="E104" s="83"/>
      <c r="F104" s="149">
        <f>SUM(F95:F103)</f>
        <v>1930503.5364999997</v>
      </c>
      <c r="G104" s="251"/>
      <c r="H104" s="199"/>
      <c r="I104" s="240"/>
      <c r="K104" s="126"/>
      <c r="L104" s="126"/>
      <c r="M104" s="126"/>
      <c r="N104" s="126"/>
    </row>
    <row r="105" spans="1:17" x14ac:dyDescent="0.2">
      <c r="E105" s="174"/>
      <c r="F105" s="194"/>
      <c r="H105" s="126"/>
      <c r="I105" s="126"/>
      <c r="N105" s="117"/>
    </row>
    <row r="106" spans="1:17" s="243" customFormat="1" x14ac:dyDescent="0.2">
      <c r="F106" s="245"/>
      <c r="G106" s="245"/>
      <c r="N106" s="246"/>
    </row>
    <row r="107" spans="1:17" x14ac:dyDescent="0.2">
      <c r="H107" s="126"/>
      <c r="I107" s="126"/>
      <c r="N107" s="126"/>
      <c r="P107" s="126"/>
    </row>
    <row r="108" spans="1:17" x14ac:dyDescent="0.2">
      <c r="K108" s="126"/>
      <c r="N108" s="126"/>
    </row>
    <row r="109" spans="1:17" x14ac:dyDescent="0.2">
      <c r="F109" s="149">
        <f>+H84</f>
        <v>16824186.754665002</v>
      </c>
      <c r="N109" s="126"/>
    </row>
    <row r="110" spans="1:17" x14ac:dyDescent="0.2">
      <c r="E110" s="83"/>
      <c r="F110" s="199">
        <f>+'RES CUENTA'!Q26</f>
        <v>8612689.746199999</v>
      </c>
      <c r="G110" s="254"/>
    </row>
    <row r="111" spans="1:17" x14ac:dyDescent="0.2">
      <c r="E111" s="83"/>
      <c r="F111" s="149">
        <f>-H74</f>
        <v>-6374035.8999999994</v>
      </c>
      <c r="G111" s="254"/>
      <c r="M111" s="117"/>
      <c r="N111" s="126"/>
    </row>
    <row r="112" spans="1:17" x14ac:dyDescent="0.2">
      <c r="E112" s="83"/>
      <c r="F112" s="254">
        <f>+F109+F110+F111</f>
        <v>19062840.600865003</v>
      </c>
      <c r="G112" s="83"/>
      <c r="M112" s="117"/>
      <c r="N112" s="126"/>
    </row>
    <row r="113" spans="2:18" x14ac:dyDescent="0.2">
      <c r="E113" s="83"/>
      <c r="F113" s="199"/>
      <c r="G113" s="83"/>
      <c r="M113" s="126"/>
    </row>
    <row r="114" spans="2:18" x14ac:dyDescent="0.2">
      <c r="E114" s="83"/>
      <c r="F114" s="199"/>
      <c r="G114" s="83"/>
      <c r="M114" s="126"/>
    </row>
    <row r="115" spans="2:18" x14ac:dyDescent="0.2">
      <c r="E115" s="83"/>
      <c r="F115" s="83"/>
      <c r="G115" s="83"/>
      <c r="M115" s="126"/>
    </row>
    <row r="116" spans="2:18" x14ac:dyDescent="0.2">
      <c r="E116" s="83"/>
      <c r="F116" s="83"/>
      <c r="G116" s="83"/>
      <c r="M116" s="126"/>
    </row>
    <row r="117" spans="2:18" x14ac:dyDescent="0.2">
      <c r="E117" s="83"/>
      <c r="F117" s="83"/>
      <c r="G117" s="83"/>
      <c r="M117" s="126"/>
    </row>
    <row r="118" spans="2:18" x14ac:dyDescent="0.2">
      <c r="F118" s="230"/>
      <c r="G118" s="83"/>
    </row>
    <row r="124" spans="2:18" x14ac:dyDescent="0.2">
      <c r="F124" s="180"/>
      <c r="G124" s="180"/>
    </row>
    <row r="125" spans="2:18" x14ac:dyDescent="0.2">
      <c r="F125" s="180"/>
      <c r="G125" s="180"/>
    </row>
    <row r="126" spans="2:18" x14ac:dyDescent="0.2">
      <c r="B126" s="83"/>
      <c r="C126" s="83"/>
      <c r="D126" s="83"/>
      <c r="E126" s="83"/>
      <c r="F126" s="194"/>
      <c r="G126" s="194"/>
      <c r="H126" s="199"/>
      <c r="I126" s="199"/>
    </row>
    <row r="127" spans="2:18" x14ac:dyDescent="0.2">
      <c r="B127" s="83"/>
      <c r="C127" s="83"/>
      <c r="D127" s="83"/>
      <c r="E127" s="199"/>
      <c r="F127" s="194"/>
      <c r="G127" s="194"/>
      <c r="H127" s="199"/>
      <c r="I127" s="199"/>
    </row>
    <row r="128" spans="2:18" x14ac:dyDescent="0.2">
      <c r="B128" s="83"/>
      <c r="C128" s="83"/>
      <c r="D128" s="83"/>
      <c r="E128" s="199"/>
      <c r="F128" s="194"/>
      <c r="G128" s="194"/>
      <c r="H128" s="199"/>
      <c r="I128" s="199"/>
      <c r="Q128" s="244"/>
      <c r="R128" s="244"/>
    </row>
  </sheetData>
  <mergeCells count="5">
    <mergeCell ref="A1:F1"/>
    <mergeCell ref="H86:I86"/>
    <mergeCell ref="H87:I87"/>
    <mergeCell ref="H1:I1"/>
    <mergeCell ref="B76:G76"/>
  </mergeCells>
  <phoneticPr fontId="0" type="noConversion"/>
  <hyperlinks>
    <hyperlink ref="A5" r:id="rId1" xr:uid="{69FEED91-6D1F-4D3B-8A76-503B4644EC4A}"/>
  </hyperlinks>
  <pageMargins left="0.39370078740157483" right="0.15748031496062992" top="0.23622047244094491" bottom="0.15748031496062992" header="0.15748031496062992" footer="0"/>
  <pageSetup paperSize="9" scale="73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064CC-CC8F-4B23-9C7E-7590729A8D84}">
  <sheetPr>
    <pageSetUpPr fitToPage="1"/>
  </sheetPr>
  <dimension ref="A1:AN111"/>
  <sheetViews>
    <sheetView tabSelected="1" topLeftCell="E13" zoomScaleNormal="100" workbookViewId="0">
      <selection activeCell="F93" sqref="F93"/>
    </sheetView>
  </sheetViews>
  <sheetFormatPr baseColWidth="10" defaultColWidth="11.42578125" defaultRowHeight="14.25" x14ac:dyDescent="0.2"/>
  <cols>
    <col min="1" max="1" width="6.5703125" style="131" customWidth="1"/>
    <col min="2" max="2" width="4.5703125" style="116" customWidth="1"/>
    <col min="3" max="3" width="7.5703125" style="116" hidden="1" customWidth="1"/>
    <col min="4" max="4" width="29.28515625" style="116" customWidth="1"/>
    <col min="5" max="5" width="14" style="116" customWidth="1"/>
    <col min="6" max="6" width="12.140625" style="116" customWidth="1"/>
    <col min="7" max="7" width="7.28515625" style="117" customWidth="1"/>
    <col min="8" max="8" width="11.42578125" style="118" customWidth="1"/>
    <col min="9" max="9" width="7.5703125" style="118" customWidth="1"/>
    <col min="10" max="10" width="10.5703125" style="118" customWidth="1"/>
    <col min="11" max="13" width="9.42578125" style="118" hidden="1" customWidth="1"/>
    <col min="14" max="14" width="10.7109375" style="118" customWidth="1"/>
    <col min="15" max="15" width="11" style="118" customWidth="1"/>
    <col min="16" max="16" width="10.140625" style="118" customWidth="1"/>
    <col min="17" max="17" width="12.28515625" style="118" customWidth="1"/>
    <col min="18" max="18" width="9.5703125" style="116" hidden="1" customWidth="1"/>
    <col min="19" max="19" width="0.140625" style="116" customWidth="1"/>
    <col min="20" max="20" width="19.28515625" style="116" customWidth="1"/>
    <col min="21" max="21" width="8" style="116" customWidth="1"/>
    <col min="22" max="22" width="11.85546875" style="116" customWidth="1"/>
    <col min="23" max="23" width="11.42578125" style="117"/>
    <col min="24" max="24" width="12" style="116" bestFit="1" customWidth="1"/>
    <col min="25" max="25" width="12.7109375" style="117" bestFit="1" customWidth="1"/>
    <col min="26" max="35" width="11.42578125" style="116"/>
    <col min="36" max="36" width="42.28515625" style="116" customWidth="1"/>
    <col min="37" max="16384" width="11.42578125" style="116"/>
  </cols>
  <sheetData>
    <row r="1" spans="1:40" x14ac:dyDescent="0.2">
      <c r="A1" s="132"/>
      <c r="B1" s="119"/>
      <c r="C1" s="119"/>
      <c r="D1" s="119"/>
      <c r="E1" s="119"/>
      <c r="F1" s="119"/>
      <c r="G1" s="120"/>
      <c r="H1" s="305"/>
      <c r="I1" s="305"/>
      <c r="J1" s="121"/>
      <c r="K1" s="121"/>
      <c r="L1" s="121"/>
      <c r="M1" s="121"/>
      <c r="N1" s="121"/>
      <c r="O1" s="121"/>
      <c r="P1" s="121"/>
      <c r="Q1" s="121"/>
    </row>
    <row r="2" spans="1:40" ht="15.75" x14ac:dyDescent="0.25">
      <c r="A2" s="152" t="str">
        <f>+LIQ!A2</f>
        <v>ADMINISTRACION:</v>
      </c>
      <c r="B2" s="152"/>
      <c r="C2" s="153"/>
      <c r="D2" s="153"/>
      <c r="E2" s="153"/>
      <c r="F2" s="153"/>
      <c r="G2" s="156"/>
      <c r="H2" s="162"/>
      <c r="I2" s="162"/>
      <c r="J2" s="162"/>
      <c r="K2" s="162"/>
      <c r="M2" s="153"/>
      <c r="N2" s="152" t="str">
        <f>+LIQ!G2</f>
        <v>CONSORCIO DE PROPIETARIOS:</v>
      </c>
      <c r="O2" s="162"/>
      <c r="V2" s="271"/>
    </row>
    <row r="3" spans="1:40" s="153" customFormat="1" ht="15.75" x14ac:dyDescent="0.25">
      <c r="A3" s="153" t="str">
        <f>+LIQ!A3</f>
        <v>MARIANO CAUVIN</v>
      </c>
      <c r="G3" s="156"/>
      <c r="H3" s="162"/>
      <c r="I3" s="162"/>
      <c r="J3" s="162"/>
      <c r="K3" s="162"/>
      <c r="N3" s="153" t="str">
        <f>+LIQ!G3</f>
        <v>URUGUAY 1025/27/29 CAP. FED.</v>
      </c>
      <c r="O3" s="162"/>
      <c r="P3" s="162"/>
      <c r="Q3" s="162"/>
      <c r="U3" s="152"/>
      <c r="W3" s="156"/>
      <c r="X3" s="156"/>
      <c r="Y3" s="156"/>
      <c r="Z3" s="156"/>
    </row>
    <row r="4" spans="1:40" s="153" customFormat="1" ht="15.75" x14ac:dyDescent="0.25">
      <c r="A4" s="153" t="str">
        <f>+LIQ!A4</f>
        <v>AV.BELGRANO 1270 5°A C.A.B.A.</v>
      </c>
      <c r="G4" s="156"/>
      <c r="H4" s="162"/>
      <c r="I4" s="162"/>
      <c r="J4" s="162"/>
      <c r="K4" s="162"/>
      <c r="N4" s="153" t="str">
        <f>+LIQ!G4</f>
        <v>CUIT: 30-58026090-6</v>
      </c>
      <c r="O4" s="162"/>
      <c r="P4" s="162"/>
      <c r="Q4" s="162"/>
      <c r="U4" s="152"/>
      <c r="W4" s="156"/>
      <c r="X4" s="156"/>
      <c r="Y4" s="156"/>
      <c r="Z4" s="156"/>
    </row>
    <row r="5" spans="1:40" s="153" customFormat="1" ht="15.75" x14ac:dyDescent="0.25">
      <c r="A5" s="116" t="str">
        <f>+LIQ!A5</f>
        <v>masoca_administraciones@hotmail.com</v>
      </c>
      <c r="G5" s="117" t="str">
        <f>+LIQ!E5</f>
        <v>4381-0014</v>
      </c>
      <c r="H5" s="162"/>
      <c r="I5" s="162"/>
      <c r="J5" s="162"/>
      <c r="K5" s="162"/>
      <c r="N5" s="153" t="str">
        <f>+LIQ!G5</f>
        <v>CLAVE SUTERH: 1542</v>
      </c>
      <c r="O5" s="162"/>
      <c r="P5" s="162"/>
      <c r="Q5" s="162"/>
      <c r="U5" s="152"/>
      <c r="W5" s="156"/>
      <c r="X5" s="156"/>
      <c r="Y5" s="156"/>
      <c r="Z5" s="156"/>
    </row>
    <row r="6" spans="1:40" s="153" customFormat="1" ht="15.75" x14ac:dyDescent="0.25">
      <c r="A6" s="153" t="str">
        <f>+LIQ!A6</f>
        <v>20-16975070-0</v>
      </c>
      <c r="G6" s="117" t="str">
        <f>+LIQ!E6</f>
        <v>Responsable Monotributo</v>
      </c>
      <c r="H6" s="162"/>
      <c r="I6" s="162"/>
      <c r="J6" s="162"/>
      <c r="K6" s="162"/>
      <c r="L6" s="162"/>
      <c r="M6" s="162"/>
      <c r="N6" s="162"/>
      <c r="O6" s="162"/>
      <c r="P6" s="162"/>
      <c r="Q6" s="162"/>
      <c r="T6" s="162"/>
      <c r="U6" s="152"/>
      <c r="W6" s="156"/>
      <c r="X6" s="156"/>
      <c r="Y6" s="156"/>
      <c r="Z6" s="156"/>
    </row>
    <row r="7" spans="1:40" s="153" customFormat="1" ht="15.75" x14ac:dyDescent="0.25">
      <c r="A7" s="155" t="str">
        <f>+LIQ!A7</f>
        <v>R.P.A. N° 470</v>
      </c>
      <c r="B7" s="155"/>
      <c r="C7" s="155"/>
      <c r="D7" s="155"/>
      <c r="E7" s="155"/>
      <c r="F7" s="155"/>
      <c r="G7" s="120" t="str">
        <f>+LIQ!E7</f>
        <v>URGENCIAS 155248-3729</v>
      </c>
      <c r="H7" s="178"/>
      <c r="I7" s="178"/>
      <c r="J7" s="178"/>
      <c r="K7" s="178"/>
      <c r="L7" s="178"/>
      <c r="M7" s="178"/>
      <c r="N7" s="178"/>
      <c r="O7" s="178"/>
      <c r="P7" s="178"/>
      <c r="Q7" s="178"/>
      <c r="U7" s="152"/>
      <c r="W7" s="156"/>
      <c r="X7" s="156"/>
      <c r="Y7" s="156"/>
      <c r="Z7" s="156"/>
    </row>
    <row r="9" spans="1:40" customFormat="1" ht="16.5" customHeight="1" x14ac:dyDescent="0.25">
      <c r="A9" s="311" t="s">
        <v>424</v>
      </c>
      <c r="B9" s="312"/>
      <c r="C9" s="312"/>
      <c r="D9" s="312"/>
      <c r="E9" s="312"/>
      <c r="F9" s="312"/>
      <c r="G9" s="312"/>
      <c r="H9" s="312"/>
      <c r="I9" s="312"/>
      <c r="J9" s="312"/>
      <c r="K9" s="312"/>
      <c r="L9" s="312"/>
      <c r="M9" s="312"/>
      <c r="N9" s="312"/>
      <c r="O9" s="312"/>
      <c r="P9" s="312"/>
      <c r="Q9" s="313"/>
      <c r="R9" s="115"/>
      <c r="S9" s="115"/>
      <c r="T9" s="115"/>
      <c r="V9" s="116"/>
      <c r="W9" s="117"/>
    </row>
    <row r="10" spans="1:40" customFormat="1" ht="16.5" customHeight="1" thickBot="1" x14ac:dyDescent="0.3">
      <c r="A10" s="314" t="s">
        <v>425</v>
      </c>
      <c r="B10" s="315"/>
      <c r="C10" s="315"/>
      <c r="D10" s="315"/>
      <c r="E10" s="315"/>
      <c r="F10" s="315"/>
      <c r="G10" s="315"/>
      <c r="H10" s="315"/>
      <c r="I10" s="315"/>
      <c r="J10" s="315"/>
      <c r="K10" s="315"/>
      <c r="L10" s="315"/>
      <c r="M10" s="315"/>
      <c r="N10" s="315"/>
      <c r="O10" s="315"/>
      <c r="P10" s="315"/>
      <c r="Q10" s="316"/>
      <c r="R10" s="115"/>
      <c r="S10" s="115"/>
      <c r="T10" s="115"/>
    </row>
    <row r="11" spans="1:40" ht="15.75" thickBot="1" x14ac:dyDescent="0.3">
      <c r="V11" s="309"/>
      <c r="W11" s="310"/>
      <c r="X11" s="307" t="s">
        <v>172</v>
      </c>
      <c r="Y11" s="308"/>
    </row>
    <row r="12" spans="1:40" s="115" customFormat="1" ht="45.75" thickBot="1" x14ac:dyDescent="0.3">
      <c r="A12" s="151" t="s">
        <v>2</v>
      </c>
      <c r="B12" s="135" t="s">
        <v>1</v>
      </c>
      <c r="C12" s="135" t="s">
        <v>2</v>
      </c>
      <c r="D12" s="135" t="s">
        <v>3</v>
      </c>
      <c r="E12" s="138" t="s">
        <v>360</v>
      </c>
      <c r="F12" s="138" t="s">
        <v>361</v>
      </c>
      <c r="G12" s="136" t="s">
        <v>189</v>
      </c>
      <c r="H12" s="137" t="s">
        <v>4</v>
      </c>
      <c r="I12" s="138" t="s">
        <v>190</v>
      </c>
      <c r="J12" s="137" t="s">
        <v>191</v>
      </c>
      <c r="K12" s="138" t="s">
        <v>197</v>
      </c>
      <c r="L12" s="138" t="s">
        <v>320</v>
      </c>
      <c r="M12" s="137" t="s">
        <v>199</v>
      </c>
      <c r="N12" s="138" t="s">
        <v>192</v>
      </c>
      <c r="O12" s="138" t="s">
        <v>294</v>
      </c>
      <c r="P12" s="138" t="s">
        <v>295</v>
      </c>
      <c r="Q12" s="150" t="s">
        <v>0</v>
      </c>
      <c r="R12" s="124" t="s">
        <v>72</v>
      </c>
      <c r="S12" s="122" t="s">
        <v>80</v>
      </c>
      <c r="T12" s="139" t="s">
        <v>80</v>
      </c>
      <c r="U12" s="124" t="s">
        <v>1</v>
      </c>
      <c r="V12" s="129" t="s">
        <v>174</v>
      </c>
      <c r="W12" s="147" t="s">
        <v>173</v>
      </c>
      <c r="X12" s="159" t="s">
        <v>232</v>
      </c>
      <c r="Y12" s="159" t="s">
        <v>325</v>
      </c>
      <c r="AG12" s="115" t="s">
        <v>292</v>
      </c>
      <c r="AH12" s="115" t="s">
        <v>293</v>
      </c>
      <c r="AJ12" s="115" t="s">
        <v>341</v>
      </c>
      <c r="AK12" s="115" t="s">
        <v>342</v>
      </c>
    </row>
    <row r="13" spans="1:40" ht="15" customHeight="1" x14ac:dyDescent="0.2">
      <c r="A13" s="262" t="s">
        <v>271</v>
      </c>
      <c r="B13" s="256">
        <v>1</v>
      </c>
      <c r="C13" s="256" t="s">
        <v>5</v>
      </c>
      <c r="D13" s="256" t="s">
        <v>387</v>
      </c>
      <c r="E13" s="257">
        <f>+W13</f>
        <v>168188</v>
      </c>
      <c r="F13" s="257">
        <f>-X13-Y13</f>
        <v>-168188</v>
      </c>
      <c r="G13" s="258">
        <v>2.5</v>
      </c>
      <c r="H13" s="257">
        <f t="shared" ref="H13:H25" si="0">+$H$26*G13/100</f>
        <v>168797</v>
      </c>
      <c r="I13" s="258">
        <v>0</v>
      </c>
      <c r="J13" s="257">
        <f t="shared" ref="J13:J25" si="1">+$J$26*I13/100</f>
        <v>0</v>
      </c>
      <c r="K13" s="257"/>
      <c r="L13" s="257">
        <f>+G13*$L$26/100</f>
        <v>0</v>
      </c>
      <c r="M13" s="257">
        <v>0</v>
      </c>
      <c r="N13" s="257">
        <f>+H13+J13+L13</f>
        <v>168797</v>
      </c>
      <c r="O13" s="257">
        <v>0</v>
      </c>
      <c r="P13" s="257">
        <v>0</v>
      </c>
      <c r="Q13" s="257">
        <f t="shared" ref="Q13:Q25" si="2">SUM(N13:P13)</f>
        <v>168797</v>
      </c>
      <c r="R13" s="118">
        <v>0</v>
      </c>
      <c r="U13" s="116">
        <v>1</v>
      </c>
      <c r="V13" s="130">
        <f>+W13-X13-Y13</f>
        <v>0</v>
      </c>
      <c r="W13" s="118">
        <v>168188</v>
      </c>
      <c r="X13" s="238">
        <v>168188</v>
      </c>
      <c r="Y13" s="118"/>
      <c r="Z13" s="118">
        <f>1125+1827</f>
        <v>2952</v>
      </c>
      <c r="AA13" s="118"/>
      <c r="AC13" s="118">
        <f>+P13-AB13</f>
        <v>0</v>
      </c>
      <c r="AD13" s="116" t="s">
        <v>333</v>
      </c>
      <c r="AG13" s="116">
        <v>41.52</v>
      </c>
      <c r="AK13" s="116" t="s">
        <v>346</v>
      </c>
    </row>
    <row r="14" spans="1:40" ht="15" customHeight="1" x14ac:dyDescent="0.2">
      <c r="A14" s="284" t="s">
        <v>272</v>
      </c>
      <c r="B14" s="259">
        <f>+B13+1</f>
        <v>2</v>
      </c>
      <c r="C14" s="259" t="s">
        <v>6</v>
      </c>
      <c r="D14" s="259" t="s">
        <v>397</v>
      </c>
      <c r="E14" s="260">
        <f t="shared" ref="E14:E25" si="3">+W14</f>
        <v>361259.3394</v>
      </c>
      <c r="F14" s="260">
        <f>-X14-Y14</f>
        <v>0</v>
      </c>
      <c r="G14" s="261">
        <v>2.61</v>
      </c>
      <c r="H14" s="260">
        <f t="shared" si="0"/>
        <v>176224.068</v>
      </c>
      <c r="I14" s="261">
        <v>0</v>
      </c>
      <c r="J14" s="260">
        <f t="shared" si="1"/>
        <v>0</v>
      </c>
      <c r="K14" s="260"/>
      <c r="L14" s="260">
        <f t="shared" ref="L14:L25" si="4">+G14*$L$26/100</f>
        <v>0</v>
      </c>
      <c r="M14" s="260">
        <v>0</v>
      </c>
      <c r="N14" s="260">
        <f>+H14+J14+L14</f>
        <v>176224.068</v>
      </c>
      <c r="O14" s="260">
        <f>+INTERESES!R9+INTERESES!S10</f>
        <v>352448.136</v>
      </c>
      <c r="P14" s="260">
        <f>+INTERESES!V11</f>
        <v>26433.610200000003</v>
      </c>
      <c r="Q14" s="260">
        <f>SUM(N14:P14)</f>
        <v>555105.81420000002</v>
      </c>
      <c r="R14" s="118">
        <v>0</v>
      </c>
      <c r="T14" s="118"/>
      <c r="U14" s="116">
        <f>+U13+1</f>
        <v>2</v>
      </c>
      <c r="V14" s="286">
        <f t="shared" ref="V14:V25" si="5">+W14-X14-Y14</f>
        <v>361259.3394</v>
      </c>
      <c r="W14" s="118">
        <v>361259.3394</v>
      </c>
      <c r="X14" s="238"/>
      <c r="Y14" s="116"/>
      <c r="Z14" s="118">
        <v>1174</v>
      </c>
      <c r="AA14" s="118"/>
      <c r="AC14" s="118">
        <f t="shared" ref="AC14:AC26" si="6">+P14-AB14</f>
        <v>26433.610200000003</v>
      </c>
      <c r="AG14" s="116">
        <v>43.42</v>
      </c>
      <c r="AJ14" s="116" t="s">
        <v>395</v>
      </c>
      <c r="AK14" s="116" t="s">
        <v>343</v>
      </c>
    </row>
    <row r="15" spans="1:40" ht="15" customHeight="1" x14ac:dyDescent="0.2">
      <c r="A15" s="263" t="s">
        <v>273</v>
      </c>
      <c r="B15" s="259">
        <f t="shared" ref="B15:B25" si="7">+B14+1</f>
        <v>3</v>
      </c>
      <c r="C15" s="259" t="s">
        <v>7</v>
      </c>
      <c r="D15" s="259" t="s">
        <v>332</v>
      </c>
      <c r="E15" s="260">
        <f t="shared" si="3"/>
        <v>720807.74939867214</v>
      </c>
      <c r="F15" s="260">
        <f t="shared" ref="F15:F24" si="8">-X15-Y15</f>
        <v>-720808</v>
      </c>
      <c r="G15" s="261">
        <f>8.58+0.09</f>
        <v>8.67</v>
      </c>
      <c r="H15" s="260">
        <f t="shared" si="0"/>
        <v>585387.99600000004</v>
      </c>
      <c r="I15" s="261">
        <f>+G15/94.89*100</f>
        <v>9.1368953525134362</v>
      </c>
      <c r="J15" s="260">
        <f t="shared" si="1"/>
        <v>135419.75339867212</v>
      </c>
      <c r="K15" s="260"/>
      <c r="L15" s="260">
        <f t="shared" si="4"/>
        <v>0</v>
      </c>
      <c r="M15" s="260">
        <v>0</v>
      </c>
      <c r="N15" s="260">
        <f t="shared" ref="N15:N25" si="9">+H15+J15+L15</f>
        <v>720807.74939867214</v>
      </c>
      <c r="O15" s="260">
        <v>0</v>
      </c>
      <c r="P15" s="260">
        <v>0</v>
      </c>
      <c r="Q15" s="260">
        <f t="shared" si="2"/>
        <v>720807.74939867214</v>
      </c>
      <c r="R15" s="118">
        <v>0</v>
      </c>
      <c r="U15" s="116">
        <f t="shared" ref="U15:U25" si="10">+U14+1</f>
        <v>3</v>
      </c>
      <c r="V15" s="130">
        <f t="shared" si="5"/>
        <v>-0.25060132786165923</v>
      </c>
      <c r="W15" s="118">
        <v>720807.74939867214</v>
      </c>
      <c r="X15" s="238">
        <v>720808</v>
      </c>
      <c r="Y15" s="116"/>
      <c r="Z15" s="118">
        <v>3902</v>
      </c>
      <c r="AA15" s="118"/>
      <c r="AB15" s="118"/>
      <c r="AC15" s="118">
        <f t="shared" si="6"/>
        <v>0</v>
      </c>
      <c r="AD15" s="116" t="s">
        <v>363</v>
      </c>
      <c r="AG15" s="116">
        <v>142.72999999999999</v>
      </c>
      <c r="AH15" s="116">
        <v>1.52</v>
      </c>
      <c r="AJ15" s="250" t="s">
        <v>355</v>
      </c>
    </row>
    <row r="16" spans="1:40" ht="15" customHeight="1" x14ac:dyDescent="0.2">
      <c r="A16" s="263" t="s">
        <v>274</v>
      </c>
      <c r="B16" s="259">
        <f t="shared" si="7"/>
        <v>4</v>
      </c>
      <c r="C16" s="259" t="s">
        <v>8</v>
      </c>
      <c r="D16" s="259" t="s">
        <v>284</v>
      </c>
      <c r="E16" s="260">
        <f t="shared" si="3"/>
        <v>720807.74939867214</v>
      </c>
      <c r="F16" s="260">
        <f t="shared" si="8"/>
        <v>-720808</v>
      </c>
      <c r="G16" s="261">
        <f t="shared" ref="G16:G23" si="11">8.58+0.09</f>
        <v>8.67</v>
      </c>
      <c r="H16" s="260">
        <f t="shared" si="0"/>
        <v>585387.99600000004</v>
      </c>
      <c r="I16" s="261">
        <f t="shared" ref="I16:I25" si="12">+G16/94.89*100</f>
        <v>9.1368953525134362</v>
      </c>
      <c r="J16" s="260">
        <f t="shared" si="1"/>
        <v>135419.75339867212</v>
      </c>
      <c r="K16" s="260"/>
      <c r="L16" s="260">
        <f t="shared" si="4"/>
        <v>0</v>
      </c>
      <c r="M16" s="260">
        <v>0</v>
      </c>
      <c r="N16" s="260">
        <f t="shared" si="9"/>
        <v>720807.74939867214</v>
      </c>
      <c r="O16" s="260">
        <v>0</v>
      </c>
      <c r="P16" s="260">
        <v>0</v>
      </c>
      <c r="Q16" s="260">
        <f t="shared" si="2"/>
        <v>720807.74939867214</v>
      </c>
      <c r="R16" s="118">
        <v>0</v>
      </c>
      <c r="T16" s="118"/>
      <c r="U16" s="116">
        <f t="shared" si="10"/>
        <v>4</v>
      </c>
      <c r="V16" s="130">
        <f t="shared" si="5"/>
        <v>-0.25060132786165923</v>
      </c>
      <c r="W16" s="118">
        <v>720807.74939867214</v>
      </c>
      <c r="X16" s="292">
        <v>720808</v>
      </c>
      <c r="Y16" s="116"/>
      <c r="Z16" s="118">
        <v>3902</v>
      </c>
      <c r="AA16" s="118"/>
      <c r="AC16" s="118">
        <f t="shared" si="6"/>
        <v>0</v>
      </c>
      <c r="AG16" s="116">
        <v>142.72999999999999</v>
      </c>
      <c r="AH16" s="116">
        <v>1.52</v>
      </c>
      <c r="AJ16" s="116" t="s">
        <v>349</v>
      </c>
      <c r="AN16" s="278" t="s">
        <v>377</v>
      </c>
    </row>
    <row r="17" spans="1:40" ht="15" customHeight="1" x14ac:dyDescent="0.2">
      <c r="A17" s="263" t="s">
        <v>275</v>
      </c>
      <c r="B17" s="259">
        <f t="shared" si="7"/>
        <v>5</v>
      </c>
      <c r="C17" s="259" t="s">
        <v>9</v>
      </c>
      <c r="D17" s="259" t="s">
        <v>285</v>
      </c>
      <c r="E17" s="260">
        <f t="shared" si="3"/>
        <v>720807.74939867214</v>
      </c>
      <c r="F17" s="260">
        <f t="shared" si="8"/>
        <v>-720808</v>
      </c>
      <c r="G17" s="261">
        <f t="shared" si="11"/>
        <v>8.67</v>
      </c>
      <c r="H17" s="260">
        <f t="shared" si="0"/>
        <v>585387.99600000004</v>
      </c>
      <c r="I17" s="261">
        <f t="shared" si="12"/>
        <v>9.1368953525134362</v>
      </c>
      <c r="J17" s="260">
        <f t="shared" si="1"/>
        <v>135419.75339867212</v>
      </c>
      <c r="K17" s="260"/>
      <c r="L17" s="260">
        <f t="shared" si="4"/>
        <v>0</v>
      </c>
      <c r="M17" s="260">
        <v>0</v>
      </c>
      <c r="N17" s="260">
        <f t="shared" si="9"/>
        <v>720807.74939867214</v>
      </c>
      <c r="O17" s="260">
        <v>0</v>
      </c>
      <c r="P17" s="260">
        <v>0</v>
      </c>
      <c r="Q17" s="260">
        <f t="shared" si="2"/>
        <v>720807.74939867214</v>
      </c>
      <c r="R17" s="118">
        <v>0</v>
      </c>
      <c r="T17" s="275"/>
      <c r="U17" s="116">
        <f t="shared" si="10"/>
        <v>5</v>
      </c>
      <c r="V17" s="130">
        <f t="shared" si="5"/>
        <v>-0.25060132786165923</v>
      </c>
      <c r="W17" s="118">
        <v>720807.74939867214</v>
      </c>
      <c r="X17" s="238">
        <v>720808</v>
      </c>
      <c r="Y17" s="116"/>
      <c r="Z17" s="118">
        <v>3902</v>
      </c>
      <c r="AA17" s="118"/>
      <c r="AC17" s="118">
        <f t="shared" si="6"/>
        <v>0</v>
      </c>
      <c r="AG17" s="116">
        <v>142.72999999999999</v>
      </c>
      <c r="AH17" s="116">
        <v>1.52</v>
      </c>
      <c r="AJ17" s="116" t="s">
        <v>340</v>
      </c>
      <c r="AK17" s="116" t="s">
        <v>347</v>
      </c>
    </row>
    <row r="18" spans="1:40" ht="15" customHeight="1" x14ac:dyDescent="0.2">
      <c r="A18" s="263" t="s">
        <v>276</v>
      </c>
      <c r="B18" s="259">
        <f t="shared" si="7"/>
        <v>6</v>
      </c>
      <c r="C18" s="259" t="s">
        <v>10</v>
      </c>
      <c r="D18" s="259" t="s">
        <v>286</v>
      </c>
      <c r="E18" s="260">
        <f t="shared" si="3"/>
        <v>720807.74939867214</v>
      </c>
      <c r="F18" s="260">
        <f t="shared" si="8"/>
        <v>-721000</v>
      </c>
      <c r="G18" s="261">
        <f t="shared" si="11"/>
        <v>8.67</v>
      </c>
      <c r="H18" s="260">
        <f t="shared" si="0"/>
        <v>585387.99600000004</v>
      </c>
      <c r="I18" s="261">
        <f t="shared" si="12"/>
        <v>9.1368953525134362</v>
      </c>
      <c r="J18" s="260">
        <f t="shared" si="1"/>
        <v>135419.75339867212</v>
      </c>
      <c r="K18" s="260"/>
      <c r="L18" s="260">
        <f t="shared" si="4"/>
        <v>0</v>
      </c>
      <c r="M18" s="260">
        <v>0</v>
      </c>
      <c r="N18" s="260">
        <f t="shared" si="9"/>
        <v>720807.74939867214</v>
      </c>
      <c r="O18" s="260">
        <v>-192</v>
      </c>
      <c r="P18" s="260">
        <v>0</v>
      </c>
      <c r="Q18" s="260">
        <f t="shared" si="2"/>
        <v>720615.74939867214</v>
      </c>
      <c r="R18" s="118">
        <v>0</v>
      </c>
      <c r="U18" s="116">
        <f t="shared" si="10"/>
        <v>6</v>
      </c>
      <c r="V18" s="130">
        <f t="shared" si="5"/>
        <v>-192.25060132786166</v>
      </c>
      <c r="W18" s="118">
        <v>720807.74939867214</v>
      </c>
      <c r="X18" s="285">
        <v>721000</v>
      </c>
      <c r="Y18" s="116"/>
      <c r="Z18" s="118">
        <v>3902</v>
      </c>
      <c r="AA18" s="118"/>
      <c r="AC18" s="118">
        <f t="shared" si="6"/>
        <v>0</v>
      </c>
      <c r="AD18" s="116" t="s">
        <v>362</v>
      </c>
      <c r="AG18" s="116">
        <v>142.72999999999999</v>
      </c>
      <c r="AH18" s="116">
        <v>1.52</v>
      </c>
      <c r="AJ18" s="250" t="s">
        <v>345</v>
      </c>
      <c r="AK18" s="116" t="s">
        <v>344</v>
      </c>
    </row>
    <row r="19" spans="1:40" ht="15" customHeight="1" x14ac:dyDescent="0.2">
      <c r="A19" s="263" t="s">
        <v>277</v>
      </c>
      <c r="B19" s="259">
        <f t="shared" si="7"/>
        <v>7</v>
      </c>
      <c r="C19" s="259" t="s">
        <v>11</v>
      </c>
      <c r="D19" s="259" t="s">
        <v>287</v>
      </c>
      <c r="E19" s="260">
        <f t="shared" si="3"/>
        <v>720807.74939867214</v>
      </c>
      <c r="F19" s="260">
        <f t="shared" si="8"/>
        <v>-720808</v>
      </c>
      <c r="G19" s="261">
        <f t="shared" si="11"/>
        <v>8.67</v>
      </c>
      <c r="H19" s="260">
        <f t="shared" si="0"/>
        <v>585387.99600000004</v>
      </c>
      <c r="I19" s="261">
        <f t="shared" si="12"/>
        <v>9.1368953525134362</v>
      </c>
      <c r="J19" s="260">
        <f t="shared" si="1"/>
        <v>135419.75339867212</v>
      </c>
      <c r="K19" s="260"/>
      <c r="L19" s="260">
        <f t="shared" si="4"/>
        <v>0</v>
      </c>
      <c r="M19" s="260">
        <v>0</v>
      </c>
      <c r="N19" s="260">
        <f t="shared" si="9"/>
        <v>720807.74939867214</v>
      </c>
      <c r="O19" s="260">
        <v>0</v>
      </c>
      <c r="P19" s="260">
        <v>0</v>
      </c>
      <c r="Q19" s="260">
        <f t="shared" si="2"/>
        <v>720807.74939867214</v>
      </c>
      <c r="R19" s="118">
        <v>0</v>
      </c>
      <c r="T19" s="118"/>
      <c r="U19" s="116">
        <f t="shared" si="10"/>
        <v>7</v>
      </c>
      <c r="V19" s="130">
        <f t="shared" si="5"/>
        <v>-0.25060132786165923</v>
      </c>
      <c r="W19" s="118">
        <v>720807.74939867214</v>
      </c>
      <c r="X19" s="238">
        <v>720808</v>
      </c>
      <c r="Y19" s="116"/>
      <c r="Z19" s="118">
        <v>3902</v>
      </c>
      <c r="AA19" s="118"/>
      <c r="AC19" s="118">
        <f t="shared" si="6"/>
        <v>0</v>
      </c>
      <c r="AD19" s="116" t="s">
        <v>373</v>
      </c>
      <c r="AG19" s="116">
        <v>142.72999999999999</v>
      </c>
      <c r="AH19" s="116">
        <v>1.52</v>
      </c>
      <c r="AJ19" s="116" t="s">
        <v>350</v>
      </c>
    </row>
    <row r="20" spans="1:40" ht="15" customHeight="1" x14ac:dyDescent="0.2">
      <c r="A20" s="263" t="s">
        <v>278</v>
      </c>
      <c r="B20" s="259">
        <f t="shared" si="7"/>
        <v>8</v>
      </c>
      <c r="C20" s="259" t="s">
        <v>12</v>
      </c>
      <c r="D20" s="259" t="s">
        <v>288</v>
      </c>
      <c r="E20" s="260">
        <f t="shared" si="3"/>
        <v>720807.74939867214</v>
      </c>
      <c r="F20" s="260">
        <f t="shared" si="8"/>
        <v>-720808</v>
      </c>
      <c r="G20" s="261">
        <f t="shared" si="11"/>
        <v>8.67</v>
      </c>
      <c r="H20" s="260">
        <f t="shared" si="0"/>
        <v>585387.99600000004</v>
      </c>
      <c r="I20" s="261">
        <f t="shared" si="12"/>
        <v>9.1368953525134362</v>
      </c>
      <c r="J20" s="260">
        <f t="shared" si="1"/>
        <v>135419.75339867212</v>
      </c>
      <c r="K20" s="260"/>
      <c r="L20" s="260">
        <f t="shared" si="4"/>
        <v>0</v>
      </c>
      <c r="M20" s="260">
        <v>0</v>
      </c>
      <c r="N20" s="260">
        <f t="shared" si="9"/>
        <v>720807.74939867214</v>
      </c>
      <c r="O20" s="260">
        <v>0</v>
      </c>
      <c r="P20" s="260">
        <v>0</v>
      </c>
      <c r="Q20" s="260">
        <f t="shared" si="2"/>
        <v>720807.74939867214</v>
      </c>
      <c r="R20" s="118">
        <v>0</v>
      </c>
      <c r="T20" s="118"/>
      <c r="U20" s="116">
        <f t="shared" si="10"/>
        <v>8</v>
      </c>
      <c r="V20" s="130">
        <f t="shared" si="5"/>
        <v>-0.25060132786165923</v>
      </c>
      <c r="W20" s="118">
        <v>720807.74939867214</v>
      </c>
      <c r="X20" s="238">
        <v>720808</v>
      </c>
      <c r="Y20" s="116"/>
      <c r="Z20" s="118">
        <v>3902</v>
      </c>
      <c r="AB20" s="118"/>
      <c r="AC20" s="118">
        <f t="shared" si="6"/>
        <v>0</v>
      </c>
      <c r="AD20" s="118"/>
      <c r="AG20" s="116">
        <v>142.72999999999999</v>
      </c>
      <c r="AH20" s="116">
        <v>1.52</v>
      </c>
      <c r="AJ20" s="116" t="s">
        <v>351</v>
      </c>
      <c r="AN20" s="278" t="s">
        <v>376</v>
      </c>
    </row>
    <row r="21" spans="1:40" ht="15" customHeight="1" x14ac:dyDescent="0.2">
      <c r="A21" s="263" t="s">
        <v>279</v>
      </c>
      <c r="B21" s="259">
        <f t="shared" si="7"/>
        <v>9</v>
      </c>
      <c r="C21" s="259" t="s">
        <v>13</v>
      </c>
      <c r="D21" s="259" t="s">
        <v>299</v>
      </c>
      <c r="E21" s="260">
        <f t="shared" si="3"/>
        <v>720807.74939867214</v>
      </c>
      <c r="F21" s="260">
        <f t="shared" si="8"/>
        <v>-720808</v>
      </c>
      <c r="G21" s="261">
        <f t="shared" si="11"/>
        <v>8.67</v>
      </c>
      <c r="H21" s="260">
        <f t="shared" si="0"/>
        <v>585387.99600000004</v>
      </c>
      <c r="I21" s="261">
        <f t="shared" si="12"/>
        <v>9.1368953525134362</v>
      </c>
      <c r="J21" s="260">
        <f t="shared" si="1"/>
        <v>135419.75339867212</v>
      </c>
      <c r="K21" s="260"/>
      <c r="L21" s="260">
        <f t="shared" si="4"/>
        <v>0</v>
      </c>
      <c r="M21" s="260">
        <v>0</v>
      </c>
      <c r="N21" s="260">
        <f t="shared" si="9"/>
        <v>720807.74939867214</v>
      </c>
      <c r="O21" s="260">
        <v>0</v>
      </c>
      <c r="P21" s="260">
        <v>0</v>
      </c>
      <c r="Q21" s="260">
        <f t="shared" si="2"/>
        <v>720807.74939867214</v>
      </c>
      <c r="R21" s="118">
        <v>0</v>
      </c>
      <c r="T21" s="118"/>
      <c r="U21" s="116">
        <f t="shared" si="10"/>
        <v>9</v>
      </c>
      <c r="V21" s="130">
        <f>+W21-X21-Y21</f>
        <v>-0.25060132786165923</v>
      </c>
      <c r="W21" s="118">
        <v>720807.74939867214</v>
      </c>
      <c r="X21" s="238">
        <v>720808</v>
      </c>
      <c r="Y21" s="118"/>
      <c r="Z21" s="118">
        <f>3902+7308</f>
        <v>11210</v>
      </c>
      <c r="AA21" s="118"/>
      <c r="AB21" s="118"/>
      <c r="AC21" s="118">
        <f t="shared" si="6"/>
        <v>0</v>
      </c>
      <c r="AG21" s="116">
        <v>142.72999999999999</v>
      </c>
      <c r="AH21" s="116">
        <v>1.52</v>
      </c>
      <c r="AJ21" s="116" t="s">
        <v>348</v>
      </c>
    </row>
    <row r="22" spans="1:40" ht="15" customHeight="1" x14ac:dyDescent="0.2">
      <c r="A22" s="263" t="s">
        <v>280</v>
      </c>
      <c r="B22" s="259">
        <f t="shared" si="7"/>
        <v>10</v>
      </c>
      <c r="C22" s="259" t="s">
        <v>14</v>
      </c>
      <c r="D22" s="259" t="s">
        <v>310</v>
      </c>
      <c r="E22" s="260">
        <f t="shared" si="3"/>
        <v>720807.74939867214</v>
      </c>
      <c r="F22" s="260">
        <f t="shared" si="8"/>
        <v>-720808</v>
      </c>
      <c r="G22" s="261">
        <f t="shared" si="11"/>
        <v>8.67</v>
      </c>
      <c r="H22" s="260">
        <f t="shared" si="0"/>
        <v>585387.99600000004</v>
      </c>
      <c r="I22" s="261">
        <f t="shared" si="12"/>
        <v>9.1368953525134362</v>
      </c>
      <c r="J22" s="260">
        <f t="shared" si="1"/>
        <v>135419.75339867212</v>
      </c>
      <c r="K22" s="260"/>
      <c r="L22" s="260">
        <f t="shared" si="4"/>
        <v>0</v>
      </c>
      <c r="M22" s="260">
        <v>0</v>
      </c>
      <c r="N22" s="260">
        <f t="shared" si="9"/>
        <v>720807.74939867214</v>
      </c>
      <c r="O22" s="260">
        <v>0</v>
      </c>
      <c r="P22" s="260">
        <v>0</v>
      </c>
      <c r="Q22" s="260">
        <f t="shared" si="2"/>
        <v>720807.74939867214</v>
      </c>
      <c r="R22" s="118">
        <v>0</v>
      </c>
      <c r="T22" s="118"/>
      <c r="U22" s="116">
        <f t="shared" si="10"/>
        <v>10</v>
      </c>
      <c r="V22" s="130">
        <f t="shared" si="5"/>
        <v>-0.25060132786165923</v>
      </c>
      <c r="W22" s="118">
        <v>720807.74939867214</v>
      </c>
      <c r="X22" s="238">
        <v>720808</v>
      </c>
      <c r="Y22" s="116"/>
      <c r="Z22" s="118">
        <f>3902+37426</f>
        <v>41328</v>
      </c>
      <c r="AA22" s="118"/>
      <c r="AC22" s="118">
        <f t="shared" si="6"/>
        <v>0</v>
      </c>
      <c r="AD22" s="116" t="s">
        <v>228</v>
      </c>
      <c r="AG22" s="116">
        <v>142.72999999999999</v>
      </c>
      <c r="AH22" s="116">
        <v>1.52</v>
      </c>
      <c r="AJ22" s="116" t="s">
        <v>348</v>
      </c>
    </row>
    <row r="23" spans="1:40" ht="15" customHeight="1" x14ac:dyDescent="0.2">
      <c r="A23" s="263" t="s">
        <v>281</v>
      </c>
      <c r="B23" s="259">
        <f t="shared" si="7"/>
        <v>11</v>
      </c>
      <c r="C23" s="259" t="s">
        <v>15</v>
      </c>
      <c r="D23" s="259" t="s">
        <v>289</v>
      </c>
      <c r="E23" s="260">
        <f t="shared" si="3"/>
        <v>720807.74939867214</v>
      </c>
      <c r="F23" s="260">
        <f t="shared" si="8"/>
        <v>-720808</v>
      </c>
      <c r="G23" s="261">
        <f t="shared" si="11"/>
        <v>8.67</v>
      </c>
      <c r="H23" s="260">
        <f t="shared" si="0"/>
        <v>585387.99600000004</v>
      </c>
      <c r="I23" s="261">
        <f t="shared" si="12"/>
        <v>9.1368953525134362</v>
      </c>
      <c r="J23" s="260">
        <f t="shared" si="1"/>
        <v>135419.75339867212</v>
      </c>
      <c r="K23" s="260"/>
      <c r="L23" s="260">
        <f t="shared" si="4"/>
        <v>0</v>
      </c>
      <c r="M23" s="260">
        <v>0</v>
      </c>
      <c r="N23" s="260">
        <f t="shared" si="9"/>
        <v>720807.74939867214</v>
      </c>
      <c r="O23" s="260">
        <v>0</v>
      </c>
      <c r="P23" s="260">
        <v>0</v>
      </c>
      <c r="Q23" s="260">
        <f t="shared" si="2"/>
        <v>720807.74939867214</v>
      </c>
      <c r="R23" s="118">
        <v>0</v>
      </c>
      <c r="U23" s="116">
        <f t="shared" si="10"/>
        <v>11</v>
      </c>
      <c r="V23" s="130">
        <f t="shared" si="5"/>
        <v>-0.25060132786165923</v>
      </c>
      <c r="W23" s="118">
        <v>720807.74939867214</v>
      </c>
      <c r="X23" s="238">
        <v>720808</v>
      </c>
      <c r="Y23" s="116"/>
      <c r="Z23" s="118">
        <v>3902</v>
      </c>
      <c r="AA23" s="118"/>
      <c r="AC23" s="118">
        <f t="shared" si="6"/>
        <v>0</v>
      </c>
      <c r="AG23" s="116">
        <v>142.72999999999999</v>
      </c>
      <c r="AH23" s="116">
        <v>1.52</v>
      </c>
      <c r="AJ23" s="116" t="s">
        <v>353</v>
      </c>
    </row>
    <row r="24" spans="1:40" ht="15" customHeight="1" x14ac:dyDescent="0.2">
      <c r="A24" s="263" t="s">
        <v>282</v>
      </c>
      <c r="B24" s="259">
        <f t="shared" si="7"/>
        <v>12</v>
      </c>
      <c r="C24" s="259" t="s">
        <v>16</v>
      </c>
      <c r="D24" s="259" t="s">
        <v>289</v>
      </c>
      <c r="E24" s="260">
        <f t="shared" si="3"/>
        <v>631018.54878153652</v>
      </c>
      <c r="F24" s="260">
        <f t="shared" si="8"/>
        <v>-631019</v>
      </c>
      <c r="G24" s="261">
        <f>7.5+0.09</f>
        <v>7.59</v>
      </c>
      <c r="H24" s="260">
        <f t="shared" si="0"/>
        <v>512467.69199999998</v>
      </c>
      <c r="I24" s="261">
        <f t="shared" si="12"/>
        <v>7.9987353778058807</v>
      </c>
      <c r="J24" s="260">
        <f t="shared" si="1"/>
        <v>118550.85678153652</v>
      </c>
      <c r="K24" s="260"/>
      <c r="L24" s="260">
        <f t="shared" si="4"/>
        <v>0</v>
      </c>
      <c r="M24" s="260">
        <v>0</v>
      </c>
      <c r="N24" s="260">
        <f t="shared" si="9"/>
        <v>631018.54878153652</v>
      </c>
      <c r="O24" s="260">
        <v>0</v>
      </c>
      <c r="P24" s="260">
        <v>0</v>
      </c>
      <c r="Q24" s="260">
        <f>SUM(N24:P24)</f>
        <v>631018.54878153652</v>
      </c>
      <c r="R24" s="118">
        <v>0</v>
      </c>
      <c r="U24" s="116">
        <f t="shared" si="10"/>
        <v>12</v>
      </c>
      <c r="V24" s="130">
        <f t="shared" si="5"/>
        <v>-0.45121846348047256</v>
      </c>
      <c r="W24" s="118">
        <v>631018.54878153652</v>
      </c>
      <c r="X24" s="238">
        <v>631019</v>
      </c>
      <c r="Y24" s="116"/>
      <c r="Z24" s="118">
        <v>3416</v>
      </c>
      <c r="AA24" s="118"/>
      <c r="AB24" s="118"/>
      <c r="AC24" s="118">
        <f t="shared" si="6"/>
        <v>0</v>
      </c>
      <c r="AD24" s="118"/>
      <c r="AG24" s="116">
        <v>142.56</v>
      </c>
      <c r="AH24" s="116">
        <v>1.52</v>
      </c>
      <c r="AJ24" s="116" t="s">
        <v>354</v>
      </c>
    </row>
    <row r="25" spans="1:40" ht="15" customHeight="1" x14ac:dyDescent="0.2">
      <c r="A25" s="263" t="s">
        <v>283</v>
      </c>
      <c r="B25" s="259">
        <f t="shared" si="7"/>
        <v>13</v>
      </c>
      <c r="C25" s="259" t="s">
        <v>17</v>
      </c>
      <c r="D25" s="259" t="s">
        <v>290</v>
      </c>
      <c r="E25" s="260">
        <f t="shared" si="3"/>
        <v>1579915.809192349</v>
      </c>
      <c r="F25" s="260">
        <f>-X25-Y25</f>
        <v>-1579916</v>
      </c>
      <c r="G25" s="261">
        <f>9.18+0.09</f>
        <v>9.27</v>
      </c>
      <c r="H25" s="260">
        <f t="shared" si="0"/>
        <v>625899.27599999995</v>
      </c>
      <c r="I25" s="261">
        <f t="shared" si="12"/>
        <v>9.7692064495731898</v>
      </c>
      <c r="J25" s="260">
        <f t="shared" si="1"/>
        <v>144791.36263041417</v>
      </c>
      <c r="K25" s="260"/>
      <c r="L25" s="260">
        <f t="shared" si="4"/>
        <v>0</v>
      </c>
      <c r="M25" s="260">
        <v>0</v>
      </c>
      <c r="N25" s="260">
        <f t="shared" si="9"/>
        <v>770690.63863041415</v>
      </c>
      <c r="O25" s="260">
        <v>0</v>
      </c>
      <c r="P25" s="260">
        <v>0</v>
      </c>
      <c r="Q25" s="260">
        <f t="shared" si="2"/>
        <v>770690.63863041415</v>
      </c>
      <c r="R25" s="118">
        <v>0</v>
      </c>
      <c r="U25" s="116">
        <f t="shared" si="10"/>
        <v>13</v>
      </c>
      <c r="V25" s="130">
        <f t="shared" si="5"/>
        <v>-0.19080765102989972</v>
      </c>
      <c r="W25" s="118">
        <v>1579915.809192349</v>
      </c>
      <c r="X25" s="292">
        <f>1000000+579916</f>
        <v>1579916</v>
      </c>
      <c r="Y25" s="116"/>
      <c r="Z25" s="118">
        <f>4172-4</f>
        <v>4168</v>
      </c>
      <c r="AA25" s="118"/>
      <c r="AB25" s="118"/>
      <c r="AC25" s="118">
        <f t="shared" si="6"/>
        <v>0</v>
      </c>
      <c r="AD25" s="118"/>
      <c r="AG25" s="116">
        <v>171.49</v>
      </c>
      <c r="AH25" s="116">
        <v>1.52</v>
      </c>
      <c r="AJ25" s="116" t="s">
        <v>352</v>
      </c>
      <c r="AK25" s="116" t="s">
        <v>396</v>
      </c>
    </row>
    <row r="26" spans="1:40" s="115" customFormat="1" ht="15.75" thickBot="1" x14ac:dyDescent="0.3">
      <c r="A26" s="140"/>
      <c r="B26" s="141"/>
      <c r="C26" s="141"/>
      <c r="D26" s="141" t="s">
        <v>188</v>
      </c>
      <c r="E26" s="142">
        <f>SUM(E13:E25)</f>
        <v>9227651.4419619329</v>
      </c>
      <c r="F26" s="142">
        <f>SUM(F13:F25)</f>
        <v>-8866587</v>
      </c>
      <c r="G26" s="142">
        <f>SUM(G13:G25)</f>
        <v>100</v>
      </c>
      <c r="H26" s="142">
        <f>(8234000)*0.82</f>
        <v>6751880</v>
      </c>
      <c r="I26" s="142">
        <f>SUM(I13:I25)</f>
        <v>100</v>
      </c>
      <c r="J26" s="142">
        <f>(8234000)*0.18</f>
        <v>1482120</v>
      </c>
      <c r="K26" s="157">
        <f t="shared" ref="K26:Q26" si="13">SUM(K13:K25)</f>
        <v>0</v>
      </c>
      <c r="L26" s="142">
        <v>0</v>
      </c>
      <c r="M26" s="142">
        <f t="shared" si="13"/>
        <v>0</v>
      </c>
      <c r="N26" s="142">
        <f>SUM(N13:N25)</f>
        <v>8233999.9999999991</v>
      </c>
      <c r="O26" s="142">
        <f t="shared" si="13"/>
        <v>352256.136</v>
      </c>
      <c r="P26" s="142">
        <f t="shared" si="13"/>
        <v>26433.610200000003</v>
      </c>
      <c r="Q26" s="142">
        <f t="shared" si="13"/>
        <v>8612689.746199999</v>
      </c>
      <c r="R26" s="141"/>
      <c r="S26" s="141"/>
      <c r="V26" s="130">
        <f>+W26-X26-Y26</f>
        <v>361064.44196193293</v>
      </c>
      <c r="W26" s="125">
        <v>9227651.4419619329</v>
      </c>
      <c r="X26" s="125">
        <f>SUM(X13:X25)</f>
        <v>8866587</v>
      </c>
      <c r="Y26" s="161">
        <f>SUM(Y13:Y25)</f>
        <v>0</v>
      </c>
      <c r="Z26" s="125">
        <f>SUM(Z13:Z25)</f>
        <v>91562</v>
      </c>
      <c r="AA26" s="118"/>
      <c r="AB26" s="161"/>
      <c r="AC26" s="118">
        <f t="shared" si="6"/>
        <v>26433.610200000003</v>
      </c>
      <c r="AD26" s="161"/>
    </row>
    <row r="27" spans="1:40" ht="15" thickTop="1" x14ac:dyDescent="0.2">
      <c r="F27" s="118"/>
      <c r="J27" s="179"/>
      <c r="V27" s="130">
        <f>+O26+P26</f>
        <v>378689.74619999999</v>
      </c>
      <c r="X27" s="283">
        <v>0</v>
      </c>
      <c r="Y27" s="160"/>
    </row>
    <row r="28" spans="1:40" x14ac:dyDescent="0.2">
      <c r="A28" s="187" t="s">
        <v>298</v>
      </c>
      <c r="F28" s="118"/>
      <c r="J28" s="179"/>
      <c r="V28" s="130"/>
      <c r="X28" s="117"/>
      <c r="Y28" s="160"/>
    </row>
    <row r="29" spans="1:40" ht="15" x14ac:dyDescent="0.2">
      <c r="A29" s="153"/>
      <c r="F29" s="118"/>
      <c r="J29" s="179"/>
      <c r="V29" s="130"/>
      <c r="X29" s="117"/>
      <c r="Y29" s="160"/>
    </row>
    <row r="30" spans="1:40" x14ac:dyDescent="0.2">
      <c r="A30" s="187"/>
      <c r="F30" s="118"/>
      <c r="J30" s="179"/>
      <c r="V30" s="130"/>
      <c r="X30" s="117"/>
      <c r="Y30" s="160"/>
    </row>
    <row r="31" spans="1:40" x14ac:dyDescent="0.2">
      <c r="F31" s="118"/>
      <c r="J31" s="179"/>
      <c r="V31" s="130"/>
      <c r="X31" s="117"/>
      <c r="Y31" s="160"/>
    </row>
    <row r="32" spans="1:40" x14ac:dyDescent="0.2">
      <c r="A32" s="187"/>
      <c r="F32" s="118"/>
      <c r="J32" s="179"/>
      <c r="V32" s="130"/>
      <c r="X32" s="117"/>
      <c r="Y32" s="160"/>
    </row>
    <row r="33" spans="1:25" x14ac:dyDescent="0.2">
      <c r="A33" s="187"/>
      <c r="F33" s="118"/>
      <c r="J33" s="179"/>
      <c r="O33" s="208"/>
      <c r="P33" s="208"/>
      <c r="V33" s="130"/>
      <c r="X33" s="117"/>
      <c r="Y33" s="160"/>
    </row>
    <row r="34" spans="1:25" ht="16.5" customHeight="1" x14ac:dyDescent="0.25">
      <c r="A34" s="317" t="s">
        <v>364</v>
      </c>
      <c r="B34" s="318"/>
      <c r="C34" s="318"/>
      <c r="D34" s="318"/>
      <c r="E34" s="318"/>
      <c r="F34" s="318"/>
      <c r="G34" s="318"/>
      <c r="H34" s="318"/>
      <c r="I34" s="318"/>
      <c r="J34" s="318"/>
      <c r="K34" s="318"/>
      <c r="L34" s="318"/>
      <c r="M34" s="318"/>
      <c r="N34" s="318"/>
      <c r="O34" s="318"/>
      <c r="P34" s="318"/>
      <c r="Q34" s="318"/>
      <c r="R34" s="319"/>
      <c r="V34" s="130"/>
      <c r="X34" s="117"/>
      <c r="Y34" s="160"/>
    </row>
    <row r="35" spans="1:25" x14ac:dyDescent="0.2">
      <c r="A35" s="116" t="s">
        <v>365</v>
      </c>
      <c r="F35" s="118"/>
      <c r="K35" s="179"/>
      <c r="N35" s="265"/>
      <c r="O35" s="265"/>
      <c r="Q35" s="208"/>
      <c r="R35" s="118"/>
      <c r="S35" s="119"/>
      <c r="V35" s="130"/>
      <c r="X35" s="117"/>
      <c r="Y35" s="160"/>
    </row>
    <row r="36" spans="1:25" x14ac:dyDescent="0.2">
      <c r="A36" s="116" t="s">
        <v>366</v>
      </c>
      <c r="D36" s="116" t="s">
        <v>370</v>
      </c>
      <c r="F36" s="118"/>
      <c r="K36" s="179"/>
      <c r="N36" s="265"/>
      <c r="O36" s="265"/>
      <c r="Q36" s="208"/>
      <c r="R36" s="118"/>
      <c r="V36" s="130"/>
      <c r="X36" s="117"/>
      <c r="Y36" s="160"/>
    </row>
    <row r="37" spans="1:25" x14ac:dyDescent="0.2">
      <c r="A37" s="116" t="s">
        <v>367</v>
      </c>
      <c r="D37" s="116" t="s">
        <v>324</v>
      </c>
      <c r="F37" s="118"/>
      <c r="K37" s="179"/>
      <c r="N37" s="265"/>
      <c r="O37" s="265"/>
      <c r="Q37" s="208"/>
      <c r="R37" s="118"/>
      <c r="V37" s="130"/>
      <c r="X37" s="117"/>
      <c r="Y37" s="160"/>
    </row>
    <row r="38" spans="1:25" x14ac:dyDescent="0.2">
      <c r="A38" s="116" t="s">
        <v>368</v>
      </c>
      <c r="D38" s="116" t="s">
        <v>371</v>
      </c>
      <c r="F38" s="118"/>
      <c r="K38" s="179"/>
      <c r="N38" s="265"/>
      <c r="O38" s="265"/>
      <c r="Q38" s="208"/>
      <c r="R38" s="118"/>
      <c r="V38" s="130"/>
      <c r="X38" s="117"/>
      <c r="Y38" s="160"/>
    </row>
    <row r="39" spans="1:25" x14ac:dyDescent="0.2">
      <c r="A39" s="116" t="s">
        <v>369</v>
      </c>
      <c r="D39" s="351" t="s">
        <v>435</v>
      </c>
      <c r="F39" s="118"/>
      <c r="K39" s="179"/>
      <c r="N39" s="265"/>
      <c r="O39" s="265"/>
      <c r="Q39" s="208"/>
      <c r="R39" s="118"/>
      <c r="V39" s="130"/>
      <c r="X39" s="117"/>
      <c r="Y39" s="160"/>
    </row>
    <row r="40" spans="1:25" x14ac:dyDescent="0.2">
      <c r="A40" s="187" t="s">
        <v>374</v>
      </c>
      <c r="D40" s="116" t="s">
        <v>375</v>
      </c>
      <c r="E40" s="213"/>
      <c r="F40" s="83"/>
      <c r="G40" s="83"/>
      <c r="H40" s="221"/>
      <c r="I40" s="83"/>
      <c r="J40" s="204"/>
      <c r="V40" s="130"/>
      <c r="X40" s="117"/>
      <c r="Y40" s="160"/>
    </row>
    <row r="41" spans="1:25" x14ac:dyDescent="0.2">
      <c r="A41" s="187"/>
      <c r="E41" s="213"/>
      <c r="F41" s="83"/>
      <c r="G41" s="83"/>
      <c r="H41" s="221"/>
      <c r="I41" s="83"/>
      <c r="J41" s="204"/>
      <c r="V41" s="130"/>
      <c r="X41" s="117"/>
      <c r="Y41" s="160"/>
    </row>
    <row r="42" spans="1:25" x14ac:dyDescent="0.2">
      <c r="A42" s="218"/>
      <c r="B42" s="119"/>
      <c r="C42" s="119"/>
      <c r="D42" s="203"/>
      <c r="E42" s="203"/>
      <c r="F42" s="203"/>
      <c r="G42" s="203"/>
      <c r="H42" s="121"/>
      <c r="I42" s="219"/>
      <c r="J42" s="217"/>
      <c r="K42" s="219"/>
      <c r="L42" s="203"/>
      <c r="M42" s="203"/>
      <c r="N42" s="121"/>
      <c r="O42" s="121"/>
      <c r="P42" s="121"/>
      <c r="Q42" s="121"/>
      <c r="R42" s="119"/>
      <c r="V42" s="130"/>
      <c r="X42" s="117"/>
      <c r="Y42" s="160"/>
    </row>
    <row r="43" spans="1:25" ht="16.5" customHeight="1" x14ac:dyDescent="0.25">
      <c r="A43" s="267" t="s">
        <v>311</v>
      </c>
      <c r="B43" s="267"/>
      <c r="C43" s="267"/>
      <c r="D43" s="267"/>
      <c r="E43" s="267"/>
      <c r="F43" s="267"/>
      <c r="G43" s="267"/>
      <c r="H43" s="267"/>
      <c r="I43" s="267"/>
      <c r="J43" s="267"/>
      <c r="K43" s="267"/>
      <c r="L43" s="267"/>
      <c r="M43" s="267"/>
      <c r="N43" s="267"/>
      <c r="O43" s="267"/>
      <c r="P43" s="267"/>
      <c r="Q43" s="267"/>
      <c r="V43" s="130"/>
      <c r="X43" s="117"/>
      <c r="Y43" s="160"/>
    </row>
    <row r="44" spans="1:25" ht="15.75" x14ac:dyDescent="0.25">
      <c r="A44" s="83" t="s">
        <v>312</v>
      </c>
      <c r="E44" s="83"/>
      <c r="F44" s="117"/>
      <c r="I44" s="216"/>
      <c r="J44" s="194"/>
      <c r="K44" s="194"/>
      <c r="L44" s="83"/>
      <c r="M44" s="83"/>
      <c r="S44" s="119"/>
      <c r="V44" s="130"/>
      <c r="X44" s="117"/>
      <c r="Y44" s="160"/>
    </row>
    <row r="45" spans="1:25" x14ac:dyDescent="0.2">
      <c r="A45" s="116" t="s">
        <v>313</v>
      </c>
      <c r="F45" s="117"/>
      <c r="J45" s="194"/>
      <c r="K45" s="194"/>
      <c r="L45" s="83"/>
      <c r="M45" s="83"/>
      <c r="V45" s="130"/>
      <c r="X45" s="117"/>
      <c r="Y45" s="160"/>
    </row>
    <row r="46" spans="1:25" x14ac:dyDescent="0.2">
      <c r="A46" s="116" t="s">
        <v>314</v>
      </c>
      <c r="G46" s="116"/>
      <c r="H46" s="117"/>
      <c r="J46" s="194"/>
      <c r="K46" s="194"/>
      <c r="L46" s="83"/>
      <c r="M46" s="83"/>
      <c r="T46" s="118"/>
      <c r="V46" s="118"/>
      <c r="X46" s="117"/>
    </row>
    <row r="47" spans="1:25" x14ac:dyDescent="0.2">
      <c r="A47" s="116" t="s">
        <v>315</v>
      </c>
      <c r="G47" s="116"/>
      <c r="H47" s="117"/>
      <c r="J47" s="194"/>
      <c r="K47" s="194"/>
      <c r="L47" s="83"/>
      <c r="M47" s="83"/>
      <c r="T47" s="118"/>
      <c r="V47" s="118"/>
      <c r="X47" s="117"/>
    </row>
    <row r="48" spans="1:25" x14ac:dyDescent="0.2">
      <c r="A48" s="116" t="s">
        <v>316</v>
      </c>
      <c r="F48" s="117"/>
      <c r="J48" s="194"/>
      <c r="K48" s="194"/>
      <c r="L48" s="83"/>
      <c r="M48" s="83"/>
      <c r="T48" s="118"/>
      <c r="V48" s="118"/>
      <c r="X48" s="117"/>
    </row>
    <row r="49" spans="1:24" x14ac:dyDescent="0.2">
      <c r="A49" s="116" t="s">
        <v>339</v>
      </c>
      <c r="F49" s="117"/>
      <c r="J49" s="194"/>
      <c r="K49" s="194"/>
      <c r="L49" s="83"/>
      <c r="M49" s="83"/>
      <c r="V49" s="118"/>
      <c r="X49" s="118"/>
    </row>
    <row r="50" spans="1:24" x14ac:dyDescent="0.2">
      <c r="A50" s="119" t="s">
        <v>317</v>
      </c>
      <c r="B50" s="119"/>
      <c r="C50" s="119"/>
      <c r="D50" s="119"/>
      <c r="E50" s="119"/>
      <c r="F50" s="120"/>
      <c r="G50" s="121"/>
      <c r="H50" s="121"/>
      <c r="I50" s="121"/>
      <c r="J50" s="217"/>
      <c r="K50" s="217"/>
      <c r="L50" s="203"/>
      <c r="M50" s="203"/>
      <c r="N50" s="121"/>
      <c r="O50" s="121"/>
      <c r="P50" s="121"/>
      <c r="Q50" s="121"/>
      <c r="R50" s="119"/>
    </row>
    <row r="51" spans="1:24" x14ac:dyDescent="0.2">
      <c r="F51" s="117"/>
      <c r="G51" s="118"/>
      <c r="J51" s="194"/>
      <c r="K51" s="194"/>
      <c r="L51" s="83"/>
      <c r="M51" s="83"/>
    </row>
    <row r="52" spans="1:24" ht="15.75" x14ac:dyDescent="0.25">
      <c r="F52" s="117"/>
      <c r="G52" s="264"/>
      <c r="J52" s="194"/>
      <c r="K52" s="194"/>
      <c r="L52" s="83"/>
      <c r="M52" s="83"/>
    </row>
    <row r="53" spans="1:24" ht="15" x14ac:dyDescent="0.25">
      <c r="A53" s="266" t="s">
        <v>378</v>
      </c>
      <c r="B53" s="267"/>
      <c r="C53" s="267"/>
      <c r="D53" s="267"/>
      <c r="E53" s="267"/>
      <c r="F53" s="267"/>
      <c r="G53" s="267"/>
      <c r="H53" s="267"/>
      <c r="I53" s="267"/>
      <c r="J53" s="267"/>
      <c r="K53" s="267"/>
      <c r="L53" s="267"/>
      <c r="M53" s="267"/>
      <c r="N53" s="267"/>
      <c r="O53" s="267"/>
      <c r="P53" s="267"/>
      <c r="Q53" s="267"/>
    </row>
    <row r="54" spans="1:24" x14ac:dyDescent="0.2">
      <c r="A54" s="282" t="s">
        <v>379</v>
      </c>
      <c r="E54" s="280"/>
      <c r="F54" s="118"/>
      <c r="G54" s="118"/>
      <c r="L54" s="83"/>
      <c r="M54" s="83"/>
    </row>
    <row r="55" spans="1:24" x14ac:dyDescent="0.2">
      <c r="A55" s="282"/>
      <c r="E55" s="280"/>
      <c r="F55" s="118"/>
      <c r="G55" s="118"/>
      <c r="L55" s="83"/>
      <c r="M55" s="83"/>
    </row>
    <row r="56" spans="1:24" x14ac:dyDescent="0.2">
      <c r="A56" s="83"/>
      <c r="B56" s="83"/>
      <c r="C56" s="83"/>
      <c r="D56" s="83"/>
      <c r="E56" s="83"/>
      <c r="F56" s="83"/>
      <c r="G56" s="83"/>
      <c r="H56" s="194"/>
      <c r="I56" s="194"/>
      <c r="J56" s="194"/>
      <c r="K56" s="194"/>
      <c r="L56" s="83"/>
      <c r="M56" s="83"/>
    </row>
    <row r="57" spans="1:24" ht="15" x14ac:dyDescent="0.25">
      <c r="A57" s="266" t="s">
        <v>380</v>
      </c>
      <c r="B57" s="267"/>
      <c r="C57" s="267"/>
      <c r="D57" s="267"/>
      <c r="E57" s="267"/>
      <c r="F57" s="267"/>
      <c r="G57" s="267"/>
      <c r="H57" s="267"/>
      <c r="I57" s="267"/>
      <c r="J57" s="267"/>
      <c r="K57" s="267"/>
      <c r="L57" s="267"/>
      <c r="M57" s="267"/>
      <c r="N57" s="267"/>
      <c r="O57" s="267"/>
      <c r="P57" s="267"/>
      <c r="Q57" s="267"/>
    </row>
    <row r="58" spans="1:24" x14ac:dyDescent="0.2">
      <c r="A58" s="281" t="s">
        <v>381</v>
      </c>
      <c r="B58" s="83"/>
      <c r="C58" s="83"/>
      <c r="D58" s="83"/>
      <c r="E58" s="83"/>
      <c r="F58" s="83"/>
      <c r="G58" s="83"/>
      <c r="H58" s="194"/>
      <c r="I58" s="194"/>
      <c r="J58" s="194"/>
      <c r="K58" s="194"/>
      <c r="L58" s="83"/>
      <c r="M58" s="83"/>
    </row>
    <row r="59" spans="1:24" x14ac:dyDescent="0.2">
      <c r="A59" s="83"/>
      <c r="B59" s="83"/>
      <c r="C59" s="83"/>
      <c r="D59" s="83"/>
      <c r="E59" s="83"/>
      <c r="F59" s="83"/>
      <c r="G59" s="83"/>
      <c r="H59" s="194"/>
      <c r="I59" s="194"/>
      <c r="J59" s="194"/>
      <c r="K59" s="194"/>
      <c r="L59" s="83"/>
      <c r="M59" s="83"/>
    </row>
    <row r="60" spans="1:24" x14ac:dyDescent="0.2">
      <c r="A60" s="83"/>
      <c r="B60" s="83"/>
      <c r="C60" s="83"/>
      <c r="D60" s="83"/>
      <c r="E60" s="83"/>
      <c r="F60" s="83"/>
      <c r="G60" s="83"/>
      <c r="H60" s="194"/>
      <c r="I60" s="194"/>
      <c r="J60" s="199"/>
      <c r="K60" s="194"/>
      <c r="L60" s="306"/>
      <c r="M60" s="306"/>
    </row>
    <row r="61" spans="1:24" ht="15" x14ac:dyDescent="0.25">
      <c r="A61" s="266" t="s">
        <v>390</v>
      </c>
      <c r="B61" s="267"/>
      <c r="C61" s="267"/>
      <c r="D61" s="267"/>
      <c r="E61" s="267"/>
      <c r="F61" s="267"/>
      <c r="G61" s="267"/>
      <c r="H61" s="267"/>
      <c r="I61" s="267"/>
      <c r="J61" s="267"/>
      <c r="K61" s="267"/>
      <c r="L61" s="267"/>
      <c r="M61" s="267"/>
      <c r="N61" s="267"/>
      <c r="O61" s="267"/>
      <c r="P61" s="267"/>
      <c r="Q61" s="267"/>
    </row>
    <row r="62" spans="1:24" ht="15.75" x14ac:dyDescent="0.25">
      <c r="A62" s="282" t="s">
        <v>391</v>
      </c>
      <c r="B62"/>
      <c r="C62"/>
      <c r="D62"/>
      <c r="E62"/>
      <c r="F62" s="287"/>
      <c r="G62" s="288"/>
      <c r="H62" s="216"/>
      <c r="I62" s="216"/>
      <c r="J62" s="216"/>
      <c r="K62" s="216"/>
      <c r="L62" s="216"/>
      <c r="M62" s="216"/>
    </row>
    <row r="63" spans="1:24" x14ac:dyDescent="0.2">
      <c r="A63" s="187" t="s">
        <v>398</v>
      </c>
      <c r="E63" s="289"/>
      <c r="F63" s="117"/>
      <c r="H63" s="117"/>
    </row>
    <row r="64" spans="1:24" x14ac:dyDescent="0.2">
      <c r="A64" s="290" t="s">
        <v>392</v>
      </c>
      <c r="E64" s="289"/>
      <c r="F64" s="117"/>
      <c r="H64" s="117"/>
    </row>
    <row r="65" spans="1:17" x14ac:dyDescent="0.2">
      <c r="A65" s="290"/>
      <c r="E65" s="289"/>
      <c r="F65" s="117"/>
      <c r="H65" s="117"/>
    </row>
    <row r="66" spans="1:17" x14ac:dyDescent="0.2">
      <c r="A66" s="116"/>
      <c r="E66" s="289"/>
      <c r="F66" s="117"/>
      <c r="H66" s="117"/>
    </row>
    <row r="67" spans="1:17" ht="15" x14ac:dyDescent="0.25">
      <c r="A67" s="266" t="s">
        <v>393</v>
      </c>
      <c r="B67" s="267"/>
      <c r="C67" s="267"/>
      <c r="D67" s="267"/>
      <c r="E67" s="267"/>
      <c r="F67" s="267"/>
      <c r="G67" s="267"/>
      <c r="H67" s="267"/>
      <c r="I67" s="267"/>
      <c r="J67" s="267"/>
      <c r="K67" s="267"/>
      <c r="L67" s="267"/>
      <c r="M67" s="267"/>
      <c r="N67" s="267"/>
      <c r="O67" s="267"/>
      <c r="P67" s="267"/>
      <c r="Q67" s="267"/>
    </row>
    <row r="68" spans="1:17" x14ac:dyDescent="0.2">
      <c r="A68" s="282" t="s">
        <v>426</v>
      </c>
      <c r="D68" s="126"/>
      <c r="E68" s="289"/>
      <c r="F68" s="117"/>
      <c r="H68" s="117"/>
    </row>
    <row r="69" spans="1:17" x14ac:dyDescent="0.2">
      <c r="A69" s="290" t="s">
        <v>392</v>
      </c>
      <c r="D69" s="118"/>
      <c r="E69" s="289"/>
      <c r="F69" s="117"/>
      <c r="H69" s="117"/>
    </row>
    <row r="70" spans="1:17" x14ac:dyDescent="0.2">
      <c r="D70" s="118"/>
      <c r="E70" s="118"/>
      <c r="F70" s="118"/>
    </row>
    <row r="107" spans="6:6" x14ac:dyDescent="0.2">
      <c r="F107" s="116">
        <v>110739.34</v>
      </c>
    </row>
    <row r="109" spans="6:6" x14ac:dyDescent="0.2">
      <c r="F109" s="277">
        <f>+SUELDO!I61-0.01</f>
        <v>138268.65949999995</v>
      </c>
    </row>
    <row r="110" spans="6:6" x14ac:dyDescent="0.2">
      <c r="F110" s="117">
        <f>+SUELDO!M61+6932*2+0.01</f>
        <v>213585.42149999997</v>
      </c>
    </row>
    <row r="111" spans="6:6" x14ac:dyDescent="0.2">
      <c r="F111" s="116">
        <f>+SUELDO!T61-0.01</f>
        <v>15363.175499999998</v>
      </c>
    </row>
  </sheetData>
  <autoFilter ref="A12:AE48" xr:uid="{6389D422-D06F-4661-9A82-7F2A98D20904}"/>
  <mergeCells count="7">
    <mergeCell ref="H1:I1"/>
    <mergeCell ref="L60:M60"/>
    <mergeCell ref="X11:Y11"/>
    <mergeCell ref="V11:W11"/>
    <mergeCell ref="A9:Q9"/>
    <mergeCell ref="A10:Q10"/>
    <mergeCell ref="A34:R34"/>
  </mergeCells>
  <phoneticPr fontId="0" type="noConversion"/>
  <hyperlinks>
    <hyperlink ref="AJ18" r:id="rId1" xr:uid="{A6E6C30C-EFAE-47F3-B621-21E4B8245A57}"/>
    <hyperlink ref="AJ15" r:id="rId2" xr:uid="{4B3B36D3-1532-428D-B5A9-9983983CE3BD}"/>
    <hyperlink ref="A54" r:id="rId3" xr:uid="{E6D5C3DF-3264-4FA2-8A21-91BC176B0A3E}"/>
  </hyperlinks>
  <pageMargins left="0.27559055118110237" right="0.11811023622047245" top="0.31496062992125984" bottom="0.98425196850393704" header="0" footer="0"/>
  <pageSetup paperSize="9" scale="69" orientation="portrait" r:id="rId4"/>
  <headerFooter alignWithMargins="0">
    <oddFooter>&amp;LAnte cualquier irregularidad podes llamar al 147, chatear en buenosaires.gob.ar/ba147 o escribirnos en facebook.com/badefensaconsumidor y @BAConsumidor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F3213-F708-4843-AF1C-221976B82C65}">
  <dimension ref="A2:Y80"/>
  <sheetViews>
    <sheetView workbookViewId="0">
      <selection activeCell="U10" sqref="U10"/>
    </sheetView>
  </sheetViews>
  <sheetFormatPr baseColWidth="10" defaultRowHeight="14.25" x14ac:dyDescent="0.2"/>
  <cols>
    <col min="1" max="1" width="8" style="116" customWidth="1"/>
    <col min="2" max="2" width="7.5703125" style="116" hidden="1" customWidth="1"/>
    <col min="3" max="3" width="31" style="116" customWidth="1"/>
    <col min="4" max="13" width="13.85546875" style="116" hidden="1" customWidth="1"/>
    <col min="14" max="19" width="13.85546875" style="116" customWidth="1"/>
    <col min="20" max="20" width="11.42578125" style="84"/>
    <col min="21" max="21" width="11.42578125" style="10"/>
    <col min="22" max="22" width="12.28515625" style="10" bestFit="1" customWidth="1"/>
    <col min="23" max="23" width="11.42578125" style="10"/>
  </cols>
  <sheetData>
    <row r="2" spans="1:25" ht="15" thickBot="1" x14ac:dyDescent="0.25"/>
    <row r="3" spans="1:25" ht="15.75" thickBot="1" x14ac:dyDescent="0.3">
      <c r="A3" s="158" t="s">
        <v>1</v>
      </c>
      <c r="B3" s="124" t="s">
        <v>2</v>
      </c>
      <c r="C3" s="123" t="s">
        <v>3</v>
      </c>
      <c r="D3" s="148">
        <v>39326</v>
      </c>
      <c r="E3" s="148">
        <v>39356</v>
      </c>
      <c r="F3" s="148">
        <v>39387</v>
      </c>
      <c r="G3" s="148">
        <v>39417</v>
      </c>
      <c r="H3" s="148">
        <v>39448</v>
      </c>
      <c r="I3" s="148">
        <v>39479</v>
      </c>
      <c r="J3" s="148">
        <v>39508</v>
      </c>
      <c r="K3" s="148">
        <v>39539</v>
      </c>
      <c r="L3" s="148">
        <v>39569</v>
      </c>
      <c r="M3" s="148">
        <v>39600</v>
      </c>
      <c r="N3" s="148">
        <v>45962</v>
      </c>
      <c r="O3" s="148">
        <v>45992</v>
      </c>
      <c r="P3" s="148">
        <v>46023</v>
      </c>
      <c r="Q3" s="148">
        <v>46054</v>
      </c>
      <c r="R3" s="148">
        <v>46082</v>
      </c>
      <c r="S3" s="148">
        <v>46113</v>
      </c>
      <c r="T3" s="127" t="s">
        <v>186</v>
      </c>
      <c r="U3" s="123" t="s">
        <v>38</v>
      </c>
      <c r="V3" s="123" t="s">
        <v>187</v>
      </c>
      <c r="W3" s="133"/>
    </row>
    <row r="4" spans="1:25" ht="15" x14ac:dyDescent="0.25">
      <c r="A4" s="115"/>
      <c r="B4" s="133"/>
      <c r="C4" s="133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7"/>
      <c r="U4" s="133"/>
      <c r="V4" s="133"/>
      <c r="W4" s="133"/>
    </row>
    <row r="5" spans="1:25" x14ac:dyDescent="0.2">
      <c r="A5" s="116">
        <v>1</v>
      </c>
      <c r="C5" s="116" t="str">
        <f>+'RES CUENTA'!D13</f>
        <v>DALLAVIA ALEJANDRO A.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W5" s="10">
        <f>+'RES CUENTA'!X13+'RES CUENTA'!Y13</f>
        <v>168188</v>
      </c>
      <c r="X5" s="10">
        <f>-'[2]RES CUENTA'!$O$13</f>
        <v>-123.22500000000001</v>
      </c>
      <c r="Y5" s="10">
        <f>+W5+X5</f>
        <v>168064.77499999999</v>
      </c>
    </row>
    <row r="6" spans="1:25" x14ac:dyDescent="0.2"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84">
        <v>0.05</v>
      </c>
      <c r="U6" s="10">
        <v>30</v>
      </c>
      <c r="V6" s="10">
        <f>+N6*T6/30*U6</f>
        <v>0</v>
      </c>
      <c r="X6" s="10"/>
      <c r="Y6" s="10"/>
    </row>
    <row r="7" spans="1:25" x14ac:dyDescent="0.2">
      <c r="D7" s="10"/>
      <c r="E7" s="10"/>
      <c r="F7" s="10"/>
      <c r="G7" s="10"/>
      <c r="H7" s="10"/>
      <c r="I7" s="10"/>
      <c r="J7" s="10"/>
      <c r="K7" s="10"/>
      <c r="L7" s="10"/>
      <c r="M7" s="10"/>
      <c r="N7"/>
      <c r="O7"/>
      <c r="P7"/>
      <c r="Q7"/>
      <c r="R7"/>
      <c r="S7"/>
      <c r="T7"/>
      <c r="U7"/>
      <c r="V7" s="10">
        <f>SUM(V6:V6)</f>
        <v>0</v>
      </c>
      <c r="X7" s="10"/>
      <c r="Y7" s="10"/>
    </row>
    <row r="8" spans="1:25" x14ac:dyDescent="0.2"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X8" s="10"/>
      <c r="Y8" s="10"/>
    </row>
    <row r="9" spans="1:25" x14ac:dyDescent="0.2">
      <c r="A9" s="116">
        <v>2</v>
      </c>
      <c r="C9" s="116" t="str">
        <f>+'RES CUENTA'!D14</f>
        <v>MBAZBAZ MARIELA L. Y OTRO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>
        <f>+'[3]RES CUENTA'!$N$14</f>
        <v>176224.068</v>
      </c>
      <c r="S9" s="10"/>
      <c r="T9" s="84">
        <v>0.05</v>
      </c>
      <c r="U9" s="10">
        <v>60</v>
      </c>
      <c r="V9" s="10">
        <f>+R9*T9/30*U9</f>
        <v>17622.406800000001</v>
      </c>
      <c r="W9" s="10">
        <f>+'RES CUENTA'!X14</f>
        <v>0</v>
      </c>
      <c r="X9" s="10">
        <f>-'[4]RES CUENTA'!$P$14</f>
        <v>-175423.2102</v>
      </c>
      <c r="Y9" s="10">
        <f>+W9+X9</f>
        <v>-175423.2102</v>
      </c>
    </row>
    <row r="10" spans="1:25" x14ac:dyDescent="0.2"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>
        <f>+'[1]RES CUENTA'!$N$14</f>
        <v>176224.068</v>
      </c>
      <c r="T10" s="84">
        <v>0.05</v>
      </c>
      <c r="U10" s="10">
        <v>30</v>
      </c>
      <c r="V10" s="10">
        <f>+S10*T10/30*U10</f>
        <v>8811.2034000000003</v>
      </c>
      <c r="X10" s="10"/>
      <c r="Y10" s="10"/>
    </row>
    <row r="11" spans="1:25" x14ac:dyDescent="0.2"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V11" s="10">
        <f>SUM(V9:V10)</f>
        <v>26433.610200000003</v>
      </c>
      <c r="X11" s="10"/>
      <c r="Y11" s="10"/>
    </row>
    <row r="12" spans="1:25" x14ac:dyDescent="0.2"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X12" s="10"/>
      <c r="Y12" s="10"/>
    </row>
    <row r="13" spans="1:25" x14ac:dyDescent="0.2">
      <c r="A13" s="116">
        <v>3</v>
      </c>
      <c r="C13" s="116" t="str">
        <f>+'RES CUENTA'!D15</f>
        <v>RIMASA S.A.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X13" s="10"/>
      <c r="Y13" s="10"/>
    </row>
    <row r="14" spans="1:25" x14ac:dyDescent="0.2"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X14" s="10"/>
      <c r="Y14" s="10"/>
    </row>
    <row r="15" spans="1:25" x14ac:dyDescent="0.2"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X15" s="10"/>
      <c r="Y15" s="10"/>
    </row>
    <row r="16" spans="1:25" x14ac:dyDescent="0.2"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84">
        <v>0.05</v>
      </c>
      <c r="U16" s="10">
        <v>30</v>
      </c>
      <c r="V16" s="10">
        <f>+Q16*T16/30*U16</f>
        <v>0</v>
      </c>
      <c r="X16" s="10"/>
      <c r="Y16" s="10"/>
    </row>
    <row r="17" spans="1:25" x14ac:dyDescent="0.2"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X17" s="10"/>
      <c r="Y17" s="10"/>
    </row>
    <row r="18" spans="1:25" x14ac:dyDescent="0.2">
      <c r="A18" s="116">
        <v>4</v>
      </c>
      <c r="C18" s="116" t="str">
        <f>+'RES CUENTA'!D16</f>
        <v>CANOPUS TRAVEL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84">
        <v>0.05</v>
      </c>
      <c r="U18" s="10">
        <v>30</v>
      </c>
      <c r="V18" s="10" t="e">
        <f>+#REF!*T18/30*U18</f>
        <v>#REF!</v>
      </c>
      <c r="X18" s="10"/>
      <c r="Y18" s="10"/>
    </row>
    <row r="19" spans="1:25" x14ac:dyDescent="0.2"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X19" s="10"/>
      <c r="Y19" s="10"/>
    </row>
    <row r="20" spans="1:25" x14ac:dyDescent="0.2">
      <c r="A20" s="116">
        <v>5</v>
      </c>
      <c r="C20" s="116" t="str">
        <f>+'RES CUENTA'!D17</f>
        <v>LASTIRI JORGE ANTONIO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84">
        <v>0.05</v>
      </c>
      <c r="U20" s="10">
        <v>30</v>
      </c>
      <c r="V20" s="10" t="e">
        <f>+#REF!*T20/30*U20</f>
        <v>#REF!</v>
      </c>
      <c r="X20" s="10"/>
      <c r="Y20" s="10"/>
    </row>
    <row r="21" spans="1:25" x14ac:dyDescent="0.2"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X21" s="10"/>
      <c r="Y21" s="10"/>
    </row>
    <row r="22" spans="1:25" x14ac:dyDescent="0.2">
      <c r="A22" s="116">
        <v>6</v>
      </c>
      <c r="C22" s="116" t="str">
        <f>+'RES CUENTA'!D18</f>
        <v>GASTALDI JOSE MARIA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84">
        <v>0.05</v>
      </c>
      <c r="U22" s="10">
        <v>60</v>
      </c>
      <c r="X22" s="10"/>
      <c r="Y22" s="10"/>
    </row>
    <row r="23" spans="1:25" x14ac:dyDescent="0.2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84">
        <v>0.05</v>
      </c>
      <c r="U23" s="10">
        <v>30</v>
      </c>
      <c r="V23" s="10">
        <f>+N23*T23/30*U23</f>
        <v>0</v>
      </c>
      <c r="X23" s="10"/>
      <c r="Y23" s="10"/>
    </row>
    <row r="24" spans="1:25" x14ac:dyDescent="0.2"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10">
        <f>+V23</f>
        <v>0</v>
      </c>
      <c r="X24" s="10"/>
      <c r="Y24" s="10"/>
    </row>
    <row r="25" spans="1:25" x14ac:dyDescent="0.2">
      <c r="A25" s="116">
        <v>7</v>
      </c>
      <c r="C25" s="116" t="str">
        <f>+'RES CUENTA'!D19</f>
        <v>ROCHERAY &amp; TESSI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84">
        <v>0.05</v>
      </c>
      <c r="U25" s="10">
        <v>30</v>
      </c>
      <c r="V25" s="10">
        <v>0</v>
      </c>
      <c r="X25" s="10"/>
      <c r="Y25" s="10"/>
    </row>
    <row r="26" spans="1:25" x14ac:dyDescent="0.2"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84">
        <v>0.05</v>
      </c>
      <c r="U26" s="10">
        <v>30</v>
      </c>
      <c r="V26" s="10" t="e">
        <f>+#REF!*T26*U26/30</f>
        <v>#REF!</v>
      </c>
      <c r="X26" s="10"/>
      <c r="Y26" s="10"/>
    </row>
    <row r="27" spans="1:25" x14ac:dyDescent="0.2"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V27" s="10" t="e">
        <f>SUM(V25:V26)</f>
        <v>#REF!</v>
      </c>
      <c r="X27" s="10"/>
      <c r="Y27" s="10"/>
    </row>
    <row r="28" spans="1:25" x14ac:dyDescent="0.2">
      <c r="A28" s="116">
        <v>8</v>
      </c>
      <c r="C28" s="116" t="str">
        <f>+'RES CUENTA'!D20</f>
        <v>LISOPRAWSKI SILVIO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84">
        <v>0.05</v>
      </c>
      <c r="U28" s="10">
        <v>30</v>
      </c>
      <c r="V28" s="10" t="e">
        <f>+#REF!*T28/30*U28</f>
        <v>#REF!</v>
      </c>
      <c r="X28" s="10"/>
      <c r="Y28" s="10"/>
    </row>
    <row r="29" spans="1:25" x14ac:dyDescent="0.2"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X29" s="10"/>
      <c r="Y29" s="10"/>
    </row>
    <row r="30" spans="1:25" x14ac:dyDescent="0.2">
      <c r="A30" s="116">
        <v>9</v>
      </c>
      <c r="C30" s="116" t="str">
        <f>+'RES CUENTA'!D21</f>
        <v>SUELOMAR S.A.</v>
      </c>
      <c r="N30" s="118"/>
      <c r="O30" s="118"/>
      <c r="P30" s="118"/>
      <c r="Q30" s="118"/>
      <c r="R30" s="118"/>
      <c r="S30" s="118"/>
      <c r="X30" s="10">
        <v>-424</v>
      </c>
      <c r="Y30" s="10">
        <f>+W30+X30</f>
        <v>-424</v>
      </c>
    </row>
    <row r="31" spans="1:25" x14ac:dyDescent="0.2">
      <c r="N31" s="118"/>
      <c r="O31" s="118"/>
      <c r="P31" s="118"/>
      <c r="Q31" s="118"/>
      <c r="R31" s="118"/>
      <c r="S31" s="118"/>
      <c r="X31" s="10"/>
      <c r="Y31" s="10">
        <v>-8482</v>
      </c>
    </row>
    <row r="32" spans="1:25" x14ac:dyDescent="0.2">
      <c r="N32" s="118"/>
      <c r="O32" s="118"/>
      <c r="P32" s="118"/>
      <c r="Q32" s="118"/>
      <c r="R32" s="118"/>
      <c r="S32" s="118"/>
      <c r="T32" s="84">
        <v>0.05</v>
      </c>
      <c r="U32" s="10">
        <v>60</v>
      </c>
      <c r="X32" s="10"/>
      <c r="Y32" s="10"/>
    </row>
    <row r="33" spans="1:25" x14ac:dyDescent="0.2">
      <c r="N33" s="118"/>
      <c r="O33" s="118"/>
      <c r="P33" s="118"/>
      <c r="Q33" s="118"/>
      <c r="R33" s="118"/>
      <c r="S33" s="118"/>
      <c r="T33" s="84">
        <v>0.05</v>
      </c>
      <c r="U33" s="10">
        <v>30</v>
      </c>
      <c r="V33" s="10" t="e">
        <f>+#REF!*T33/30*U33</f>
        <v>#REF!</v>
      </c>
      <c r="X33" s="10"/>
      <c r="Y33" s="10"/>
    </row>
    <row r="34" spans="1:25" x14ac:dyDescent="0.2">
      <c r="N34" s="118"/>
      <c r="O34" s="118"/>
      <c r="P34" s="118"/>
      <c r="Q34" s="118"/>
      <c r="R34" s="118"/>
      <c r="S34" s="118"/>
      <c r="V34" s="10" t="e">
        <f>SUM(V32:V33)</f>
        <v>#REF!</v>
      </c>
      <c r="X34" s="10"/>
    </row>
    <row r="35" spans="1:25" x14ac:dyDescent="0.2">
      <c r="N35" s="118"/>
      <c r="O35" s="118"/>
      <c r="P35" s="118"/>
      <c r="Q35" s="118"/>
      <c r="R35" s="118"/>
      <c r="S35" s="118"/>
      <c r="X35" s="10"/>
    </row>
    <row r="36" spans="1:25" x14ac:dyDescent="0.2">
      <c r="A36" s="116">
        <v>10</v>
      </c>
      <c r="C36" s="116" t="str">
        <f>+'RES CUENTA'!D22</f>
        <v>FEBOMAR SAICF</v>
      </c>
      <c r="N36" s="118"/>
      <c r="O36" s="118"/>
      <c r="P36" s="118"/>
      <c r="Q36" s="118"/>
      <c r="R36" s="118"/>
      <c r="S36" s="118"/>
      <c r="T36" s="84">
        <v>0.05</v>
      </c>
      <c r="W36" s="10">
        <f>+'RES CUENTA'!Y22</f>
        <v>0</v>
      </c>
      <c r="X36" s="10">
        <f>-'[5]RES CUENTA'!$O$22</f>
        <v>-1550.8740778801139</v>
      </c>
      <c r="Y36" s="10">
        <f>+W36+X36</f>
        <v>-1550.8740778801139</v>
      </c>
    </row>
    <row r="37" spans="1:25" x14ac:dyDescent="0.2">
      <c r="N37" s="118"/>
      <c r="O37" s="118"/>
      <c r="P37" s="118"/>
      <c r="Q37" s="118"/>
      <c r="R37" s="118"/>
      <c r="S37" s="118"/>
      <c r="T37" s="84">
        <v>0.05</v>
      </c>
      <c r="U37" s="10">
        <v>60</v>
      </c>
    </row>
    <row r="38" spans="1:25" x14ac:dyDescent="0.2">
      <c r="N38" s="118"/>
      <c r="O38" s="118"/>
      <c r="P38" s="118"/>
      <c r="Q38" s="118"/>
      <c r="R38" s="118"/>
      <c r="S38" s="118"/>
      <c r="T38" s="84">
        <v>0.05</v>
      </c>
      <c r="U38" s="10">
        <v>30</v>
      </c>
      <c r="V38" s="10" t="e">
        <f>+#REF!*T38/30*U38</f>
        <v>#REF!</v>
      </c>
    </row>
    <row r="39" spans="1:25" x14ac:dyDescent="0.2">
      <c r="V39" s="10" t="e">
        <f>SUM(V37:V38)</f>
        <v>#REF!</v>
      </c>
    </row>
    <row r="40" spans="1:25" x14ac:dyDescent="0.2">
      <c r="N40" s="118"/>
      <c r="O40" s="118"/>
      <c r="P40" s="118"/>
      <c r="Q40" s="118"/>
      <c r="R40" s="118"/>
      <c r="S40" s="118"/>
    </row>
    <row r="43" spans="1:25" x14ac:dyDescent="0.2">
      <c r="A43" s="116">
        <v>11</v>
      </c>
      <c r="C43" s="116" t="str">
        <f>+'RES CUENTA'!D23</f>
        <v>DICARLO DORA C.</v>
      </c>
      <c r="N43" s="118"/>
      <c r="O43" s="118"/>
      <c r="P43" s="118"/>
      <c r="Q43" s="118"/>
      <c r="R43" s="118"/>
      <c r="S43" s="118"/>
      <c r="W43" s="10">
        <f>+'RES CUENTA'!X23+'RES CUENTA'!Y23</f>
        <v>720808</v>
      </c>
      <c r="X43" s="10">
        <f>-'[6]RES CUENTA'!$P$23</f>
        <v>-189980.20132924436</v>
      </c>
      <c r="Y43" s="10">
        <f>+W43+X43</f>
        <v>530827.7986707557</v>
      </c>
    </row>
    <row r="44" spans="1:25" x14ac:dyDescent="0.2">
      <c r="N44" s="118"/>
      <c r="O44" s="118"/>
      <c r="P44" s="118"/>
      <c r="Q44" s="118"/>
      <c r="R44" s="118"/>
      <c r="S44" s="118"/>
      <c r="T44" s="84">
        <v>0.05</v>
      </c>
      <c r="U44" s="10">
        <v>60</v>
      </c>
      <c r="V44" s="10" t="e">
        <f>+#REF!*T44/30*U44</f>
        <v>#REF!</v>
      </c>
      <c r="X44" s="10"/>
      <c r="Y44" s="10">
        <f>-633267-633267</f>
        <v>-1266534</v>
      </c>
    </row>
    <row r="45" spans="1:25" x14ac:dyDescent="0.2">
      <c r="N45" s="118"/>
      <c r="O45" s="118"/>
      <c r="P45" s="118"/>
      <c r="Q45" s="118"/>
      <c r="R45" s="118"/>
      <c r="S45" s="118"/>
      <c r="T45" s="84">
        <v>0.05</v>
      </c>
      <c r="U45" s="10">
        <v>90</v>
      </c>
      <c r="V45" s="10" t="e">
        <f>+#REF!*T45/30*U45</f>
        <v>#REF!</v>
      </c>
      <c r="X45" s="10"/>
      <c r="Y45" s="10">
        <f>+Y43+Y44</f>
        <v>-735706.2013292443</v>
      </c>
    </row>
    <row r="46" spans="1:25" x14ac:dyDescent="0.2">
      <c r="N46" s="118"/>
      <c r="O46" s="118"/>
      <c r="P46" s="118"/>
      <c r="Q46" s="118"/>
      <c r="R46" s="118"/>
      <c r="S46" s="118"/>
      <c r="T46" s="84">
        <v>0.05</v>
      </c>
      <c r="U46" s="10">
        <v>60</v>
      </c>
      <c r="V46" s="10" t="e">
        <f>+#REF!*T46/30*U46</f>
        <v>#REF!</v>
      </c>
      <c r="X46" s="10"/>
      <c r="Y46" s="10"/>
    </row>
    <row r="47" spans="1:25" x14ac:dyDescent="0.2">
      <c r="N47" s="118"/>
      <c r="O47" s="118"/>
      <c r="P47" s="118"/>
      <c r="Q47" s="118"/>
      <c r="R47" s="118"/>
      <c r="S47" s="118"/>
      <c r="T47" s="84">
        <v>0.05</v>
      </c>
      <c r="U47" s="10">
        <v>30</v>
      </c>
      <c r="V47" s="10" t="e">
        <f>+#REF!*T47/30*U47</f>
        <v>#REF!</v>
      </c>
      <c r="X47" s="10"/>
      <c r="Y47" s="10"/>
    </row>
    <row r="48" spans="1:25" x14ac:dyDescent="0.2">
      <c r="N48" s="118"/>
      <c r="O48" s="118"/>
      <c r="P48" s="118"/>
      <c r="Q48" s="118"/>
      <c r="R48" s="118"/>
      <c r="S48" s="118"/>
      <c r="T48" s="84">
        <v>0.05</v>
      </c>
      <c r="U48" s="10">
        <v>30</v>
      </c>
      <c r="V48" s="10">
        <f>+P48*T48/30*U48</f>
        <v>0</v>
      </c>
      <c r="X48" s="10"/>
      <c r="Y48" s="10"/>
    </row>
    <row r="49" spans="1:25" x14ac:dyDescent="0.2">
      <c r="N49" s="118"/>
      <c r="O49" s="118"/>
      <c r="P49" s="118"/>
      <c r="Q49" s="118"/>
      <c r="R49" s="118"/>
      <c r="S49" s="118"/>
      <c r="V49" s="10" t="e">
        <f>SUM(V44:V48)</f>
        <v>#REF!</v>
      </c>
      <c r="X49" s="10"/>
      <c r="Y49" s="10"/>
    </row>
    <row r="51" spans="1:25" x14ac:dyDescent="0.2">
      <c r="A51" s="116">
        <v>12</v>
      </c>
      <c r="C51" s="116" t="str">
        <f>+'RES CUENTA'!D24</f>
        <v>DICARLO DORA C.</v>
      </c>
      <c r="N51" s="118"/>
      <c r="O51" s="118"/>
      <c r="P51" s="118"/>
      <c r="Q51" s="118"/>
      <c r="R51" s="118"/>
      <c r="S51" s="118"/>
      <c r="T51" s="84">
        <v>0.05</v>
      </c>
      <c r="U51" s="10">
        <v>30</v>
      </c>
      <c r="V51" s="10" t="e">
        <f>+#REF!*T51/30*U51</f>
        <v>#REF!</v>
      </c>
      <c r="W51" s="10">
        <f>+'RES CUENTA'!X24+'RES CUENTA'!Y24</f>
        <v>631019</v>
      </c>
      <c r="X51" s="10">
        <f>-'[7]RES CUENTA'!$P$24</f>
        <v>-48024.118694151126</v>
      </c>
      <c r="Y51" s="10">
        <f>+W51+X51</f>
        <v>582994.88130584883</v>
      </c>
    </row>
    <row r="52" spans="1:25" x14ac:dyDescent="0.2">
      <c r="N52" s="118"/>
      <c r="O52" s="118"/>
      <c r="P52" s="118"/>
      <c r="Q52" s="118"/>
      <c r="R52" s="118"/>
      <c r="S52" s="118"/>
      <c r="T52" s="84">
        <v>0.05</v>
      </c>
      <c r="U52" s="10">
        <v>30</v>
      </c>
      <c r="V52" s="10" t="e">
        <f>+#REF!*T52/30*U52</f>
        <v>#REF!</v>
      </c>
      <c r="X52" s="10"/>
      <c r="Y52" s="10">
        <v>-329464</v>
      </c>
    </row>
    <row r="53" spans="1:25" x14ac:dyDescent="0.2">
      <c r="N53" s="118"/>
      <c r="O53" s="118"/>
      <c r="P53" s="118"/>
      <c r="Q53" s="118"/>
      <c r="R53" s="118"/>
      <c r="S53" s="118"/>
      <c r="T53" s="84">
        <v>0.05</v>
      </c>
      <c r="U53" s="10">
        <v>30</v>
      </c>
      <c r="V53" s="10" t="e">
        <f>+#REF!*T53/30*U53</f>
        <v>#REF!</v>
      </c>
      <c r="X53" s="10"/>
      <c r="Y53" s="10">
        <f>+Y51+Y52</f>
        <v>253530.88130584883</v>
      </c>
    </row>
    <row r="54" spans="1:25" x14ac:dyDescent="0.2">
      <c r="N54" s="118"/>
      <c r="O54" s="118"/>
      <c r="P54" s="118"/>
      <c r="Q54" s="118"/>
      <c r="R54" s="118"/>
      <c r="S54" s="118"/>
      <c r="T54" s="84">
        <v>0.05</v>
      </c>
      <c r="U54" s="10">
        <v>30</v>
      </c>
      <c r="V54" s="10" t="e">
        <f>+#REF!*T54/30*U54</f>
        <v>#REF!</v>
      </c>
      <c r="X54" s="10"/>
      <c r="Y54" s="10"/>
    </row>
    <row r="55" spans="1:25" x14ac:dyDescent="0.2">
      <c r="N55" s="118"/>
      <c r="O55" s="118"/>
      <c r="P55" s="118"/>
      <c r="Q55" s="118"/>
      <c r="R55" s="118"/>
      <c r="S55" s="118"/>
      <c r="T55" s="84">
        <v>0.05</v>
      </c>
      <c r="U55" s="10">
        <v>60</v>
      </c>
      <c r="V55" s="10">
        <f>+N55*T55/30*U55</f>
        <v>0</v>
      </c>
      <c r="X55" s="10"/>
      <c r="Y55" s="10"/>
    </row>
    <row r="56" spans="1:25" x14ac:dyDescent="0.2">
      <c r="N56" s="118"/>
      <c r="O56" s="118"/>
      <c r="P56" s="118"/>
      <c r="Q56" s="118"/>
      <c r="R56" s="118"/>
      <c r="S56" s="118"/>
      <c r="T56" s="84">
        <v>0.05</v>
      </c>
      <c r="U56" s="10">
        <v>60</v>
      </c>
      <c r="V56" s="10">
        <f>+O56*T56/30*U56</f>
        <v>0</v>
      </c>
      <c r="X56" s="10"/>
      <c r="Y56" s="10"/>
    </row>
    <row r="57" spans="1:25" x14ac:dyDescent="0.2">
      <c r="N57" s="118"/>
      <c r="O57" s="118"/>
      <c r="P57" s="118"/>
      <c r="Q57" s="118"/>
      <c r="R57" s="118"/>
      <c r="S57" s="118"/>
      <c r="T57" s="84">
        <v>0.05</v>
      </c>
      <c r="U57" s="10">
        <v>30</v>
      </c>
      <c r="V57" s="10">
        <f>+P57*T57/30*U57</f>
        <v>0</v>
      </c>
      <c r="X57" s="10"/>
      <c r="Y57" s="10"/>
    </row>
    <row r="58" spans="1:25" x14ac:dyDescent="0.2">
      <c r="V58" s="10" t="e">
        <f>SUM(V51:V57)</f>
        <v>#REF!</v>
      </c>
      <c r="X58" s="10"/>
    </row>
    <row r="60" spans="1:25" x14ac:dyDescent="0.2">
      <c r="A60" s="116">
        <v>13</v>
      </c>
      <c r="C60" s="116" t="str">
        <f>+'RES CUENTA'!D25</f>
        <v>ORO 2999 S.A.</v>
      </c>
      <c r="N60" s="118"/>
      <c r="O60" s="118"/>
      <c r="P60" s="118"/>
      <c r="Q60" s="118"/>
      <c r="R60" s="118"/>
      <c r="S60" s="118"/>
      <c r="T60" s="84">
        <v>0.05</v>
      </c>
      <c r="U60" s="10">
        <v>60</v>
      </c>
    </row>
    <row r="61" spans="1:25" x14ac:dyDescent="0.2">
      <c r="N61" s="118"/>
      <c r="O61" s="118"/>
      <c r="P61" s="118"/>
      <c r="Q61" s="118"/>
      <c r="R61" s="118">
        <f>+'[3]RES CUENTA'!$N$25</f>
        <v>770690.63863041415</v>
      </c>
      <c r="S61" s="118"/>
      <c r="T61" s="84">
        <v>0.05</v>
      </c>
      <c r="U61" s="10">
        <v>30</v>
      </c>
      <c r="V61" s="10">
        <f>+R61*T61/30*U61</f>
        <v>38534.531931520709</v>
      </c>
    </row>
    <row r="62" spans="1:25" x14ac:dyDescent="0.2">
      <c r="N62" s="118"/>
      <c r="O62" s="118"/>
      <c r="P62" s="118"/>
      <c r="Q62" s="118"/>
      <c r="R62" s="118"/>
      <c r="S62" s="118"/>
      <c r="V62" s="10">
        <f>SUM(V60:V61)</f>
        <v>38534.531931520709</v>
      </c>
      <c r="X62" s="10"/>
      <c r="Y62" s="10"/>
    </row>
    <row r="63" spans="1:25" x14ac:dyDescent="0.2">
      <c r="N63" s="118"/>
      <c r="O63" s="118"/>
      <c r="P63" s="118"/>
      <c r="Q63" s="118"/>
      <c r="R63" s="118"/>
      <c r="S63" s="118"/>
    </row>
    <row r="64" spans="1:25" x14ac:dyDescent="0.2">
      <c r="N64" s="118"/>
      <c r="O64" s="118"/>
      <c r="P64" s="118"/>
      <c r="Q64" s="118"/>
      <c r="R64" s="118"/>
      <c r="S64" s="118"/>
    </row>
    <row r="65" spans="14:25" x14ac:dyDescent="0.2">
      <c r="N65" s="118"/>
      <c r="O65" s="118"/>
      <c r="P65" s="118"/>
      <c r="Q65" s="118"/>
      <c r="R65" s="118"/>
      <c r="S65" s="118"/>
    </row>
    <row r="67" spans="14:25" x14ac:dyDescent="0.2">
      <c r="N67" s="118"/>
      <c r="O67" s="118"/>
      <c r="P67" s="118"/>
      <c r="Q67" s="118"/>
      <c r="R67" s="118"/>
      <c r="S67" s="118"/>
    </row>
    <row r="68" spans="14:25" x14ac:dyDescent="0.2">
      <c r="N68" s="118"/>
      <c r="O68" s="118"/>
      <c r="P68" s="118"/>
      <c r="Q68" s="118"/>
      <c r="R68" s="118"/>
      <c r="S68" s="118"/>
      <c r="Y68" s="10"/>
    </row>
    <row r="69" spans="14:25" x14ac:dyDescent="0.2">
      <c r="N69" s="118"/>
      <c r="O69" s="118"/>
      <c r="P69" s="118"/>
      <c r="Q69" s="118"/>
      <c r="R69" s="118"/>
      <c r="S69" s="118"/>
      <c r="Y69" s="10"/>
    </row>
    <row r="70" spans="14:25" x14ac:dyDescent="0.2">
      <c r="N70" s="118"/>
      <c r="O70" s="118"/>
      <c r="P70" s="118"/>
      <c r="Q70" s="118"/>
      <c r="R70" s="118"/>
      <c r="S70" s="118"/>
      <c r="Y70" s="10"/>
    </row>
    <row r="71" spans="14:25" x14ac:dyDescent="0.2">
      <c r="N71" s="118"/>
      <c r="O71" s="118"/>
      <c r="P71" s="118"/>
      <c r="Q71" s="118"/>
      <c r="R71" s="118"/>
      <c r="S71" s="118"/>
      <c r="Y71" s="10"/>
    </row>
    <row r="72" spans="14:25" x14ac:dyDescent="0.2">
      <c r="N72" s="118"/>
      <c r="O72" s="118"/>
      <c r="P72" s="118"/>
      <c r="Q72" s="118"/>
      <c r="R72" s="118"/>
      <c r="S72" s="118"/>
      <c r="Y72" s="10"/>
    </row>
    <row r="73" spans="14:25" x14ac:dyDescent="0.2">
      <c r="N73" s="118"/>
      <c r="O73" s="118"/>
      <c r="P73" s="118"/>
      <c r="Q73" s="118"/>
      <c r="R73" s="118"/>
      <c r="S73" s="118"/>
      <c r="Y73" s="10"/>
    </row>
    <row r="74" spans="14:25" x14ac:dyDescent="0.2">
      <c r="N74" s="118"/>
      <c r="O74" s="118"/>
      <c r="P74" s="118"/>
      <c r="Q74" s="118"/>
      <c r="R74" s="118"/>
      <c r="S74" s="118"/>
    </row>
    <row r="75" spans="14:25" x14ac:dyDescent="0.2">
      <c r="N75" s="118"/>
      <c r="O75" s="118"/>
      <c r="P75" s="118"/>
      <c r="Q75" s="118"/>
      <c r="R75" s="118"/>
      <c r="S75" s="118"/>
    </row>
    <row r="76" spans="14:25" x14ac:dyDescent="0.2">
      <c r="N76" s="118"/>
      <c r="O76" s="118"/>
      <c r="P76" s="118"/>
      <c r="Q76" s="118"/>
      <c r="R76" s="118"/>
      <c r="S76" s="118"/>
    </row>
    <row r="77" spans="14:25" x14ac:dyDescent="0.2">
      <c r="N77" s="118"/>
      <c r="O77" s="118"/>
      <c r="P77" s="118"/>
      <c r="Q77" s="118"/>
      <c r="R77" s="118"/>
      <c r="S77" s="118"/>
    </row>
    <row r="78" spans="14:25" x14ac:dyDescent="0.2">
      <c r="N78" s="118"/>
      <c r="O78" s="118"/>
      <c r="P78" s="118"/>
      <c r="Q78" s="118"/>
      <c r="R78" s="118"/>
      <c r="S78" s="118"/>
    </row>
    <row r="79" spans="14:25" x14ac:dyDescent="0.2">
      <c r="N79" s="118"/>
      <c r="O79" s="118"/>
      <c r="P79" s="118"/>
      <c r="Q79" s="118"/>
      <c r="R79" s="118"/>
      <c r="S79" s="118"/>
    </row>
    <row r="80" spans="14:25" x14ac:dyDescent="0.2">
      <c r="N80" s="118"/>
      <c r="O80" s="118"/>
      <c r="P80" s="118"/>
      <c r="Q80" s="118"/>
      <c r="R80" s="118"/>
      <c r="S80" s="118"/>
    </row>
  </sheetData>
  <phoneticPr fontId="0" type="noConversion"/>
  <pageMargins left="0.75" right="0.75" top="1" bottom="1" header="0" footer="0"/>
  <pageSetup paperSize="9" orientation="portrait" horizontalDpi="0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B5C73-9141-4565-BCAA-A0D712D2AD09}">
  <dimension ref="A1:T68"/>
  <sheetViews>
    <sheetView topLeftCell="F49" zoomScaleNormal="100" workbookViewId="0">
      <selection activeCell="N56" sqref="N56"/>
    </sheetView>
  </sheetViews>
  <sheetFormatPr baseColWidth="10" defaultRowHeight="12.75" x14ac:dyDescent="0.2"/>
  <cols>
    <col min="1" max="1" width="14.85546875" customWidth="1"/>
    <col min="3" max="3" width="8.140625" customWidth="1"/>
    <col min="4" max="4" width="21.42578125" customWidth="1"/>
    <col min="5" max="5" width="12.28515625" customWidth="1"/>
    <col min="6" max="6" width="15.28515625" customWidth="1"/>
    <col min="7" max="7" width="15.7109375" customWidth="1"/>
    <col min="13" max="13" width="11.42578125" style="84"/>
    <col min="14" max="14" width="12.85546875" customWidth="1"/>
    <col min="17" max="19" width="11.42578125" style="84"/>
  </cols>
  <sheetData>
    <row r="1" spans="1:15" x14ac:dyDescent="0.2">
      <c r="A1" s="16"/>
      <c r="B1" s="12"/>
      <c r="C1" s="12"/>
      <c r="D1" s="12"/>
      <c r="E1" s="12"/>
      <c r="F1" s="12"/>
      <c r="G1" s="17"/>
    </row>
    <row r="2" spans="1:15" ht="14.25" x14ac:dyDescent="0.2">
      <c r="A2" s="41" t="s">
        <v>59</v>
      </c>
      <c r="B2" s="18"/>
      <c r="C2" s="18"/>
      <c r="D2" s="18"/>
      <c r="E2" s="19"/>
      <c r="F2" s="18" t="s">
        <v>60</v>
      </c>
      <c r="G2" s="42"/>
    </row>
    <row r="3" spans="1:15" x14ac:dyDescent="0.2">
      <c r="A3" s="43" t="s">
        <v>75</v>
      </c>
      <c r="E3" s="6"/>
      <c r="F3" t="s">
        <v>19</v>
      </c>
      <c r="G3" s="13"/>
    </row>
    <row r="4" spans="1:15" ht="14.25" x14ac:dyDescent="0.2">
      <c r="A4" s="43"/>
      <c r="B4" s="320" t="s">
        <v>65</v>
      </c>
      <c r="C4" s="320"/>
      <c r="D4" s="320"/>
      <c r="E4" s="6"/>
      <c r="F4" s="20" t="s">
        <v>61</v>
      </c>
      <c r="G4" s="13"/>
    </row>
    <row r="5" spans="1:15" x14ac:dyDescent="0.2">
      <c r="A5" s="44" t="s">
        <v>20</v>
      </c>
      <c r="B5" s="321" t="s">
        <v>21</v>
      </c>
      <c r="C5" s="322"/>
      <c r="D5" s="322"/>
      <c r="E5" s="9"/>
      <c r="F5" s="9" t="s">
        <v>22</v>
      </c>
      <c r="G5" s="45" t="s">
        <v>23</v>
      </c>
    </row>
    <row r="6" spans="1:15" ht="14.25" x14ac:dyDescent="0.2">
      <c r="A6" s="46">
        <v>37653</v>
      </c>
      <c r="B6" s="323" t="s">
        <v>62</v>
      </c>
      <c r="C6" s="324"/>
      <c r="D6" s="324"/>
      <c r="E6" s="19"/>
      <c r="F6" s="22" t="s">
        <v>24</v>
      </c>
      <c r="G6" s="47">
        <v>1</v>
      </c>
    </row>
    <row r="7" spans="1:15" x14ac:dyDescent="0.2">
      <c r="A7" s="48" t="s">
        <v>25</v>
      </c>
      <c r="B7" s="321" t="s">
        <v>26</v>
      </c>
      <c r="C7" s="322"/>
      <c r="D7" s="325"/>
      <c r="E7" s="23" t="s">
        <v>27</v>
      </c>
      <c r="F7" s="23" t="s">
        <v>28</v>
      </c>
      <c r="G7" s="13" t="s">
        <v>29</v>
      </c>
    </row>
    <row r="8" spans="1:15" ht="14.25" x14ac:dyDescent="0.2">
      <c r="A8" s="49" t="s">
        <v>73</v>
      </c>
      <c r="B8" s="329" t="s">
        <v>79</v>
      </c>
      <c r="C8" s="330"/>
      <c r="D8" s="331"/>
      <c r="E8" s="25">
        <v>37687</v>
      </c>
      <c r="F8" s="24" t="s">
        <v>30</v>
      </c>
      <c r="G8" s="50">
        <v>37518</v>
      </c>
    </row>
    <row r="9" spans="1:15" x14ac:dyDescent="0.2">
      <c r="A9" s="332" t="s">
        <v>31</v>
      </c>
      <c r="B9" s="333"/>
      <c r="C9" s="333"/>
      <c r="D9" s="333"/>
      <c r="E9" s="9" t="s">
        <v>32</v>
      </c>
      <c r="F9" s="23" t="s">
        <v>33</v>
      </c>
      <c r="G9" s="51" t="s">
        <v>34</v>
      </c>
    </row>
    <row r="10" spans="1:15" x14ac:dyDescent="0.2">
      <c r="A10" s="43"/>
      <c r="E10" s="6"/>
      <c r="F10" s="26"/>
      <c r="G10" s="52"/>
    </row>
    <row r="11" spans="1:15" x14ac:dyDescent="0.2">
      <c r="A11" s="43" t="s">
        <v>35</v>
      </c>
      <c r="E11" s="6"/>
      <c r="F11" s="27">
        <f>374.4</f>
        <v>374.4</v>
      </c>
      <c r="G11" s="52"/>
      <c r="I11" t="s">
        <v>36</v>
      </c>
    </row>
    <row r="12" spans="1:15" ht="15" x14ac:dyDescent="0.25">
      <c r="A12" s="43" t="s">
        <v>37</v>
      </c>
      <c r="E12" s="6">
        <v>15</v>
      </c>
      <c r="F12" s="28">
        <f>+E12*1.26</f>
        <v>18.899999999999999</v>
      </c>
      <c r="G12" s="52"/>
      <c r="I12" s="30">
        <v>6</v>
      </c>
    </row>
    <row r="13" spans="1:15" ht="15" x14ac:dyDescent="0.25">
      <c r="A13" s="43" t="s">
        <v>63</v>
      </c>
      <c r="E13" s="6"/>
      <c r="F13" s="28">
        <f>16.98</f>
        <v>16.98</v>
      </c>
      <c r="G13" s="52"/>
      <c r="I13" s="30">
        <v>5</v>
      </c>
      <c r="J13" t="s">
        <v>38</v>
      </c>
    </row>
    <row r="14" spans="1:15" ht="15" x14ac:dyDescent="0.25">
      <c r="A14" s="43" t="s">
        <v>64</v>
      </c>
      <c r="E14" s="6"/>
      <c r="F14" s="28">
        <f>16.98</f>
        <v>16.98</v>
      </c>
      <c r="G14" s="52"/>
      <c r="I14" s="30">
        <f>+I12*I13</f>
        <v>30</v>
      </c>
    </row>
    <row r="15" spans="1:15" ht="15" x14ac:dyDescent="0.25">
      <c r="A15" s="43" t="s">
        <v>74</v>
      </c>
      <c r="E15" s="6"/>
      <c r="F15" s="28">
        <v>150</v>
      </c>
      <c r="G15" s="52"/>
      <c r="I15" s="80" t="s">
        <v>66</v>
      </c>
      <c r="J15" s="73"/>
      <c r="K15" s="4"/>
      <c r="L15" s="9"/>
      <c r="O15" s="3">
        <f>+H17+109.74</f>
        <v>1832.43</v>
      </c>
    </row>
    <row r="16" spans="1:15" ht="15" x14ac:dyDescent="0.25">
      <c r="A16" s="43" t="s">
        <v>39</v>
      </c>
      <c r="C16" s="3">
        <v>7</v>
      </c>
      <c r="D16" t="s">
        <v>18</v>
      </c>
      <c r="E16" s="6"/>
      <c r="F16" s="29" t="s">
        <v>40</v>
      </c>
      <c r="G16" s="53">
        <f t="shared" ref="G16:G21" si="0">+$H$17*C16/100</f>
        <v>120.5883</v>
      </c>
      <c r="H16" s="3"/>
      <c r="I16" s="74" t="s">
        <v>67</v>
      </c>
      <c r="J16" s="75"/>
      <c r="K16">
        <v>1</v>
      </c>
      <c r="L16" s="78">
        <f>427.26/30*1</f>
        <v>14.241999999999999</v>
      </c>
    </row>
    <row r="17" spans="1:12" ht="15" x14ac:dyDescent="0.25">
      <c r="A17" s="43" t="s">
        <v>41</v>
      </c>
      <c r="C17" s="3">
        <v>3</v>
      </c>
      <c r="D17" t="s">
        <v>18</v>
      </c>
      <c r="E17" s="6"/>
      <c r="F17" s="29" t="s">
        <v>40</v>
      </c>
      <c r="G17" s="53">
        <f t="shared" si="0"/>
        <v>51.680699999999995</v>
      </c>
      <c r="H17" s="3">
        <f>895.36+727.33+100</f>
        <v>1722.69</v>
      </c>
      <c r="I17" s="74" t="s">
        <v>68</v>
      </c>
      <c r="J17" s="75"/>
      <c r="K17">
        <v>24</v>
      </c>
      <c r="L17" s="79">
        <f>427.26/200*2*24</f>
        <v>102.54239999999999</v>
      </c>
    </row>
    <row r="18" spans="1:12" x14ac:dyDescent="0.2">
      <c r="A18" s="43" t="s">
        <v>42</v>
      </c>
      <c r="C18" s="3">
        <v>2.7</v>
      </c>
      <c r="D18" t="s">
        <v>18</v>
      </c>
      <c r="E18" s="6"/>
      <c r="F18" s="29" t="s">
        <v>40</v>
      </c>
      <c r="G18" s="53">
        <f t="shared" si="0"/>
        <v>46.512630000000009</v>
      </c>
      <c r="H18" s="3"/>
      <c r="I18" s="76"/>
      <c r="J18" s="75"/>
      <c r="L18" s="78">
        <f>+L16+L17</f>
        <v>116.78439999999999</v>
      </c>
    </row>
    <row r="19" spans="1:12" x14ac:dyDescent="0.2">
      <c r="A19" s="43" t="s">
        <v>43</v>
      </c>
      <c r="C19" s="3">
        <v>0.3</v>
      </c>
      <c r="D19" t="s">
        <v>18</v>
      </c>
      <c r="E19" s="6"/>
      <c r="F19" s="29" t="s">
        <v>40</v>
      </c>
      <c r="G19" s="53">
        <f t="shared" si="0"/>
        <v>5.1680700000000002</v>
      </c>
      <c r="H19" s="3">
        <f>SUM(G16:G19)</f>
        <v>223.94970000000001</v>
      </c>
      <c r="I19" s="76"/>
      <c r="J19" s="75"/>
      <c r="L19" s="78"/>
    </row>
    <row r="20" spans="1:12" ht="15" x14ac:dyDescent="0.25">
      <c r="A20" s="43" t="s">
        <v>44</v>
      </c>
      <c r="C20" s="3">
        <v>2</v>
      </c>
      <c r="D20" t="s">
        <v>18</v>
      </c>
      <c r="E20" s="6"/>
      <c r="F20" s="29" t="s">
        <v>40</v>
      </c>
      <c r="G20" s="53">
        <f t="shared" si="0"/>
        <v>34.453800000000001</v>
      </c>
      <c r="H20">
        <f>59.38+8.76+25.92+5.2+3.5+31.53</f>
        <v>134.29000000000002</v>
      </c>
      <c r="I20" s="74" t="s">
        <v>69</v>
      </c>
      <c r="J20" s="75"/>
      <c r="L20" s="78"/>
    </row>
    <row r="21" spans="1:12" ht="15" x14ac:dyDescent="0.25">
      <c r="A21" s="43" t="s">
        <v>45</v>
      </c>
      <c r="C21" s="3">
        <v>1</v>
      </c>
      <c r="D21" t="s">
        <v>18</v>
      </c>
      <c r="E21" s="6"/>
      <c r="F21" s="29" t="s">
        <v>40</v>
      </c>
      <c r="G21" s="53">
        <f t="shared" si="0"/>
        <v>17.226900000000001</v>
      </c>
      <c r="H21">
        <f>134.29/583.86</f>
        <v>0.23000376802658171</v>
      </c>
      <c r="I21" s="74" t="s">
        <v>67</v>
      </c>
      <c r="J21" s="75"/>
      <c r="K21">
        <v>2.5</v>
      </c>
      <c r="L21" s="78">
        <f>427.26/30*2.5</f>
        <v>35.604999999999997</v>
      </c>
    </row>
    <row r="22" spans="1:12" x14ac:dyDescent="0.2">
      <c r="A22" s="54"/>
      <c r="B22" s="2"/>
      <c r="C22" s="2"/>
      <c r="D22" s="2"/>
      <c r="E22" s="8"/>
      <c r="F22" s="31"/>
      <c r="G22" s="55"/>
      <c r="H22">
        <f>+H21*H17</f>
        <v>396.22519114171206</v>
      </c>
      <c r="I22" s="77" t="s">
        <v>68</v>
      </c>
      <c r="J22" s="75"/>
      <c r="K22">
        <v>40</v>
      </c>
      <c r="L22" s="79">
        <f>427.26/200*2*40</f>
        <v>170.904</v>
      </c>
    </row>
    <row r="23" spans="1:12" ht="14.25" x14ac:dyDescent="0.2">
      <c r="A23" s="43"/>
      <c r="D23" s="32" t="s">
        <v>46</v>
      </c>
      <c r="E23" s="4"/>
      <c r="F23" s="35">
        <f>SUM(F11:F22)</f>
        <v>577.26</v>
      </c>
      <c r="G23" s="58"/>
      <c r="H23" s="3">
        <f>+H22+H19</f>
        <v>620.17489114171212</v>
      </c>
      <c r="I23" s="5"/>
      <c r="L23" s="6"/>
    </row>
    <row r="24" spans="1:12" ht="14.25" x14ac:dyDescent="0.2">
      <c r="A24" s="43"/>
      <c r="D24" s="33" t="s">
        <v>47</v>
      </c>
      <c r="E24" s="34"/>
      <c r="F24" s="21" t="s">
        <v>40</v>
      </c>
      <c r="G24" s="61">
        <f>SUM(G16:G22)</f>
        <v>275.63040000000001</v>
      </c>
      <c r="I24" s="7"/>
      <c r="J24" s="2"/>
      <c r="K24" s="2"/>
      <c r="L24" s="8"/>
    </row>
    <row r="25" spans="1:12" ht="14.25" x14ac:dyDescent="0.2">
      <c r="A25" s="43"/>
      <c r="D25" s="33" t="s">
        <v>48</v>
      </c>
      <c r="E25" s="34"/>
      <c r="F25" s="21" t="s">
        <v>40</v>
      </c>
      <c r="G25" s="61">
        <f>+F23-G24</f>
        <v>301.62959999999998</v>
      </c>
      <c r="I25" s="3"/>
    </row>
    <row r="26" spans="1:12" ht="14.25" x14ac:dyDescent="0.2">
      <c r="A26" s="43"/>
      <c r="D26" s="33" t="s">
        <v>49</v>
      </c>
      <c r="E26" s="34"/>
      <c r="F26" s="21" t="s">
        <v>40</v>
      </c>
      <c r="G26" s="61">
        <f>ROUND(G25,0)</f>
        <v>302</v>
      </c>
      <c r="H26" s="3"/>
    </row>
    <row r="27" spans="1:12" ht="14.25" x14ac:dyDescent="0.2">
      <c r="A27" s="54"/>
      <c r="B27" s="2"/>
      <c r="C27" s="8"/>
      <c r="D27" s="36" t="s">
        <v>50</v>
      </c>
      <c r="E27" s="37"/>
      <c r="F27" s="37"/>
      <c r="G27" s="64"/>
    </row>
    <row r="28" spans="1:12" ht="14.25" x14ac:dyDescent="0.2">
      <c r="A28" s="326" t="s">
        <v>51</v>
      </c>
      <c r="B28" s="327"/>
      <c r="C28" s="328"/>
      <c r="D28" s="38" t="s">
        <v>78</v>
      </c>
      <c r="E28" s="39"/>
      <c r="F28" s="40"/>
      <c r="G28" s="66"/>
    </row>
    <row r="29" spans="1:12" x14ac:dyDescent="0.2">
      <c r="A29" s="44" t="s">
        <v>52</v>
      </c>
      <c r="B29" s="4"/>
      <c r="C29" s="4"/>
      <c r="D29" s="4"/>
      <c r="E29" s="4"/>
      <c r="F29" s="4"/>
      <c r="G29" s="45"/>
    </row>
    <row r="30" spans="1:12" ht="13.5" thickBot="1" x14ac:dyDescent="0.25">
      <c r="A30" s="70" t="s">
        <v>53</v>
      </c>
      <c r="B30" s="14"/>
      <c r="C30" s="14"/>
      <c r="D30" s="14"/>
      <c r="E30" s="14"/>
      <c r="F30" s="14"/>
      <c r="G30" s="15"/>
    </row>
    <row r="33" spans="1:7" ht="13.5" thickBot="1" x14ac:dyDescent="0.25"/>
    <row r="34" spans="1:7" x14ac:dyDescent="0.2">
      <c r="A34" s="16"/>
      <c r="B34" s="12"/>
      <c r="C34" s="12"/>
      <c r="D34" s="12"/>
      <c r="E34" s="12"/>
      <c r="F34" s="12"/>
      <c r="G34" s="17"/>
    </row>
    <row r="35" spans="1:7" ht="14.25" x14ac:dyDescent="0.2">
      <c r="A35" s="41" t="s">
        <v>59</v>
      </c>
      <c r="B35" s="18"/>
      <c r="C35" s="18"/>
      <c r="D35" s="18"/>
      <c r="E35" s="19"/>
      <c r="F35" s="18" t="s">
        <v>60</v>
      </c>
      <c r="G35" s="42"/>
    </row>
    <row r="36" spans="1:7" x14ac:dyDescent="0.2">
      <c r="A36" s="43" t="s">
        <v>75</v>
      </c>
      <c r="E36" s="6"/>
      <c r="F36" t="s">
        <v>77</v>
      </c>
      <c r="G36" s="13"/>
    </row>
    <row r="37" spans="1:7" ht="14.25" x14ac:dyDescent="0.2">
      <c r="A37" s="43"/>
      <c r="B37" s="334" t="s">
        <v>65</v>
      </c>
      <c r="C37" s="334"/>
      <c r="D37" s="334"/>
      <c r="E37" s="6"/>
      <c r="F37" s="20" t="s">
        <v>61</v>
      </c>
      <c r="G37" s="13"/>
    </row>
    <row r="38" spans="1:7" x14ac:dyDescent="0.2">
      <c r="A38" s="44" t="s">
        <v>20</v>
      </c>
      <c r="B38" s="321" t="s">
        <v>21</v>
      </c>
      <c r="C38" s="322"/>
      <c r="D38" s="322"/>
      <c r="E38" s="9"/>
      <c r="F38" s="9" t="s">
        <v>22</v>
      </c>
      <c r="G38" s="45" t="s">
        <v>23</v>
      </c>
    </row>
    <row r="39" spans="1:7" ht="14.25" x14ac:dyDescent="0.2">
      <c r="A39" s="46">
        <f>+A6</f>
        <v>37653</v>
      </c>
      <c r="B39" s="323" t="s">
        <v>62</v>
      </c>
      <c r="C39" s="324"/>
      <c r="D39" s="324"/>
      <c r="E39" s="19"/>
      <c r="F39" s="22" t="s">
        <v>24</v>
      </c>
      <c r="G39" s="47">
        <v>1</v>
      </c>
    </row>
    <row r="40" spans="1:7" x14ac:dyDescent="0.2">
      <c r="A40" s="48" t="s">
        <v>25</v>
      </c>
      <c r="B40" s="321" t="s">
        <v>26</v>
      </c>
      <c r="C40" s="322"/>
      <c r="D40" s="325"/>
      <c r="E40" s="23" t="s">
        <v>27</v>
      </c>
      <c r="F40" s="23" t="s">
        <v>28</v>
      </c>
      <c r="G40" s="13" t="s">
        <v>29</v>
      </c>
    </row>
    <row r="41" spans="1:7" ht="14.25" x14ac:dyDescent="0.2">
      <c r="A41" s="49" t="s">
        <v>73</v>
      </c>
      <c r="B41" s="329" t="s">
        <v>79</v>
      </c>
      <c r="C41" s="330"/>
      <c r="D41" s="331"/>
      <c r="E41" s="25">
        <f>+E8</f>
        <v>37687</v>
      </c>
      <c r="F41" s="24" t="s">
        <v>30</v>
      </c>
      <c r="G41" s="50">
        <v>37518</v>
      </c>
    </row>
    <row r="42" spans="1:7" x14ac:dyDescent="0.2">
      <c r="A42" s="332" t="s">
        <v>31</v>
      </c>
      <c r="B42" s="333"/>
      <c r="C42" s="333"/>
      <c r="D42" s="333"/>
      <c r="E42" s="9" t="s">
        <v>32</v>
      </c>
      <c r="F42" s="23" t="s">
        <v>33</v>
      </c>
      <c r="G42" s="51" t="s">
        <v>34</v>
      </c>
    </row>
    <row r="43" spans="1:7" x14ac:dyDescent="0.2">
      <c r="A43" s="43"/>
      <c r="E43" s="6"/>
      <c r="F43" s="26"/>
      <c r="G43" s="52"/>
    </row>
    <row r="44" spans="1:7" x14ac:dyDescent="0.2">
      <c r="A44" s="43" t="s">
        <v>35</v>
      </c>
      <c r="E44" s="6"/>
      <c r="F44" s="27">
        <f>374.4</f>
        <v>374.4</v>
      </c>
      <c r="G44" s="52"/>
    </row>
    <row r="45" spans="1:7" x14ac:dyDescent="0.2">
      <c r="A45" s="43" t="s">
        <v>70</v>
      </c>
      <c r="E45" s="6">
        <f>3+3+8+3+8+3+8+3+8</f>
        <v>47</v>
      </c>
      <c r="F45" s="3" t="e">
        <f>+#REF!</f>
        <v>#REF!</v>
      </c>
      <c r="G45" s="52"/>
    </row>
    <row r="46" spans="1:7" x14ac:dyDescent="0.2">
      <c r="A46" s="43" t="e">
        <f>+#REF!</f>
        <v>#REF!</v>
      </c>
      <c r="E46" s="6" t="e">
        <f>+#REF!</f>
        <v>#REF!</v>
      </c>
      <c r="F46" s="3" t="e">
        <f>+#REF!</f>
        <v>#REF!</v>
      </c>
      <c r="G46" s="52"/>
    </row>
    <row r="47" spans="1:7" x14ac:dyDescent="0.2">
      <c r="A47" s="43" t="s">
        <v>37</v>
      </c>
      <c r="E47" s="6">
        <v>15</v>
      </c>
      <c r="F47" s="28">
        <f>+E47*1.26</f>
        <v>18.899999999999999</v>
      </c>
      <c r="G47" s="52"/>
    </row>
    <row r="48" spans="1:7" x14ac:dyDescent="0.2">
      <c r="A48" s="43" t="s">
        <v>63</v>
      </c>
      <c r="E48" s="6"/>
      <c r="F48" s="28">
        <f>16.98</f>
        <v>16.98</v>
      </c>
      <c r="G48" s="52"/>
    </row>
    <row r="49" spans="1:20" x14ac:dyDescent="0.2">
      <c r="A49" s="43" t="s">
        <v>64</v>
      </c>
      <c r="E49" s="6"/>
      <c r="F49" s="28">
        <f>16.98</f>
        <v>16.98</v>
      </c>
      <c r="G49" s="52"/>
    </row>
    <row r="50" spans="1:20" x14ac:dyDescent="0.2">
      <c r="A50" s="43" t="s">
        <v>74</v>
      </c>
      <c r="E50" s="6"/>
      <c r="F50" s="28">
        <f>+F15</f>
        <v>150</v>
      </c>
      <c r="G50" s="52"/>
    </row>
    <row r="51" spans="1:20" x14ac:dyDescent="0.2">
      <c r="A51" s="43" t="s">
        <v>39</v>
      </c>
      <c r="C51" s="3">
        <v>7</v>
      </c>
      <c r="D51" t="s">
        <v>18</v>
      </c>
      <c r="E51" s="6"/>
      <c r="F51" s="29" t="s">
        <v>40</v>
      </c>
      <c r="G51" s="53">
        <f t="shared" ref="G51:G56" si="1">+$H$17*C51/100</f>
        <v>120.5883</v>
      </c>
    </row>
    <row r="52" spans="1:20" x14ac:dyDescent="0.2">
      <c r="A52" s="43" t="s">
        <v>76</v>
      </c>
      <c r="C52" s="3">
        <v>3</v>
      </c>
      <c r="D52" t="s">
        <v>18</v>
      </c>
      <c r="E52" s="6"/>
      <c r="F52" s="29" t="s">
        <v>40</v>
      </c>
      <c r="G52" s="53">
        <f t="shared" si="1"/>
        <v>51.680699999999995</v>
      </c>
      <c r="H52" s="3">
        <f>+G52+G51</f>
        <v>172.26900000000001</v>
      </c>
      <c r="I52" s="3">
        <f>+G51+G52</f>
        <v>172.26900000000001</v>
      </c>
    </row>
    <row r="53" spans="1:20" x14ac:dyDescent="0.2">
      <c r="A53" s="43" t="s">
        <v>42</v>
      </c>
      <c r="C53" s="3">
        <v>2.7</v>
      </c>
      <c r="D53" t="s">
        <v>18</v>
      </c>
      <c r="E53" s="6"/>
      <c r="F53" s="29" t="s">
        <v>40</v>
      </c>
      <c r="G53" s="53">
        <f t="shared" si="1"/>
        <v>46.512630000000009</v>
      </c>
      <c r="H53" s="3">
        <f>+H52+G54</f>
        <v>177.43707000000001</v>
      </c>
    </row>
    <row r="54" spans="1:20" x14ac:dyDescent="0.2">
      <c r="A54" s="43" t="s">
        <v>43</v>
      </c>
      <c r="C54" s="3">
        <v>0.3</v>
      </c>
      <c r="D54" t="s">
        <v>18</v>
      </c>
      <c r="E54" s="6"/>
      <c r="F54" s="29" t="s">
        <v>40</v>
      </c>
      <c r="G54" s="53">
        <f t="shared" si="1"/>
        <v>5.1680700000000002</v>
      </c>
      <c r="M54" s="84" t="s">
        <v>322</v>
      </c>
      <c r="N54" s="229">
        <f>+LIQ!D30</f>
        <v>1546868.9999999998</v>
      </c>
    </row>
    <row r="55" spans="1:20" x14ac:dyDescent="0.2">
      <c r="A55" s="43" t="s">
        <v>44</v>
      </c>
      <c r="C55" s="3">
        <v>2</v>
      </c>
      <c r="D55" t="s">
        <v>18</v>
      </c>
      <c r="E55" s="6"/>
      <c r="F55" s="29" t="s">
        <v>40</v>
      </c>
      <c r="G55" s="53">
        <f t="shared" si="1"/>
        <v>34.453800000000001</v>
      </c>
      <c r="M55" s="84" t="s">
        <v>323</v>
      </c>
      <c r="N55" s="272">
        <f>+LIQ!D19</f>
        <v>1525768.1</v>
      </c>
    </row>
    <row r="56" spans="1:20" x14ac:dyDescent="0.2">
      <c r="A56" s="43" t="s">
        <v>45</v>
      </c>
      <c r="C56" s="3">
        <v>1</v>
      </c>
      <c r="D56" t="s">
        <v>18</v>
      </c>
      <c r="E56" s="6"/>
      <c r="F56" s="29" t="s">
        <v>40</v>
      </c>
      <c r="G56" s="53">
        <f t="shared" si="1"/>
        <v>17.226900000000001</v>
      </c>
      <c r="H56" s="3"/>
      <c r="K56" s="3"/>
      <c r="N56" s="273">
        <f>SUM(N54:N55)</f>
        <v>3072637.0999999996</v>
      </c>
    </row>
    <row r="57" spans="1:20" ht="13.5" thickBot="1" x14ac:dyDescent="0.25">
      <c r="A57" s="54"/>
      <c r="B57" s="2"/>
      <c r="C57" s="2"/>
      <c r="D57" s="2"/>
      <c r="E57" s="8"/>
      <c r="F57" s="31"/>
      <c r="G57" s="55"/>
      <c r="K57" s="3"/>
      <c r="L57" s="83">
        <f>0.75</f>
        <v>0.75</v>
      </c>
      <c r="M57" s="84">
        <f>+N56*L57/100</f>
        <v>23044.778249999996</v>
      </c>
    </row>
    <row r="58" spans="1:20" ht="15" x14ac:dyDescent="0.25">
      <c r="A58" s="43"/>
      <c r="D58" s="32" t="s">
        <v>46</v>
      </c>
      <c r="E58" s="4"/>
      <c r="F58" s="35" t="e">
        <f>SUM(F44:F57)</f>
        <v>#REF!</v>
      </c>
      <c r="G58" s="58"/>
      <c r="I58" s="56" t="s">
        <v>54</v>
      </c>
      <c r="J58" s="57"/>
      <c r="K58" s="229"/>
      <c r="L58" s="83">
        <f>0.75</f>
        <v>0.75</v>
      </c>
      <c r="M58" s="84">
        <f>+K59*L58/100</f>
        <v>23044.778249999996</v>
      </c>
    </row>
    <row r="59" spans="1:20" ht="15" x14ac:dyDescent="0.25">
      <c r="A59" s="43"/>
      <c r="D59" s="33" t="s">
        <v>47</v>
      </c>
      <c r="E59" s="34"/>
      <c r="F59" s="21" t="s">
        <v>40</v>
      </c>
      <c r="G59" s="61">
        <f>SUM(G51:G57)</f>
        <v>275.63040000000001</v>
      </c>
      <c r="I59" s="59">
        <f>+K59*J59</f>
        <v>46089.556499999992</v>
      </c>
      <c r="J59" s="60">
        <f>1.5/100</f>
        <v>1.4999999999999999E-2</v>
      </c>
      <c r="K59" s="128">
        <f>+N56</f>
        <v>3072637.0999999996</v>
      </c>
      <c r="L59">
        <v>0.04</v>
      </c>
      <c r="M59" s="84">
        <f>+N59*L59</f>
        <v>122905.48399999998</v>
      </c>
      <c r="N59" s="128">
        <f>+K59</f>
        <v>3072637.0999999996</v>
      </c>
      <c r="O59">
        <f>+L59+J59</f>
        <v>5.5E-2</v>
      </c>
      <c r="P59">
        <v>23</v>
      </c>
      <c r="Q59" s="84">
        <f>+O59*0.02</f>
        <v>1.1000000000000001E-3</v>
      </c>
      <c r="R59" s="84">
        <f>+O59*0.01</f>
        <v>5.5000000000000003E-4</v>
      </c>
      <c r="S59" s="84">
        <f>+R59+Q59</f>
        <v>1.65E-3</v>
      </c>
      <c r="T59">
        <v>5.0000000000000001E-3</v>
      </c>
    </row>
    <row r="60" spans="1:20" ht="15.75" thickBot="1" x14ac:dyDescent="0.3">
      <c r="A60" s="43"/>
      <c r="D60" s="33" t="s">
        <v>48</v>
      </c>
      <c r="E60" s="34"/>
      <c r="F60" s="21" t="s">
        <v>40</v>
      </c>
      <c r="G60" s="61" t="e">
        <f>+F58-G59</f>
        <v>#REF!</v>
      </c>
      <c r="I60" s="62">
        <f>+K59*J60</f>
        <v>92179.112999999983</v>
      </c>
      <c r="J60" s="63">
        <f>3/100</f>
        <v>0.03</v>
      </c>
      <c r="L60">
        <v>0.01</v>
      </c>
      <c r="M60" s="84">
        <f>+N59*L60</f>
        <v>30726.370999999996</v>
      </c>
      <c r="O60">
        <v>707.3</v>
      </c>
      <c r="P60">
        <f>23+4.5</f>
        <v>27.5</v>
      </c>
      <c r="Q60" s="84">
        <f>+O60*0.02</f>
        <v>14.145999999999999</v>
      </c>
      <c r="R60" s="84">
        <f>+O60*0.01</f>
        <v>7.0729999999999995</v>
      </c>
      <c r="S60" s="84">
        <f>+R60+Q60</f>
        <v>21.218999999999998</v>
      </c>
    </row>
    <row r="61" spans="1:20" ht="14.25" x14ac:dyDescent="0.2">
      <c r="A61" s="43"/>
      <c r="D61" s="33" t="s">
        <v>49</v>
      </c>
      <c r="E61" s="34"/>
      <c r="F61" s="21" t="s">
        <v>40</v>
      </c>
      <c r="G61" s="61" t="e">
        <f>ROUND(G60,0)</f>
        <v>#REF!</v>
      </c>
      <c r="I61" s="210">
        <f>+I59+I60</f>
        <v>138268.66949999996</v>
      </c>
      <c r="M61" s="211">
        <f>SUM(M57:M60)</f>
        <v>199721.41149999996</v>
      </c>
      <c r="O61">
        <v>252.8</v>
      </c>
      <c r="Q61" s="84">
        <f>+Q60+Q59</f>
        <v>14.147099999999998</v>
      </c>
      <c r="R61" s="84">
        <f>+R60+R59</f>
        <v>7.0735499999999991</v>
      </c>
      <c r="S61" s="84">
        <f>+Q61+R61</f>
        <v>21.220649999999999</v>
      </c>
      <c r="T61" s="212">
        <f>+K59*T59</f>
        <v>15363.185499999998</v>
      </c>
    </row>
    <row r="62" spans="1:20" ht="15" thickBot="1" x14ac:dyDescent="0.25">
      <c r="A62" s="54"/>
      <c r="B62" s="2"/>
      <c r="C62" s="8"/>
      <c r="D62" s="36" t="s">
        <v>50</v>
      </c>
      <c r="E62" s="37"/>
      <c r="F62" s="37"/>
      <c r="G62" s="64"/>
      <c r="I62" s="233"/>
      <c r="M62" s="232"/>
      <c r="O62">
        <v>150.5</v>
      </c>
      <c r="T62" s="233"/>
    </row>
    <row r="63" spans="1:20" ht="15" x14ac:dyDescent="0.25">
      <c r="A63" s="326" t="s">
        <v>71</v>
      </c>
      <c r="B63" s="327"/>
      <c r="C63" s="328"/>
      <c r="D63" s="38" t="str">
        <f>+D28</f>
        <v>SEICIENTOS OCHENTA Y OCHO</v>
      </c>
      <c r="E63" s="39"/>
      <c r="F63" s="40"/>
      <c r="G63" s="66"/>
      <c r="I63" s="56" t="s">
        <v>55</v>
      </c>
      <c r="J63" s="65"/>
      <c r="K63" s="57"/>
      <c r="O63">
        <f>+O62+O61+O60</f>
        <v>1110.5999999999999</v>
      </c>
    </row>
    <row r="64" spans="1:20" ht="15" x14ac:dyDescent="0.25">
      <c r="A64" s="82" t="s">
        <v>52</v>
      </c>
      <c r="B64" s="4"/>
      <c r="C64" s="4"/>
      <c r="D64" s="4"/>
      <c r="E64" s="4"/>
      <c r="F64" s="4"/>
      <c r="G64" s="45"/>
      <c r="I64" s="67" t="s">
        <v>56</v>
      </c>
      <c r="J64" s="30">
        <v>0.6</v>
      </c>
      <c r="K64" s="60">
        <f>+J64*2</f>
        <v>1.2</v>
      </c>
      <c r="O64">
        <f>+O63/K59</f>
        <v>3.6144847694509713E-4</v>
      </c>
    </row>
    <row r="65" spans="1:15" ht="15.75" thickBot="1" x14ac:dyDescent="0.3">
      <c r="A65" s="70" t="s">
        <v>53</v>
      </c>
      <c r="B65" s="14"/>
      <c r="C65" s="14"/>
      <c r="D65" s="14"/>
      <c r="E65" s="14"/>
      <c r="F65" s="14"/>
      <c r="G65" s="15"/>
      <c r="I65" s="67"/>
      <c r="J65" s="30"/>
      <c r="K65" s="60"/>
      <c r="O65">
        <f>0.23+0.045</f>
        <v>0.27500000000000002</v>
      </c>
    </row>
    <row r="66" spans="1:15" ht="15" x14ac:dyDescent="0.25">
      <c r="I66" s="67" t="s">
        <v>57</v>
      </c>
      <c r="J66" s="68">
        <v>3</v>
      </c>
      <c r="K66" s="69">
        <f>+K59*0.03</f>
        <v>92179.112999999983</v>
      </c>
    </row>
    <row r="67" spans="1:15" ht="15.75" thickBot="1" x14ac:dyDescent="0.3">
      <c r="I67" s="71" t="s">
        <v>58</v>
      </c>
      <c r="J67" s="72"/>
      <c r="K67" s="81">
        <f>+K66+K64</f>
        <v>92180.31299999998</v>
      </c>
    </row>
    <row r="68" spans="1:15" x14ac:dyDescent="0.2">
      <c r="I68" s="3"/>
      <c r="K68" s="3"/>
    </row>
  </sheetData>
  <mergeCells count="14">
    <mergeCell ref="B4:D4"/>
    <mergeCell ref="B5:D5"/>
    <mergeCell ref="B6:D6"/>
    <mergeCell ref="B7:D7"/>
    <mergeCell ref="A63:C63"/>
    <mergeCell ref="B8:D8"/>
    <mergeCell ref="A9:D9"/>
    <mergeCell ref="A28:C28"/>
    <mergeCell ref="B37:D37"/>
    <mergeCell ref="A42:D42"/>
    <mergeCell ref="B38:D38"/>
    <mergeCell ref="B39:D39"/>
    <mergeCell ref="B40:D40"/>
    <mergeCell ref="B41:D41"/>
  </mergeCells>
  <phoneticPr fontId="0" type="noConversion"/>
  <pageMargins left="0.26" right="0.24" top="1" bottom="1" header="0" footer="0"/>
  <pageSetup paperSize="9" scale="95" orientation="portrait" horizontalDpi="4294967292" verticalDpi="0" r:id="rId1"/>
  <headerFooter alignWithMargins="0"/>
  <rowBreaks count="1" manualBreakCount="1">
    <brk id="31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1BB4B-DE02-4955-8914-0D3A4DFB20AC}">
  <dimension ref="A1:J3006"/>
  <sheetViews>
    <sheetView zoomScale="75" zoomScaleNormal="100" workbookViewId="0">
      <selection activeCell="D2" sqref="D2"/>
    </sheetView>
  </sheetViews>
  <sheetFormatPr baseColWidth="10" defaultRowHeight="12.75" x14ac:dyDescent="0.2"/>
  <cols>
    <col min="1" max="1" width="3.85546875" customWidth="1"/>
    <col min="2" max="2" width="28.140625" customWidth="1"/>
    <col min="3" max="3" width="15.5703125" customWidth="1"/>
    <col min="4" max="4" width="36.42578125" customWidth="1"/>
    <col min="5" max="5" width="27" customWidth="1"/>
    <col min="6" max="6" width="21" customWidth="1"/>
    <col min="7" max="7" width="16.85546875" customWidth="1"/>
    <col min="8" max="8" width="25.5703125" customWidth="1"/>
    <col min="9" max="9" width="12.42578125" customWidth="1"/>
    <col min="11" max="11" width="11.28515625" customWidth="1"/>
    <col min="12" max="12" width="14.5703125" customWidth="1"/>
  </cols>
  <sheetData>
    <row r="1" spans="2:8" ht="18" x14ac:dyDescent="0.25">
      <c r="B1" s="1">
        <f>+LIQ!H1</f>
        <v>46143</v>
      </c>
      <c r="D1" s="214">
        <v>46183</v>
      </c>
      <c r="E1" t="str">
        <f>+'RES CUENTA'!N3</f>
        <v>URUGUAY 1025/27/29 CAP. FED.</v>
      </c>
      <c r="F1" s="235" t="s">
        <v>331</v>
      </c>
      <c r="G1" s="87"/>
    </row>
    <row r="2" spans="2:8" ht="18" x14ac:dyDescent="0.25">
      <c r="B2" t="str">
        <f>+'RES CUENTA'!D13</f>
        <v>DALLAVIA ALEJANDRO A.</v>
      </c>
      <c r="C2" s="84">
        <f>+'RES CUENTA'!G13</f>
        <v>2.5</v>
      </c>
      <c r="D2">
        <f>+'RES CUENTA'!B13</f>
        <v>1</v>
      </c>
      <c r="E2" s="84" t="e">
        <f>+'RES CUENTA'!#REF!</f>
        <v>#REF!</v>
      </c>
      <c r="F2" s="235" t="s">
        <v>327</v>
      </c>
      <c r="G2" s="87"/>
      <c r="H2" s="83" t="s">
        <v>326</v>
      </c>
    </row>
    <row r="3" spans="2:8" ht="18" x14ac:dyDescent="0.25">
      <c r="B3" t="str">
        <f>+'RES CUENTA'!D14</f>
        <v>MBAZBAZ MARIELA L. Y OTRO</v>
      </c>
      <c r="C3" s="84">
        <f>+'RES CUENTA'!G14</f>
        <v>2.61</v>
      </c>
      <c r="D3">
        <f>+'RES CUENTA'!B14</f>
        <v>2</v>
      </c>
      <c r="E3" s="84" t="e">
        <f>+'RES CUENTA'!#REF!</f>
        <v>#REF!</v>
      </c>
      <c r="F3" s="236" t="s">
        <v>330</v>
      </c>
      <c r="G3" s="87"/>
      <c r="H3" s="83" t="s">
        <v>328</v>
      </c>
    </row>
    <row r="4" spans="2:8" ht="18" x14ac:dyDescent="0.25">
      <c r="B4" t="str">
        <f>+'RES CUENTA'!D15</f>
        <v>RIMASA S.A.</v>
      </c>
      <c r="C4" s="84">
        <f>+'RES CUENTA'!G15</f>
        <v>8.67</v>
      </c>
      <c r="D4">
        <f>+'RES CUENTA'!B15</f>
        <v>3</v>
      </c>
      <c r="E4" s="84" t="e">
        <f>+'RES CUENTA'!#REF!</f>
        <v>#REF!</v>
      </c>
      <c r="F4" s="11" t="str">
        <f>+LIQ!G4</f>
        <v>CUIT: 30-58026090-6</v>
      </c>
      <c r="G4" s="87"/>
    </row>
    <row r="5" spans="2:8" ht="25.5" x14ac:dyDescent="0.35">
      <c r="B5" t="str">
        <f>+'RES CUENTA'!D16</f>
        <v>CANOPUS TRAVEL</v>
      </c>
      <c r="C5" s="84">
        <f>+'RES CUENTA'!G16</f>
        <v>8.67</v>
      </c>
      <c r="D5">
        <f>+'RES CUENTA'!B16</f>
        <v>4</v>
      </c>
      <c r="E5" s="84" t="e">
        <f>+'RES CUENTA'!#REF!</f>
        <v>#REF!</v>
      </c>
      <c r="F5" s="234"/>
      <c r="H5" s="237" t="s">
        <v>329</v>
      </c>
    </row>
    <row r="6" spans="2:8" x14ac:dyDescent="0.2">
      <c r="B6" t="str">
        <f>+'RES CUENTA'!D17</f>
        <v>LASTIRI JORGE ANTONIO</v>
      </c>
      <c r="C6" s="84">
        <f>+'RES CUENTA'!G17</f>
        <v>8.67</v>
      </c>
      <c r="D6">
        <f>+'RES CUENTA'!B17</f>
        <v>5</v>
      </c>
      <c r="E6" s="84" t="e">
        <f>+'RES CUENTA'!#REF!</f>
        <v>#REF!</v>
      </c>
      <c r="F6" s="11"/>
    </row>
    <row r="7" spans="2:8" x14ac:dyDescent="0.2">
      <c r="B7" t="str">
        <f>+'RES CUENTA'!D18</f>
        <v>GASTALDI JOSE MARIA</v>
      </c>
      <c r="C7" s="84">
        <f>+'RES CUENTA'!G18</f>
        <v>8.67</v>
      </c>
      <c r="D7">
        <f>+'RES CUENTA'!B18</f>
        <v>6</v>
      </c>
      <c r="E7" s="84" t="e">
        <f>+'RES CUENTA'!#REF!</f>
        <v>#REF!</v>
      </c>
      <c r="F7" s="11"/>
    </row>
    <row r="8" spans="2:8" x14ac:dyDescent="0.2">
      <c r="B8" t="str">
        <f>+'RES CUENTA'!D19</f>
        <v>ROCHERAY &amp; TESSI</v>
      </c>
      <c r="C8" s="84">
        <f>+'RES CUENTA'!G19</f>
        <v>8.67</v>
      </c>
      <c r="D8">
        <f>+'RES CUENTA'!B19</f>
        <v>7</v>
      </c>
      <c r="E8" s="84" t="e">
        <f>+'RES CUENTA'!#REF!</f>
        <v>#REF!</v>
      </c>
      <c r="F8" s="11"/>
    </row>
    <row r="9" spans="2:8" x14ac:dyDescent="0.2">
      <c r="B9" t="str">
        <f>+'RES CUENTA'!D20</f>
        <v>LISOPRAWSKI SILVIO</v>
      </c>
      <c r="C9" s="84">
        <f>+'RES CUENTA'!G20</f>
        <v>8.67</v>
      </c>
      <c r="D9">
        <f>+'RES CUENTA'!B20</f>
        <v>8</v>
      </c>
      <c r="E9" s="84" t="e">
        <f>+'RES CUENTA'!#REF!</f>
        <v>#REF!</v>
      </c>
      <c r="F9" s="11"/>
    </row>
    <row r="10" spans="2:8" x14ac:dyDescent="0.2">
      <c r="B10" t="str">
        <f>+'RES CUENTA'!D21</f>
        <v>SUELOMAR S.A.</v>
      </c>
      <c r="C10" s="84">
        <f>+'RES CUENTA'!G21</f>
        <v>8.67</v>
      </c>
      <c r="D10">
        <f>+'RES CUENTA'!B21</f>
        <v>9</v>
      </c>
      <c r="E10" s="84" t="e">
        <f>+'RES CUENTA'!#REF!</f>
        <v>#REF!</v>
      </c>
      <c r="F10" s="11"/>
    </row>
    <row r="11" spans="2:8" x14ac:dyDescent="0.2">
      <c r="B11" t="str">
        <f>+'RES CUENTA'!D22</f>
        <v>FEBOMAR SAICF</v>
      </c>
      <c r="C11" s="84">
        <f>+'RES CUENTA'!G22</f>
        <v>8.67</v>
      </c>
      <c r="D11">
        <f>+'RES CUENTA'!B22</f>
        <v>10</v>
      </c>
      <c r="E11" s="84" t="e">
        <f>+'RES CUENTA'!#REF!</f>
        <v>#REF!</v>
      </c>
      <c r="F11" s="11"/>
    </row>
    <row r="12" spans="2:8" x14ac:dyDescent="0.2">
      <c r="B12" t="str">
        <f>+'RES CUENTA'!D23</f>
        <v>DICARLO DORA C.</v>
      </c>
      <c r="C12" s="84">
        <f>+'RES CUENTA'!G23</f>
        <v>8.67</v>
      </c>
      <c r="D12">
        <f>+'RES CUENTA'!B23</f>
        <v>11</v>
      </c>
      <c r="E12" s="84" t="e">
        <f>+'RES CUENTA'!#REF!</f>
        <v>#REF!</v>
      </c>
      <c r="F12" s="11"/>
    </row>
    <row r="13" spans="2:8" x14ac:dyDescent="0.2">
      <c r="B13" t="str">
        <f>+'RES CUENTA'!D24</f>
        <v>DICARLO DORA C.</v>
      </c>
      <c r="C13" s="84">
        <f>+'RES CUENTA'!G24</f>
        <v>7.59</v>
      </c>
      <c r="D13">
        <f>+'RES CUENTA'!B24</f>
        <v>12</v>
      </c>
      <c r="E13" s="84" t="e">
        <f>+'RES CUENTA'!#REF!</f>
        <v>#REF!</v>
      </c>
      <c r="F13" s="11"/>
    </row>
    <row r="14" spans="2:8" x14ac:dyDescent="0.2">
      <c r="B14" t="str">
        <f>+'RES CUENTA'!D25</f>
        <v>ORO 2999 S.A.</v>
      </c>
      <c r="C14" s="84">
        <f>+'RES CUENTA'!G25</f>
        <v>9.27</v>
      </c>
      <c r="D14">
        <f>+'RES CUENTA'!B25</f>
        <v>13</v>
      </c>
      <c r="E14" s="84" t="e">
        <f>+'RES CUENTA'!#REF!</f>
        <v>#REF!</v>
      </c>
      <c r="F14" s="11"/>
    </row>
    <row r="15" spans="2:8" x14ac:dyDescent="0.2">
      <c r="B15" t="e">
        <f>+'RES CUENTA'!#REF!</f>
        <v>#REF!</v>
      </c>
      <c r="C15" s="84" t="e">
        <f>+'RES CUENTA'!#REF!</f>
        <v>#REF!</v>
      </c>
      <c r="D15" t="e">
        <f>+'RES CUENTA'!#REF!</f>
        <v>#REF!</v>
      </c>
      <c r="E15" s="84" t="e">
        <f>+'RES CUENTA'!#REF!</f>
        <v>#REF!</v>
      </c>
      <c r="F15" s="11"/>
    </row>
    <row r="16" spans="2:8" x14ac:dyDescent="0.2">
      <c r="B16" t="e">
        <f>+'RES CUENTA'!#REF!</f>
        <v>#REF!</v>
      </c>
      <c r="C16" s="84" t="e">
        <f>+'RES CUENTA'!#REF!</f>
        <v>#REF!</v>
      </c>
      <c r="D16" t="e">
        <f>+'RES CUENTA'!#REF!</f>
        <v>#REF!</v>
      </c>
      <c r="E16" s="84" t="e">
        <f>+'RES CUENTA'!#REF!</f>
        <v>#REF!</v>
      </c>
      <c r="F16" s="11"/>
    </row>
    <row r="17" spans="1:9" x14ac:dyDescent="0.2">
      <c r="B17" t="e">
        <f>+'RES CUENTA'!#REF!</f>
        <v>#REF!</v>
      </c>
      <c r="C17" s="84" t="e">
        <f>+'RES CUENTA'!#REF!</f>
        <v>#REF!</v>
      </c>
      <c r="D17" t="e">
        <f>+'RES CUENTA'!#REF!</f>
        <v>#REF!</v>
      </c>
      <c r="E17" s="84" t="e">
        <f>+'RES CUENTA'!#REF!</f>
        <v>#REF!</v>
      </c>
      <c r="F17" s="11"/>
    </row>
    <row r="18" spans="1:9" x14ac:dyDescent="0.2">
      <c r="B18" t="e">
        <f>+'RES CUENTA'!#REF!</f>
        <v>#REF!</v>
      </c>
      <c r="C18" s="84" t="e">
        <f>+'RES CUENTA'!#REF!</f>
        <v>#REF!</v>
      </c>
      <c r="D18" t="e">
        <f>+'RES CUENTA'!#REF!</f>
        <v>#REF!</v>
      </c>
      <c r="E18" s="84" t="e">
        <f>+'RES CUENTA'!#REF!</f>
        <v>#REF!</v>
      </c>
      <c r="F18" s="11"/>
    </row>
    <row r="19" spans="1:9" x14ac:dyDescent="0.2">
      <c r="B19" t="e">
        <f>+'RES CUENTA'!#REF!</f>
        <v>#REF!</v>
      </c>
      <c r="C19" s="84" t="e">
        <f>+'RES CUENTA'!#REF!</f>
        <v>#REF!</v>
      </c>
      <c r="D19" t="e">
        <f>+'RES CUENTA'!#REF!</f>
        <v>#REF!</v>
      </c>
      <c r="E19" s="84" t="e">
        <f>+'RES CUENTA'!#REF!</f>
        <v>#REF!</v>
      </c>
      <c r="F19" s="11"/>
    </row>
    <row r="20" spans="1:9" x14ac:dyDescent="0.2">
      <c r="B20" t="e">
        <f>+'RES CUENTA'!#REF!</f>
        <v>#REF!</v>
      </c>
      <c r="C20" s="84" t="e">
        <f>+'RES CUENTA'!#REF!</f>
        <v>#REF!</v>
      </c>
      <c r="D20" t="e">
        <f>+'RES CUENTA'!#REF!</f>
        <v>#REF!</v>
      </c>
      <c r="E20" s="84" t="e">
        <f>+'RES CUENTA'!#REF!</f>
        <v>#REF!</v>
      </c>
      <c r="F20" s="11"/>
    </row>
    <row r="21" spans="1:9" x14ac:dyDescent="0.2">
      <c r="B21" t="e">
        <f>+'RES CUENTA'!#REF!</f>
        <v>#REF!</v>
      </c>
      <c r="C21" s="84" t="e">
        <f>+'RES CUENTA'!#REF!</f>
        <v>#REF!</v>
      </c>
      <c r="D21" t="e">
        <f>+'RES CUENTA'!#REF!</f>
        <v>#REF!</v>
      </c>
      <c r="E21" s="84" t="e">
        <f>+'RES CUENTA'!#REF!</f>
        <v>#REF!</v>
      </c>
      <c r="F21" s="11"/>
    </row>
    <row r="22" spans="1:9" x14ac:dyDescent="0.2">
      <c r="B22" t="e">
        <f>+'RES CUENTA'!#REF!</f>
        <v>#REF!</v>
      </c>
      <c r="C22" s="84" t="e">
        <f>+'RES CUENTA'!#REF!</f>
        <v>#REF!</v>
      </c>
      <c r="D22" t="e">
        <f>+'RES CUENTA'!#REF!</f>
        <v>#REF!</v>
      </c>
      <c r="E22" s="84" t="e">
        <f>+'RES CUENTA'!#REF!</f>
        <v>#REF!</v>
      </c>
      <c r="F22" s="11"/>
    </row>
    <row r="23" spans="1:9" x14ac:dyDescent="0.2">
      <c r="B23" t="str">
        <f>+'RES CUENTA'!D26</f>
        <v>TOTALES</v>
      </c>
      <c r="C23" s="84">
        <f>+'RES CUENTA'!G26</f>
        <v>100</v>
      </c>
      <c r="D23">
        <f>+'RES CUENTA'!B26</f>
        <v>0</v>
      </c>
      <c r="E23" s="84" t="e">
        <f>+'RES CUENTA'!#REF!</f>
        <v>#REF!</v>
      </c>
      <c r="F23" s="175"/>
      <c r="I23" s="2"/>
    </row>
    <row r="24" spans="1:9" x14ac:dyDescent="0.2">
      <c r="B24">
        <f>+'RES CUENTA'!D27</f>
        <v>0</v>
      </c>
      <c r="C24" s="84">
        <f>+'RES CUENTA'!G27</f>
        <v>0</v>
      </c>
      <c r="D24">
        <f>+'RES CUENTA'!B27</f>
        <v>0</v>
      </c>
      <c r="E24" s="84" t="e">
        <f>+'RES CUENTA'!#REF!</f>
        <v>#REF!</v>
      </c>
      <c r="F24" s="11"/>
    </row>
    <row r="25" spans="1:9" x14ac:dyDescent="0.2">
      <c r="B25">
        <f>+'RES CUENTA'!D53</f>
        <v>0</v>
      </c>
      <c r="C25" s="84">
        <f>+'RES CUENTA'!G53</f>
        <v>0</v>
      </c>
      <c r="D25">
        <f>+'RES CUENTA'!B53</f>
        <v>0</v>
      </c>
      <c r="E25" s="84" t="e">
        <f>+'RES CUENTA'!#REF!</f>
        <v>#REF!</v>
      </c>
      <c r="F25" s="11"/>
    </row>
    <row r="26" spans="1:9" x14ac:dyDescent="0.2">
      <c r="B26">
        <f>+'RES CUENTA'!D56</f>
        <v>0</v>
      </c>
      <c r="C26" s="84">
        <f>+'RES CUENTA'!G56</f>
        <v>0</v>
      </c>
      <c r="D26">
        <f>+'RES CUENTA'!B56</f>
        <v>0</v>
      </c>
      <c r="E26" s="84" t="e">
        <f>+'RES CUENTA'!#REF!</f>
        <v>#REF!</v>
      </c>
      <c r="F26" s="11"/>
    </row>
    <row r="27" spans="1:9" x14ac:dyDescent="0.2">
      <c r="B27" t="e">
        <f>+'RES CUENTA'!#REF!</f>
        <v>#REF!</v>
      </c>
      <c r="C27" s="84" t="e">
        <f>+'RES CUENTA'!#REF!</f>
        <v>#REF!</v>
      </c>
      <c r="D27" t="e">
        <f>+'RES CUENTA'!#REF!</f>
        <v>#REF!</v>
      </c>
      <c r="E27" s="84" t="e">
        <f>+'RES CUENTA'!#REF!</f>
        <v>#REF!</v>
      </c>
      <c r="F27" s="11"/>
    </row>
    <row r="28" spans="1:9" x14ac:dyDescent="0.2">
      <c r="B28" t="e">
        <f>+'RES CUENTA'!#REF!</f>
        <v>#REF!</v>
      </c>
      <c r="C28" s="84" t="e">
        <f>+'RES CUENTA'!#REF!</f>
        <v>#REF!</v>
      </c>
      <c r="D28" t="e">
        <f>+'RES CUENTA'!#REF!</f>
        <v>#REF!</v>
      </c>
      <c r="E28" s="84" t="e">
        <f>+'RES CUENTA'!#REF!</f>
        <v>#REF!</v>
      </c>
      <c r="F28" s="11"/>
    </row>
    <row r="29" spans="1:9" x14ac:dyDescent="0.2">
      <c r="B29" t="str">
        <f>+'RES CUENTA'!D26</f>
        <v>TOTALES</v>
      </c>
      <c r="C29" s="84">
        <f>+'RES CUENTA'!G26</f>
        <v>100</v>
      </c>
      <c r="D29">
        <f>+'RES CUENTA'!B26</f>
        <v>0</v>
      </c>
      <c r="E29" s="84" t="e">
        <f>+'RES CUENTA'!#REF!</f>
        <v>#REF!</v>
      </c>
      <c r="F29" s="11"/>
    </row>
    <row r="30" spans="1:9" x14ac:dyDescent="0.2">
      <c r="C30" s="84" t="e">
        <f>SUM(C2:C24)</f>
        <v>#REF!</v>
      </c>
      <c r="E30" s="84" t="e">
        <f>SUM(E2:E24)</f>
        <v>#REF!</v>
      </c>
      <c r="F30" s="11"/>
    </row>
    <row r="31" spans="1:9" x14ac:dyDescent="0.2">
      <c r="C31" s="84"/>
      <c r="E31" s="11"/>
      <c r="F31" s="11"/>
    </row>
    <row r="32" spans="1:9" x14ac:dyDescent="0.2">
      <c r="A32" s="168"/>
      <c r="B32" s="168"/>
      <c r="C32" s="169"/>
      <c r="D32" s="168"/>
      <c r="E32" s="170"/>
      <c r="F32" s="170"/>
      <c r="G32" s="168"/>
      <c r="H32" s="168"/>
    </row>
    <row r="33" spans="2:10" ht="16.5" customHeight="1" x14ac:dyDescent="0.25">
      <c r="B33" s="335"/>
      <c r="C33" s="335"/>
      <c r="D33" s="335"/>
      <c r="E33" s="87"/>
      <c r="F33" s="87"/>
      <c r="G33" s="349"/>
      <c r="H33" s="349"/>
      <c r="I33" s="83"/>
      <c r="J33" s="83"/>
    </row>
    <row r="34" spans="2:10" ht="18" x14ac:dyDescent="0.25">
      <c r="B34" s="335"/>
      <c r="C34" s="335"/>
      <c r="D34" s="335"/>
      <c r="E34" s="347">
        <f>+$B$1</f>
        <v>46143</v>
      </c>
      <c r="F34" s="87"/>
      <c r="G34" s="341">
        <f>+$D$1</f>
        <v>46183</v>
      </c>
      <c r="H34" s="87"/>
      <c r="I34" s="83"/>
      <c r="J34" s="83"/>
    </row>
    <row r="35" spans="2:10" ht="18" x14ac:dyDescent="0.25">
      <c r="B35" s="86"/>
      <c r="C35" s="86"/>
      <c r="D35" s="103"/>
      <c r="E35" s="347"/>
      <c r="F35" s="87"/>
      <c r="G35" s="341"/>
      <c r="H35" s="87"/>
      <c r="I35" s="83"/>
      <c r="J35" s="83"/>
    </row>
    <row r="36" spans="2:10" ht="18" x14ac:dyDescent="0.25">
      <c r="B36" s="87"/>
      <c r="C36" s="87"/>
      <c r="D36" s="87"/>
      <c r="E36" s="88"/>
      <c r="F36" s="87"/>
      <c r="G36" s="88"/>
      <c r="H36" s="87"/>
      <c r="I36" s="83"/>
      <c r="J36" s="83"/>
    </row>
    <row r="37" spans="2:10" ht="28.5" customHeight="1" x14ac:dyDescent="0.25">
      <c r="C37" s="87"/>
      <c r="D37" s="87"/>
      <c r="E37" s="88"/>
      <c r="F37" s="87"/>
      <c r="G37" s="88"/>
      <c r="H37" s="87"/>
      <c r="I37" s="83"/>
      <c r="J37" s="83"/>
    </row>
    <row r="38" spans="2:10" ht="19.5" customHeight="1" x14ac:dyDescent="0.25">
      <c r="F38" s="87"/>
      <c r="G38" s="87"/>
      <c r="H38" s="95" t="s">
        <v>89</v>
      </c>
      <c r="I38" s="83"/>
      <c r="J38" s="83"/>
    </row>
    <row r="39" spans="2:10" ht="18" x14ac:dyDescent="0.25">
      <c r="B39" s="87" t="str">
        <f>+B2</f>
        <v>DALLAVIA ALEJANDRO A.</v>
      </c>
      <c r="C39" s="87"/>
      <c r="D39" s="87"/>
      <c r="E39" s="87" t="str">
        <f>+E1</f>
        <v>URUGUAY 1025/27/29 CAP. FED.</v>
      </c>
      <c r="F39" s="88"/>
      <c r="G39" s="87"/>
      <c r="H39" s="95" t="str">
        <f>+'RES CUENTA'!A13</f>
        <v>LOC 1</v>
      </c>
      <c r="I39" s="83"/>
      <c r="J39" s="83"/>
    </row>
    <row r="40" spans="2:10" ht="14.25" customHeight="1" x14ac:dyDescent="0.25">
      <c r="B40" s="96"/>
      <c r="C40" s="87"/>
      <c r="D40" s="96"/>
      <c r="E40" s="87"/>
      <c r="F40" s="87"/>
      <c r="G40" s="87"/>
      <c r="H40" s="87"/>
      <c r="I40" s="83"/>
      <c r="J40" s="83"/>
    </row>
    <row r="41" spans="2:10" ht="11.25" customHeight="1" x14ac:dyDescent="0.25">
      <c r="B41" s="96"/>
      <c r="C41" s="87"/>
      <c r="D41" s="96"/>
      <c r="E41" s="87"/>
      <c r="F41" s="87"/>
      <c r="G41" s="87"/>
      <c r="H41" s="87"/>
      <c r="I41" s="83"/>
      <c r="J41" s="83"/>
    </row>
    <row r="42" spans="2:10" ht="18" x14ac:dyDescent="0.25">
      <c r="B42" s="87" t="s">
        <v>82</v>
      </c>
      <c r="C42" s="87"/>
      <c r="D42" s="106">
        <f>+'RES CUENTA'!H26</f>
        <v>6751880</v>
      </c>
      <c r="E42" s="90">
        <f>+'RES CUENTA'!G13</f>
        <v>2.5</v>
      </c>
      <c r="F42" s="106">
        <f>+D42*E42/100</f>
        <v>168797</v>
      </c>
      <c r="G42" s="339"/>
      <c r="H42" s="339"/>
      <c r="I42" s="83"/>
      <c r="J42" s="83"/>
    </row>
    <row r="43" spans="2:10" ht="18" x14ac:dyDescent="0.25">
      <c r="B43" s="87" t="s">
        <v>194</v>
      </c>
      <c r="C43" s="87"/>
      <c r="D43" s="106">
        <f>+'RES CUENTA'!J26</f>
        <v>1482120</v>
      </c>
      <c r="E43" s="90">
        <f>+'RES CUENTA'!I13</f>
        <v>0</v>
      </c>
      <c r="F43" s="106">
        <f>+D43*E43/100</f>
        <v>0</v>
      </c>
      <c r="G43" s="336"/>
      <c r="H43" s="336"/>
      <c r="I43" s="83"/>
      <c r="J43" s="83"/>
    </row>
    <row r="44" spans="2:10" ht="18" x14ac:dyDescent="0.25">
      <c r="B44" s="87" t="s">
        <v>321</v>
      </c>
      <c r="C44" s="87"/>
      <c r="D44" s="106">
        <v>0</v>
      </c>
      <c r="E44" s="90">
        <v>0</v>
      </c>
      <c r="F44" s="106">
        <f>+'RES CUENTA'!L13</f>
        <v>0</v>
      </c>
      <c r="G44" s="91"/>
      <c r="H44" s="91"/>
      <c r="I44" s="83"/>
      <c r="J44" s="83"/>
    </row>
    <row r="45" spans="2:10" ht="18" x14ac:dyDescent="0.25">
      <c r="B45" s="87" t="s">
        <v>83</v>
      </c>
      <c r="C45" s="87"/>
      <c r="D45" s="106">
        <f>+'RES CUENTA'!O13</f>
        <v>0</v>
      </c>
      <c r="E45" s="87">
        <v>0</v>
      </c>
      <c r="F45" s="106">
        <f>+D45</f>
        <v>0</v>
      </c>
      <c r="G45" s="336"/>
      <c r="H45" s="336"/>
      <c r="I45" s="83"/>
      <c r="J45" s="83"/>
    </row>
    <row r="46" spans="2:10" ht="18" x14ac:dyDescent="0.25">
      <c r="B46" s="87" t="s">
        <v>84</v>
      </c>
      <c r="C46" s="87"/>
      <c r="D46" s="106">
        <f>+'RES CUENTA'!P13</f>
        <v>0</v>
      </c>
      <c r="E46" s="87">
        <v>0</v>
      </c>
      <c r="F46" s="166">
        <f>+D46+E46</f>
        <v>0</v>
      </c>
      <c r="G46" s="336"/>
      <c r="H46" s="336"/>
      <c r="I46" s="83"/>
      <c r="J46" s="83"/>
    </row>
    <row r="47" spans="2:10" ht="18" x14ac:dyDescent="0.25">
      <c r="B47" s="88" t="s">
        <v>206</v>
      </c>
      <c r="C47" s="87"/>
      <c r="D47" s="87"/>
      <c r="E47" s="94"/>
      <c r="F47" s="107">
        <f>SUM(F42:F46)</f>
        <v>168797</v>
      </c>
      <c r="G47" s="336"/>
      <c r="H47" s="336"/>
      <c r="I47" s="83"/>
      <c r="J47" s="83"/>
    </row>
    <row r="48" spans="2:10" ht="18" x14ac:dyDescent="0.25">
      <c r="B48" s="88"/>
      <c r="C48" s="87"/>
      <c r="D48" s="87"/>
      <c r="E48" s="94"/>
      <c r="F48" s="107"/>
      <c r="G48" s="91"/>
      <c r="H48" s="91"/>
      <c r="I48" s="83"/>
      <c r="J48" s="83"/>
    </row>
    <row r="49" spans="2:10" ht="18" x14ac:dyDescent="0.25">
      <c r="B49" s="88"/>
      <c r="C49" s="87"/>
      <c r="D49" s="87"/>
      <c r="E49" s="94"/>
      <c r="F49" s="107"/>
      <c r="G49" s="91"/>
      <c r="H49" s="91"/>
      <c r="I49" s="83"/>
      <c r="J49" s="83"/>
    </row>
    <row r="50" spans="2:10" ht="14.25" customHeight="1" x14ac:dyDescent="0.25">
      <c r="B50" s="88"/>
      <c r="C50" s="87"/>
      <c r="D50" s="87"/>
      <c r="E50" s="87"/>
      <c r="G50" s="337"/>
      <c r="H50" s="337"/>
      <c r="I50" s="83"/>
      <c r="J50" s="83"/>
    </row>
    <row r="51" spans="2:10" ht="15" customHeight="1" x14ac:dyDescent="0.25">
      <c r="B51" s="87"/>
      <c r="C51" s="87"/>
      <c r="D51" s="87"/>
      <c r="E51" s="87"/>
      <c r="F51" s="93"/>
      <c r="G51" s="92"/>
      <c r="H51" s="92"/>
      <c r="I51" s="83"/>
      <c r="J51" s="83"/>
    </row>
    <row r="52" spans="2:10" ht="18" x14ac:dyDescent="0.25">
      <c r="B52" s="87"/>
      <c r="C52" s="87"/>
      <c r="D52" s="87"/>
      <c r="E52" s="87"/>
      <c r="F52" s="94"/>
      <c r="G52" s="87"/>
      <c r="H52" s="87"/>
      <c r="I52" s="83"/>
      <c r="J52" s="83"/>
    </row>
    <row r="53" spans="2:10" ht="18" x14ac:dyDescent="0.25">
      <c r="B53" s="87" t="str">
        <f>+B2</f>
        <v>DALLAVIA ALEJANDRO A.</v>
      </c>
      <c r="C53" s="338"/>
      <c r="D53" s="338"/>
      <c r="E53" s="87" t="str">
        <f>+B2</f>
        <v>DALLAVIA ALEJANDRO A.</v>
      </c>
      <c r="F53" s="94"/>
      <c r="G53" s="87"/>
      <c r="H53" s="87"/>
      <c r="I53" s="83"/>
      <c r="J53" s="83"/>
    </row>
    <row r="54" spans="2:10" ht="18" x14ac:dyDescent="0.25">
      <c r="C54" s="87"/>
      <c r="D54" s="87"/>
      <c r="F54" s="338"/>
      <c r="G54" s="338"/>
      <c r="H54" s="338"/>
      <c r="I54" s="83"/>
      <c r="J54" s="83"/>
    </row>
    <row r="55" spans="2:10" ht="18" x14ac:dyDescent="0.25">
      <c r="B55" s="87" t="str">
        <f>+E1</f>
        <v>URUGUAY 1025/27/29 CAP. FED.</v>
      </c>
      <c r="C55" s="87"/>
      <c r="D55" s="95" t="str">
        <f>+H38</f>
        <v>Unid. 1</v>
      </c>
      <c r="E55" s="87" t="str">
        <f>+E1</f>
        <v>URUGUAY 1025/27/29 CAP. FED.</v>
      </c>
      <c r="F55" s="87"/>
      <c r="G55" s="87"/>
      <c r="H55" s="95" t="str">
        <f>+D55</f>
        <v>Unid. 1</v>
      </c>
      <c r="I55" s="83"/>
      <c r="J55" s="83"/>
    </row>
    <row r="56" spans="2:10" ht="18" x14ac:dyDescent="0.25">
      <c r="D56" s="95" t="str">
        <f>+H56</f>
        <v>LOC 1</v>
      </c>
      <c r="H56" s="87" t="str">
        <f>+H39</f>
        <v>LOC 1</v>
      </c>
      <c r="I56" s="83"/>
      <c r="J56" s="83"/>
    </row>
    <row r="57" spans="2:10" ht="19.5" customHeight="1" x14ac:dyDescent="0.25">
      <c r="B57" s="87" t="str">
        <f>+F1</f>
        <v xml:space="preserve">P/depósito/transferencia en ICBC </v>
      </c>
      <c r="C57" s="88"/>
      <c r="D57" s="88"/>
      <c r="E57" s="88"/>
      <c r="F57" s="87"/>
      <c r="G57" s="87"/>
      <c r="I57" s="83"/>
      <c r="J57" s="83"/>
    </row>
    <row r="58" spans="2:10" ht="18" x14ac:dyDescent="0.25">
      <c r="B58" s="87" t="str">
        <f>+F2</f>
        <v>Cta. Cte. $ N°538/02104658/84</v>
      </c>
      <c r="C58" s="87"/>
      <c r="D58" s="87"/>
      <c r="E58" s="87"/>
      <c r="F58" s="87"/>
      <c r="G58" s="88"/>
      <c r="H58" s="104"/>
      <c r="I58" s="83"/>
      <c r="J58" s="83"/>
    </row>
    <row r="59" spans="2:10" ht="18" x14ac:dyDescent="0.25">
      <c r="B59" s="87" t="str">
        <f>+F3</f>
        <v>CBU:0150538202000104658840</v>
      </c>
      <c r="C59" s="87"/>
      <c r="D59" s="87"/>
      <c r="E59" s="87" t="s">
        <v>85</v>
      </c>
      <c r="F59" s="109">
        <f>+F42</f>
        <v>168797</v>
      </c>
      <c r="H59" s="102">
        <f>+D1</f>
        <v>46183</v>
      </c>
      <c r="I59" s="83"/>
      <c r="J59" s="83"/>
    </row>
    <row r="60" spans="2:10" ht="18" x14ac:dyDescent="0.25">
      <c r="B60" s="87" t="str">
        <f>+F4</f>
        <v>CUIT: 30-58026090-6</v>
      </c>
      <c r="C60" s="87"/>
      <c r="D60" s="87"/>
      <c r="E60" s="87" t="s">
        <v>193</v>
      </c>
      <c r="F60" s="109">
        <f>+F43</f>
        <v>0</v>
      </c>
      <c r="I60" s="83"/>
      <c r="J60" s="83"/>
    </row>
    <row r="61" spans="2:10" ht="18" x14ac:dyDescent="0.25">
      <c r="C61" s="87"/>
      <c r="D61" s="87"/>
      <c r="E61" s="87" t="s">
        <v>86</v>
      </c>
      <c r="F61" s="109">
        <f>+F45</f>
        <v>0</v>
      </c>
      <c r="G61" s="87"/>
      <c r="H61" s="87"/>
      <c r="I61" s="83"/>
      <c r="J61" s="83"/>
    </row>
    <row r="62" spans="2:10" ht="18" x14ac:dyDescent="0.25">
      <c r="B62" s="87"/>
      <c r="C62" s="87"/>
      <c r="D62" s="87"/>
      <c r="E62" s="87" t="s">
        <v>87</v>
      </c>
      <c r="F62" s="109">
        <f>+F46</f>
        <v>0</v>
      </c>
      <c r="G62" s="87"/>
      <c r="H62" s="87"/>
      <c r="I62" s="83"/>
      <c r="J62" s="83"/>
    </row>
    <row r="63" spans="2:10" ht="18" x14ac:dyDescent="0.25">
      <c r="B63" s="98"/>
      <c r="C63" s="98"/>
      <c r="D63" s="98"/>
      <c r="E63" s="87" t="s">
        <v>321</v>
      </c>
      <c r="F63" s="167">
        <f>+F44</f>
        <v>0</v>
      </c>
      <c r="G63" s="87"/>
      <c r="H63" s="87"/>
      <c r="I63" s="83"/>
      <c r="J63" s="83"/>
    </row>
    <row r="64" spans="2:10" ht="18" x14ac:dyDescent="0.25">
      <c r="B64" s="102">
        <f>+$G$34</f>
        <v>46183</v>
      </c>
      <c r="C64" s="108">
        <f>+F47</f>
        <v>168797</v>
      </c>
      <c r="D64" s="87"/>
      <c r="E64" s="87" t="s">
        <v>88</v>
      </c>
      <c r="F64" s="109">
        <f>+F47</f>
        <v>168797</v>
      </c>
      <c r="G64" s="87"/>
      <c r="H64" s="87"/>
      <c r="I64" s="83"/>
      <c r="J64" s="83"/>
    </row>
    <row r="65" spans="2:10" ht="18" x14ac:dyDescent="0.25">
      <c r="B65" s="87"/>
      <c r="C65" s="87"/>
      <c r="D65" s="87"/>
      <c r="E65" s="105"/>
      <c r="F65" s="87"/>
      <c r="G65" s="87"/>
      <c r="H65" s="87"/>
      <c r="I65" s="83"/>
      <c r="J65" s="83"/>
    </row>
    <row r="66" spans="2:10" ht="18" x14ac:dyDescent="0.25">
      <c r="B66" s="87"/>
      <c r="C66" s="87"/>
      <c r="D66" s="87"/>
      <c r="F66" s="87"/>
      <c r="G66" s="87"/>
      <c r="H66" s="87"/>
      <c r="I66" s="83"/>
      <c r="J66" s="83"/>
    </row>
    <row r="67" spans="2:10" ht="18" x14ac:dyDescent="0.25">
      <c r="B67" s="87"/>
      <c r="C67" s="87"/>
      <c r="D67" s="87"/>
      <c r="F67" s="87"/>
      <c r="G67" s="87"/>
      <c r="H67" s="87"/>
      <c r="I67" s="83"/>
      <c r="J67" s="83"/>
    </row>
    <row r="68" spans="2:10" ht="18" x14ac:dyDescent="0.25">
      <c r="B68" s="87"/>
      <c r="C68" s="87"/>
      <c r="D68" s="87"/>
      <c r="F68" s="87"/>
      <c r="G68" s="87"/>
      <c r="H68" s="87"/>
      <c r="I68" s="83"/>
      <c r="J68" s="83"/>
    </row>
    <row r="69" spans="2:10" ht="18" x14ac:dyDescent="0.25">
      <c r="B69" s="87"/>
      <c r="C69" s="87"/>
      <c r="D69" s="87"/>
      <c r="E69" s="87"/>
      <c r="F69" s="87"/>
      <c r="G69" s="87"/>
      <c r="H69" s="87"/>
      <c r="I69" s="83"/>
      <c r="J69" s="83"/>
    </row>
    <row r="70" spans="2:10" ht="18" x14ac:dyDescent="0.25">
      <c r="B70" s="87"/>
      <c r="C70" s="87"/>
      <c r="D70" s="87"/>
      <c r="E70" s="87"/>
      <c r="F70" s="87"/>
      <c r="G70" s="339"/>
      <c r="H70" s="339"/>
      <c r="I70" s="83"/>
      <c r="J70" s="83"/>
    </row>
    <row r="71" spans="2:10" ht="8.25" customHeight="1" x14ac:dyDescent="0.25">
      <c r="B71" s="87"/>
      <c r="C71" s="87"/>
      <c r="D71" s="87"/>
      <c r="E71" s="87"/>
      <c r="F71" s="87"/>
      <c r="G71" s="96"/>
      <c r="H71" s="96"/>
      <c r="I71" s="83"/>
      <c r="J71" s="83"/>
    </row>
    <row r="72" spans="2:10" ht="18" x14ac:dyDescent="0.25">
      <c r="B72" s="87"/>
      <c r="C72" s="87"/>
      <c r="D72" s="87"/>
      <c r="E72" s="87"/>
      <c r="F72" s="87"/>
      <c r="G72" s="96"/>
      <c r="H72" s="96"/>
      <c r="I72" s="83"/>
      <c r="J72" s="83"/>
    </row>
    <row r="73" spans="2:10" ht="18" x14ac:dyDescent="0.25">
      <c r="B73" s="87"/>
      <c r="C73" s="87"/>
      <c r="D73" s="87"/>
      <c r="E73" s="87"/>
      <c r="F73" s="87"/>
      <c r="G73" s="87"/>
      <c r="H73" s="87"/>
      <c r="I73" s="83"/>
      <c r="J73" s="83"/>
    </row>
    <row r="74" spans="2:10" ht="18" x14ac:dyDescent="0.25">
      <c r="B74" s="87"/>
      <c r="C74" s="87"/>
      <c r="D74" s="87"/>
      <c r="E74" s="87"/>
      <c r="F74" s="87"/>
      <c r="G74" s="87"/>
      <c r="H74" s="87"/>
      <c r="I74" s="83"/>
      <c r="J74" s="83"/>
    </row>
    <row r="75" spans="2:10" ht="18" x14ac:dyDescent="0.25">
      <c r="B75" s="335"/>
      <c r="C75" s="335"/>
      <c r="D75" s="335"/>
      <c r="E75" s="101">
        <f>+$B$1</f>
        <v>46143</v>
      </c>
      <c r="F75" s="87"/>
      <c r="G75" s="102">
        <f>+$D$1</f>
        <v>46183</v>
      </c>
      <c r="H75" s="100"/>
      <c r="I75" s="83"/>
      <c r="J75" s="83"/>
    </row>
    <row r="76" spans="2:10" ht="18" x14ac:dyDescent="0.25">
      <c r="B76" s="86"/>
      <c r="C76" s="86"/>
      <c r="D76" s="103"/>
      <c r="E76" s="101"/>
      <c r="F76" s="87"/>
    </row>
    <row r="77" spans="2:10" ht="30.75" customHeight="1" x14ac:dyDescent="0.25">
      <c r="C77" s="87"/>
      <c r="D77" s="87"/>
      <c r="F77" s="87"/>
    </row>
    <row r="78" spans="2:10" ht="25.5" customHeight="1" x14ac:dyDescent="0.25">
      <c r="B78" s="87" t="str">
        <f>+B3</f>
        <v>MBAZBAZ MARIELA L. Y OTRO</v>
      </c>
      <c r="C78" s="87"/>
      <c r="D78" s="87"/>
      <c r="E78" s="87" t="str">
        <f>+E1</f>
        <v>URUGUAY 1025/27/29 CAP. FED.</v>
      </c>
      <c r="F78" s="87"/>
      <c r="H78" s="95" t="s">
        <v>90</v>
      </c>
    </row>
    <row r="79" spans="2:10" ht="15" customHeight="1" x14ac:dyDescent="0.25">
      <c r="B79" s="88"/>
      <c r="C79" s="87"/>
      <c r="D79" s="87"/>
      <c r="F79" s="87"/>
      <c r="G79" s="88"/>
      <c r="H79" s="95" t="str">
        <f>+'RES CUENTA'!A14</f>
        <v>LOC 2</v>
      </c>
    </row>
    <row r="80" spans="2:10" ht="12.75" customHeight="1" x14ac:dyDescent="0.25">
      <c r="B80" s="87"/>
      <c r="C80" s="87"/>
      <c r="D80" s="87"/>
      <c r="E80" s="88"/>
      <c r="F80" s="88"/>
      <c r="G80" s="87"/>
      <c r="H80" s="88"/>
    </row>
    <row r="81" spans="2:8" ht="15" customHeight="1" x14ac:dyDescent="0.25">
      <c r="B81" s="96"/>
      <c r="C81" s="87"/>
      <c r="D81" s="96"/>
      <c r="E81" s="87"/>
      <c r="F81" s="87"/>
      <c r="G81" s="87"/>
      <c r="H81" s="87"/>
    </row>
    <row r="82" spans="2:8" ht="18" x14ac:dyDescent="0.25">
      <c r="B82" s="87" t="s">
        <v>82</v>
      </c>
      <c r="C82" s="87"/>
      <c r="D82" s="106">
        <f>+'RES CUENTA'!H26</f>
        <v>6751880</v>
      </c>
      <c r="E82" s="90">
        <f>+'RES CUENTA'!G14</f>
        <v>2.61</v>
      </c>
      <c r="F82" s="106">
        <f>+D82*E82/100</f>
        <v>176224.068</v>
      </c>
      <c r="G82" s="87"/>
      <c r="H82" s="96"/>
    </row>
    <row r="83" spans="2:8" ht="18" x14ac:dyDescent="0.25">
      <c r="B83" s="87" t="s">
        <v>194</v>
      </c>
      <c r="C83" s="87"/>
      <c r="D83" s="106">
        <f>+'RES CUENTA'!J26</f>
        <v>1482120</v>
      </c>
      <c r="E83" s="90">
        <f>+'RES CUENTA'!I14</f>
        <v>0</v>
      </c>
      <c r="F83" s="106">
        <f>+D83*E83/100</f>
        <v>0</v>
      </c>
      <c r="G83" s="96"/>
      <c r="H83" s="91"/>
    </row>
    <row r="84" spans="2:8" ht="18" x14ac:dyDescent="0.25">
      <c r="B84" s="87" t="s">
        <v>321</v>
      </c>
      <c r="C84" s="87"/>
      <c r="D84" s="106">
        <v>0</v>
      </c>
      <c r="E84" s="90">
        <v>0</v>
      </c>
      <c r="F84" s="106">
        <f>+'RES CUENTA'!L14</f>
        <v>0</v>
      </c>
      <c r="G84" s="96"/>
      <c r="H84" s="91"/>
    </row>
    <row r="85" spans="2:8" ht="18" x14ac:dyDescent="0.25">
      <c r="B85" s="87" t="s">
        <v>83</v>
      </c>
      <c r="C85" s="87"/>
      <c r="D85" s="106">
        <f>+'RES CUENTA'!O14</f>
        <v>352448.136</v>
      </c>
      <c r="E85" s="87">
        <v>0</v>
      </c>
      <c r="F85" s="106">
        <f>+D85</f>
        <v>352448.136</v>
      </c>
      <c r="G85" s="91"/>
      <c r="H85" s="91"/>
    </row>
    <row r="86" spans="2:8" ht="18" x14ac:dyDescent="0.25">
      <c r="B86" s="87" t="s">
        <v>84</v>
      </c>
      <c r="C86" s="87"/>
      <c r="D86" s="106">
        <f>+'RES CUENTA'!P14</f>
        <v>26433.610200000003</v>
      </c>
      <c r="E86" s="87">
        <v>0</v>
      </c>
      <c r="F86" s="166">
        <f>+'RES CUENTA'!P14</f>
        <v>26433.610200000003</v>
      </c>
      <c r="G86" s="91"/>
      <c r="H86" s="91"/>
    </row>
    <row r="87" spans="2:8" ht="18" x14ac:dyDescent="0.25">
      <c r="B87" s="88" t="s">
        <v>206</v>
      </c>
      <c r="C87" s="87"/>
      <c r="D87" s="87"/>
      <c r="F87" s="107">
        <f>SUM(F82:F86)</f>
        <v>555105.81420000002</v>
      </c>
      <c r="G87" s="91"/>
      <c r="H87" s="91"/>
    </row>
    <row r="88" spans="2:8" ht="18" x14ac:dyDescent="0.25">
      <c r="B88" s="88"/>
      <c r="C88" s="87"/>
      <c r="D88" s="87"/>
      <c r="F88" s="93"/>
      <c r="G88" s="91"/>
      <c r="H88" s="92"/>
    </row>
    <row r="89" spans="2:8" ht="18" x14ac:dyDescent="0.25">
      <c r="B89" s="87"/>
      <c r="C89" s="87"/>
      <c r="D89" s="87"/>
      <c r="E89" s="87"/>
      <c r="F89" s="94"/>
      <c r="G89" s="92"/>
      <c r="H89" s="92"/>
    </row>
    <row r="90" spans="2:8" ht="10.5" customHeight="1" x14ac:dyDescent="0.25">
      <c r="B90" s="87"/>
      <c r="C90" s="87"/>
      <c r="D90" s="87"/>
      <c r="E90" s="87"/>
      <c r="F90" s="94"/>
      <c r="G90" s="92"/>
      <c r="H90" s="92"/>
    </row>
    <row r="91" spans="2:8" ht="7.5" customHeight="1" x14ac:dyDescent="0.25">
      <c r="B91" s="87"/>
      <c r="C91" s="87"/>
      <c r="D91" s="87"/>
      <c r="E91" s="87"/>
      <c r="F91" s="94"/>
      <c r="G91" s="92"/>
      <c r="H91" s="92"/>
    </row>
    <row r="92" spans="2:8" ht="14.25" customHeight="1" x14ac:dyDescent="0.25">
      <c r="B92" s="87"/>
      <c r="C92" s="87"/>
      <c r="D92" s="87"/>
      <c r="E92" s="87"/>
      <c r="F92" s="94"/>
      <c r="G92" s="92"/>
      <c r="H92" s="87"/>
    </row>
    <row r="93" spans="2:8" ht="18" x14ac:dyDescent="0.25">
      <c r="B93" s="87" t="str">
        <f>+B78</f>
        <v>MBAZBAZ MARIELA L. Y OTRO</v>
      </c>
      <c r="C93" s="87"/>
      <c r="D93" s="87"/>
      <c r="E93" s="87" t="str">
        <f>+B78</f>
        <v>MBAZBAZ MARIELA L. Y OTRO</v>
      </c>
      <c r="F93" s="87"/>
      <c r="G93" s="87"/>
      <c r="H93" s="104"/>
    </row>
    <row r="94" spans="2:8" ht="18" x14ac:dyDescent="0.25">
      <c r="B94" s="88"/>
      <c r="C94" s="87"/>
      <c r="D94" s="87"/>
      <c r="F94" s="87"/>
      <c r="G94" s="104"/>
      <c r="H94" s="95" t="str">
        <f>+D95</f>
        <v>Unid. 2</v>
      </c>
    </row>
    <row r="95" spans="2:8" ht="18" x14ac:dyDescent="0.25">
      <c r="B95" s="87" t="str">
        <f>+E1</f>
        <v>URUGUAY 1025/27/29 CAP. FED.</v>
      </c>
      <c r="C95" s="87"/>
      <c r="D95" s="95" t="s">
        <v>90</v>
      </c>
      <c r="E95" s="87" t="str">
        <f>+E1</f>
        <v>URUGUAY 1025/27/29 CAP. FED.</v>
      </c>
      <c r="F95" s="87"/>
      <c r="G95" s="87"/>
      <c r="H95" s="87" t="str">
        <f>+H79</f>
        <v>LOC 2</v>
      </c>
    </row>
    <row r="96" spans="2:8" ht="18" x14ac:dyDescent="0.25">
      <c r="C96" s="88"/>
      <c r="D96" s="87" t="str">
        <f>+H95</f>
        <v>LOC 2</v>
      </c>
      <c r="F96" s="87"/>
      <c r="G96" s="87"/>
    </row>
    <row r="97" spans="1:9" ht="16.5" customHeight="1" x14ac:dyDescent="0.25">
      <c r="B97" s="87" t="str">
        <f>+F1</f>
        <v xml:space="preserve">P/depósito/transferencia en ICBC </v>
      </c>
      <c r="C97" s="87"/>
      <c r="D97" s="87"/>
      <c r="E97" s="88"/>
      <c r="F97" s="87"/>
      <c r="G97" s="87"/>
      <c r="H97" s="104"/>
    </row>
    <row r="98" spans="1:9" ht="18" x14ac:dyDescent="0.25">
      <c r="B98" s="87" t="str">
        <f>+F2</f>
        <v>Cta. Cte. $ N°538/02104658/84</v>
      </c>
      <c r="C98" s="87"/>
      <c r="D98" s="87"/>
      <c r="E98" s="87"/>
      <c r="F98" s="98"/>
      <c r="G98" s="88"/>
      <c r="H98" s="87"/>
    </row>
    <row r="99" spans="1:9" ht="18" x14ac:dyDescent="0.25">
      <c r="B99" s="87" t="str">
        <f>+F3</f>
        <v>CBU:0150538202000104658840</v>
      </c>
      <c r="C99" s="87"/>
      <c r="D99" s="87"/>
      <c r="E99" s="87" t="s">
        <v>85</v>
      </c>
      <c r="F99" s="109">
        <f>+F82</f>
        <v>176224.068</v>
      </c>
      <c r="G99" s="97"/>
      <c r="H99" s="102">
        <f>+D1</f>
        <v>46183</v>
      </c>
    </row>
    <row r="100" spans="1:9" ht="18" x14ac:dyDescent="0.25">
      <c r="B100" s="87" t="str">
        <f>+F4</f>
        <v>CUIT: 30-58026090-6</v>
      </c>
      <c r="C100" s="87"/>
      <c r="D100" s="87"/>
      <c r="E100" s="87" t="s">
        <v>193</v>
      </c>
      <c r="F100" s="109">
        <f>+F83</f>
        <v>0</v>
      </c>
      <c r="H100" s="87"/>
    </row>
    <row r="101" spans="1:9" ht="18" x14ac:dyDescent="0.25">
      <c r="B101" s="87"/>
      <c r="C101" s="87"/>
      <c r="D101" s="87"/>
      <c r="E101" s="87" t="s">
        <v>86</v>
      </c>
      <c r="F101" s="109">
        <f>+F85</f>
        <v>352448.136</v>
      </c>
      <c r="G101" s="87"/>
      <c r="H101" s="87"/>
    </row>
    <row r="102" spans="1:9" ht="20.25" customHeight="1" x14ac:dyDescent="0.25">
      <c r="B102" s="98"/>
      <c r="C102" s="98"/>
      <c r="D102" s="98"/>
      <c r="E102" s="87" t="s">
        <v>87</v>
      </c>
      <c r="F102" s="109">
        <f>+'RES CUENTA'!P14</f>
        <v>26433.610200000003</v>
      </c>
      <c r="G102" s="87"/>
      <c r="H102" s="87"/>
    </row>
    <row r="103" spans="1:9" ht="18" x14ac:dyDescent="0.25">
      <c r="D103" s="87"/>
      <c r="E103" s="87" t="s">
        <v>321</v>
      </c>
      <c r="F103" s="167">
        <f>+F84</f>
        <v>0</v>
      </c>
      <c r="G103" s="87"/>
      <c r="H103" s="87"/>
    </row>
    <row r="104" spans="1:9" ht="18" x14ac:dyDescent="0.25">
      <c r="B104" s="102">
        <f>+$G$34</f>
        <v>46183</v>
      </c>
      <c r="C104" s="108">
        <f>+F87</f>
        <v>555105.81420000002</v>
      </c>
      <c r="D104" s="87"/>
      <c r="E104" s="87" t="s">
        <v>88</v>
      </c>
      <c r="F104" s="109">
        <f>+F87</f>
        <v>555105.81420000002</v>
      </c>
      <c r="G104" s="87"/>
      <c r="H104" s="87"/>
    </row>
    <row r="105" spans="1:9" ht="18" x14ac:dyDescent="0.25">
      <c r="B105" s="87"/>
      <c r="C105" s="87"/>
      <c r="D105" s="87"/>
      <c r="E105" s="87"/>
      <c r="F105" s="87"/>
      <c r="G105" s="87"/>
      <c r="H105" s="87"/>
    </row>
    <row r="106" spans="1:9" ht="18" x14ac:dyDescent="0.25">
      <c r="B106" s="87"/>
      <c r="C106" s="87"/>
      <c r="D106" s="87"/>
      <c r="E106" s="105"/>
      <c r="F106" s="87"/>
      <c r="G106" s="87"/>
      <c r="H106" s="87"/>
    </row>
    <row r="107" spans="1:9" ht="18" x14ac:dyDescent="0.25">
      <c r="B107" s="87"/>
      <c r="C107" s="87"/>
      <c r="D107" s="87"/>
      <c r="E107" s="87"/>
      <c r="F107" s="87"/>
      <c r="G107" s="87"/>
      <c r="H107" s="96"/>
    </row>
    <row r="108" spans="1:9" ht="18" x14ac:dyDescent="0.25">
      <c r="A108" s="172"/>
      <c r="E108" s="87"/>
      <c r="G108" s="96"/>
      <c r="H108" s="87"/>
    </row>
    <row r="109" spans="1:9" ht="17.25" customHeight="1" x14ac:dyDescent="0.2"/>
    <row r="110" spans="1:9" ht="18" x14ac:dyDescent="0.25">
      <c r="B110" s="335"/>
      <c r="C110" s="335"/>
      <c r="D110" s="335"/>
      <c r="E110" s="340">
        <f>+$B$1</f>
        <v>46143</v>
      </c>
      <c r="F110" s="87"/>
      <c r="G110" s="341">
        <f>+$D$1</f>
        <v>46183</v>
      </c>
      <c r="H110" s="87"/>
      <c r="I110" s="83"/>
    </row>
    <row r="111" spans="1:9" ht="18" x14ac:dyDescent="0.25">
      <c r="B111" s="86"/>
      <c r="C111" s="86"/>
      <c r="D111" s="103"/>
      <c r="E111" s="340"/>
      <c r="F111" s="87"/>
      <c r="G111" s="341"/>
      <c r="H111" s="87"/>
      <c r="I111" s="83"/>
    </row>
    <row r="112" spans="1:9" ht="18" x14ac:dyDescent="0.25">
      <c r="B112" s="87"/>
      <c r="C112" s="87"/>
      <c r="D112" s="87"/>
      <c r="E112" s="88"/>
      <c r="F112" s="87"/>
      <c r="G112" s="88"/>
      <c r="H112" s="87"/>
      <c r="I112" s="83"/>
    </row>
    <row r="113" spans="2:9" ht="21.75" customHeight="1" x14ac:dyDescent="0.25">
      <c r="C113" s="87"/>
      <c r="D113" s="87"/>
      <c r="E113" s="88"/>
      <c r="F113" s="87"/>
      <c r="G113" s="88"/>
      <c r="H113" s="87"/>
      <c r="I113" s="83"/>
    </row>
    <row r="114" spans="2:9" ht="15" customHeight="1" x14ac:dyDescent="0.25">
      <c r="B114" s="87" t="str">
        <f>+B4</f>
        <v>RIMASA S.A.</v>
      </c>
      <c r="C114" s="87"/>
      <c r="D114" s="87"/>
      <c r="E114" s="87" t="str">
        <f>+E39</f>
        <v>URUGUAY 1025/27/29 CAP. FED.</v>
      </c>
      <c r="F114" s="87"/>
      <c r="G114" s="87"/>
      <c r="H114" s="95" t="s">
        <v>91</v>
      </c>
      <c r="I114" s="83"/>
    </row>
    <row r="115" spans="2:9" ht="18" x14ac:dyDescent="0.25">
      <c r="B115" s="87"/>
      <c r="C115" s="87"/>
      <c r="D115" s="87"/>
      <c r="E115" s="88"/>
      <c r="F115" s="88"/>
      <c r="G115" s="87"/>
      <c r="H115" s="95" t="str">
        <f>+'RES CUENTA'!A15</f>
        <v>´1-03</v>
      </c>
      <c r="I115" s="83"/>
    </row>
    <row r="116" spans="2:9" ht="12" customHeight="1" x14ac:dyDescent="0.25">
      <c r="B116" s="96"/>
      <c r="C116" s="87"/>
      <c r="D116" s="96"/>
      <c r="E116" s="87"/>
      <c r="F116" s="87"/>
      <c r="G116" s="87"/>
      <c r="H116" s="87"/>
      <c r="I116" s="83"/>
    </row>
    <row r="117" spans="2:9" ht="11.25" customHeight="1" x14ac:dyDescent="0.25">
      <c r="B117" s="96"/>
      <c r="C117" s="87"/>
      <c r="D117" s="96"/>
      <c r="E117" s="87"/>
      <c r="F117" s="87"/>
      <c r="G117" s="87"/>
      <c r="H117" s="87"/>
      <c r="I117" s="83"/>
    </row>
    <row r="118" spans="2:9" ht="18" x14ac:dyDescent="0.25">
      <c r="B118" s="87" t="s">
        <v>82</v>
      </c>
      <c r="C118" s="87"/>
      <c r="D118" s="106">
        <f>+'RES CUENTA'!H26</f>
        <v>6751880</v>
      </c>
      <c r="E118" s="90">
        <f>+'RES CUENTA'!G15</f>
        <v>8.67</v>
      </c>
      <c r="F118" s="106">
        <f>+D118*E118/100</f>
        <v>585387.99600000004</v>
      </c>
      <c r="G118" s="339"/>
      <c r="H118" s="339"/>
      <c r="I118" s="83"/>
    </row>
    <row r="119" spans="2:9" ht="18" x14ac:dyDescent="0.25">
      <c r="B119" s="87" t="s">
        <v>194</v>
      </c>
      <c r="C119" s="87"/>
      <c r="D119" s="106">
        <f>+'RES CUENTA'!J26</f>
        <v>1482120</v>
      </c>
      <c r="E119" s="90">
        <f>+'RES CUENTA'!I15</f>
        <v>9.1368953525134362</v>
      </c>
      <c r="F119" s="106">
        <f>+D119*E119/100</f>
        <v>135419.75339867212</v>
      </c>
      <c r="G119" s="336"/>
      <c r="H119" s="336"/>
      <c r="I119" s="83"/>
    </row>
    <row r="120" spans="2:9" ht="18" x14ac:dyDescent="0.25">
      <c r="B120" s="87" t="s">
        <v>321</v>
      </c>
      <c r="C120" s="87"/>
      <c r="D120" s="106">
        <v>0</v>
      </c>
      <c r="E120" s="90">
        <v>0</v>
      </c>
      <c r="F120" s="106">
        <f>+'RES CUENTA'!L15</f>
        <v>0</v>
      </c>
      <c r="G120" s="91"/>
      <c r="H120" s="91"/>
      <c r="I120" s="83"/>
    </row>
    <row r="121" spans="2:9" ht="18" x14ac:dyDescent="0.25">
      <c r="B121" s="87" t="s">
        <v>83</v>
      </c>
      <c r="C121" s="87"/>
      <c r="D121" s="106">
        <f>+'RES CUENTA'!O15</f>
        <v>0</v>
      </c>
      <c r="E121" s="87">
        <v>0</v>
      </c>
      <c r="F121" s="106">
        <f>+D121</f>
        <v>0</v>
      </c>
      <c r="G121" s="336"/>
      <c r="H121" s="336"/>
      <c r="I121" s="83"/>
    </row>
    <row r="122" spans="2:9" ht="18" x14ac:dyDescent="0.25">
      <c r="B122" s="87" t="s">
        <v>84</v>
      </c>
      <c r="C122" s="87"/>
      <c r="D122" s="106">
        <f>+'RES CUENTA'!P15</f>
        <v>0</v>
      </c>
      <c r="E122" s="87">
        <v>0</v>
      </c>
      <c r="F122" s="166">
        <f>+D122</f>
        <v>0</v>
      </c>
      <c r="G122" s="336"/>
      <c r="H122" s="336"/>
      <c r="I122" s="83"/>
    </row>
    <row r="123" spans="2:9" ht="18" x14ac:dyDescent="0.25">
      <c r="B123" s="88" t="s">
        <v>206</v>
      </c>
      <c r="C123" s="87"/>
      <c r="D123" s="87"/>
      <c r="E123" s="94"/>
      <c r="F123" s="107">
        <f>SUM(F118:F122)</f>
        <v>720807.74939867214</v>
      </c>
      <c r="G123" s="336"/>
      <c r="H123" s="336"/>
      <c r="I123" s="83"/>
    </row>
    <row r="124" spans="2:9" ht="18" x14ac:dyDescent="0.25">
      <c r="B124" s="88"/>
      <c r="C124" s="87"/>
      <c r="D124" s="87"/>
      <c r="E124" s="94"/>
      <c r="F124" s="107"/>
      <c r="G124" s="91"/>
      <c r="H124" s="91"/>
      <c r="I124" s="83"/>
    </row>
    <row r="125" spans="2:9" ht="26.25" customHeight="1" x14ac:dyDescent="0.25">
      <c r="B125" s="88"/>
      <c r="C125" s="87"/>
      <c r="D125" s="87"/>
      <c r="E125" s="87"/>
      <c r="G125" s="337"/>
      <c r="H125" s="337"/>
      <c r="I125" s="83"/>
    </row>
    <row r="126" spans="2:9" ht="18" x14ac:dyDescent="0.25">
      <c r="B126" s="88"/>
      <c r="C126" s="87"/>
      <c r="D126" s="87"/>
      <c r="E126" s="87"/>
      <c r="G126" s="92"/>
      <c r="H126" s="92"/>
      <c r="I126" s="83"/>
    </row>
    <row r="127" spans="2:9" ht="14.25" customHeight="1" x14ac:dyDescent="0.25">
      <c r="B127" s="87"/>
      <c r="C127" s="87"/>
      <c r="D127" s="87"/>
      <c r="E127" s="87"/>
      <c r="F127" s="93"/>
      <c r="G127" s="92"/>
      <c r="H127" s="92"/>
      <c r="I127" s="83"/>
    </row>
    <row r="128" spans="2:9" ht="6.75" customHeight="1" x14ac:dyDescent="0.25">
      <c r="B128" s="87"/>
      <c r="C128" s="87"/>
      <c r="D128" s="87"/>
      <c r="E128" s="87"/>
      <c r="F128" s="94"/>
      <c r="G128" s="87"/>
      <c r="H128" s="87"/>
      <c r="I128" s="83"/>
    </row>
    <row r="129" spans="2:9" ht="18" x14ac:dyDescent="0.25">
      <c r="B129" s="87" t="str">
        <f>+B114</f>
        <v>RIMASA S.A.</v>
      </c>
      <c r="C129" s="338"/>
      <c r="D129" s="338"/>
      <c r="E129" s="87" t="str">
        <f>+B129</f>
        <v>RIMASA S.A.</v>
      </c>
      <c r="F129" s="94"/>
      <c r="G129" s="87"/>
      <c r="H129" s="87"/>
      <c r="I129" s="83"/>
    </row>
    <row r="130" spans="2:9" ht="18" x14ac:dyDescent="0.25">
      <c r="C130" s="87"/>
      <c r="D130" s="87"/>
      <c r="F130" s="338"/>
      <c r="G130" s="338"/>
      <c r="H130" s="338"/>
      <c r="I130" s="83"/>
    </row>
    <row r="131" spans="2:9" ht="18" x14ac:dyDescent="0.25">
      <c r="B131" s="87" t="str">
        <f>+E1</f>
        <v>URUGUAY 1025/27/29 CAP. FED.</v>
      </c>
      <c r="C131" s="87"/>
      <c r="D131" s="95" t="str">
        <f>+H114</f>
        <v>Unid. 3</v>
      </c>
      <c r="E131" s="87" t="str">
        <f>+E1</f>
        <v>URUGUAY 1025/27/29 CAP. FED.</v>
      </c>
      <c r="F131" s="87"/>
      <c r="G131" s="87"/>
      <c r="H131" s="95" t="str">
        <f>+D131</f>
        <v>Unid. 3</v>
      </c>
      <c r="I131" s="83"/>
    </row>
    <row r="132" spans="2:9" ht="18" x14ac:dyDescent="0.25">
      <c r="D132" s="95" t="str">
        <f>+H132</f>
        <v>´1-03</v>
      </c>
      <c r="H132" s="95" t="str">
        <f>+H115</f>
        <v>´1-03</v>
      </c>
      <c r="I132" s="83"/>
    </row>
    <row r="133" spans="2:9" ht="18" x14ac:dyDescent="0.25">
      <c r="B133" s="87" t="str">
        <f>+F1</f>
        <v xml:space="preserve">P/depósito/transferencia en ICBC </v>
      </c>
      <c r="C133" s="88"/>
      <c r="D133" s="95"/>
      <c r="E133" s="88"/>
      <c r="F133" s="87"/>
      <c r="G133" s="87"/>
      <c r="I133" s="83"/>
    </row>
    <row r="134" spans="2:9" ht="18" x14ac:dyDescent="0.25">
      <c r="B134" s="87" t="str">
        <f>+F2</f>
        <v>Cta. Cte. $ N°538/02104658/84</v>
      </c>
      <c r="C134" s="87"/>
      <c r="D134" s="87"/>
      <c r="E134" s="87"/>
      <c r="F134" s="87"/>
      <c r="G134" s="88"/>
      <c r="H134" s="104"/>
      <c r="I134" s="83"/>
    </row>
    <row r="135" spans="2:9" ht="18" x14ac:dyDescent="0.25">
      <c r="B135" s="87" t="str">
        <f>+F3</f>
        <v>CBU:0150538202000104658840</v>
      </c>
      <c r="C135" s="87"/>
      <c r="D135" s="87"/>
      <c r="E135" s="98"/>
      <c r="F135" s="87"/>
      <c r="G135" s="96"/>
      <c r="H135" s="87"/>
      <c r="I135" s="83"/>
    </row>
    <row r="136" spans="2:9" ht="18" x14ac:dyDescent="0.25">
      <c r="B136" s="87" t="str">
        <f>+F4</f>
        <v>CUIT: 30-58026090-6</v>
      </c>
      <c r="C136" s="87"/>
      <c r="D136" s="87"/>
      <c r="E136" s="87" t="s">
        <v>85</v>
      </c>
      <c r="F136" s="109">
        <f>+F118</f>
        <v>585387.99600000004</v>
      </c>
      <c r="H136" s="102">
        <f>+D1</f>
        <v>46183</v>
      </c>
      <c r="I136" s="83"/>
    </row>
    <row r="137" spans="2:9" ht="18" x14ac:dyDescent="0.25">
      <c r="B137" s="87"/>
      <c r="C137" s="87"/>
      <c r="D137" s="87"/>
      <c r="E137" s="87" t="s">
        <v>193</v>
      </c>
      <c r="F137" s="109">
        <f>+F119</f>
        <v>135419.75339867212</v>
      </c>
      <c r="I137" s="83"/>
    </row>
    <row r="138" spans="2:9" ht="18" x14ac:dyDescent="0.25">
      <c r="C138" s="87"/>
      <c r="D138" s="87"/>
      <c r="E138" s="87" t="s">
        <v>86</v>
      </c>
      <c r="F138" s="109">
        <f>+F121</f>
        <v>0</v>
      </c>
      <c r="G138" s="87"/>
      <c r="H138" s="87"/>
      <c r="I138" s="83"/>
    </row>
    <row r="139" spans="2:9" ht="18" x14ac:dyDescent="0.25">
      <c r="B139" s="87"/>
      <c r="C139" s="87"/>
      <c r="D139" s="87"/>
      <c r="E139" s="87" t="s">
        <v>87</v>
      </c>
      <c r="F139" s="109">
        <f>+'RES CUENTA'!P15</f>
        <v>0</v>
      </c>
      <c r="G139" s="87"/>
      <c r="H139" s="87"/>
      <c r="I139" s="83"/>
    </row>
    <row r="140" spans="2:9" ht="18" x14ac:dyDescent="0.25">
      <c r="B140" s="98"/>
      <c r="C140" s="98"/>
      <c r="D140" s="98"/>
      <c r="E140" s="87" t="s">
        <v>321</v>
      </c>
      <c r="F140" s="167">
        <f>+F120</f>
        <v>0</v>
      </c>
      <c r="G140" s="87"/>
      <c r="H140" s="87"/>
      <c r="I140" s="83"/>
    </row>
    <row r="141" spans="2:9" ht="18" x14ac:dyDescent="0.25">
      <c r="B141" s="102">
        <f>+$G$34</f>
        <v>46183</v>
      </c>
      <c r="C141" s="108">
        <f>+F123</f>
        <v>720807.74939867214</v>
      </c>
      <c r="D141" s="87"/>
      <c r="E141" s="87" t="s">
        <v>88</v>
      </c>
      <c r="F141" s="109">
        <f>+F123</f>
        <v>720807.74939867214</v>
      </c>
      <c r="G141" s="87"/>
      <c r="H141" s="87"/>
      <c r="I141" s="83"/>
    </row>
    <row r="142" spans="2:9" ht="18" x14ac:dyDescent="0.25">
      <c r="B142" s="87"/>
      <c r="C142" s="87"/>
      <c r="D142" s="87"/>
      <c r="E142" s="105"/>
      <c r="F142" s="87"/>
      <c r="G142" s="87"/>
      <c r="H142" s="87"/>
      <c r="I142" s="83"/>
    </row>
    <row r="143" spans="2:9" ht="18" x14ac:dyDescent="0.25">
      <c r="B143" s="87"/>
      <c r="C143" s="87"/>
      <c r="D143" s="87"/>
      <c r="F143" s="87"/>
      <c r="G143" s="87"/>
      <c r="H143" s="87"/>
      <c r="I143" s="83"/>
    </row>
    <row r="144" spans="2:9" ht="18" x14ac:dyDescent="0.25">
      <c r="B144" s="87"/>
      <c r="C144" s="87"/>
      <c r="D144" s="87"/>
      <c r="E144" s="87"/>
      <c r="F144" s="87"/>
      <c r="G144" s="339"/>
      <c r="H144" s="339"/>
      <c r="I144" s="83"/>
    </row>
    <row r="145" spans="2:9" ht="18" x14ac:dyDescent="0.25">
      <c r="B145" s="87"/>
      <c r="C145" s="87"/>
      <c r="D145" s="87"/>
      <c r="E145" s="87"/>
      <c r="F145" s="87"/>
      <c r="G145" s="87"/>
      <c r="H145" s="87"/>
      <c r="I145" s="83"/>
    </row>
    <row r="146" spans="2:9" ht="18" x14ac:dyDescent="0.25">
      <c r="B146" s="87"/>
      <c r="C146" s="87"/>
      <c r="D146" s="87"/>
      <c r="E146" s="87"/>
      <c r="F146" s="87"/>
      <c r="G146" s="87"/>
      <c r="H146" s="87"/>
      <c r="I146" s="83"/>
    </row>
    <row r="147" spans="2:9" ht="18" x14ac:dyDescent="0.25">
      <c r="B147" s="87"/>
      <c r="C147" s="87"/>
      <c r="D147" s="87"/>
      <c r="E147" s="87"/>
      <c r="F147" s="87"/>
      <c r="G147" s="87"/>
      <c r="H147" s="87"/>
      <c r="I147" s="83"/>
    </row>
    <row r="148" spans="2:9" ht="18" x14ac:dyDescent="0.25">
      <c r="B148" s="87"/>
      <c r="C148" s="87"/>
      <c r="D148" s="87"/>
      <c r="E148" s="87"/>
      <c r="F148" s="87"/>
      <c r="G148" s="87"/>
      <c r="H148" s="87"/>
      <c r="I148" s="83"/>
    </row>
    <row r="149" spans="2:9" ht="18" x14ac:dyDescent="0.25">
      <c r="B149" s="87"/>
      <c r="C149" s="87"/>
      <c r="D149" s="87"/>
      <c r="E149" s="87"/>
      <c r="F149" s="87"/>
      <c r="G149" s="87"/>
      <c r="H149" s="87"/>
      <c r="I149" s="83"/>
    </row>
    <row r="150" spans="2:9" ht="18" x14ac:dyDescent="0.25">
      <c r="B150" s="335"/>
      <c r="C150" s="335"/>
      <c r="D150" s="335"/>
      <c r="E150" s="87"/>
      <c r="F150" s="87"/>
      <c r="H150" s="87"/>
      <c r="I150" s="83"/>
    </row>
    <row r="151" spans="2:9" ht="18" x14ac:dyDescent="0.25">
      <c r="B151" s="335"/>
      <c r="C151" s="335"/>
      <c r="D151" s="335"/>
      <c r="E151" s="101">
        <f>+$B$1</f>
        <v>46143</v>
      </c>
      <c r="F151" s="87"/>
      <c r="G151" s="102">
        <f>+$D$1</f>
        <v>46183</v>
      </c>
      <c r="H151" s="100"/>
      <c r="I151" s="83"/>
    </row>
    <row r="152" spans="2:9" ht="15" customHeight="1" x14ac:dyDescent="0.25">
      <c r="B152" s="86"/>
      <c r="C152" s="86"/>
      <c r="D152" s="103"/>
      <c r="E152" s="101"/>
      <c r="F152" s="87"/>
    </row>
    <row r="153" spans="2:9" ht="21.75" customHeight="1" x14ac:dyDescent="0.25">
      <c r="C153" s="87"/>
      <c r="D153" s="87"/>
      <c r="F153" s="87"/>
    </row>
    <row r="154" spans="2:9" ht="20.25" customHeight="1" x14ac:dyDescent="0.25">
      <c r="B154" s="87" t="str">
        <f>+B5</f>
        <v>CANOPUS TRAVEL</v>
      </c>
      <c r="C154" s="87"/>
      <c r="D154" s="87"/>
      <c r="E154" s="87" t="str">
        <f>+E1</f>
        <v>URUGUAY 1025/27/29 CAP. FED.</v>
      </c>
      <c r="F154" s="87"/>
      <c r="H154" s="95" t="s">
        <v>92</v>
      </c>
    </row>
    <row r="155" spans="2:9" ht="18" x14ac:dyDescent="0.25">
      <c r="B155" s="88"/>
      <c r="C155" s="87"/>
      <c r="D155" s="87"/>
      <c r="F155" s="87"/>
      <c r="G155" s="88"/>
      <c r="H155" s="95" t="str">
        <f>+'RES CUENTA'!A16</f>
        <v>´2-04</v>
      </c>
    </row>
    <row r="156" spans="2:9" ht="24" customHeight="1" x14ac:dyDescent="0.25">
      <c r="B156" s="87"/>
      <c r="C156" s="87"/>
      <c r="D156" s="87"/>
      <c r="E156" s="88"/>
      <c r="F156" s="88"/>
      <c r="G156" s="87"/>
      <c r="H156" s="88"/>
    </row>
    <row r="157" spans="2:9" ht="16.5" customHeight="1" x14ac:dyDescent="0.25">
      <c r="B157" s="96"/>
      <c r="C157" s="87"/>
      <c r="D157" s="96"/>
      <c r="E157" s="87"/>
      <c r="F157" s="87"/>
      <c r="G157" s="87"/>
      <c r="H157" s="87"/>
    </row>
    <row r="158" spans="2:9" ht="18" x14ac:dyDescent="0.25">
      <c r="B158" s="87" t="s">
        <v>82</v>
      </c>
      <c r="C158" s="87"/>
      <c r="D158" s="110">
        <f>+'RES CUENTA'!H26</f>
        <v>6751880</v>
      </c>
      <c r="E158" s="111">
        <f>+'RES CUENTA'!G16</f>
        <v>8.67</v>
      </c>
      <c r="F158" s="106">
        <f>+D158*E158/100</f>
        <v>585387.99600000004</v>
      </c>
      <c r="G158" s="87"/>
      <c r="H158" s="96"/>
    </row>
    <row r="159" spans="2:9" ht="18" x14ac:dyDescent="0.25">
      <c r="B159" s="87" t="s">
        <v>194</v>
      </c>
      <c r="C159" s="87"/>
      <c r="D159" s="110">
        <f>+'RES CUENTA'!J26</f>
        <v>1482120</v>
      </c>
      <c r="E159" s="111">
        <f>+'RES CUENTA'!I16</f>
        <v>9.1368953525134362</v>
      </c>
      <c r="F159" s="106">
        <f>+D159*E159/100</f>
        <v>135419.75339867212</v>
      </c>
      <c r="G159" s="96"/>
      <c r="H159" s="91"/>
    </row>
    <row r="160" spans="2:9" ht="18" x14ac:dyDescent="0.25">
      <c r="B160" s="87" t="str">
        <f>+B120</f>
        <v>s/Asamblea</v>
      </c>
      <c r="C160" s="87"/>
      <c r="D160" s="110">
        <v>0</v>
      </c>
      <c r="E160" s="111">
        <v>0</v>
      </c>
      <c r="F160" s="106">
        <f>+'RES CUENTA'!L15</f>
        <v>0</v>
      </c>
      <c r="G160" s="96"/>
      <c r="H160" s="91"/>
    </row>
    <row r="161" spans="2:8" ht="18" x14ac:dyDescent="0.25">
      <c r="B161" s="87" t="s">
        <v>83</v>
      </c>
      <c r="C161" s="87"/>
      <c r="D161" s="110">
        <f>+'RES CUENTA'!O16</f>
        <v>0</v>
      </c>
      <c r="E161" s="92">
        <v>0</v>
      </c>
      <c r="F161" s="106">
        <f>+D161</f>
        <v>0</v>
      </c>
      <c r="G161" s="91"/>
      <c r="H161" s="91"/>
    </row>
    <row r="162" spans="2:8" ht="18" x14ac:dyDescent="0.25">
      <c r="B162" s="87" t="s">
        <v>84</v>
      </c>
      <c r="C162" s="87"/>
      <c r="D162" s="110">
        <f>+'RES CUENTA'!P16</f>
        <v>0</v>
      </c>
      <c r="E162" s="92">
        <v>0</v>
      </c>
      <c r="F162" s="166">
        <f>+D162</f>
        <v>0</v>
      </c>
      <c r="G162" s="91"/>
      <c r="H162" s="91"/>
    </row>
    <row r="163" spans="2:8" ht="15" customHeight="1" x14ac:dyDescent="0.25">
      <c r="B163" s="88" t="s">
        <v>206</v>
      </c>
      <c r="C163" s="87"/>
      <c r="D163" s="87"/>
      <c r="F163" s="107">
        <f>SUM(F158:F162)</f>
        <v>720807.74939867214</v>
      </c>
      <c r="G163" s="91"/>
      <c r="H163" s="91"/>
    </row>
    <row r="164" spans="2:8" ht="18" x14ac:dyDescent="0.25">
      <c r="B164" s="88"/>
      <c r="C164" s="87"/>
      <c r="D164" s="87"/>
      <c r="F164" s="93"/>
      <c r="G164" s="91"/>
      <c r="H164" s="92"/>
    </row>
    <row r="165" spans="2:8" ht="18" x14ac:dyDescent="0.25">
      <c r="B165" s="88"/>
      <c r="C165" s="87"/>
      <c r="D165" s="87"/>
      <c r="F165" s="93"/>
      <c r="G165" s="91"/>
      <c r="H165" s="92"/>
    </row>
    <row r="166" spans="2:8" ht="18" x14ac:dyDescent="0.25">
      <c r="B166" s="87"/>
      <c r="C166" s="87"/>
      <c r="D166" s="87"/>
      <c r="E166" s="87"/>
      <c r="F166" s="94"/>
      <c r="G166" s="92"/>
      <c r="H166" s="92"/>
    </row>
    <row r="167" spans="2:8" ht="12.75" customHeight="1" x14ac:dyDescent="0.25">
      <c r="B167" s="87"/>
      <c r="C167" s="87"/>
      <c r="D167" s="87"/>
      <c r="E167" s="87"/>
      <c r="F167" s="94"/>
      <c r="G167" s="92"/>
      <c r="H167" s="92"/>
    </row>
    <row r="168" spans="2:8" ht="24.75" customHeight="1" x14ac:dyDescent="0.25">
      <c r="B168" s="87" t="str">
        <f>+B154</f>
        <v>CANOPUS TRAVEL</v>
      </c>
      <c r="C168" s="87"/>
      <c r="D168" s="87"/>
      <c r="E168" s="87" t="str">
        <f>+B154</f>
        <v>CANOPUS TRAVEL</v>
      </c>
      <c r="F168" s="87"/>
      <c r="G168" s="87"/>
      <c r="H168" s="104"/>
    </row>
    <row r="169" spans="2:8" ht="18" x14ac:dyDescent="0.25">
      <c r="B169" s="88"/>
      <c r="C169" s="87"/>
      <c r="D169" s="87"/>
      <c r="F169" s="87"/>
      <c r="G169" s="104"/>
      <c r="H169" s="95" t="s">
        <v>92</v>
      </c>
    </row>
    <row r="170" spans="2:8" ht="18" x14ac:dyDescent="0.25">
      <c r="B170" s="87" t="str">
        <f>+E1</f>
        <v>URUGUAY 1025/27/29 CAP. FED.</v>
      </c>
      <c r="C170" s="87"/>
      <c r="D170" s="95" t="s">
        <v>92</v>
      </c>
      <c r="E170" s="87" t="str">
        <f>+E1</f>
        <v>URUGUAY 1025/27/29 CAP. FED.</v>
      </c>
      <c r="F170" s="87"/>
      <c r="G170" s="87"/>
      <c r="H170" s="87" t="str">
        <f>+H155</f>
        <v>´2-04</v>
      </c>
    </row>
    <row r="171" spans="2:8" ht="18" x14ac:dyDescent="0.25">
      <c r="C171" s="88"/>
      <c r="D171" s="87" t="str">
        <f>+H170</f>
        <v>´2-04</v>
      </c>
      <c r="F171" s="87"/>
      <c r="G171" s="87"/>
    </row>
    <row r="172" spans="2:8" ht="15" customHeight="1" x14ac:dyDescent="0.25">
      <c r="B172" s="87" t="str">
        <f>+F1</f>
        <v xml:space="preserve">P/depósito/transferencia en ICBC </v>
      </c>
      <c r="C172" s="87"/>
      <c r="D172" s="87"/>
      <c r="E172" s="88"/>
      <c r="F172" s="87"/>
      <c r="G172" s="87"/>
      <c r="H172" s="104"/>
    </row>
    <row r="173" spans="2:8" ht="18" x14ac:dyDescent="0.25">
      <c r="B173" s="87" t="str">
        <f>+F2</f>
        <v>Cta. Cte. $ N°538/02104658/84</v>
      </c>
      <c r="C173" s="87"/>
      <c r="D173" s="87"/>
      <c r="E173" s="87"/>
      <c r="F173" s="98"/>
      <c r="G173" s="88"/>
      <c r="H173" s="87"/>
    </row>
    <row r="174" spans="2:8" ht="18" x14ac:dyDescent="0.25">
      <c r="B174" s="87" t="str">
        <f>+F3</f>
        <v>CBU:0150538202000104658840</v>
      </c>
      <c r="C174" s="87"/>
      <c r="D174" s="87"/>
      <c r="E174" s="87" t="s">
        <v>85</v>
      </c>
      <c r="F174" s="109">
        <f>+F158</f>
        <v>585387.99600000004</v>
      </c>
      <c r="G174" s="97"/>
      <c r="H174" s="102">
        <f>+D1</f>
        <v>46183</v>
      </c>
    </row>
    <row r="175" spans="2:8" ht="18" x14ac:dyDescent="0.25">
      <c r="B175" s="87" t="str">
        <f>+F4</f>
        <v>CUIT: 30-58026090-6</v>
      </c>
      <c r="C175" s="87"/>
      <c r="D175" s="87"/>
      <c r="E175" s="87" t="s">
        <v>193</v>
      </c>
      <c r="F175" s="109">
        <f>+F159</f>
        <v>135419.75339867212</v>
      </c>
      <c r="H175" s="87"/>
    </row>
    <row r="176" spans="2:8" ht="18" x14ac:dyDescent="0.25">
      <c r="B176" s="87"/>
      <c r="C176" s="87"/>
      <c r="D176" s="87"/>
      <c r="E176" s="87" t="s">
        <v>86</v>
      </c>
      <c r="F176" s="109">
        <f>+F161</f>
        <v>0</v>
      </c>
      <c r="G176" s="87"/>
      <c r="H176" s="87"/>
    </row>
    <row r="177" spans="1:8" ht="18" x14ac:dyDescent="0.25">
      <c r="B177" s="98"/>
      <c r="C177" s="98"/>
      <c r="D177" s="98"/>
      <c r="E177" s="87" t="s">
        <v>87</v>
      </c>
      <c r="F177" s="109">
        <f>+'RES CUENTA'!P16</f>
        <v>0</v>
      </c>
      <c r="G177" s="87"/>
      <c r="H177" s="87"/>
    </row>
    <row r="178" spans="1:8" ht="18" x14ac:dyDescent="0.25">
      <c r="B178" s="98"/>
      <c r="C178" s="98"/>
      <c r="D178" s="98"/>
      <c r="E178" s="87" t="s">
        <v>321</v>
      </c>
      <c r="F178" s="167">
        <f>+F160</f>
        <v>0</v>
      </c>
      <c r="G178" s="87"/>
      <c r="H178" s="87"/>
    </row>
    <row r="179" spans="1:8" ht="18" x14ac:dyDescent="0.25">
      <c r="B179" s="102">
        <f>+$G$34</f>
        <v>46183</v>
      </c>
      <c r="C179" s="108">
        <f>+F163</f>
        <v>720807.74939867214</v>
      </c>
      <c r="D179" s="87"/>
      <c r="E179" s="87" t="s">
        <v>88</v>
      </c>
      <c r="F179" s="109">
        <f>+F163</f>
        <v>720807.74939867214</v>
      </c>
      <c r="G179" s="87"/>
      <c r="H179" s="87"/>
    </row>
    <row r="180" spans="1:8" ht="18" x14ac:dyDescent="0.25">
      <c r="B180" s="87"/>
      <c r="C180" s="87"/>
      <c r="D180" s="87"/>
      <c r="E180" s="87"/>
      <c r="F180" s="87"/>
      <c r="G180" s="87"/>
      <c r="H180" s="87"/>
    </row>
    <row r="181" spans="1:8" ht="18" x14ac:dyDescent="0.25">
      <c r="B181" s="87"/>
      <c r="C181" s="87"/>
      <c r="D181" s="87"/>
      <c r="E181" s="105"/>
      <c r="F181" s="87"/>
      <c r="G181" s="87"/>
      <c r="H181" s="87"/>
    </row>
    <row r="182" spans="1:8" ht="18" x14ac:dyDescent="0.25">
      <c r="B182" s="87"/>
      <c r="C182" s="87"/>
      <c r="D182" s="87"/>
      <c r="E182" s="87"/>
      <c r="F182" s="87"/>
      <c r="G182" s="87"/>
      <c r="H182" s="96"/>
    </row>
    <row r="183" spans="1:8" ht="18" x14ac:dyDescent="0.25">
      <c r="E183" s="87"/>
      <c r="G183" s="96"/>
      <c r="H183" s="87"/>
    </row>
    <row r="184" spans="1:8" ht="19.5" customHeight="1" x14ac:dyDescent="0.2">
      <c r="A184" s="172"/>
    </row>
    <row r="185" spans="1:8" ht="15.75" customHeight="1" x14ac:dyDescent="0.2"/>
    <row r="186" spans="1:8" ht="18" x14ac:dyDescent="0.25">
      <c r="B186" s="335"/>
      <c r="C186" s="335"/>
      <c r="D186" s="335"/>
      <c r="E186" s="347">
        <f>+$B$1</f>
        <v>46143</v>
      </c>
      <c r="F186" s="87"/>
      <c r="G186" s="341">
        <f>+$D$1</f>
        <v>46183</v>
      </c>
      <c r="H186" s="87"/>
    </row>
    <row r="187" spans="1:8" ht="18" x14ac:dyDescent="0.25">
      <c r="B187" s="86"/>
      <c r="C187" s="86"/>
      <c r="D187" s="103"/>
      <c r="E187" s="347"/>
      <c r="F187" s="87"/>
      <c r="G187" s="341"/>
      <c r="H187" s="87"/>
    </row>
    <row r="188" spans="1:8" ht="18" x14ac:dyDescent="0.25">
      <c r="B188" s="87"/>
      <c r="C188" s="87"/>
      <c r="D188" s="87"/>
      <c r="E188" s="88"/>
      <c r="F188" s="87"/>
      <c r="G188" s="88"/>
      <c r="H188" s="87"/>
    </row>
    <row r="189" spans="1:8" ht="21" customHeight="1" x14ac:dyDescent="0.25">
      <c r="C189" s="87"/>
      <c r="D189" s="87"/>
      <c r="E189" s="88"/>
      <c r="F189" s="87"/>
      <c r="G189" s="88"/>
      <c r="H189" s="87"/>
    </row>
    <row r="190" spans="1:8" ht="15.75" customHeight="1" x14ac:dyDescent="0.25">
      <c r="B190" s="87" t="str">
        <f>+B6</f>
        <v>LASTIRI JORGE ANTONIO</v>
      </c>
      <c r="C190" s="87"/>
      <c r="D190" s="87"/>
      <c r="E190" s="87" t="str">
        <f>+E39</f>
        <v>URUGUAY 1025/27/29 CAP. FED.</v>
      </c>
      <c r="F190" s="87"/>
      <c r="G190" s="87"/>
      <c r="H190" s="95" t="s">
        <v>93</v>
      </c>
    </row>
    <row r="191" spans="1:8" ht="18" x14ac:dyDescent="0.25">
      <c r="B191" s="87"/>
      <c r="C191" s="87"/>
      <c r="D191" s="87"/>
      <c r="E191" s="88"/>
      <c r="F191" s="88"/>
      <c r="G191" s="87"/>
      <c r="H191" s="87" t="str">
        <f>+'RES CUENTA'!A17</f>
        <v>´3-05</v>
      </c>
    </row>
    <row r="192" spans="1:8" ht="24.75" customHeight="1" x14ac:dyDescent="0.25">
      <c r="B192" s="96"/>
      <c r="C192" s="87"/>
      <c r="D192" s="96"/>
      <c r="E192" s="87"/>
      <c r="F192" s="87"/>
      <c r="G192" s="87"/>
      <c r="H192" s="87"/>
    </row>
    <row r="193" spans="2:8" ht="18.75" customHeight="1" x14ac:dyDescent="0.25">
      <c r="B193" s="87" t="s">
        <v>82</v>
      </c>
      <c r="C193" s="87"/>
      <c r="D193" s="110">
        <f>+'RES CUENTA'!H26</f>
        <v>6751880</v>
      </c>
      <c r="E193" s="111">
        <f>+'RES CUENTA'!G17</f>
        <v>8.67</v>
      </c>
      <c r="F193" s="106">
        <f>+D193*E193/100</f>
        <v>585387.99600000004</v>
      </c>
      <c r="G193" s="339"/>
      <c r="H193" s="339"/>
    </row>
    <row r="194" spans="2:8" ht="18" x14ac:dyDescent="0.25">
      <c r="B194" s="87" t="s">
        <v>194</v>
      </c>
      <c r="C194" s="87"/>
      <c r="D194" s="110">
        <f>+'RES CUENTA'!J26</f>
        <v>1482120</v>
      </c>
      <c r="E194" s="111">
        <f>+'RES CUENTA'!I17</f>
        <v>9.1368953525134362</v>
      </c>
      <c r="F194" s="106">
        <f>+D194*E194/100</f>
        <v>135419.75339867212</v>
      </c>
      <c r="G194" s="336"/>
      <c r="H194" s="336"/>
    </row>
    <row r="195" spans="2:8" ht="18" x14ac:dyDescent="0.25">
      <c r="B195" s="87" t="str">
        <f>+B160</f>
        <v>s/Asamblea</v>
      </c>
      <c r="C195" s="87"/>
      <c r="D195" s="110">
        <v>0</v>
      </c>
      <c r="E195" s="111">
        <v>0</v>
      </c>
      <c r="F195" s="106">
        <f>+'RES CUENTA'!L17</f>
        <v>0</v>
      </c>
      <c r="G195" s="91"/>
      <c r="H195" s="91"/>
    </row>
    <row r="196" spans="2:8" ht="18" x14ac:dyDescent="0.25">
      <c r="B196" s="87" t="s">
        <v>83</v>
      </c>
      <c r="C196" s="87"/>
      <c r="D196" s="110">
        <f>+'RES CUENTA'!O17</f>
        <v>0</v>
      </c>
      <c r="E196" s="92">
        <v>0</v>
      </c>
      <c r="F196" s="106">
        <f>+D196</f>
        <v>0</v>
      </c>
      <c r="G196" s="336"/>
      <c r="H196" s="336"/>
    </row>
    <row r="197" spans="2:8" ht="18" x14ac:dyDescent="0.25">
      <c r="B197" s="87" t="s">
        <v>84</v>
      </c>
      <c r="C197" s="87"/>
      <c r="D197" s="110">
        <f>+'RES CUENTA'!P17</f>
        <v>0</v>
      </c>
      <c r="E197" s="92">
        <v>0</v>
      </c>
      <c r="F197" s="166">
        <f>+D197</f>
        <v>0</v>
      </c>
      <c r="G197" s="336"/>
      <c r="H197" s="336"/>
    </row>
    <row r="198" spans="2:8" ht="18" x14ac:dyDescent="0.25">
      <c r="B198" s="88" t="s">
        <v>206</v>
      </c>
      <c r="C198" s="87"/>
      <c r="D198" s="87"/>
      <c r="E198" s="94"/>
      <c r="F198" s="107">
        <f>SUM(F193:F197)</f>
        <v>720807.74939867214</v>
      </c>
      <c r="G198" s="336"/>
      <c r="H198" s="336"/>
    </row>
    <row r="199" spans="2:8" ht="18" x14ac:dyDescent="0.25">
      <c r="B199" s="88"/>
      <c r="C199" s="87"/>
      <c r="D199" s="87"/>
      <c r="E199" s="87"/>
      <c r="G199" s="337"/>
      <c r="H199" s="337"/>
    </row>
    <row r="200" spans="2:8" ht="18" x14ac:dyDescent="0.25">
      <c r="B200" s="88"/>
      <c r="C200" s="87"/>
      <c r="D200" s="87"/>
      <c r="E200" s="87"/>
      <c r="G200" s="92"/>
      <c r="H200" s="92"/>
    </row>
    <row r="201" spans="2:8" ht="18" x14ac:dyDescent="0.25">
      <c r="B201" s="87"/>
      <c r="C201" s="87"/>
      <c r="D201" s="87"/>
      <c r="E201" s="87"/>
      <c r="F201" s="93"/>
      <c r="G201" s="92"/>
      <c r="H201" s="92"/>
    </row>
    <row r="202" spans="2:8" ht="18" x14ac:dyDescent="0.25">
      <c r="B202" s="87"/>
      <c r="C202" s="87"/>
      <c r="D202" s="87"/>
      <c r="E202" s="87"/>
      <c r="F202" s="94"/>
      <c r="G202" s="87"/>
      <c r="H202" s="87"/>
    </row>
    <row r="203" spans="2:8" ht="15" customHeight="1" x14ac:dyDescent="0.25">
      <c r="B203" s="87"/>
      <c r="C203" s="87"/>
      <c r="D203" s="87"/>
      <c r="E203" s="87"/>
      <c r="F203" s="94"/>
      <c r="G203" s="87"/>
      <c r="H203" s="87"/>
    </row>
    <row r="204" spans="2:8" ht="8.25" customHeight="1" x14ac:dyDescent="0.25">
      <c r="B204" s="87"/>
      <c r="C204" s="87"/>
      <c r="D204" s="87"/>
      <c r="E204" s="87"/>
      <c r="F204" s="94"/>
      <c r="G204" s="87"/>
      <c r="H204" s="87"/>
    </row>
    <row r="205" spans="2:8" ht="18" x14ac:dyDescent="0.25">
      <c r="B205" s="87" t="str">
        <f>+B190</f>
        <v>LASTIRI JORGE ANTONIO</v>
      </c>
      <c r="C205" s="338"/>
      <c r="D205" s="338"/>
      <c r="E205" s="87" t="str">
        <f>+B205</f>
        <v>LASTIRI JORGE ANTONIO</v>
      </c>
      <c r="F205" s="94"/>
      <c r="G205" s="87"/>
      <c r="H205" s="87"/>
    </row>
    <row r="206" spans="2:8" ht="18" x14ac:dyDescent="0.25">
      <c r="C206" s="87"/>
      <c r="D206" s="87"/>
      <c r="F206" s="338"/>
      <c r="G206" s="338"/>
      <c r="H206" s="338"/>
    </row>
    <row r="207" spans="2:8" ht="18" x14ac:dyDescent="0.25">
      <c r="B207" s="87" t="str">
        <f>+E1</f>
        <v>URUGUAY 1025/27/29 CAP. FED.</v>
      </c>
      <c r="C207" s="87"/>
      <c r="D207" s="95" t="str">
        <f>+H190</f>
        <v>Unid. 5</v>
      </c>
      <c r="E207" s="87" t="str">
        <f>+E1</f>
        <v>URUGUAY 1025/27/29 CAP. FED.</v>
      </c>
      <c r="F207" s="87"/>
      <c r="G207" s="87"/>
      <c r="H207" s="95" t="str">
        <f>+D207</f>
        <v>Unid. 5</v>
      </c>
    </row>
    <row r="208" spans="2:8" ht="18" x14ac:dyDescent="0.25">
      <c r="D208" s="95" t="str">
        <f>+H208</f>
        <v>´3-05</v>
      </c>
      <c r="H208" s="95" t="str">
        <f>+H191</f>
        <v>´3-05</v>
      </c>
    </row>
    <row r="209" spans="2:8" ht="18" x14ac:dyDescent="0.25">
      <c r="B209" s="87" t="str">
        <f>+F1</f>
        <v xml:space="preserve">P/depósito/transferencia en ICBC </v>
      </c>
      <c r="C209" s="88"/>
      <c r="D209" s="95"/>
      <c r="E209" s="88"/>
      <c r="F209" s="87"/>
      <c r="G209" s="87"/>
    </row>
    <row r="210" spans="2:8" ht="18" x14ac:dyDescent="0.25">
      <c r="B210" s="87" t="str">
        <f>+F2</f>
        <v>Cta. Cte. $ N°538/02104658/84</v>
      </c>
      <c r="C210" s="87"/>
      <c r="D210" s="87"/>
      <c r="E210" s="87"/>
      <c r="F210" s="87"/>
      <c r="G210" s="88"/>
      <c r="H210" s="104"/>
    </row>
    <row r="211" spans="2:8" ht="18" x14ac:dyDescent="0.25">
      <c r="B211" s="87" t="str">
        <f>+F3</f>
        <v>CBU:0150538202000104658840</v>
      </c>
      <c r="C211" s="87"/>
      <c r="D211" s="87"/>
      <c r="E211" s="87" t="s">
        <v>85</v>
      </c>
      <c r="F211" s="109">
        <f>+F193</f>
        <v>585387.99600000004</v>
      </c>
      <c r="H211" s="102">
        <f>+D1</f>
        <v>46183</v>
      </c>
    </row>
    <row r="212" spans="2:8" ht="18" x14ac:dyDescent="0.25">
      <c r="B212" s="87" t="str">
        <f>+F4</f>
        <v>CUIT: 30-58026090-6</v>
      </c>
      <c r="C212" s="87"/>
      <c r="D212" s="87"/>
      <c r="E212" s="87" t="s">
        <v>193</v>
      </c>
      <c r="F212" s="109">
        <f>+F194</f>
        <v>135419.75339867212</v>
      </c>
    </row>
    <row r="213" spans="2:8" ht="18" x14ac:dyDescent="0.25">
      <c r="B213" s="87"/>
      <c r="C213" s="87"/>
      <c r="D213" s="87"/>
      <c r="E213" s="87" t="s">
        <v>86</v>
      </c>
      <c r="F213" s="109">
        <f>+F196</f>
        <v>0</v>
      </c>
      <c r="G213" s="87"/>
      <c r="H213" s="87"/>
    </row>
    <row r="214" spans="2:8" ht="18" x14ac:dyDescent="0.25">
      <c r="B214" s="87"/>
      <c r="C214" s="87"/>
      <c r="D214" s="87"/>
      <c r="E214" s="87" t="s">
        <v>87</v>
      </c>
      <c r="F214" s="109">
        <f>+F197</f>
        <v>0</v>
      </c>
      <c r="G214" s="87"/>
      <c r="H214" s="87"/>
    </row>
    <row r="215" spans="2:8" ht="18" x14ac:dyDescent="0.25">
      <c r="B215" s="98"/>
      <c r="C215" s="98"/>
      <c r="D215" s="98"/>
      <c r="E215" s="87" t="s">
        <v>321</v>
      </c>
      <c r="F215" s="167">
        <f>+F195</f>
        <v>0</v>
      </c>
      <c r="G215" s="87"/>
      <c r="H215" s="87"/>
    </row>
    <row r="216" spans="2:8" ht="18" x14ac:dyDescent="0.25">
      <c r="B216" s="102">
        <f>+$G$34</f>
        <v>46183</v>
      </c>
      <c r="C216" s="108">
        <f>+F198</f>
        <v>720807.74939867214</v>
      </c>
      <c r="D216" s="87"/>
      <c r="E216" s="87" t="s">
        <v>88</v>
      </c>
      <c r="F216" s="109">
        <f>+F198</f>
        <v>720807.74939867214</v>
      </c>
      <c r="G216" s="87"/>
      <c r="H216" s="87"/>
    </row>
    <row r="217" spans="2:8" ht="26.25" customHeight="1" x14ac:dyDescent="0.25">
      <c r="B217" s="87"/>
      <c r="C217" s="87"/>
      <c r="D217" s="87"/>
      <c r="E217" s="87"/>
      <c r="F217" s="87"/>
      <c r="G217" s="87"/>
      <c r="H217" s="87"/>
    </row>
    <row r="218" spans="2:8" ht="18" x14ac:dyDescent="0.25">
      <c r="B218" s="87"/>
      <c r="C218" s="87"/>
      <c r="D218" s="87"/>
      <c r="E218" s="87"/>
      <c r="F218" s="87"/>
      <c r="G218" s="339"/>
      <c r="H218" s="339"/>
    </row>
    <row r="219" spans="2:8" ht="18" x14ac:dyDescent="0.25">
      <c r="B219" s="87"/>
      <c r="C219" s="87"/>
      <c r="D219" s="87"/>
      <c r="E219" s="87"/>
      <c r="F219" s="87"/>
      <c r="G219" s="87"/>
      <c r="H219" s="87"/>
    </row>
    <row r="220" spans="2:8" ht="18" x14ac:dyDescent="0.25">
      <c r="B220" s="87"/>
      <c r="C220" s="87"/>
      <c r="D220" s="87"/>
      <c r="E220" s="87"/>
      <c r="F220" s="87"/>
      <c r="G220" s="87"/>
      <c r="H220" s="87"/>
    </row>
    <row r="221" spans="2:8" ht="18" x14ac:dyDescent="0.25">
      <c r="B221" s="87"/>
      <c r="C221" s="87"/>
      <c r="D221" s="87"/>
      <c r="E221" s="87"/>
      <c r="F221" s="87"/>
      <c r="G221" s="87"/>
      <c r="H221" s="87"/>
    </row>
    <row r="222" spans="2:8" ht="18" x14ac:dyDescent="0.25">
      <c r="B222" s="87"/>
      <c r="C222" s="87"/>
      <c r="D222" s="87"/>
      <c r="E222" s="87"/>
      <c r="F222" s="87"/>
      <c r="G222" s="87"/>
      <c r="H222" s="87"/>
    </row>
    <row r="223" spans="2:8" ht="18" x14ac:dyDescent="0.25">
      <c r="B223" s="87"/>
      <c r="C223" s="87"/>
      <c r="D223" s="87"/>
      <c r="E223" s="87"/>
      <c r="F223" s="87"/>
      <c r="G223" s="87"/>
      <c r="H223" s="87"/>
    </row>
    <row r="224" spans="2:8" ht="18" x14ac:dyDescent="0.25">
      <c r="B224" s="87"/>
      <c r="C224" s="87"/>
      <c r="D224" s="87"/>
      <c r="E224" s="87"/>
      <c r="F224" s="87"/>
      <c r="G224" s="87"/>
      <c r="H224" s="87"/>
    </row>
    <row r="225" spans="2:8" ht="26.25" customHeight="1" x14ac:dyDescent="0.25">
      <c r="B225" s="87"/>
      <c r="C225" s="87"/>
      <c r="D225" s="87"/>
      <c r="E225" s="87"/>
      <c r="F225" s="87"/>
      <c r="G225" s="87"/>
      <c r="H225" s="87"/>
    </row>
    <row r="226" spans="2:8" ht="18" x14ac:dyDescent="0.25">
      <c r="B226" s="335"/>
      <c r="C226" s="335"/>
      <c r="D226" s="335"/>
      <c r="E226" s="112">
        <f>+$B$1</f>
        <v>46143</v>
      </c>
      <c r="F226" s="87"/>
      <c r="G226" s="102">
        <f>+$D$1</f>
        <v>46183</v>
      </c>
      <c r="H226" s="100"/>
    </row>
    <row r="227" spans="2:8" ht="18" x14ac:dyDescent="0.25">
      <c r="B227" s="86"/>
      <c r="C227" s="86"/>
      <c r="D227" s="103"/>
      <c r="E227" s="101"/>
      <c r="F227" s="87"/>
    </row>
    <row r="228" spans="2:8" ht="27.75" customHeight="1" x14ac:dyDescent="0.25">
      <c r="C228" s="87"/>
      <c r="D228" s="87"/>
      <c r="F228" s="87"/>
    </row>
    <row r="229" spans="2:8" ht="21" customHeight="1" x14ac:dyDescent="0.25">
      <c r="B229" s="87" t="str">
        <f>+B7</f>
        <v>GASTALDI JOSE MARIA</v>
      </c>
      <c r="C229" s="87"/>
      <c r="D229" s="87"/>
      <c r="E229" s="87" t="str">
        <f>+E1</f>
        <v>URUGUAY 1025/27/29 CAP. FED.</v>
      </c>
      <c r="F229" s="87"/>
      <c r="H229" s="95" t="s">
        <v>94</v>
      </c>
    </row>
    <row r="230" spans="2:8" ht="18" x14ac:dyDescent="0.25">
      <c r="B230" s="88"/>
      <c r="C230" s="87"/>
      <c r="D230" s="87"/>
      <c r="F230" s="87"/>
      <c r="G230" s="88"/>
      <c r="H230" s="95" t="str">
        <f>+'RES CUENTA'!A18</f>
        <v>´4-06</v>
      </c>
    </row>
    <row r="231" spans="2:8" ht="18" customHeight="1" x14ac:dyDescent="0.25">
      <c r="B231" s="87"/>
      <c r="C231" s="87"/>
      <c r="D231" s="87"/>
      <c r="E231" s="88"/>
      <c r="F231" s="88"/>
      <c r="G231" s="87"/>
      <c r="H231" s="88"/>
    </row>
    <row r="232" spans="2:8" ht="18" x14ac:dyDescent="0.25">
      <c r="B232" s="87" t="s">
        <v>82</v>
      </c>
      <c r="C232" s="87"/>
      <c r="D232" s="110">
        <f>+'RES CUENTA'!$H$26</f>
        <v>6751880</v>
      </c>
      <c r="E232" s="111">
        <f>+'RES CUENTA'!G18</f>
        <v>8.67</v>
      </c>
      <c r="F232" s="106">
        <f>+D232*E232/100</f>
        <v>585387.99600000004</v>
      </c>
      <c r="G232" s="87"/>
      <c r="H232" s="96"/>
    </row>
    <row r="233" spans="2:8" ht="18" x14ac:dyDescent="0.25">
      <c r="B233" s="87" t="s">
        <v>194</v>
      </c>
      <c r="C233" s="87"/>
      <c r="D233" s="110">
        <f>+'RES CUENTA'!J26</f>
        <v>1482120</v>
      </c>
      <c r="E233" s="111">
        <f>+'RES CUENTA'!I18</f>
        <v>9.1368953525134362</v>
      </c>
      <c r="F233" s="106">
        <f>+D233*E233/100</f>
        <v>135419.75339867212</v>
      </c>
      <c r="G233" s="96"/>
      <c r="H233" s="91"/>
    </row>
    <row r="234" spans="2:8" ht="18" x14ac:dyDescent="0.25">
      <c r="B234" s="87" t="str">
        <f>+B195</f>
        <v>s/Asamblea</v>
      </c>
      <c r="C234" s="87"/>
      <c r="D234" s="110">
        <v>0</v>
      </c>
      <c r="E234" s="111">
        <v>0</v>
      </c>
      <c r="F234" s="106">
        <f>+'RES CUENTA'!L18</f>
        <v>0</v>
      </c>
      <c r="G234" s="96"/>
      <c r="H234" s="91"/>
    </row>
    <row r="235" spans="2:8" ht="18" x14ac:dyDescent="0.25">
      <c r="B235" s="87" t="s">
        <v>83</v>
      </c>
      <c r="C235" s="87"/>
      <c r="D235" s="110">
        <f>+'RES CUENTA'!O18</f>
        <v>-192</v>
      </c>
      <c r="E235" s="92">
        <v>0</v>
      </c>
      <c r="F235" s="106">
        <f>+D235</f>
        <v>-192</v>
      </c>
      <c r="G235" s="91"/>
      <c r="H235" s="91"/>
    </row>
    <row r="236" spans="2:8" ht="18" x14ac:dyDescent="0.25">
      <c r="B236" s="87" t="s">
        <v>84</v>
      </c>
      <c r="C236" s="87"/>
      <c r="D236" s="110">
        <f>+'RES CUENTA'!P18</f>
        <v>0</v>
      </c>
      <c r="E236" s="92">
        <v>0</v>
      </c>
      <c r="F236" s="166">
        <f>+D236</f>
        <v>0</v>
      </c>
      <c r="G236" s="91"/>
      <c r="H236" s="91"/>
    </row>
    <row r="237" spans="2:8" ht="18" x14ac:dyDescent="0.25">
      <c r="B237" s="88" t="s">
        <v>206</v>
      </c>
      <c r="C237" s="87"/>
      <c r="D237" s="87"/>
      <c r="F237" s="107">
        <f>SUM(F232:F236)</f>
        <v>720615.74939867214</v>
      </c>
      <c r="G237" s="91"/>
      <c r="H237" s="92"/>
    </row>
    <row r="238" spans="2:8" ht="18" x14ac:dyDescent="0.25">
      <c r="B238" s="87"/>
      <c r="C238" s="87"/>
      <c r="D238" s="87"/>
      <c r="E238" s="87"/>
      <c r="F238" s="94"/>
      <c r="G238" s="92"/>
      <c r="H238" s="92"/>
    </row>
    <row r="239" spans="2:8" ht="18" x14ac:dyDescent="0.25">
      <c r="B239" s="87"/>
      <c r="C239" s="87"/>
      <c r="D239" s="87"/>
      <c r="E239" s="87"/>
      <c r="F239" s="94"/>
      <c r="G239" s="92"/>
      <c r="H239" s="92"/>
    </row>
    <row r="240" spans="2:8" ht="18" x14ac:dyDescent="0.25">
      <c r="B240" s="87"/>
      <c r="C240" s="87"/>
      <c r="D240" s="87"/>
      <c r="E240" s="87"/>
      <c r="F240" s="94"/>
      <c r="G240" s="92"/>
      <c r="H240" s="92"/>
    </row>
    <row r="241" spans="2:8" ht="14.25" customHeight="1" x14ac:dyDescent="0.25">
      <c r="B241" s="87"/>
      <c r="C241" s="87"/>
      <c r="D241" s="87"/>
      <c r="E241" s="87"/>
      <c r="F241" s="94"/>
      <c r="G241" s="92"/>
      <c r="H241" s="92"/>
    </row>
    <row r="242" spans="2:8" ht="4.5" customHeight="1" x14ac:dyDescent="0.25">
      <c r="B242" s="87"/>
      <c r="C242" s="87"/>
      <c r="D242" s="87"/>
      <c r="E242" s="87"/>
      <c r="F242" s="94"/>
      <c r="G242" s="92"/>
      <c r="H242" s="87"/>
    </row>
    <row r="243" spans="2:8" ht="18" x14ac:dyDescent="0.25">
      <c r="B243" s="87" t="str">
        <f>+B229</f>
        <v>GASTALDI JOSE MARIA</v>
      </c>
      <c r="C243" s="87"/>
      <c r="D243" s="87"/>
      <c r="E243" s="87" t="str">
        <f>+B229</f>
        <v>GASTALDI JOSE MARIA</v>
      </c>
      <c r="F243" s="87"/>
      <c r="G243" s="87"/>
      <c r="H243" s="104"/>
    </row>
    <row r="244" spans="2:8" ht="18" x14ac:dyDescent="0.25">
      <c r="B244" s="88"/>
      <c r="C244" s="87"/>
      <c r="D244" s="87"/>
      <c r="F244" s="87"/>
      <c r="G244" s="104"/>
      <c r="H244" s="95" t="s">
        <v>94</v>
      </c>
    </row>
    <row r="245" spans="2:8" ht="18" x14ac:dyDescent="0.25">
      <c r="B245" s="87" t="str">
        <f>+E1</f>
        <v>URUGUAY 1025/27/29 CAP. FED.</v>
      </c>
      <c r="C245" s="87"/>
      <c r="D245" s="95" t="s">
        <v>94</v>
      </c>
      <c r="E245" s="87" t="str">
        <f>+E1</f>
        <v>URUGUAY 1025/27/29 CAP. FED.</v>
      </c>
      <c r="F245" s="87"/>
      <c r="G245" s="87"/>
      <c r="H245" s="87" t="str">
        <f>+H230</f>
        <v>´4-06</v>
      </c>
    </row>
    <row r="246" spans="2:8" ht="18" x14ac:dyDescent="0.25">
      <c r="C246" s="88"/>
      <c r="D246" s="87" t="str">
        <f>+H245</f>
        <v>´4-06</v>
      </c>
      <c r="F246" s="87"/>
      <c r="G246" s="87"/>
    </row>
    <row r="247" spans="2:8" ht="18" x14ac:dyDescent="0.25">
      <c r="B247" s="87" t="str">
        <f>+F1</f>
        <v xml:space="preserve">P/depósito/transferencia en ICBC </v>
      </c>
      <c r="C247" s="87"/>
      <c r="D247" s="87"/>
      <c r="E247" s="88"/>
      <c r="F247" s="87"/>
      <c r="G247" s="87"/>
      <c r="H247" s="104"/>
    </row>
    <row r="248" spans="2:8" ht="18" x14ac:dyDescent="0.25">
      <c r="B248" s="87" t="str">
        <f>+F2</f>
        <v>Cta. Cte. $ N°538/02104658/84</v>
      </c>
      <c r="C248" s="87"/>
      <c r="D248" s="87"/>
      <c r="E248" s="87"/>
      <c r="F248" s="98"/>
      <c r="G248" s="88"/>
      <c r="H248" s="87"/>
    </row>
    <row r="249" spans="2:8" ht="18" x14ac:dyDescent="0.25">
      <c r="B249" s="87" t="str">
        <f>+F3</f>
        <v>CBU:0150538202000104658840</v>
      </c>
      <c r="C249" s="87"/>
      <c r="D249" s="87"/>
      <c r="E249" s="87" t="s">
        <v>85</v>
      </c>
      <c r="F249" s="109">
        <f>+F232</f>
        <v>585387.99600000004</v>
      </c>
      <c r="G249" s="97"/>
      <c r="H249" s="102">
        <f>+G226</f>
        <v>46183</v>
      </c>
    </row>
    <row r="250" spans="2:8" ht="18" x14ac:dyDescent="0.25">
      <c r="B250" s="87" t="str">
        <f>+F4</f>
        <v>CUIT: 30-58026090-6</v>
      </c>
      <c r="C250" s="87"/>
      <c r="D250" s="87"/>
      <c r="E250" s="87" t="s">
        <v>193</v>
      </c>
      <c r="F250" s="109">
        <f>+F233</f>
        <v>135419.75339867212</v>
      </c>
      <c r="H250" s="87"/>
    </row>
    <row r="251" spans="2:8" ht="18" x14ac:dyDescent="0.25">
      <c r="B251" s="87"/>
      <c r="C251" s="87"/>
      <c r="D251" s="87"/>
      <c r="E251" s="87" t="s">
        <v>86</v>
      </c>
      <c r="F251" s="109">
        <f>+F235</f>
        <v>-192</v>
      </c>
      <c r="G251" s="87"/>
      <c r="H251" s="87"/>
    </row>
    <row r="252" spans="2:8" ht="21" customHeight="1" x14ac:dyDescent="0.25">
      <c r="B252" s="98"/>
      <c r="C252" s="98"/>
      <c r="D252" s="98"/>
      <c r="E252" s="87" t="s">
        <v>87</v>
      </c>
      <c r="F252" s="109">
        <f>+F236</f>
        <v>0</v>
      </c>
      <c r="G252" s="87"/>
      <c r="H252" s="87"/>
    </row>
    <row r="253" spans="2:8" ht="18" x14ac:dyDescent="0.25">
      <c r="D253" s="87"/>
      <c r="E253" s="87" t="s">
        <v>321</v>
      </c>
      <c r="F253" s="167">
        <f>+F234</f>
        <v>0</v>
      </c>
      <c r="G253" s="87"/>
      <c r="H253" s="87"/>
    </row>
    <row r="254" spans="2:8" ht="18" x14ac:dyDescent="0.25">
      <c r="B254" s="102">
        <f>+$G$34</f>
        <v>46183</v>
      </c>
      <c r="C254" s="108">
        <f>+F237</f>
        <v>720615.74939867214</v>
      </c>
      <c r="D254" s="87"/>
      <c r="E254" s="87" t="s">
        <v>88</v>
      </c>
      <c r="F254" s="109">
        <f>+F237</f>
        <v>720615.74939867214</v>
      </c>
      <c r="G254" s="87"/>
      <c r="H254" s="87"/>
    </row>
    <row r="255" spans="2:8" ht="18" x14ac:dyDescent="0.25">
      <c r="B255" s="87"/>
      <c r="C255" s="87"/>
      <c r="D255" s="87"/>
      <c r="E255" s="87"/>
      <c r="F255" s="87"/>
      <c r="G255" s="87"/>
      <c r="H255" s="87"/>
    </row>
    <row r="256" spans="2:8" ht="18" x14ac:dyDescent="0.25">
      <c r="B256" s="87"/>
      <c r="C256" s="87"/>
      <c r="D256" s="87"/>
      <c r="E256" s="105"/>
      <c r="F256" s="87"/>
      <c r="G256" s="87"/>
      <c r="H256" s="87"/>
    </row>
    <row r="257" spans="1:8" ht="18" x14ac:dyDescent="0.25">
      <c r="B257" s="87"/>
      <c r="C257" s="87"/>
      <c r="D257" s="87"/>
      <c r="E257" s="87"/>
      <c r="F257" s="87"/>
      <c r="G257" s="87"/>
      <c r="H257" s="96"/>
    </row>
    <row r="258" spans="1:8" ht="18" x14ac:dyDescent="0.25">
      <c r="E258" s="87"/>
      <c r="G258" s="96"/>
      <c r="H258" s="87"/>
    </row>
    <row r="259" spans="1:8" ht="18" x14ac:dyDescent="0.25">
      <c r="E259" s="87"/>
      <c r="G259" s="96"/>
      <c r="H259" s="87"/>
    </row>
    <row r="260" spans="1:8" ht="16.5" customHeight="1" x14ac:dyDescent="0.25">
      <c r="A260" s="83"/>
      <c r="B260" s="83"/>
      <c r="C260" s="83"/>
      <c r="D260" s="83"/>
      <c r="E260" s="87"/>
      <c r="F260" s="83"/>
      <c r="G260" s="92"/>
      <c r="H260" s="87"/>
    </row>
    <row r="261" spans="1:8" ht="13.5" customHeight="1" x14ac:dyDescent="0.2">
      <c r="A261" s="83"/>
      <c r="B261" s="83"/>
      <c r="C261" s="83"/>
      <c r="D261" s="83"/>
      <c r="E261" s="83"/>
      <c r="F261" s="83"/>
      <c r="G261" s="83"/>
      <c r="H261" s="83"/>
    </row>
    <row r="262" spans="1:8" ht="18" x14ac:dyDescent="0.25">
      <c r="A262" s="83"/>
      <c r="B262" s="345"/>
      <c r="C262" s="345"/>
      <c r="D262" s="345"/>
      <c r="E262" s="347">
        <f>+$B$1</f>
        <v>46143</v>
      </c>
      <c r="F262" s="87"/>
      <c r="G262" s="348">
        <f>+$D$1</f>
        <v>46183</v>
      </c>
      <c r="H262" s="87"/>
    </row>
    <row r="263" spans="1:8" ht="18" x14ac:dyDescent="0.25">
      <c r="A263" s="83"/>
      <c r="B263" s="143"/>
      <c r="C263" s="143"/>
      <c r="D263" s="103"/>
      <c r="E263" s="347"/>
      <c r="F263" s="87"/>
      <c r="G263" s="348"/>
      <c r="H263" s="87"/>
    </row>
    <row r="264" spans="1:8" ht="13.5" customHeight="1" x14ac:dyDescent="0.25">
      <c r="A264" s="83"/>
      <c r="B264" s="87"/>
      <c r="C264" s="87"/>
      <c r="D264" s="87"/>
      <c r="E264" s="87"/>
      <c r="F264" s="87"/>
      <c r="G264" s="87"/>
      <c r="H264" s="87"/>
    </row>
    <row r="265" spans="1:8" ht="26.25" customHeight="1" x14ac:dyDescent="0.25">
      <c r="A265" s="83"/>
      <c r="C265" s="87"/>
      <c r="D265" s="87"/>
      <c r="E265" s="87"/>
      <c r="F265" s="87"/>
      <c r="G265" s="87"/>
      <c r="H265" s="87"/>
    </row>
    <row r="266" spans="1:8" ht="18.75" customHeight="1" x14ac:dyDescent="0.25">
      <c r="A266" s="83"/>
      <c r="B266" s="87" t="str">
        <f>+B8</f>
        <v>ROCHERAY &amp; TESSI</v>
      </c>
      <c r="C266" s="87"/>
      <c r="D266" s="87"/>
      <c r="E266" s="87" t="str">
        <f>+E39</f>
        <v>URUGUAY 1025/27/29 CAP. FED.</v>
      </c>
      <c r="F266" s="87"/>
      <c r="G266" s="87"/>
      <c r="H266" s="95" t="s">
        <v>95</v>
      </c>
    </row>
    <row r="267" spans="1:8" ht="18" x14ac:dyDescent="0.25">
      <c r="A267" s="83"/>
      <c r="B267" s="87"/>
      <c r="C267" s="87"/>
      <c r="D267" s="87"/>
      <c r="E267" s="87"/>
      <c r="F267" s="87"/>
      <c r="G267" s="87"/>
      <c r="H267" s="87" t="str">
        <f>+'RES CUENTA'!A19</f>
        <v>´5-07</v>
      </c>
    </row>
    <row r="268" spans="1:8" ht="12.75" customHeight="1" x14ac:dyDescent="0.25">
      <c r="A268" s="83"/>
      <c r="B268" s="92"/>
      <c r="C268" s="87"/>
      <c r="D268" s="92"/>
      <c r="E268" s="87"/>
      <c r="F268" s="87"/>
      <c r="G268" s="87"/>
      <c r="H268" s="87"/>
    </row>
    <row r="269" spans="1:8" ht="14.25" customHeight="1" x14ac:dyDescent="0.25">
      <c r="A269" s="83"/>
      <c r="B269" s="92"/>
      <c r="C269" s="87"/>
      <c r="D269" s="92"/>
      <c r="E269" s="87"/>
      <c r="F269" s="87"/>
      <c r="G269" s="87"/>
      <c r="H269" s="87"/>
    </row>
    <row r="270" spans="1:8" ht="18" x14ac:dyDescent="0.25">
      <c r="A270" s="83"/>
      <c r="B270" s="87" t="s">
        <v>82</v>
      </c>
      <c r="C270" s="87"/>
      <c r="D270" s="110">
        <f>+'RES CUENTA'!H26</f>
        <v>6751880</v>
      </c>
      <c r="E270" s="111">
        <f>+'RES CUENTA'!G19</f>
        <v>8.67</v>
      </c>
      <c r="F270" s="106">
        <f>+D270*E270/100</f>
        <v>585387.99600000004</v>
      </c>
      <c r="G270" s="337"/>
      <c r="H270" s="337"/>
    </row>
    <row r="271" spans="1:8" ht="18" x14ac:dyDescent="0.25">
      <c r="A271" s="83"/>
      <c r="B271" s="87" t="s">
        <v>194</v>
      </c>
      <c r="C271" s="87"/>
      <c r="D271" s="110">
        <f>+'RES CUENTA'!J26</f>
        <v>1482120</v>
      </c>
      <c r="E271" s="111">
        <f>+'RES CUENTA'!I19</f>
        <v>9.1368953525134362</v>
      </c>
      <c r="F271" s="106">
        <f>+D271*E271/100</f>
        <v>135419.75339867212</v>
      </c>
      <c r="G271" s="336"/>
      <c r="H271" s="336"/>
    </row>
    <row r="272" spans="1:8" ht="18" x14ac:dyDescent="0.25">
      <c r="A272" s="83"/>
      <c r="B272" s="87" t="str">
        <f>+B234</f>
        <v>s/Asamblea</v>
      </c>
      <c r="C272" s="87"/>
      <c r="D272" s="110">
        <v>0</v>
      </c>
      <c r="E272" s="111">
        <v>0</v>
      </c>
      <c r="F272" s="106">
        <f>+'RES CUENTA'!L19</f>
        <v>0</v>
      </c>
      <c r="G272" s="91"/>
      <c r="H272" s="91"/>
    </row>
    <row r="273" spans="1:8" ht="18" x14ac:dyDescent="0.25">
      <c r="A273" s="83"/>
      <c r="B273" s="87" t="s">
        <v>83</v>
      </c>
      <c r="C273" s="87"/>
      <c r="D273" s="110">
        <f>+'RES CUENTA'!O19</f>
        <v>0</v>
      </c>
      <c r="E273" s="92">
        <v>0</v>
      </c>
      <c r="F273" s="106">
        <f>+D273</f>
        <v>0</v>
      </c>
      <c r="G273" s="336"/>
      <c r="H273" s="336"/>
    </row>
    <row r="274" spans="1:8" ht="18" x14ac:dyDescent="0.25">
      <c r="A274" s="83"/>
      <c r="B274" s="87" t="s">
        <v>84</v>
      </c>
      <c r="C274" s="87"/>
      <c r="D274" s="110">
        <f>+'RES CUENTA'!P19</f>
        <v>0</v>
      </c>
      <c r="E274" s="92">
        <v>0</v>
      </c>
      <c r="F274" s="166">
        <f>+D274</f>
        <v>0</v>
      </c>
      <c r="G274" s="336"/>
      <c r="H274" s="336"/>
    </row>
    <row r="275" spans="1:8" ht="18" x14ac:dyDescent="0.25">
      <c r="A275" s="83"/>
      <c r="B275" s="88" t="s">
        <v>206</v>
      </c>
      <c r="C275" s="87"/>
      <c r="D275" s="87"/>
      <c r="E275" s="94"/>
      <c r="F275" s="106">
        <f>SUM(F270:F274)</f>
        <v>720807.74939867214</v>
      </c>
      <c r="G275" s="336"/>
      <c r="H275" s="336"/>
    </row>
    <row r="276" spans="1:8" ht="18" x14ac:dyDescent="0.25">
      <c r="A276" s="83"/>
      <c r="B276" s="87"/>
      <c r="C276" s="87"/>
      <c r="D276" s="87"/>
      <c r="E276" s="87"/>
      <c r="F276" s="83"/>
      <c r="G276" s="337"/>
      <c r="H276" s="337"/>
    </row>
    <row r="277" spans="1:8" ht="18" x14ac:dyDescent="0.25">
      <c r="A277" s="83"/>
      <c r="B277" s="87"/>
      <c r="C277" s="87"/>
      <c r="D277" s="87"/>
      <c r="E277" s="87"/>
      <c r="F277" s="83"/>
      <c r="G277" s="92"/>
      <c r="H277" s="92"/>
    </row>
    <row r="278" spans="1:8" ht="18" x14ac:dyDescent="0.25">
      <c r="A278" s="83"/>
      <c r="B278" s="87"/>
      <c r="C278" s="87"/>
      <c r="D278" s="87"/>
      <c r="E278" s="87"/>
      <c r="F278" s="89"/>
      <c r="G278" s="92"/>
      <c r="H278" s="92"/>
    </row>
    <row r="279" spans="1:8" ht="18" x14ac:dyDescent="0.25">
      <c r="A279" s="83"/>
      <c r="B279" s="87"/>
      <c r="C279" s="87"/>
      <c r="D279" s="87"/>
      <c r="E279" s="87"/>
      <c r="F279" s="94"/>
      <c r="G279" s="87"/>
      <c r="H279" s="87"/>
    </row>
    <row r="280" spans="1:8" ht="10.5" customHeight="1" x14ac:dyDescent="0.25">
      <c r="A280" s="83"/>
      <c r="B280" s="87"/>
      <c r="C280" s="87"/>
      <c r="D280" s="87"/>
      <c r="E280" s="87"/>
      <c r="F280" s="94"/>
      <c r="G280" s="87"/>
      <c r="H280" s="87"/>
    </row>
    <row r="281" spans="1:8" ht="18" x14ac:dyDescent="0.25">
      <c r="A281" s="83"/>
      <c r="B281" s="87" t="str">
        <f>+B266</f>
        <v>ROCHERAY &amp; TESSI</v>
      </c>
      <c r="C281" s="344"/>
      <c r="D281" s="344"/>
      <c r="E281" s="87" t="str">
        <f>+B281</f>
        <v>ROCHERAY &amp; TESSI</v>
      </c>
      <c r="F281" s="94"/>
      <c r="G281" s="87"/>
      <c r="H281" s="87"/>
    </row>
    <row r="282" spans="1:8" ht="18" x14ac:dyDescent="0.25">
      <c r="A282" s="83"/>
      <c r="B282" s="83"/>
      <c r="C282" s="87"/>
      <c r="D282" s="87"/>
      <c r="E282" s="83"/>
      <c r="F282" s="344"/>
      <c r="G282" s="344"/>
      <c r="H282" s="344"/>
    </row>
    <row r="283" spans="1:8" ht="18" x14ac:dyDescent="0.25">
      <c r="A283" s="83"/>
      <c r="B283" s="87" t="str">
        <f>+E1</f>
        <v>URUGUAY 1025/27/29 CAP. FED.</v>
      </c>
      <c r="C283" s="87"/>
      <c r="D283" s="95" t="str">
        <f>+H266</f>
        <v>Unid. 7</v>
      </c>
      <c r="E283" s="87" t="str">
        <f>+E1</f>
        <v>URUGUAY 1025/27/29 CAP. FED.</v>
      </c>
      <c r="F283" s="87"/>
      <c r="G283" s="87"/>
      <c r="H283" s="95" t="str">
        <f>+D283</f>
        <v>Unid. 7</v>
      </c>
    </row>
    <row r="284" spans="1:8" ht="18" x14ac:dyDescent="0.25">
      <c r="A284" s="83"/>
      <c r="C284" s="83"/>
      <c r="D284" s="95" t="str">
        <f>+H284</f>
        <v>´5-07</v>
      </c>
      <c r="E284" s="83"/>
      <c r="F284" s="83"/>
      <c r="G284" s="83"/>
      <c r="H284" s="87" t="str">
        <f>+H267</f>
        <v>´5-07</v>
      </c>
    </row>
    <row r="285" spans="1:8" ht="18" x14ac:dyDescent="0.25">
      <c r="A285" s="83"/>
      <c r="B285" s="87" t="str">
        <f>+F1</f>
        <v xml:space="preserve">P/depósito/transferencia en ICBC </v>
      </c>
      <c r="C285" s="87"/>
      <c r="D285" s="87"/>
      <c r="E285" s="87"/>
      <c r="F285" s="87"/>
      <c r="G285" s="87"/>
      <c r="H285" s="83"/>
    </row>
    <row r="286" spans="1:8" ht="18" x14ac:dyDescent="0.25">
      <c r="A286" s="83"/>
      <c r="B286" s="87" t="str">
        <f>+F2</f>
        <v>Cta. Cte. $ N°538/02104658/84</v>
      </c>
      <c r="C286" s="87"/>
      <c r="D286" s="87"/>
      <c r="E286" s="87"/>
      <c r="F286" s="87"/>
      <c r="G286" s="87"/>
      <c r="H286" s="94"/>
    </row>
    <row r="287" spans="1:8" ht="18" x14ac:dyDescent="0.25">
      <c r="A287" s="83"/>
      <c r="B287" s="87" t="str">
        <f>+F3</f>
        <v>CBU:0150538202000104658840</v>
      </c>
      <c r="C287" s="87"/>
      <c r="D287" s="87"/>
      <c r="E287" s="144"/>
      <c r="F287" s="87"/>
      <c r="G287" s="92"/>
      <c r="H287" s="87"/>
    </row>
    <row r="288" spans="1:8" ht="18" x14ac:dyDescent="0.25">
      <c r="A288" s="83"/>
      <c r="B288" s="87" t="str">
        <f>+F4</f>
        <v>CUIT: 30-58026090-6</v>
      </c>
      <c r="C288" s="87"/>
      <c r="D288" s="87"/>
      <c r="E288" s="87" t="s">
        <v>85</v>
      </c>
      <c r="F288" s="109">
        <f>+F270</f>
        <v>585387.99600000004</v>
      </c>
      <c r="G288" s="83"/>
      <c r="H288" s="102">
        <f>+D1</f>
        <v>46183</v>
      </c>
    </row>
    <row r="289" spans="1:8" ht="18" x14ac:dyDescent="0.25">
      <c r="A289" s="83"/>
      <c r="B289" s="87"/>
      <c r="C289" s="87"/>
      <c r="D289" s="87"/>
      <c r="E289" s="87" t="s">
        <v>193</v>
      </c>
      <c r="F289" s="109">
        <f>+F271</f>
        <v>135419.75339867212</v>
      </c>
      <c r="G289" s="83"/>
      <c r="H289" s="83"/>
    </row>
    <row r="290" spans="1:8" ht="18" x14ac:dyDescent="0.25">
      <c r="A290" s="83"/>
      <c r="B290" s="87"/>
      <c r="C290" s="87"/>
      <c r="D290" s="87"/>
      <c r="E290" s="87" t="s">
        <v>86</v>
      </c>
      <c r="F290" s="109">
        <f>+F273</f>
        <v>0</v>
      </c>
      <c r="G290" s="87"/>
      <c r="H290" s="87"/>
    </row>
    <row r="291" spans="1:8" ht="18" x14ac:dyDescent="0.25">
      <c r="A291" s="83"/>
      <c r="B291" s="87"/>
      <c r="C291" s="87"/>
      <c r="D291" s="87"/>
      <c r="E291" s="87" t="s">
        <v>87</v>
      </c>
      <c r="F291" s="109">
        <f>+F274</f>
        <v>0</v>
      </c>
      <c r="G291" s="87"/>
      <c r="H291" s="87"/>
    </row>
    <row r="292" spans="1:8" ht="18" x14ac:dyDescent="0.25">
      <c r="A292" s="83"/>
      <c r="B292" s="144"/>
      <c r="C292" s="144"/>
      <c r="D292" s="144"/>
      <c r="E292" s="87" t="s">
        <v>321</v>
      </c>
      <c r="F292" s="167">
        <f>+F272</f>
        <v>0</v>
      </c>
      <c r="G292" s="87"/>
      <c r="H292" s="87"/>
    </row>
    <row r="293" spans="1:8" ht="18" x14ac:dyDescent="0.25">
      <c r="A293" s="83"/>
      <c r="B293" s="102">
        <f>+$G$34</f>
        <v>46183</v>
      </c>
      <c r="C293" s="108">
        <f>+F275</f>
        <v>720807.74939867214</v>
      </c>
      <c r="D293" s="87"/>
      <c r="E293" s="87" t="s">
        <v>88</v>
      </c>
      <c r="F293" s="109">
        <f>+F275</f>
        <v>720807.74939867214</v>
      </c>
      <c r="G293" s="87"/>
      <c r="H293" s="87"/>
    </row>
    <row r="294" spans="1:8" ht="18" x14ac:dyDescent="0.25">
      <c r="A294" s="83"/>
      <c r="B294" s="87"/>
      <c r="C294" s="87"/>
      <c r="D294" s="87"/>
      <c r="E294" s="105"/>
      <c r="F294" s="87"/>
      <c r="G294" s="87"/>
      <c r="H294" s="87"/>
    </row>
    <row r="295" spans="1:8" ht="18" x14ac:dyDescent="0.25">
      <c r="A295" s="83"/>
      <c r="B295" s="87"/>
      <c r="C295" s="87"/>
      <c r="D295" s="87"/>
      <c r="E295" s="83"/>
      <c r="F295" s="87"/>
      <c r="G295" s="87"/>
      <c r="H295" s="87"/>
    </row>
    <row r="296" spans="1:8" ht="18" x14ac:dyDescent="0.25">
      <c r="A296" s="83"/>
      <c r="B296" s="87"/>
      <c r="C296" s="87"/>
      <c r="D296" s="87"/>
      <c r="E296" s="87"/>
      <c r="F296" s="87"/>
      <c r="G296" s="87"/>
      <c r="H296" s="87"/>
    </row>
    <row r="297" spans="1:8" ht="18" x14ac:dyDescent="0.25">
      <c r="A297" s="83"/>
      <c r="B297" s="87"/>
      <c r="C297" s="87"/>
      <c r="D297" s="87"/>
      <c r="E297" s="87"/>
      <c r="F297" s="87"/>
      <c r="G297" s="337"/>
      <c r="H297" s="337"/>
    </row>
    <row r="298" spans="1:8" ht="18" x14ac:dyDescent="0.25">
      <c r="A298" s="83"/>
      <c r="B298" s="87"/>
      <c r="C298" s="87"/>
      <c r="D298" s="87"/>
      <c r="E298" s="87"/>
      <c r="F298" s="87"/>
      <c r="G298" s="92"/>
      <c r="H298" s="92"/>
    </row>
    <row r="299" spans="1:8" ht="18" x14ac:dyDescent="0.25">
      <c r="A299" s="83"/>
      <c r="B299" s="87"/>
      <c r="C299" s="87"/>
      <c r="D299" s="87"/>
      <c r="E299" s="87"/>
      <c r="F299" s="87"/>
      <c r="G299" s="87"/>
      <c r="H299" s="87"/>
    </row>
    <row r="300" spans="1:8" ht="18" x14ac:dyDescent="0.25">
      <c r="A300" s="83"/>
      <c r="B300" s="87"/>
      <c r="C300" s="87"/>
      <c r="D300" s="87"/>
      <c r="E300" s="87"/>
      <c r="F300" s="87"/>
      <c r="G300" s="87"/>
      <c r="H300" s="87"/>
    </row>
    <row r="301" spans="1:8" ht="18" x14ac:dyDescent="0.25">
      <c r="A301" s="83"/>
      <c r="B301" s="87"/>
      <c r="C301" s="87"/>
      <c r="D301" s="87"/>
      <c r="E301" s="87"/>
      <c r="F301" s="87"/>
      <c r="G301" s="87"/>
      <c r="H301" s="87"/>
    </row>
    <row r="302" spans="1:8" ht="28.5" customHeight="1" x14ac:dyDescent="0.25">
      <c r="A302" s="83"/>
      <c r="B302" s="87"/>
      <c r="C302" s="87"/>
      <c r="D302" s="87"/>
      <c r="E302" s="87"/>
      <c r="F302" s="87"/>
      <c r="G302" s="83"/>
      <c r="H302" s="87"/>
    </row>
    <row r="303" spans="1:8" ht="18" x14ac:dyDescent="0.25">
      <c r="A303" s="83"/>
      <c r="B303" s="345"/>
      <c r="C303" s="345"/>
      <c r="D303" s="345"/>
      <c r="E303" s="112">
        <f>+$B$1</f>
        <v>46143</v>
      </c>
      <c r="F303" s="87"/>
      <c r="G303" s="102">
        <f>+$D$1</f>
        <v>46183</v>
      </c>
      <c r="H303" s="87"/>
    </row>
    <row r="304" spans="1:8" ht="15.75" customHeight="1" x14ac:dyDescent="0.25">
      <c r="A304" s="83"/>
      <c r="B304" s="345"/>
      <c r="C304" s="345"/>
      <c r="D304" s="345"/>
      <c r="E304" s="112"/>
      <c r="F304" s="87"/>
      <c r="H304" s="145"/>
    </row>
    <row r="305" spans="1:8" ht="13.5" customHeight="1" x14ac:dyDescent="0.25">
      <c r="A305" s="83"/>
      <c r="C305" s="87"/>
      <c r="D305" s="87"/>
      <c r="E305" s="83"/>
      <c r="F305" s="87"/>
      <c r="G305" s="83"/>
      <c r="H305" s="83"/>
    </row>
    <row r="306" spans="1:8" ht="22.5" customHeight="1" x14ac:dyDescent="0.25">
      <c r="A306" s="83"/>
      <c r="B306" s="87" t="str">
        <f>+B9</f>
        <v>LISOPRAWSKI SILVIO</v>
      </c>
      <c r="C306" s="87"/>
      <c r="D306" s="87"/>
      <c r="E306" s="87" t="str">
        <f>+E1</f>
        <v>URUGUAY 1025/27/29 CAP. FED.</v>
      </c>
      <c r="F306" s="87"/>
      <c r="G306" s="83"/>
      <c r="H306" s="95" t="s">
        <v>96</v>
      </c>
    </row>
    <row r="307" spans="1:8" ht="18" x14ac:dyDescent="0.25">
      <c r="A307" s="83"/>
      <c r="B307" s="87"/>
      <c r="C307" s="87"/>
      <c r="D307" s="87"/>
      <c r="E307" s="83"/>
      <c r="F307" s="87"/>
      <c r="G307" s="87"/>
      <c r="H307" s="95" t="str">
        <f>+'RES CUENTA'!A20</f>
        <v>´6-08</v>
      </c>
    </row>
    <row r="308" spans="1:8" ht="12.75" customHeight="1" x14ac:dyDescent="0.25">
      <c r="A308" s="83"/>
      <c r="B308" s="87"/>
      <c r="C308" s="87"/>
      <c r="D308" s="87"/>
      <c r="E308" s="87"/>
      <c r="F308" s="87"/>
      <c r="G308" s="87"/>
      <c r="H308" s="87"/>
    </row>
    <row r="309" spans="1:8" ht="16.5" customHeight="1" x14ac:dyDescent="0.25">
      <c r="A309" s="83"/>
      <c r="B309" s="92"/>
      <c r="C309" s="87"/>
      <c r="D309" s="92"/>
      <c r="E309" s="87"/>
      <c r="F309" s="87"/>
      <c r="G309" s="87"/>
      <c r="H309" s="87"/>
    </row>
    <row r="310" spans="1:8" ht="18" x14ac:dyDescent="0.25">
      <c r="A310" s="83"/>
      <c r="B310" s="87" t="s">
        <v>82</v>
      </c>
      <c r="C310" s="87"/>
      <c r="D310" s="110">
        <f>+'RES CUENTA'!$H$26</f>
        <v>6751880</v>
      </c>
      <c r="E310" s="111">
        <f>+'RES CUENTA'!G20</f>
        <v>8.67</v>
      </c>
      <c r="F310" s="106">
        <f>+D310*E310/100</f>
        <v>585387.99600000004</v>
      </c>
      <c r="G310" s="87"/>
      <c r="H310" s="92"/>
    </row>
    <row r="311" spans="1:8" ht="18" x14ac:dyDescent="0.25">
      <c r="A311" s="83"/>
      <c r="B311" s="87" t="s">
        <v>194</v>
      </c>
      <c r="C311" s="87"/>
      <c r="D311" s="110">
        <f>+'RES CUENTA'!J26</f>
        <v>1482120</v>
      </c>
      <c r="E311" s="111">
        <f>+'RES CUENTA'!I20</f>
        <v>9.1368953525134362</v>
      </c>
      <c r="F311" s="106">
        <f>+D311*E311/100</f>
        <v>135419.75339867212</v>
      </c>
      <c r="G311" s="92"/>
      <c r="H311" s="91"/>
    </row>
    <row r="312" spans="1:8" ht="18" x14ac:dyDescent="0.25">
      <c r="A312" s="83"/>
      <c r="B312" s="87" t="s">
        <v>321</v>
      </c>
      <c r="C312" s="87"/>
      <c r="D312" s="110">
        <v>0</v>
      </c>
      <c r="E312" s="111">
        <v>0</v>
      </c>
      <c r="F312" s="106">
        <f>+'RES CUENTA'!L20</f>
        <v>0</v>
      </c>
      <c r="G312" s="91"/>
      <c r="H312" s="91"/>
    </row>
    <row r="313" spans="1:8" ht="18" x14ac:dyDescent="0.25">
      <c r="A313" s="83"/>
      <c r="B313" s="87" t="s">
        <v>83</v>
      </c>
      <c r="C313" s="87"/>
      <c r="D313" s="110">
        <f>+'RES CUENTA'!O20</f>
        <v>0</v>
      </c>
      <c r="E313" s="111">
        <v>0</v>
      </c>
      <c r="F313" s="106">
        <f>+D313</f>
        <v>0</v>
      </c>
      <c r="G313" s="91"/>
      <c r="H313" s="91"/>
    </row>
    <row r="314" spans="1:8" ht="18" x14ac:dyDescent="0.25">
      <c r="A314" s="83"/>
      <c r="B314" s="87" t="s">
        <v>84</v>
      </c>
      <c r="C314" s="87"/>
      <c r="D314" s="110">
        <f>+'RES CUENTA'!P20</f>
        <v>0</v>
      </c>
      <c r="E314" s="111">
        <v>0</v>
      </c>
      <c r="F314" s="166">
        <f>+'RES CUENTA'!P20</f>
        <v>0</v>
      </c>
      <c r="G314" s="91"/>
      <c r="H314" s="91"/>
    </row>
    <row r="315" spans="1:8" ht="18" x14ac:dyDescent="0.25">
      <c r="A315" s="83"/>
      <c r="B315" s="88" t="s">
        <v>206</v>
      </c>
      <c r="C315" s="87"/>
      <c r="D315" s="87"/>
      <c r="E315" s="83"/>
      <c r="F315" s="106">
        <f>SUM(F310:F314)</f>
        <v>720807.74939867214</v>
      </c>
      <c r="G315" s="91"/>
      <c r="H315" s="92"/>
    </row>
    <row r="316" spans="1:8" ht="23.25" customHeight="1" x14ac:dyDescent="0.25">
      <c r="A316" s="83"/>
      <c r="B316" s="87"/>
      <c r="C316" s="87"/>
      <c r="D316" s="87"/>
      <c r="E316" s="87"/>
      <c r="F316" s="94"/>
      <c r="G316" s="92"/>
      <c r="H316" s="92"/>
    </row>
    <row r="317" spans="1:8" ht="21.75" customHeight="1" x14ac:dyDescent="0.25">
      <c r="A317" s="83"/>
      <c r="B317" s="87"/>
      <c r="C317" s="87"/>
      <c r="D317" s="87"/>
      <c r="E317" s="87"/>
      <c r="F317" s="94"/>
      <c r="G317" s="92"/>
      <c r="H317" s="92"/>
    </row>
    <row r="318" spans="1:8" ht="26.25" customHeight="1" x14ac:dyDescent="0.25">
      <c r="A318" s="83"/>
      <c r="B318" s="87"/>
      <c r="C318" s="87"/>
      <c r="D318" s="87"/>
      <c r="E318" s="87"/>
      <c r="F318" s="94"/>
      <c r="G318" s="92"/>
      <c r="H318" s="87"/>
    </row>
    <row r="319" spans="1:8" ht="18" x14ac:dyDescent="0.25">
      <c r="A319" s="83"/>
      <c r="B319" s="87" t="str">
        <f>+B306</f>
        <v>LISOPRAWSKI SILVIO</v>
      </c>
      <c r="C319" s="87"/>
      <c r="D319" s="87"/>
      <c r="E319" s="87" t="str">
        <f>+B306</f>
        <v>LISOPRAWSKI SILVIO</v>
      </c>
      <c r="F319" s="87"/>
      <c r="G319" s="87"/>
      <c r="H319" s="94"/>
    </row>
    <row r="320" spans="1:8" ht="18" x14ac:dyDescent="0.25">
      <c r="A320" s="83"/>
      <c r="B320" s="87"/>
      <c r="C320" s="87"/>
      <c r="D320" s="87"/>
      <c r="E320" s="83"/>
      <c r="F320" s="87"/>
      <c r="G320" s="94"/>
      <c r="H320" s="95" t="s">
        <v>96</v>
      </c>
    </row>
    <row r="321" spans="1:8" ht="18" x14ac:dyDescent="0.25">
      <c r="A321" s="83"/>
      <c r="B321" s="87" t="str">
        <f>+E1</f>
        <v>URUGUAY 1025/27/29 CAP. FED.</v>
      </c>
      <c r="C321" s="87"/>
      <c r="D321" s="95" t="str">
        <f>+H320</f>
        <v>Unid. 8</v>
      </c>
      <c r="E321" s="87" t="str">
        <f>+E1</f>
        <v>URUGUAY 1025/27/29 CAP. FED.</v>
      </c>
      <c r="F321" s="87"/>
      <c r="G321" s="87"/>
      <c r="H321" s="87" t="str">
        <f>+H307</f>
        <v>´6-08</v>
      </c>
    </row>
    <row r="322" spans="1:8" ht="18" x14ac:dyDescent="0.25">
      <c r="A322" s="83"/>
      <c r="C322" s="87"/>
      <c r="D322" s="87" t="str">
        <f>+H321</f>
        <v>´6-08</v>
      </c>
      <c r="E322" s="83"/>
      <c r="F322" s="87"/>
      <c r="G322" s="87"/>
      <c r="H322" s="83"/>
    </row>
    <row r="323" spans="1:8" ht="20.25" customHeight="1" x14ac:dyDescent="0.25">
      <c r="A323" s="83"/>
      <c r="B323" s="87" t="str">
        <f>+F1</f>
        <v xml:space="preserve">P/depósito/transferencia en ICBC </v>
      </c>
      <c r="C323" s="87"/>
      <c r="D323" s="87"/>
      <c r="E323" s="87"/>
      <c r="F323" s="87"/>
      <c r="G323" s="87"/>
      <c r="H323" s="94"/>
    </row>
    <row r="324" spans="1:8" ht="18" x14ac:dyDescent="0.25">
      <c r="A324" s="83"/>
      <c r="B324" s="87" t="str">
        <f>+F2</f>
        <v>Cta. Cte. $ N°538/02104658/84</v>
      </c>
      <c r="C324" s="87"/>
      <c r="D324" s="87"/>
      <c r="E324" s="87"/>
      <c r="F324" s="144"/>
      <c r="G324" s="87"/>
      <c r="H324" s="87"/>
    </row>
    <row r="325" spans="1:8" ht="18" x14ac:dyDescent="0.25">
      <c r="A325" s="83"/>
      <c r="B325" s="87" t="str">
        <f>+F3</f>
        <v>CBU:0150538202000104658840</v>
      </c>
      <c r="C325" s="87"/>
      <c r="D325" s="87"/>
      <c r="E325" s="87" t="s">
        <v>85</v>
      </c>
      <c r="F325" s="109">
        <f>+F310</f>
        <v>585387.99600000004</v>
      </c>
      <c r="G325" s="146"/>
      <c r="H325" s="102">
        <f>+D1</f>
        <v>46183</v>
      </c>
    </row>
    <row r="326" spans="1:8" ht="18.75" customHeight="1" x14ac:dyDescent="0.25">
      <c r="A326" s="83"/>
      <c r="B326" s="87" t="str">
        <f>+F4</f>
        <v>CUIT: 30-58026090-6</v>
      </c>
      <c r="C326" s="87"/>
      <c r="D326" s="87"/>
      <c r="E326" s="87" t="s">
        <v>193</v>
      </c>
      <c r="F326" s="109">
        <f>+F311</f>
        <v>135419.75339867212</v>
      </c>
      <c r="G326" s="83"/>
      <c r="H326" s="87"/>
    </row>
    <row r="327" spans="1:8" ht="18" x14ac:dyDescent="0.25">
      <c r="A327" s="83"/>
      <c r="B327" s="87"/>
      <c r="C327" s="87"/>
      <c r="D327" s="87"/>
      <c r="E327" s="87" t="s">
        <v>86</v>
      </c>
      <c r="F327" s="109">
        <f>+F313</f>
        <v>0</v>
      </c>
      <c r="G327" s="87"/>
      <c r="H327" s="87"/>
    </row>
    <row r="328" spans="1:8" ht="20.25" customHeight="1" x14ac:dyDescent="0.25">
      <c r="A328" s="83"/>
      <c r="B328" s="144"/>
      <c r="C328" s="144"/>
      <c r="D328" s="144"/>
      <c r="E328" s="87" t="s">
        <v>87</v>
      </c>
      <c r="F328" s="109">
        <f>+F314</f>
        <v>0</v>
      </c>
      <c r="G328" s="87"/>
      <c r="H328" s="87"/>
    </row>
    <row r="329" spans="1:8" ht="18" x14ac:dyDescent="0.25">
      <c r="A329" s="83"/>
      <c r="D329" s="87"/>
      <c r="E329" s="87" t="s">
        <v>321</v>
      </c>
      <c r="F329" s="167">
        <f>+F312</f>
        <v>0</v>
      </c>
      <c r="G329" s="87"/>
      <c r="H329" s="87"/>
    </row>
    <row r="330" spans="1:8" ht="18" x14ac:dyDescent="0.25">
      <c r="A330" s="83"/>
      <c r="B330" s="102">
        <f>+$G$34</f>
        <v>46183</v>
      </c>
      <c r="C330" s="108">
        <f>+F315</f>
        <v>720807.74939867214</v>
      </c>
      <c r="D330" s="87"/>
      <c r="E330" s="87" t="s">
        <v>88</v>
      </c>
      <c r="F330" s="109">
        <f>+F315</f>
        <v>720807.74939867214</v>
      </c>
      <c r="G330" s="87"/>
      <c r="H330" s="87"/>
    </row>
    <row r="331" spans="1:8" ht="18" x14ac:dyDescent="0.25">
      <c r="A331" s="83"/>
      <c r="B331" s="87"/>
      <c r="C331" s="87"/>
      <c r="D331" s="87"/>
      <c r="E331" s="87"/>
      <c r="F331" s="87"/>
      <c r="G331" s="87"/>
      <c r="H331" s="87"/>
    </row>
    <row r="332" spans="1:8" ht="18" x14ac:dyDescent="0.25">
      <c r="B332" s="87"/>
      <c r="C332" s="87"/>
      <c r="D332" s="87"/>
      <c r="E332" s="105"/>
      <c r="F332" s="87"/>
      <c r="G332" s="87"/>
      <c r="H332" s="87"/>
    </row>
    <row r="333" spans="1:8" ht="18" x14ac:dyDescent="0.25">
      <c r="B333" s="87"/>
      <c r="C333" s="87"/>
      <c r="D333" s="87"/>
      <c r="E333" s="87"/>
      <c r="F333" s="87"/>
      <c r="G333" s="87"/>
      <c r="H333" s="96"/>
    </row>
    <row r="334" spans="1:8" ht="18" x14ac:dyDescent="0.25">
      <c r="B334" s="205"/>
      <c r="E334" s="87"/>
      <c r="G334" s="96"/>
      <c r="H334" s="87"/>
    </row>
    <row r="335" spans="1:8" ht="14.25" customHeight="1" x14ac:dyDescent="0.2"/>
    <row r="336" spans="1:8" ht="4.5" customHeight="1" x14ac:dyDescent="0.2"/>
    <row r="337" spans="2:8" ht="18" x14ac:dyDescent="0.25">
      <c r="B337" s="335"/>
      <c r="C337" s="335"/>
      <c r="D337" s="335"/>
      <c r="E337" s="340">
        <f>+$B$1</f>
        <v>46143</v>
      </c>
      <c r="F337" s="87"/>
      <c r="G337" s="346">
        <f>+$D$1</f>
        <v>46183</v>
      </c>
      <c r="H337" s="87"/>
    </row>
    <row r="338" spans="2:8" ht="18" x14ac:dyDescent="0.25">
      <c r="B338" s="86"/>
      <c r="C338" s="86"/>
      <c r="D338" s="103"/>
      <c r="E338" s="340"/>
      <c r="F338" s="87"/>
      <c r="G338" s="346"/>
      <c r="H338" s="87"/>
    </row>
    <row r="339" spans="2:8" ht="18" x14ac:dyDescent="0.25">
      <c r="B339" s="87"/>
      <c r="C339" s="87"/>
      <c r="D339" s="87"/>
      <c r="E339" s="88"/>
      <c r="F339" s="87"/>
      <c r="G339" s="88"/>
      <c r="H339" s="87"/>
    </row>
    <row r="340" spans="2:8" ht="21.75" customHeight="1" x14ac:dyDescent="0.25">
      <c r="C340" s="87"/>
      <c r="D340" s="87"/>
      <c r="E340" s="88"/>
      <c r="F340" s="87"/>
      <c r="G340" s="88"/>
      <c r="H340" s="87"/>
    </row>
    <row r="341" spans="2:8" ht="17.25" customHeight="1" x14ac:dyDescent="0.25">
      <c r="B341" s="87" t="str">
        <f>+B10</f>
        <v>SUELOMAR S.A.</v>
      </c>
      <c r="C341" s="87"/>
      <c r="D341" s="87"/>
      <c r="E341" s="87" t="str">
        <f>+E39</f>
        <v>URUGUAY 1025/27/29 CAP. FED.</v>
      </c>
      <c r="F341" s="87"/>
      <c r="G341" s="87"/>
      <c r="H341" s="95" t="s">
        <v>97</v>
      </c>
    </row>
    <row r="342" spans="2:8" ht="18" x14ac:dyDescent="0.25">
      <c r="B342" s="87"/>
      <c r="C342" s="87"/>
      <c r="D342" s="87"/>
      <c r="E342" s="88"/>
      <c r="F342" s="88"/>
      <c r="G342" s="87"/>
      <c r="H342" s="87" t="str">
        <f>+'RES CUENTA'!A21</f>
        <v>´7-09</v>
      </c>
    </row>
    <row r="343" spans="2:8" ht="12" customHeight="1" x14ac:dyDescent="0.25">
      <c r="B343" s="96"/>
      <c r="C343" s="87"/>
      <c r="D343" s="96"/>
      <c r="E343" s="87"/>
      <c r="F343" s="87"/>
      <c r="G343" s="87"/>
      <c r="H343" s="87"/>
    </row>
    <row r="344" spans="2:8" ht="13.5" customHeight="1" x14ac:dyDescent="0.25">
      <c r="B344" s="96"/>
      <c r="C344" s="87"/>
      <c r="D344" s="96"/>
      <c r="E344" s="87"/>
      <c r="F344" s="87"/>
      <c r="G344" s="87"/>
      <c r="H344" s="87"/>
    </row>
    <row r="345" spans="2:8" ht="18" x14ac:dyDescent="0.25">
      <c r="B345" s="87" t="s">
        <v>82</v>
      </c>
      <c r="C345" s="87"/>
      <c r="D345" s="110">
        <f>+'RES CUENTA'!$H$26</f>
        <v>6751880</v>
      </c>
      <c r="E345" s="111">
        <f>+'RES CUENTA'!G21</f>
        <v>8.67</v>
      </c>
      <c r="F345" s="106">
        <f>+D345*E345/100</f>
        <v>585387.99600000004</v>
      </c>
      <c r="G345" s="339"/>
      <c r="H345" s="339"/>
    </row>
    <row r="346" spans="2:8" ht="18" x14ac:dyDescent="0.25">
      <c r="B346" s="87" t="s">
        <v>194</v>
      </c>
      <c r="C346" s="87"/>
      <c r="D346" s="110">
        <f>+'RES CUENTA'!J26</f>
        <v>1482120</v>
      </c>
      <c r="E346" s="111">
        <f>+'RES CUENTA'!I21</f>
        <v>9.1368953525134362</v>
      </c>
      <c r="F346" s="106">
        <f>+D346*E346/100</f>
        <v>135419.75339867212</v>
      </c>
      <c r="G346" s="336"/>
      <c r="H346" s="336"/>
    </row>
    <row r="347" spans="2:8" ht="18" x14ac:dyDescent="0.25">
      <c r="B347" s="87" t="str">
        <f>+B272</f>
        <v>s/Asamblea</v>
      </c>
      <c r="C347" s="87"/>
      <c r="D347" s="110">
        <f>+'RES CUENTA'!L21</f>
        <v>0</v>
      </c>
      <c r="E347" s="111">
        <v>0</v>
      </c>
      <c r="F347" s="106">
        <f>+D347</f>
        <v>0</v>
      </c>
      <c r="G347" s="91"/>
      <c r="H347" s="91"/>
    </row>
    <row r="348" spans="2:8" ht="18" x14ac:dyDescent="0.25">
      <c r="B348" s="87" t="s">
        <v>83</v>
      </c>
      <c r="C348" s="87"/>
      <c r="D348" s="110">
        <f>+'RES CUENTA'!O21</f>
        <v>0</v>
      </c>
      <c r="E348" s="111">
        <v>0</v>
      </c>
      <c r="F348" s="106">
        <f>+D348</f>
        <v>0</v>
      </c>
      <c r="G348" s="336"/>
      <c r="H348" s="336"/>
    </row>
    <row r="349" spans="2:8" ht="18" x14ac:dyDescent="0.25">
      <c r="B349" s="87" t="s">
        <v>84</v>
      </c>
      <c r="C349" s="87"/>
      <c r="D349" s="110">
        <f>+'RES CUENTA'!P21</f>
        <v>0</v>
      </c>
      <c r="E349" s="111">
        <v>0</v>
      </c>
      <c r="F349" s="166">
        <f>+D349</f>
        <v>0</v>
      </c>
      <c r="G349" s="336"/>
      <c r="H349" s="336"/>
    </row>
    <row r="350" spans="2:8" ht="18" x14ac:dyDescent="0.25">
      <c r="B350" s="88" t="s">
        <v>206</v>
      </c>
      <c r="C350" s="87"/>
      <c r="D350" s="87"/>
      <c r="E350" s="94"/>
      <c r="F350" s="107">
        <f>SUM(F345:F349)</f>
        <v>720807.74939867214</v>
      </c>
      <c r="G350" s="336"/>
      <c r="H350" s="336"/>
    </row>
    <row r="351" spans="2:8" ht="18" x14ac:dyDescent="0.25">
      <c r="B351" s="88"/>
      <c r="C351" s="87"/>
      <c r="D351" s="87"/>
      <c r="E351" s="87"/>
      <c r="G351" s="337"/>
      <c r="H351" s="337"/>
    </row>
    <row r="352" spans="2:8" ht="18" x14ac:dyDescent="0.25">
      <c r="B352" s="87"/>
      <c r="C352" s="87"/>
      <c r="D352" s="87"/>
      <c r="E352" s="87"/>
      <c r="F352" s="93"/>
      <c r="G352" s="92"/>
      <c r="H352" s="92"/>
    </row>
    <row r="353" spans="2:8" ht="18" x14ac:dyDescent="0.25">
      <c r="B353" s="87"/>
      <c r="C353" s="87"/>
      <c r="D353" s="87"/>
      <c r="E353" s="87"/>
      <c r="F353" s="93"/>
      <c r="G353" s="92"/>
      <c r="H353" s="92"/>
    </row>
    <row r="354" spans="2:8" ht="15.75" customHeight="1" x14ac:dyDescent="0.25">
      <c r="B354" s="87"/>
      <c r="C354" s="87"/>
      <c r="D354" s="87"/>
      <c r="E354" s="87"/>
      <c r="F354" s="94"/>
      <c r="G354" s="87"/>
      <c r="H354" s="87"/>
    </row>
    <row r="355" spans="2:8" ht="12.75" customHeight="1" x14ac:dyDescent="0.25">
      <c r="B355" s="87"/>
      <c r="C355" s="87"/>
      <c r="D355" s="87"/>
      <c r="E355" s="87"/>
      <c r="F355" s="94"/>
      <c r="G355" s="87"/>
      <c r="H355" s="87"/>
    </row>
    <row r="356" spans="2:8" ht="5.25" customHeight="1" x14ac:dyDescent="0.25">
      <c r="B356" s="87"/>
      <c r="C356" s="87"/>
      <c r="D356" s="87"/>
      <c r="E356" s="87"/>
      <c r="F356" s="94"/>
      <c r="G356" s="87"/>
      <c r="H356" s="87"/>
    </row>
    <row r="357" spans="2:8" ht="18" x14ac:dyDescent="0.25">
      <c r="B357" s="87" t="str">
        <f>+B341</f>
        <v>SUELOMAR S.A.</v>
      </c>
      <c r="C357" s="338"/>
      <c r="D357" s="338"/>
      <c r="E357" s="87" t="str">
        <f>+B357</f>
        <v>SUELOMAR S.A.</v>
      </c>
      <c r="F357" s="94"/>
      <c r="G357" s="87"/>
      <c r="H357" s="87"/>
    </row>
    <row r="358" spans="2:8" ht="18" x14ac:dyDescent="0.25">
      <c r="C358" s="87"/>
      <c r="D358" s="87"/>
      <c r="F358" s="338"/>
      <c r="G358" s="338"/>
      <c r="H358" s="338"/>
    </row>
    <row r="359" spans="2:8" ht="18" x14ac:dyDescent="0.25">
      <c r="B359" s="87" t="str">
        <f>+E1</f>
        <v>URUGUAY 1025/27/29 CAP. FED.</v>
      </c>
      <c r="C359" s="87"/>
      <c r="D359" s="95" t="str">
        <f>+H341</f>
        <v>Unid. 9</v>
      </c>
      <c r="E359" s="87" t="str">
        <f>+E1</f>
        <v>URUGUAY 1025/27/29 CAP. FED.</v>
      </c>
      <c r="F359" s="87"/>
      <c r="G359" s="87"/>
      <c r="H359" s="95" t="str">
        <f>+D359</f>
        <v>Unid. 9</v>
      </c>
    </row>
    <row r="360" spans="2:8" ht="18" x14ac:dyDescent="0.25">
      <c r="D360" s="95" t="str">
        <f>+H360</f>
        <v>´7-09</v>
      </c>
      <c r="H360" s="87" t="str">
        <f>+H342</f>
        <v>´7-09</v>
      </c>
    </row>
    <row r="361" spans="2:8" ht="18" x14ac:dyDescent="0.25">
      <c r="B361" s="87" t="str">
        <f>+F1</f>
        <v xml:space="preserve">P/depósito/transferencia en ICBC </v>
      </c>
      <c r="C361" s="88"/>
      <c r="D361" s="88"/>
      <c r="E361" s="88"/>
      <c r="F361" s="87"/>
      <c r="G361" s="87"/>
    </row>
    <row r="362" spans="2:8" ht="18" x14ac:dyDescent="0.25">
      <c r="B362" s="87" t="str">
        <f>+F2</f>
        <v>Cta. Cte. $ N°538/02104658/84</v>
      </c>
      <c r="C362" s="87"/>
      <c r="D362" s="87"/>
      <c r="E362" s="87"/>
      <c r="F362" s="87"/>
      <c r="G362" s="88"/>
      <c r="H362" s="104"/>
    </row>
    <row r="363" spans="2:8" ht="14.25" customHeight="1" x14ac:dyDescent="0.25">
      <c r="B363" s="87" t="str">
        <f>+F3</f>
        <v>CBU:0150538202000104658840</v>
      </c>
      <c r="C363" s="87"/>
      <c r="D363" s="87"/>
      <c r="E363" s="98"/>
      <c r="F363" s="87"/>
      <c r="G363" s="96"/>
      <c r="H363" s="87"/>
    </row>
    <row r="364" spans="2:8" ht="18" x14ac:dyDescent="0.25">
      <c r="B364" s="87" t="str">
        <f>+F4</f>
        <v>CUIT: 30-58026090-6</v>
      </c>
      <c r="C364" s="87"/>
      <c r="D364" s="87"/>
      <c r="E364" s="87" t="s">
        <v>85</v>
      </c>
      <c r="F364" s="109">
        <f>+F345</f>
        <v>585387.99600000004</v>
      </c>
      <c r="H364" s="102">
        <f>+D1</f>
        <v>46183</v>
      </c>
    </row>
    <row r="365" spans="2:8" ht="18" x14ac:dyDescent="0.25">
      <c r="B365" s="87"/>
      <c r="C365" s="87"/>
      <c r="D365" s="87"/>
      <c r="E365" s="87" t="s">
        <v>193</v>
      </c>
      <c r="F365" s="109">
        <f>+F346</f>
        <v>135419.75339867212</v>
      </c>
    </row>
    <row r="366" spans="2:8" ht="18" x14ac:dyDescent="0.25">
      <c r="B366" s="87"/>
      <c r="C366" s="87"/>
      <c r="D366" s="87"/>
      <c r="E366" s="87" t="s">
        <v>86</v>
      </c>
      <c r="F366" s="109">
        <f>+F348</f>
        <v>0</v>
      </c>
      <c r="G366" s="87"/>
      <c r="H366" s="87"/>
    </row>
    <row r="367" spans="2:8" ht="18" x14ac:dyDescent="0.25">
      <c r="B367" s="87"/>
      <c r="C367" s="87"/>
      <c r="D367" s="87"/>
      <c r="E367" s="87" t="s">
        <v>87</v>
      </c>
      <c r="F367" s="109">
        <f>+F349</f>
        <v>0</v>
      </c>
      <c r="G367" s="87"/>
      <c r="H367" s="87"/>
    </row>
    <row r="368" spans="2:8" ht="18" x14ac:dyDescent="0.25">
      <c r="B368" s="98"/>
      <c r="C368" s="98"/>
      <c r="D368" s="98"/>
      <c r="E368" s="87" t="s">
        <v>321</v>
      </c>
      <c r="F368" s="167">
        <f>+F347</f>
        <v>0</v>
      </c>
      <c r="G368" s="87"/>
      <c r="H368" s="87"/>
    </row>
    <row r="369" spans="2:8" ht="18" x14ac:dyDescent="0.25">
      <c r="B369" s="102">
        <f>+$G$34</f>
        <v>46183</v>
      </c>
      <c r="C369" s="108">
        <f>+F350</f>
        <v>720807.74939867214</v>
      </c>
      <c r="D369" s="87"/>
      <c r="E369" s="87" t="s">
        <v>88</v>
      </c>
      <c r="F369" s="109">
        <f>+F350</f>
        <v>720807.74939867214</v>
      </c>
      <c r="G369" s="87"/>
      <c r="H369" s="87"/>
    </row>
    <row r="370" spans="2:8" ht="18" x14ac:dyDescent="0.25">
      <c r="B370" s="87"/>
      <c r="C370" s="87"/>
      <c r="D370" s="87"/>
      <c r="E370" s="105"/>
      <c r="F370" s="87"/>
      <c r="G370" s="87"/>
      <c r="H370" s="87"/>
    </row>
    <row r="371" spans="2:8" ht="18" x14ac:dyDescent="0.25">
      <c r="B371" s="87"/>
      <c r="C371" s="87"/>
      <c r="D371" s="87"/>
      <c r="F371" s="87"/>
      <c r="G371" s="87"/>
      <c r="H371" s="87"/>
    </row>
    <row r="372" spans="2:8" ht="18" x14ac:dyDescent="0.25">
      <c r="B372" s="87"/>
      <c r="C372" s="87"/>
      <c r="D372" s="87"/>
      <c r="E372" s="87"/>
      <c r="F372" s="87"/>
      <c r="G372" s="87"/>
      <c r="H372" s="87"/>
    </row>
    <row r="373" spans="2:8" ht="18" x14ac:dyDescent="0.25">
      <c r="B373" s="87"/>
      <c r="C373" s="87"/>
      <c r="D373" s="87"/>
      <c r="E373" s="87"/>
      <c r="F373" s="87"/>
      <c r="G373" s="339"/>
      <c r="H373" s="339"/>
    </row>
    <row r="374" spans="2:8" ht="18" x14ac:dyDescent="0.25">
      <c r="B374" s="87"/>
      <c r="C374" s="87"/>
      <c r="D374" s="87"/>
      <c r="E374" s="87"/>
      <c r="F374" s="87"/>
      <c r="G374" s="96"/>
      <c r="H374" s="96"/>
    </row>
    <row r="375" spans="2:8" ht="18" x14ac:dyDescent="0.25">
      <c r="B375" s="87"/>
      <c r="C375" s="87"/>
      <c r="D375" s="87"/>
      <c r="E375" s="87"/>
      <c r="F375" s="87"/>
      <c r="G375" s="87"/>
      <c r="H375" s="87"/>
    </row>
    <row r="376" spans="2:8" ht="18" x14ac:dyDescent="0.25">
      <c r="B376" s="87"/>
      <c r="C376" s="87"/>
      <c r="D376" s="87"/>
      <c r="E376" s="87"/>
      <c r="F376" s="87"/>
      <c r="G376" s="87"/>
      <c r="H376" s="87"/>
    </row>
    <row r="377" spans="2:8" ht="18" x14ac:dyDescent="0.25">
      <c r="B377" s="87"/>
      <c r="C377" s="87"/>
      <c r="D377" s="87"/>
      <c r="E377" s="87"/>
      <c r="F377" s="87"/>
      <c r="G377" s="87"/>
      <c r="H377" s="87"/>
    </row>
    <row r="378" spans="2:8" ht="18" x14ac:dyDescent="0.25">
      <c r="B378" s="87"/>
      <c r="C378" s="87"/>
      <c r="D378" s="87"/>
      <c r="E378" s="87"/>
      <c r="F378" s="87"/>
      <c r="G378" s="87"/>
      <c r="H378" s="87"/>
    </row>
    <row r="379" spans="2:8" ht="18" x14ac:dyDescent="0.25">
      <c r="B379" s="335"/>
      <c r="C379" s="335"/>
      <c r="D379" s="335"/>
      <c r="E379" s="101">
        <f>+$B$1</f>
        <v>46143</v>
      </c>
      <c r="F379" s="87"/>
      <c r="G379" s="102">
        <f>+$D$1</f>
        <v>46183</v>
      </c>
      <c r="H379" s="100"/>
    </row>
    <row r="380" spans="2:8" ht="18" x14ac:dyDescent="0.25">
      <c r="B380" s="86"/>
      <c r="C380" s="86"/>
      <c r="D380" s="103"/>
      <c r="E380" s="101"/>
      <c r="F380" s="87"/>
    </row>
    <row r="381" spans="2:8" ht="27" customHeight="1" x14ac:dyDescent="0.25">
      <c r="C381" s="87"/>
      <c r="D381" s="87"/>
      <c r="F381" s="87"/>
    </row>
    <row r="382" spans="2:8" ht="24" customHeight="1" x14ac:dyDescent="0.25">
      <c r="B382" s="87" t="str">
        <f>+B11</f>
        <v>FEBOMAR SAICF</v>
      </c>
      <c r="C382" s="87"/>
      <c r="D382" s="87"/>
      <c r="E382" s="87" t="str">
        <f>+E78</f>
        <v>URUGUAY 1025/27/29 CAP. FED.</v>
      </c>
      <c r="F382" s="87"/>
      <c r="H382" s="95" t="s">
        <v>98</v>
      </c>
    </row>
    <row r="383" spans="2:8" ht="18" x14ac:dyDescent="0.25">
      <c r="B383" s="88"/>
      <c r="C383" s="87"/>
      <c r="D383" s="87"/>
      <c r="F383" s="87"/>
      <c r="G383" s="88"/>
      <c r="H383" s="95" t="str">
        <f>+'RES CUENTA'!A22</f>
        <v>´8-10</v>
      </c>
    </row>
    <row r="384" spans="2:8" ht="9.75" customHeight="1" x14ac:dyDescent="0.25">
      <c r="B384" s="87"/>
      <c r="C384" s="87"/>
      <c r="D384" s="87"/>
      <c r="E384" s="88"/>
      <c r="F384" s="88"/>
      <c r="G384" s="87"/>
      <c r="H384" s="88"/>
    </row>
    <row r="385" spans="2:8" ht="12.75" customHeight="1" x14ac:dyDescent="0.25">
      <c r="B385" s="96"/>
      <c r="C385" s="87"/>
      <c r="D385" s="96"/>
      <c r="E385" s="87"/>
      <c r="F385" s="87"/>
      <c r="G385" s="87"/>
      <c r="H385" s="87"/>
    </row>
    <row r="386" spans="2:8" ht="18" x14ac:dyDescent="0.25">
      <c r="B386" s="87" t="s">
        <v>82</v>
      </c>
      <c r="C386" s="87"/>
      <c r="D386" s="110">
        <f>+'RES CUENTA'!$H$26</f>
        <v>6751880</v>
      </c>
      <c r="E386" s="111">
        <f>+'RES CUENTA'!G22</f>
        <v>8.67</v>
      </c>
      <c r="F386" s="106">
        <f>+D386*E386/100</f>
        <v>585387.99600000004</v>
      </c>
      <c r="G386" s="87"/>
      <c r="H386" s="96"/>
    </row>
    <row r="387" spans="2:8" ht="18" x14ac:dyDescent="0.25">
      <c r="B387" s="87" t="s">
        <v>194</v>
      </c>
      <c r="C387" s="87"/>
      <c r="D387" s="110">
        <f>+'RES CUENTA'!J26</f>
        <v>1482120</v>
      </c>
      <c r="E387" s="111">
        <f>+'RES CUENTA'!I22</f>
        <v>9.1368953525134362</v>
      </c>
      <c r="F387" s="106">
        <f>+D387*E387/100</f>
        <v>135419.75339867212</v>
      </c>
      <c r="G387" s="96"/>
      <c r="H387" s="91"/>
    </row>
    <row r="388" spans="2:8" ht="18" x14ac:dyDescent="0.25">
      <c r="B388" s="87" t="str">
        <f>+B347</f>
        <v>s/Asamblea</v>
      </c>
      <c r="C388" s="87"/>
      <c r="D388" s="110">
        <f>+'RES CUENTA'!L22</f>
        <v>0</v>
      </c>
      <c r="E388" s="111">
        <v>0</v>
      </c>
      <c r="F388" s="106">
        <f>+D388</f>
        <v>0</v>
      </c>
      <c r="G388" s="96"/>
      <c r="H388" s="91"/>
    </row>
    <row r="389" spans="2:8" ht="18" x14ac:dyDescent="0.25">
      <c r="B389" s="87" t="s">
        <v>83</v>
      </c>
      <c r="C389" s="87"/>
      <c r="D389" s="110">
        <f>+'RES CUENTA'!O22</f>
        <v>0</v>
      </c>
      <c r="E389" s="111">
        <v>0</v>
      </c>
      <c r="F389" s="106">
        <f>+D389</f>
        <v>0</v>
      </c>
      <c r="G389" s="91"/>
      <c r="H389" s="91"/>
    </row>
    <row r="390" spans="2:8" ht="18" x14ac:dyDescent="0.25">
      <c r="B390" s="87" t="s">
        <v>84</v>
      </c>
      <c r="C390" s="87"/>
      <c r="D390" s="110">
        <f>+'RES CUENTA'!P22</f>
        <v>0</v>
      </c>
      <c r="E390" s="111">
        <v>0</v>
      </c>
      <c r="F390" s="166">
        <f>+D390</f>
        <v>0</v>
      </c>
      <c r="G390" s="91"/>
      <c r="H390" s="91"/>
    </row>
    <row r="391" spans="2:8" ht="18" x14ac:dyDescent="0.25">
      <c r="B391" s="88" t="s">
        <v>206</v>
      </c>
      <c r="C391" s="87"/>
      <c r="D391" s="87"/>
      <c r="F391" s="107">
        <f>SUM(F386:F390)</f>
        <v>720807.74939867214</v>
      </c>
      <c r="G391" s="91"/>
      <c r="H391" s="91"/>
    </row>
    <row r="392" spans="2:8" ht="18" x14ac:dyDescent="0.25">
      <c r="B392" s="88"/>
      <c r="C392" s="87"/>
      <c r="D392" s="87"/>
      <c r="F392" s="93"/>
      <c r="G392" s="91"/>
      <c r="H392" s="92"/>
    </row>
    <row r="393" spans="2:8" ht="18" x14ac:dyDescent="0.25">
      <c r="B393" s="87"/>
      <c r="C393" s="87"/>
      <c r="D393" s="87"/>
      <c r="E393" s="87"/>
      <c r="F393" s="94"/>
      <c r="G393" s="92"/>
      <c r="H393" s="92"/>
    </row>
    <row r="394" spans="2:8" ht="18" x14ac:dyDescent="0.25">
      <c r="B394" s="87"/>
      <c r="C394" s="87"/>
      <c r="D394" s="87"/>
      <c r="E394" s="87"/>
      <c r="F394" s="94"/>
      <c r="G394" s="92"/>
      <c r="H394" s="92"/>
    </row>
    <row r="395" spans="2:8" ht="9" customHeight="1" x14ac:dyDescent="0.25">
      <c r="B395" s="87"/>
      <c r="C395" s="87"/>
      <c r="D395" s="87"/>
      <c r="E395" s="87"/>
      <c r="F395" s="94"/>
      <c r="G395" s="92"/>
      <c r="H395" s="92"/>
    </row>
    <row r="396" spans="2:8" ht="18" x14ac:dyDescent="0.25">
      <c r="B396" s="87" t="str">
        <f>+B382</f>
        <v>FEBOMAR SAICF</v>
      </c>
      <c r="C396" s="87"/>
      <c r="D396" s="87"/>
      <c r="E396" s="87" t="str">
        <f>+B382</f>
        <v>FEBOMAR SAICF</v>
      </c>
      <c r="F396" s="87"/>
      <c r="G396" s="87"/>
      <c r="H396" s="104"/>
    </row>
    <row r="397" spans="2:8" ht="18" x14ac:dyDescent="0.25">
      <c r="B397" s="88"/>
      <c r="C397" s="87"/>
      <c r="D397" s="87"/>
      <c r="F397" s="87"/>
      <c r="G397" s="104"/>
      <c r="H397" s="95" t="str">
        <f>+H382</f>
        <v>Unid. 10</v>
      </c>
    </row>
    <row r="398" spans="2:8" ht="18" x14ac:dyDescent="0.25">
      <c r="B398" s="87" t="str">
        <f>+E1</f>
        <v>URUGUAY 1025/27/29 CAP. FED.</v>
      </c>
      <c r="C398" s="87"/>
      <c r="D398" s="95" t="str">
        <f>+H397</f>
        <v>Unid. 10</v>
      </c>
      <c r="E398" s="87" t="str">
        <f>+E1</f>
        <v>URUGUAY 1025/27/29 CAP. FED.</v>
      </c>
      <c r="F398" s="87"/>
      <c r="G398" s="87"/>
      <c r="H398" s="87" t="str">
        <f>+H383</f>
        <v>´8-10</v>
      </c>
    </row>
    <row r="399" spans="2:8" ht="18" x14ac:dyDescent="0.25">
      <c r="B399" s="88"/>
      <c r="C399" s="88"/>
      <c r="D399" s="87" t="str">
        <f>+H398</f>
        <v>´8-10</v>
      </c>
      <c r="F399" s="87"/>
      <c r="G399" s="87"/>
    </row>
    <row r="400" spans="2:8" ht="11.25" customHeight="1" x14ac:dyDescent="0.25">
      <c r="C400" s="87"/>
      <c r="D400" s="87"/>
      <c r="E400" s="88"/>
      <c r="F400" s="87"/>
      <c r="G400" s="87"/>
      <c r="H400" s="104"/>
    </row>
    <row r="401" spans="1:8" ht="18" x14ac:dyDescent="0.25">
      <c r="B401" s="87" t="str">
        <f>++F1</f>
        <v xml:space="preserve">P/depósito/transferencia en ICBC </v>
      </c>
      <c r="C401" s="87"/>
      <c r="D401" s="87"/>
      <c r="E401" s="87"/>
      <c r="F401" s="98"/>
      <c r="G401" s="88"/>
      <c r="H401" s="87"/>
    </row>
    <row r="402" spans="1:8" ht="18" x14ac:dyDescent="0.25">
      <c r="B402" s="87" t="str">
        <f>++F2</f>
        <v>Cta. Cte. $ N°538/02104658/84</v>
      </c>
      <c r="C402" s="87"/>
      <c r="D402" s="87"/>
      <c r="E402" s="98"/>
      <c r="G402" s="96"/>
      <c r="H402" s="97"/>
    </row>
    <row r="403" spans="1:8" ht="18" x14ac:dyDescent="0.25">
      <c r="B403" s="87" t="str">
        <f>++F3</f>
        <v>CBU:0150538202000104658840</v>
      </c>
      <c r="C403" s="87"/>
      <c r="D403" s="87"/>
      <c r="E403" s="87" t="s">
        <v>85</v>
      </c>
      <c r="F403" s="109">
        <f>+F386</f>
        <v>585387.99600000004</v>
      </c>
      <c r="G403" s="97"/>
      <c r="H403" s="102">
        <f>+D1</f>
        <v>46183</v>
      </c>
    </row>
    <row r="404" spans="1:8" ht="18" x14ac:dyDescent="0.25">
      <c r="B404" s="87" t="str">
        <f>++F4</f>
        <v>CUIT: 30-58026090-6</v>
      </c>
      <c r="C404" s="87"/>
      <c r="D404" s="87"/>
      <c r="E404" s="87" t="s">
        <v>193</v>
      </c>
      <c r="F404" s="109">
        <f>+F387</f>
        <v>135419.75339867212</v>
      </c>
      <c r="H404" s="87"/>
    </row>
    <row r="405" spans="1:8" ht="18" x14ac:dyDescent="0.25">
      <c r="B405" s="87"/>
      <c r="C405" s="87"/>
      <c r="D405" s="87"/>
      <c r="E405" s="87" t="s">
        <v>86</v>
      </c>
      <c r="F405" s="109">
        <f>+F389</f>
        <v>0</v>
      </c>
      <c r="G405" s="87"/>
      <c r="H405" s="87"/>
    </row>
    <row r="406" spans="1:8" ht="18" x14ac:dyDescent="0.25">
      <c r="B406" s="98"/>
      <c r="C406" s="98"/>
      <c r="D406" s="98"/>
      <c r="E406" s="87" t="s">
        <v>87</v>
      </c>
      <c r="F406" s="109">
        <f>+F390</f>
        <v>0</v>
      </c>
      <c r="G406" s="87"/>
      <c r="H406" s="87"/>
    </row>
    <row r="407" spans="1:8" ht="18" x14ac:dyDescent="0.25">
      <c r="D407" s="87"/>
      <c r="E407" s="87" t="s">
        <v>321</v>
      </c>
      <c r="F407" s="167">
        <f>+F388</f>
        <v>0</v>
      </c>
      <c r="G407" s="87"/>
      <c r="H407" s="87"/>
    </row>
    <row r="408" spans="1:8" ht="18" x14ac:dyDescent="0.25">
      <c r="B408" s="102">
        <f>+$G$34</f>
        <v>46183</v>
      </c>
      <c r="C408" s="108">
        <f>+F391</f>
        <v>720807.74939867214</v>
      </c>
      <c r="D408" s="87"/>
      <c r="E408" s="87" t="s">
        <v>88</v>
      </c>
      <c r="F408" s="109">
        <f>+F391</f>
        <v>720807.74939867214</v>
      </c>
      <c r="G408" s="87"/>
      <c r="H408" s="87"/>
    </row>
    <row r="409" spans="1:8" ht="18" x14ac:dyDescent="0.25">
      <c r="B409" s="87"/>
      <c r="C409" s="87"/>
      <c r="D409" s="87"/>
      <c r="E409" s="87"/>
      <c r="F409" s="87"/>
      <c r="G409" s="87"/>
      <c r="H409" s="87"/>
    </row>
    <row r="410" spans="1:8" ht="18" x14ac:dyDescent="0.25">
      <c r="B410" s="87"/>
      <c r="C410" s="87"/>
      <c r="D410" s="87"/>
      <c r="E410" s="105"/>
      <c r="F410" s="87"/>
      <c r="G410" s="87"/>
      <c r="H410" s="87"/>
    </row>
    <row r="411" spans="1:8" ht="18" x14ac:dyDescent="0.25">
      <c r="A411" s="220"/>
      <c r="B411" s="87"/>
      <c r="C411" s="87"/>
      <c r="D411" s="87"/>
      <c r="E411" s="87"/>
      <c r="F411" s="87"/>
      <c r="G411" s="87"/>
      <c r="H411" s="96"/>
    </row>
    <row r="412" spans="1:8" ht="9.75" customHeight="1" x14ac:dyDescent="0.25">
      <c r="E412" s="87"/>
      <c r="G412" s="96"/>
      <c r="H412" s="87"/>
    </row>
    <row r="413" spans="1:8" ht="4.5" customHeight="1" x14ac:dyDescent="0.2"/>
    <row r="414" spans="1:8" ht="18" x14ac:dyDescent="0.25">
      <c r="B414" s="335"/>
      <c r="C414" s="335"/>
      <c r="D414" s="335"/>
      <c r="E414" s="340">
        <f>+$B$1</f>
        <v>46143</v>
      </c>
      <c r="F414" s="87"/>
      <c r="G414" s="341">
        <f>+$D$1</f>
        <v>46183</v>
      </c>
      <c r="H414" s="87"/>
    </row>
    <row r="415" spans="1:8" ht="18" x14ac:dyDescent="0.25">
      <c r="B415" s="86"/>
      <c r="C415" s="86"/>
      <c r="D415" s="103"/>
      <c r="E415" s="340"/>
      <c r="F415" s="87"/>
      <c r="G415" s="341"/>
      <c r="H415" s="87"/>
    </row>
    <row r="416" spans="1:8" ht="9.75" customHeight="1" x14ac:dyDescent="0.25">
      <c r="B416" s="87"/>
      <c r="C416" s="87"/>
      <c r="D416" s="87"/>
      <c r="E416" s="88"/>
      <c r="F416" s="87"/>
      <c r="G416" s="88"/>
      <c r="H416" s="87"/>
    </row>
    <row r="417" spans="2:8" ht="30.75" customHeight="1" x14ac:dyDescent="0.25">
      <c r="C417" s="87"/>
      <c r="D417" s="87"/>
      <c r="E417" s="88"/>
      <c r="F417" s="87"/>
      <c r="G417" s="88"/>
      <c r="H417" s="87"/>
    </row>
    <row r="418" spans="2:8" ht="20.25" customHeight="1" x14ac:dyDescent="0.25">
      <c r="B418" s="87" t="str">
        <f>+B12</f>
        <v>DICARLO DORA C.</v>
      </c>
      <c r="C418" s="87"/>
      <c r="D418" s="87"/>
      <c r="E418" s="87" t="str">
        <f>+E39</f>
        <v>URUGUAY 1025/27/29 CAP. FED.</v>
      </c>
      <c r="F418" s="87"/>
      <c r="G418" s="87"/>
      <c r="H418" s="95" t="s">
        <v>99</v>
      </c>
    </row>
    <row r="419" spans="2:8" ht="18" x14ac:dyDescent="0.25">
      <c r="B419" s="87"/>
      <c r="C419" s="87"/>
      <c r="D419" s="87"/>
      <c r="E419" s="88"/>
      <c r="F419" s="88"/>
      <c r="G419" s="87"/>
      <c r="H419" s="87" t="str">
        <f>+'RES CUENTA'!A23</f>
        <v>´9-11</v>
      </c>
    </row>
    <row r="420" spans="2:8" ht="12.75" customHeight="1" x14ac:dyDescent="0.25">
      <c r="B420" s="96"/>
      <c r="C420" s="87"/>
      <c r="D420" s="96"/>
      <c r="E420" s="87"/>
      <c r="F420" s="87"/>
      <c r="G420" s="87"/>
      <c r="H420" s="87"/>
    </row>
    <row r="421" spans="2:8" ht="15.75" customHeight="1" x14ac:dyDescent="0.25">
      <c r="B421" s="96"/>
      <c r="C421" s="87"/>
      <c r="D421" s="96"/>
      <c r="E421" s="87"/>
      <c r="F421" s="87"/>
      <c r="G421" s="87"/>
      <c r="H421" s="87"/>
    </row>
    <row r="422" spans="2:8" ht="18" x14ac:dyDescent="0.25">
      <c r="B422" s="87" t="s">
        <v>82</v>
      </c>
      <c r="C422" s="87"/>
      <c r="D422" s="110">
        <f>+'RES CUENTA'!$H$26</f>
        <v>6751880</v>
      </c>
      <c r="E422" s="111">
        <f>+'RES CUENTA'!G23</f>
        <v>8.67</v>
      </c>
      <c r="F422" s="106">
        <f>+D422*E422/100</f>
        <v>585387.99600000004</v>
      </c>
      <c r="G422" s="339"/>
      <c r="H422" s="339"/>
    </row>
    <row r="423" spans="2:8" ht="18" x14ac:dyDescent="0.25">
      <c r="B423" s="87" t="s">
        <v>194</v>
      </c>
      <c r="C423" s="87"/>
      <c r="D423" s="110">
        <f>+'RES CUENTA'!J26</f>
        <v>1482120</v>
      </c>
      <c r="E423" s="111">
        <f>+'RES CUENTA'!I23</f>
        <v>9.1368953525134362</v>
      </c>
      <c r="F423" s="106">
        <f>+D423*E423/100</f>
        <v>135419.75339867212</v>
      </c>
      <c r="G423" s="336"/>
      <c r="H423" s="336"/>
    </row>
    <row r="424" spans="2:8" ht="18" x14ac:dyDescent="0.25">
      <c r="B424" s="87" t="str">
        <f>+B388</f>
        <v>s/Asamblea</v>
      </c>
      <c r="C424" s="87"/>
      <c r="D424" s="110">
        <f>+'RES CUENTA'!L23</f>
        <v>0</v>
      </c>
      <c r="E424" s="111">
        <v>0</v>
      </c>
      <c r="F424" s="106">
        <f>+D424</f>
        <v>0</v>
      </c>
      <c r="G424" s="91"/>
      <c r="H424" s="91"/>
    </row>
    <row r="425" spans="2:8" ht="18" x14ac:dyDescent="0.25">
      <c r="B425" s="87" t="s">
        <v>83</v>
      </c>
      <c r="C425" s="87"/>
      <c r="D425" s="110">
        <f>+'RES CUENTA'!O23</f>
        <v>0</v>
      </c>
      <c r="E425" s="111">
        <v>0</v>
      </c>
      <c r="F425" s="106">
        <f>+D425</f>
        <v>0</v>
      </c>
      <c r="G425" s="336"/>
      <c r="H425" s="336"/>
    </row>
    <row r="426" spans="2:8" ht="15.75" customHeight="1" x14ac:dyDescent="0.25">
      <c r="B426" s="87" t="s">
        <v>84</v>
      </c>
      <c r="C426" s="87"/>
      <c r="D426" s="110">
        <f>+'RES CUENTA'!P23</f>
        <v>0</v>
      </c>
      <c r="E426" s="111">
        <v>0</v>
      </c>
      <c r="F426" s="166">
        <f>+D426</f>
        <v>0</v>
      </c>
      <c r="G426" s="336"/>
      <c r="H426" s="336"/>
    </row>
    <row r="427" spans="2:8" ht="18" x14ac:dyDescent="0.25">
      <c r="B427" s="88" t="s">
        <v>206</v>
      </c>
      <c r="C427" s="87"/>
      <c r="D427" s="87"/>
      <c r="E427" s="94"/>
      <c r="F427" s="107">
        <f>SUM(F422:F426)</f>
        <v>720807.74939867214</v>
      </c>
      <c r="G427" s="336"/>
      <c r="H427" s="336"/>
    </row>
    <row r="428" spans="2:8" ht="18" x14ac:dyDescent="0.25">
      <c r="B428" s="88"/>
      <c r="C428" s="87"/>
      <c r="D428" s="87"/>
      <c r="E428" s="87"/>
      <c r="G428" s="337"/>
      <c r="H428" s="337"/>
    </row>
    <row r="429" spans="2:8" ht="18" x14ac:dyDescent="0.25">
      <c r="B429" s="88"/>
      <c r="C429" s="87"/>
      <c r="D429" s="87"/>
      <c r="E429" s="87"/>
      <c r="G429" s="92"/>
      <c r="H429" s="92"/>
    </row>
    <row r="430" spans="2:8" ht="18" x14ac:dyDescent="0.25">
      <c r="B430" s="87"/>
      <c r="C430" s="87"/>
      <c r="D430" s="87"/>
      <c r="E430" s="87"/>
      <c r="F430" s="93"/>
      <c r="G430" s="92"/>
      <c r="H430" s="92"/>
    </row>
    <row r="431" spans="2:8" ht="27" customHeight="1" x14ac:dyDescent="0.25">
      <c r="B431" s="87"/>
      <c r="C431" s="87"/>
      <c r="D431" s="87"/>
      <c r="E431" s="87"/>
      <c r="F431" s="94"/>
      <c r="G431" s="87"/>
      <c r="H431" s="87"/>
    </row>
    <row r="432" spans="2:8" ht="7.5" customHeight="1" x14ac:dyDescent="0.25">
      <c r="B432" s="87"/>
      <c r="C432" s="87"/>
      <c r="D432" s="87"/>
      <c r="E432" s="87"/>
      <c r="F432" s="94"/>
      <c r="G432" s="87"/>
      <c r="H432" s="87"/>
    </row>
    <row r="433" spans="2:8" ht="18" x14ac:dyDescent="0.25">
      <c r="B433" s="87" t="str">
        <f>+B418</f>
        <v>DICARLO DORA C.</v>
      </c>
      <c r="C433" s="338"/>
      <c r="D433" s="338"/>
      <c r="E433" s="87" t="str">
        <f>+B433</f>
        <v>DICARLO DORA C.</v>
      </c>
      <c r="F433" s="94"/>
      <c r="G433" s="87"/>
      <c r="H433" s="87"/>
    </row>
    <row r="434" spans="2:8" ht="18" x14ac:dyDescent="0.25">
      <c r="C434" s="87"/>
      <c r="D434" s="87"/>
      <c r="F434" s="338"/>
      <c r="G434" s="338"/>
      <c r="H434" s="338"/>
    </row>
    <row r="435" spans="2:8" ht="18" x14ac:dyDescent="0.25">
      <c r="B435" s="87" t="str">
        <f>+E1</f>
        <v>URUGUAY 1025/27/29 CAP. FED.</v>
      </c>
      <c r="C435" s="87"/>
      <c r="D435" s="95" t="str">
        <f>+H418</f>
        <v>Unid. 11</v>
      </c>
      <c r="E435" s="87" t="str">
        <f>+E1</f>
        <v>URUGUAY 1025/27/29 CAP. FED.</v>
      </c>
      <c r="F435" s="87"/>
      <c r="G435" s="87"/>
      <c r="H435" s="95" t="str">
        <f>+D435</f>
        <v>Unid. 11</v>
      </c>
    </row>
    <row r="436" spans="2:8" ht="18" x14ac:dyDescent="0.25">
      <c r="D436" s="95" t="str">
        <f>+H436</f>
        <v>´9-11</v>
      </c>
      <c r="H436" s="87" t="str">
        <f>+H419</f>
        <v>´9-11</v>
      </c>
    </row>
    <row r="437" spans="2:8" ht="18" x14ac:dyDescent="0.25">
      <c r="B437" s="87" t="str">
        <f>+F1</f>
        <v xml:space="preserve">P/depósito/transferencia en ICBC </v>
      </c>
      <c r="C437" s="88"/>
      <c r="D437" s="88"/>
      <c r="E437" s="88"/>
      <c r="F437" s="87"/>
      <c r="G437" s="87"/>
    </row>
    <row r="438" spans="2:8" ht="18" x14ac:dyDescent="0.25">
      <c r="B438" s="87" t="str">
        <f>+F2</f>
        <v>Cta. Cte. $ N°538/02104658/84</v>
      </c>
      <c r="C438" s="87"/>
      <c r="D438" s="87"/>
      <c r="E438" s="87"/>
      <c r="F438" s="87"/>
      <c r="G438" s="88"/>
      <c r="H438" s="104"/>
    </row>
    <row r="439" spans="2:8" ht="18" x14ac:dyDescent="0.25">
      <c r="B439" s="87" t="str">
        <f>+F3</f>
        <v>CBU:0150538202000104658840</v>
      </c>
      <c r="C439" s="87"/>
      <c r="D439" s="87"/>
      <c r="E439" s="87" t="s">
        <v>85</v>
      </c>
      <c r="F439" s="109">
        <f>+F422</f>
        <v>585387.99600000004</v>
      </c>
      <c r="H439" s="102">
        <f>+D1</f>
        <v>46183</v>
      </c>
    </row>
    <row r="440" spans="2:8" ht="18" x14ac:dyDescent="0.25">
      <c r="B440" s="87" t="str">
        <f>+F4</f>
        <v>CUIT: 30-58026090-6</v>
      </c>
      <c r="C440" s="87"/>
      <c r="D440" s="87"/>
      <c r="E440" s="87" t="s">
        <v>193</v>
      </c>
      <c r="F440" s="109">
        <f>+F423</f>
        <v>135419.75339867212</v>
      </c>
    </row>
    <row r="441" spans="2:8" ht="18" x14ac:dyDescent="0.25">
      <c r="B441" s="87"/>
      <c r="C441" s="87"/>
      <c r="D441" s="87"/>
      <c r="E441" s="87" t="s">
        <v>86</v>
      </c>
      <c r="F441" s="109">
        <f>+F425</f>
        <v>0</v>
      </c>
      <c r="G441" s="87"/>
      <c r="H441" s="87"/>
    </row>
    <row r="442" spans="2:8" ht="18" x14ac:dyDescent="0.25">
      <c r="B442" s="87"/>
      <c r="C442" s="87"/>
      <c r="D442" s="87"/>
      <c r="E442" s="87" t="s">
        <v>87</v>
      </c>
      <c r="F442" s="109">
        <f>+F426</f>
        <v>0</v>
      </c>
      <c r="G442" s="87"/>
      <c r="H442" s="87"/>
    </row>
    <row r="443" spans="2:8" ht="18" x14ac:dyDescent="0.25">
      <c r="B443" s="98"/>
      <c r="C443" s="98"/>
      <c r="D443" s="98"/>
      <c r="E443" s="87" t="s">
        <v>321</v>
      </c>
      <c r="F443" s="167">
        <f>+F424</f>
        <v>0</v>
      </c>
      <c r="G443" s="87"/>
      <c r="H443" s="87"/>
    </row>
    <row r="444" spans="2:8" ht="18" x14ac:dyDescent="0.25">
      <c r="B444" s="102">
        <f>+$G$34</f>
        <v>46183</v>
      </c>
      <c r="C444" s="108">
        <f>+F427</f>
        <v>720807.74939867214</v>
      </c>
      <c r="D444" s="87"/>
      <c r="E444" s="87" t="s">
        <v>88</v>
      </c>
      <c r="F444" s="171">
        <f>+F427</f>
        <v>720807.74939867214</v>
      </c>
      <c r="G444" s="87"/>
      <c r="H444" s="87"/>
    </row>
    <row r="445" spans="2:8" ht="18" x14ac:dyDescent="0.25">
      <c r="B445" s="102"/>
      <c r="C445" s="108"/>
      <c r="D445" s="87"/>
      <c r="E445" s="87"/>
      <c r="F445" s="99"/>
      <c r="G445" s="87"/>
      <c r="H445" s="87"/>
    </row>
    <row r="446" spans="2:8" ht="18" x14ac:dyDescent="0.25">
      <c r="B446" s="87"/>
      <c r="C446" s="87"/>
      <c r="D446" s="87"/>
      <c r="E446" s="105"/>
      <c r="F446" s="87"/>
      <c r="G446" s="87"/>
      <c r="H446" s="87"/>
    </row>
    <row r="447" spans="2:8" ht="18" x14ac:dyDescent="0.25">
      <c r="B447" s="87"/>
      <c r="C447" s="87"/>
      <c r="D447" s="87"/>
      <c r="E447" s="105"/>
      <c r="F447" s="87"/>
      <c r="G447" s="87"/>
      <c r="H447" s="87"/>
    </row>
    <row r="448" spans="2:8" ht="18" x14ac:dyDescent="0.25">
      <c r="B448" s="87"/>
      <c r="C448" s="87"/>
      <c r="D448" s="87"/>
      <c r="F448" s="87"/>
      <c r="G448" s="87"/>
      <c r="H448" s="87"/>
    </row>
    <row r="449" spans="2:8" ht="18" x14ac:dyDescent="0.25">
      <c r="B449" s="87"/>
      <c r="C449" s="87"/>
      <c r="D449" s="87"/>
      <c r="E449" s="87"/>
      <c r="F449" s="87"/>
      <c r="G449" s="87"/>
      <c r="H449" s="87"/>
    </row>
    <row r="450" spans="2:8" ht="18" x14ac:dyDescent="0.25">
      <c r="B450" s="87"/>
      <c r="C450" s="87"/>
      <c r="D450" s="87"/>
      <c r="E450" s="87"/>
      <c r="F450" s="87"/>
      <c r="G450" s="339"/>
      <c r="H450" s="339"/>
    </row>
    <row r="451" spans="2:8" ht="18" x14ac:dyDescent="0.25">
      <c r="B451" s="87"/>
      <c r="C451" s="87"/>
      <c r="D451" s="87"/>
      <c r="E451" s="87"/>
      <c r="F451" s="87"/>
      <c r="G451" s="87"/>
      <c r="H451" s="87"/>
    </row>
    <row r="452" spans="2:8" ht="18" x14ac:dyDescent="0.25">
      <c r="B452" s="87"/>
      <c r="C452" s="87"/>
      <c r="D452" s="87"/>
      <c r="E452" s="87"/>
      <c r="F452" s="87"/>
      <c r="G452" s="87"/>
      <c r="H452" s="87"/>
    </row>
    <row r="453" spans="2:8" ht="19.5" customHeight="1" x14ac:dyDescent="0.25">
      <c r="B453" s="335"/>
      <c r="C453" s="335"/>
      <c r="D453" s="335"/>
      <c r="E453" s="87"/>
      <c r="F453" s="87"/>
      <c r="H453" s="87"/>
    </row>
    <row r="454" spans="2:8" ht="18" x14ac:dyDescent="0.25">
      <c r="B454" s="335"/>
      <c r="C454" s="335"/>
      <c r="D454" s="335"/>
      <c r="E454" s="101">
        <f>+$B$1</f>
        <v>46143</v>
      </c>
      <c r="F454" s="87"/>
      <c r="G454" s="102">
        <f>+$D$1</f>
        <v>46183</v>
      </c>
      <c r="H454" s="100"/>
    </row>
    <row r="455" spans="2:8" ht="18" x14ac:dyDescent="0.25">
      <c r="B455" s="86"/>
      <c r="C455" s="86"/>
      <c r="D455" s="103"/>
      <c r="E455" s="101"/>
      <c r="F455" s="87"/>
    </row>
    <row r="456" spans="2:8" ht="34.5" customHeight="1" x14ac:dyDescent="0.25">
      <c r="C456" s="87"/>
      <c r="D456" s="87"/>
      <c r="F456" s="87"/>
    </row>
    <row r="457" spans="2:8" ht="24.75" customHeight="1" x14ac:dyDescent="0.25">
      <c r="B457" s="87" t="str">
        <f>+B13</f>
        <v>DICARLO DORA C.</v>
      </c>
      <c r="C457" s="87"/>
      <c r="D457" s="87"/>
      <c r="E457" s="87" t="str">
        <f>+E78</f>
        <v>URUGUAY 1025/27/29 CAP. FED.</v>
      </c>
      <c r="F457" s="87"/>
      <c r="H457" s="95" t="s">
        <v>100</v>
      </c>
    </row>
    <row r="458" spans="2:8" ht="18" x14ac:dyDescent="0.25">
      <c r="B458" s="88"/>
      <c r="C458" s="87"/>
      <c r="D458" s="87"/>
      <c r="F458" s="87"/>
      <c r="G458" s="88"/>
      <c r="H458" s="95" t="str">
        <f>+'RES CUENTA'!A24</f>
        <v>´10-12</v>
      </c>
    </row>
    <row r="459" spans="2:8" ht="18" x14ac:dyDescent="0.25">
      <c r="B459" s="87"/>
      <c r="C459" s="87"/>
      <c r="D459" s="87"/>
      <c r="E459" s="88"/>
      <c r="F459" s="88"/>
      <c r="G459" s="87"/>
      <c r="H459" s="88"/>
    </row>
    <row r="460" spans="2:8" ht="12.75" customHeight="1" x14ac:dyDescent="0.25">
      <c r="B460" s="96"/>
      <c r="C460" s="87"/>
      <c r="D460" s="96"/>
      <c r="E460" s="87"/>
      <c r="F460" s="87"/>
      <c r="G460" s="87"/>
      <c r="H460" s="87"/>
    </row>
    <row r="461" spans="2:8" ht="18" x14ac:dyDescent="0.25">
      <c r="B461" s="87" t="s">
        <v>82</v>
      </c>
      <c r="C461" s="87"/>
      <c r="D461" s="110">
        <f>+'RES CUENTA'!$H$26</f>
        <v>6751880</v>
      </c>
      <c r="E461" s="111">
        <f>+'RES CUENTA'!G24</f>
        <v>7.59</v>
      </c>
      <c r="F461" s="106">
        <f>+D461*E461/100</f>
        <v>512467.69199999998</v>
      </c>
      <c r="G461" s="87"/>
      <c r="H461" s="96"/>
    </row>
    <row r="462" spans="2:8" ht="18" x14ac:dyDescent="0.25">
      <c r="B462" s="87" t="s">
        <v>194</v>
      </c>
      <c r="C462" s="87"/>
      <c r="D462" s="110">
        <f>+'RES CUENTA'!J26</f>
        <v>1482120</v>
      </c>
      <c r="E462" s="111">
        <f>+'RES CUENTA'!I24</f>
        <v>7.9987353778058807</v>
      </c>
      <c r="F462" s="106">
        <f>+D462*E462/100</f>
        <v>118550.85678153652</v>
      </c>
      <c r="G462" s="96"/>
      <c r="H462" s="91"/>
    </row>
    <row r="463" spans="2:8" ht="18" x14ac:dyDescent="0.25">
      <c r="B463" s="87" t="str">
        <f>+B424</f>
        <v>s/Asamblea</v>
      </c>
      <c r="C463" s="87"/>
      <c r="D463" s="110">
        <f>+'RES CUENTA'!L24</f>
        <v>0</v>
      </c>
      <c r="E463" s="111">
        <v>0</v>
      </c>
      <c r="F463" s="106">
        <f>+D463</f>
        <v>0</v>
      </c>
      <c r="G463" s="96"/>
      <c r="H463" s="91"/>
    </row>
    <row r="464" spans="2:8" ht="18" x14ac:dyDescent="0.25">
      <c r="B464" s="87" t="s">
        <v>226</v>
      </c>
      <c r="C464" s="87"/>
      <c r="D464" s="110">
        <f>+'RES CUENTA'!M24</f>
        <v>0</v>
      </c>
      <c r="E464" s="111">
        <v>0</v>
      </c>
      <c r="F464" s="106">
        <f>+D464</f>
        <v>0</v>
      </c>
      <c r="G464" s="96"/>
      <c r="H464" s="91"/>
    </row>
    <row r="465" spans="2:8" ht="18" x14ac:dyDescent="0.25">
      <c r="B465" s="87" t="s">
        <v>83</v>
      </c>
      <c r="C465" s="87"/>
      <c r="D465" s="110">
        <f>+'RES CUENTA'!O24</f>
        <v>0</v>
      </c>
      <c r="E465" s="111">
        <v>0</v>
      </c>
      <c r="F465" s="106">
        <f>+D465</f>
        <v>0</v>
      </c>
      <c r="G465" s="91"/>
      <c r="H465" s="91"/>
    </row>
    <row r="466" spans="2:8" ht="18" x14ac:dyDescent="0.25">
      <c r="B466" s="87" t="s">
        <v>84</v>
      </c>
      <c r="C466" s="87"/>
      <c r="D466" s="110">
        <f>+'RES CUENTA'!P24</f>
        <v>0</v>
      </c>
      <c r="E466" s="111">
        <v>0</v>
      </c>
      <c r="F466" s="166">
        <f>+D466</f>
        <v>0</v>
      </c>
      <c r="G466" s="91"/>
      <c r="H466" s="91"/>
    </row>
    <row r="467" spans="2:8" ht="18" x14ac:dyDescent="0.25">
      <c r="B467" s="88" t="s">
        <v>206</v>
      </c>
      <c r="C467" s="87"/>
      <c r="D467" s="87"/>
      <c r="F467" s="107">
        <f>SUM(F461:F466)</f>
        <v>631018.54878153652</v>
      </c>
      <c r="G467" s="91"/>
      <c r="H467" s="92"/>
    </row>
    <row r="468" spans="2:8" ht="18" x14ac:dyDescent="0.25">
      <c r="B468" s="87"/>
      <c r="C468" s="87"/>
      <c r="D468" s="87"/>
      <c r="E468" s="87"/>
      <c r="F468" s="94"/>
      <c r="G468" s="92"/>
      <c r="H468" s="92"/>
    </row>
    <row r="469" spans="2:8" ht="14.25" customHeight="1" x14ac:dyDescent="0.25">
      <c r="B469" s="87"/>
      <c r="C469" s="87"/>
      <c r="D469" s="87"/>
      <c r="E469" s="87"/>
      <c r="F469" s="94"/>
      <c r="G469" s="92"/>
      <c r="H469" s="92"/>
    </row>
    <row r="470" spans="2:8" ht="11.25" customHeight="1" x14ac:dyDescent="0.25">
      <c r="B470" s="87"/>
      <c r="C470" s="87"/>
      <c r="D470" s="87"/>
      <c r="E470" s="87"/>
      <c r="F470" s="94"/>
      <c r="G470" s="92"/>
      <c r="H470" s="92"/>
    </row>
    <row r="471" spans="2:8" ht="3.75" customHeight="1" x14ac:dyDescent="0.25">
      <c r="B471" s="87"/>
      <c r="C471" s="87"/>
      <c r="D471" s="87"/>
      <c r="E471" s="87"/>
      <c r="F471" s="94"/>
      <c r="G471" s="92"/>
      <c r="H471" s="92"/>
    </row>
    <row r="472" spans="2:8" ht="18" x14ac:dyDescent="0.25">
      <c r="B472" s="87" t="str">
        <f>+B457</f>
        <v>DICARLO DORA C.</v>
      </c>
      <c r="C472" s="87"/>
      <c r="D472" s="87"/>
      <c r="E472" s="87" t="str">
        <f>+B457</f>
        <v>DICARLO DORA C.</v>
      </c>
      <c r="F472" s="87"/>
      <c r="G472" s="87"/>
      <c r="H472" s="104"/>
    </row>
    <row r="473" spans="2:8" ht="18" x14ac:dyDescent="0.25">
      <c r="B473" s="88"/>
      <c r="C473" s="87"/>
      <c r="D473" s="87"/>
      <c r="F473" s="87"/>
      <c r="G473" s="104"/>
      <c r="H473" s="95" t="str">
        <f>+H457</f>
        <v>Unid. 12</v>
      </c>
    </row>
    <row r="474" spans="2:8" ht="18" x14ac:dyDescent="0.25">
      <c r="B474" s="87" t="str">
        <f>+E1</f>
        <v>URUGUAY 1025/27/29 CAP. FED.</v>
      </c>
      <c r="C474" s="87"/>
      <c r="D474" s="95" t="str">
        <f>+H473</f>
        <v>Unid. 12</v>
      </c>
      <c r="E474" s="87" t="str">
        <f>+E1</f>
        <v>URUGUAY 1025/27/29 CAP. FED.</v>
      </c>
      <c r="F474" s="87"/>
      <c r="G474" s="87"/>
      <c r="H474" s="87" t="str">
        <f>+H458</f>
        <v>´10-12</v>
      </c>
    </row>
    <row r="475" spans="2:8" ht="18" x14ac:dyDescent="0.25">
      <c r="B475" s="88"/>
      <c r="C475" s="88"/>
      <c r="D475" s="87" t="str">
        <f>+H474</f>
        <v>´10-12</v>
      </c>
      <c r="F475" s="87"/>
      <c r="G475" s="87"/>
    </row>
    <row r="476" spans="2:8" ht="18" x14ac:dyDescent="0.25">
      <c r="B476" s="87" t="str">
        <f>+F1</f>
        <v xml:space="preserve">P/depósito/transferencia en ICBC </v>
      </c>
      <c r="C476" s="87"/>
      <c r="D476" s="87"/>
      <c r="E476" s="88"/>
      <c r="F476" s="87"/>
      <c r="G476" s="87"/>
      <c r="H476" s="104"/>
    </row>
    <row r="477" spans="2:8" ht="23.25" customHeight="1" x14ac:dyDescent="0.25">
      <c r="B477" s="87" t="str">
        <f>+F2</f>
        <v>Cta. Cte. $ N°538/02104658/84</v>
      </c>
      <c r="C477" s="87"/>
      <c r="D477" s="87"/>
      <c r="E477" s="87"/>
      <c r="F477" s="98"/>
      <c r="G477" s="88"/>
      <c r="H477" s="87"/>
    </row>
    <row r="478" spans="2:8" ht="18" x14ac:dyDescent="0.25">
      <c r="B478" s="87" t="str">
        <f>+F3</f>
        <v>CBU:0150538202000104658840</v>
      </c>
      <c r="C478" s="87"/>
      <c r="D478" s="87"/>
      <c r="E478" s="87" t="s">
        <v>85</v>
      </c>
      <c r="F478" s="109">
        <f>+F461</f>
        <v>512467.69199999998</v>
      </c>
      <c r="G478" s="97"/>
      <c r="H478" s="102">
        <f>+D1</f>
        <v>46183</v>
      </c>
    </row>
    <row r="479" spans="2:8" ht="18" x14ac:dyDescent="0.25">
      <c r="B479" s="87" t="str">
        <f>+F4</f>
        <v>CUIT: 30-58026090-6</v>
      </c>
      <c r="C479" s="87"/>
      <c r="D479" s="87"/>
      <c r="E479" s="87" t="s">
        <v>193</v>
      </c>
      <c r="F479" s="109">
        <f>+F462</f>
        <v>118550.85678153652</v>
      </c>
      <c r="H479" s="87"/>
    </row>
    <row r="480" spans="2:8" ht="18" x14ac:dyDescent="0.25">
      <c r="B480" s="87"/>
      <c r="C480" s="87"/>
      <c r="D480" s="87"/>
      <c r="E480" s="87" t="s">
        <v>86</v>
      </c>
      <c r="F480" s="109">
        <f>+F465</f>
        <v>0</v>
      </c>
      <c r="G480" s="87"/>
      <c r="H480" s="87"/>
    </row>
    <row r="481" spans="2:8" ht="18" x14ac:dyDescent="0.25">
      <c r="B481" s="98"/>
      <c r="C481" s="98"/>
      <c r="D481" s="98"/>
      <c r="E481" s="87" t="s">
        <v>87</v>
      </c>
      <c r="F481" s="109">
        <f>+'RES CUENTA'!P24</f>
        <v>0</v>
      </c>
      <c r="G481" s="87"/>
      <c r="H481" s="87"/>
    </row>
    <row r="482" spans="2:8" ht="18" x14ac:dyDescent="0.25">
      <c r="D482" s="87"/>
      <c r="E482" s="87" t="s">
        <v>199</v>
      </c>
      <c r="F482" s="109">
        <f>+F464</f>
        <v>0</v>
      </c>
      <c r="G482" s="87"/>
      <c r="H482" s="87"/>
    </row>
    <row r="483" spans="2:8" ht="18" x14ac:dyDescent="0.25">
      <c r="D483" s="87"/>
      <c r="E483" s="87" t="s">
        <v>321</v>
      </c>
      <c r="F483" s="167">
        <f>+F463</f>
        <v>0</v>
      </c>
      <c r="G483" s="87"/>
      <c r="H483" s="87"/>
    </row>
    <row r="484" spans="2:8" ht="18" x14ac:dyDescent="0.25">
      <c r="B484" s="102">
        <f>+$G$34</f>
        <v>46183</v>
      </c>
      <c r="C484" s="108">
        <f>+F467</f>
        <v>631018.54878153652</v>
      </c>
      <c r="D484" s="87"/>
      <c r="E484" s="87" t="s">
        <v>88</v>
      </c>
      <c r="F484" s="109">
        <f>+F467</f>
        <v>631018.54878153652</v>
      </c>
      <c r="G484" s="87"/>
      <c r="H484" s="87"/>
    </row>
    <row r="485" spans="2:8" ht="18" x14ac:dyDescent="0.25">
      <c r="B485" s="87"/>
      <c r="C485" s="87"/>
      <c r="D485" s="87"/>
      <c r="E485" s="105"/>
      <c r="F485" s="87"/>
      <c r="G485" s="87"/>
      <c r="H485" s="87"/>
    </row>
    <row r="486" spans="2:8" ht="11.25" customHeight="1" x14ac:dyDescent="0.25">
      <c r="E486" s="87"/>
      <c r="G486" s="96"/>
      <c r="H486" s="87"/>
    </row>
    <row r="487" spans="2:8" ht="6.75" customHeight="1" x14ac:dyDescent="0.2"/>
    <row r="488" spans="2:8" ht="18" x14ac:dyDescent="0.25">
      <c r="B488" s="335"/>
      <c r="C488" s="335"/>
      <c r="D488" s="335"/>
      <c r="E488" s="340">
        <f>+$B$1</f>
        <v>46143</v>
      </c>
      <c r="F488" s="87"/>
      <c r="G488" s="341">
        <f>+$D$1</f>
        <v>46183</v>
      </c>
      <c r="H488" s="87"/>
    </row>
    <row r="489" spans="2:8" ht="18" x14ac:dyDescent="0.25">
      <c r="B489" s="86"/>
      <c r="C489" s="86"/>
      <c r="D489" s="103"/>
      <c r="E489" s="340"/>
      <c r="F489" s="87"/>
      <c r="G489" s="341"/>
      <c r="H489" s="87"/>
    </row>
    <row r="490" spans="2:8" ht="12.75" customHeight="1" x14ac:dyDescent="0.25">
      <c r="B490" s="86"/>
      <c r="C490" s="86"/>
      <c r="D490" s="103"/>
      <c r="E490" s="101"/>
      <c r="F490" s="87"/>
      <c r="G490" s="209"/>
      <c r="H490" s="87"/>
    </row>
    <row r="491" spans="2:8" ht="18" x14ac:dyDescent="0.25">
      <c r="B491" s="87"/>
      <c r="C491" s="87"/>
      <c r="D491" s="87"/>
      <c r="E491" s="88"/>
      <c r="F491" s="87"/>
      <c r="G491" s="88"/>
      <c r="H491" s="87"/>
    </row>
    <row r="492" spans="2:8" ht="11.25" customHeight="1" x14ac:dyDescent="0.25">
      <c r="C492" s="87"/>
      <c r="D492" s="87"/>
      <c r="E492" s="88"/>
      <c r="F492" s="87"/>
      <c r="G492" s="88"/>
      <c r="H492" s="87"/>
    </row>
    <row r="493" spans="2:8" ht="20.25" customHeight="1" x14ac:dyDescent="0.25">
      <c r="B493" s="87" t="str">
        <f>+B14</f>
        <v>ORO 2999 S.A.</v>
      </c>
      <c r="C493" s="87"/>
      <c r="D493" s="87"/>
      <c r="E493" s="87" t="str">
        <f>+E39</f>
        <v>URUGUAY 1025/27/29 CAP. FED.</v>
      </c>
      <c r="F493" s="87"/>
      <c r="G493" s="87"/>
      <c r="H493" s="95" t="s">
        <v>101</v>
      </c>
    </row>
    <row r="494" spans="2:8" ht="18" x14ac:dyDescent="0.25">
      <c r="B494" s="87"/>
      <c r="C494" s="87"/>
      <c r="D494" s="87"/>
      <c r="E494" s="88"/>
      <c r="F494" s="88"/>
      <c r="G494" s="87"/>
      <c r="H494" s="95" t="str">
        <f>+'RES CUENTA'!A25</f>
        <v>´11-13</v>
      </c>
    </row>
    <row r="495" spans="2:8" ht="27.75" customHeight="1" x14ac:dyDescent="0.25">
      <c r="B495" s="96"/>
      <c r="C495" s="87"/>
      <c r="D495" s="96"/>
      <c r="E495" s="87"/>
      <c r="F495" s="87"/>
      <c r="G495" s="87"/>
      <c r="H495" s="87"/>
    </row>
    <row r="496" spans="2:8" ht="18" x14ac:dyDescent="0.25">
      <c r="B496" s="87" t="s">
        <v>82</v>
      </c>
      <c r="C496" s="87"/>
      <c r="D496" s="110">
        <f>+'RES CUENTA'!$H$26</f>
        <v>6751880</v>
      </c>
      <c r="E496" s="111">
        <f>+'RES CUENTA'!G25</f>
        <v>9.27</v>
      </c>
      <c r="F496" s="106">
        <f>+D496*E496/100</f>
        <v>625899.27599999995</v>
      </c>
      <c r="G496" s="339"/>
      <c r="H496" s="339"/>
    </row>
    <row r="497" spans="2:8" ht="18" x14ac:dyDescent="0.25">
      <c r="B497" s="87" t="s">
        <v>194</v>
      </c>
      <c r="C497" s="87"/>
      <c r="D497" s="110">
        <f>+'RES CUENTA'!J26</f>
        <v>1482120</v>
      </c>
      <c r="E497" s="111">
        <f>+'RES CUENTA'!I25</f>
        <v>9.7692064495731898</v>
      </c>
      <c r="F497" s="106">
        <f>+D497*E497/100</f>
        <v>144791.36263041417</v>
      </c>
      <c r="G497" s="336"/>
      <c r="H497" s="336"/>
    </row>
    <row r="498" spans="2:8" ht="18" x14ac:dyDescent="0.25">
      <c r="B498" s="87" t="str">
        <f>+B463</f>
        <v>s/Asamblea</v>
      </c>
      <c r="C498" s="87"/>
      <c r="D498" s="110">
        <f>+'RES CUENTA'!L25</f>
        <v>0</v>
      </c>
      <c r="E498" s="111">
        <v>0</v>
      </c>
      <c r="F498" s="106">
        <f>+D498</f>
        <v>0</v>
      </c>
      <c r="G498" s="91"/>
      <c r="H498" s="91"/>
    </row>
    <row r="499" spans="2:8" ht="18" x14ac:dyDescent="0.25">
      <c r="B499" s="87" t="s">
        <v>83</v>
      </c>
      <c r="C499" s="87"/>
      <c r="D499" s="110">
        <f>+'RES CUENTA'!O25</f>
        <v>0</v>
      </c>
      <c r="E499" s="111">
        <v>0</v>
      </c>
      <c r="F499" s="106">
        <f>+D499</f>
        <v>0</v>
      </c>
      <c r="G499" s="336"/>
      <c r="H499" s="336"/>
    </row>
    <row r="500" spans="2:8" ht="18" x14ac:dyDescent="0.25">
      <c r="B500" s="87" t="s">
        <v>84</v>
      </c>
      <c r="C500" s="87"/>
      <c r="D500" s="110">
        <f>+'RES CUENTA'!P25</f>
        <v>0</v>
      </c>
      <c r="E500" s="111">
        <v>0</v>
      </c>
      <c r="F500" s="166">
        <f>+D500</f>
        <v>0</v>
      </c>
      <c r="G500" s="336"/>
      <c r="H500" s="336"/>
    </row>
    <row r="501" spans="2:8" ht="18" x14ac:dyDescent="0.25">
      <c r="B501" s="88" t="s">
        <v>206</v>
      </c>
      <c r="C501" s="87"/>
      <c r="D501" s="87"/>
      <c r="E501" s="94"/>
      <c r="F501" s="107">
        <f>SUM(F496:F500)</f>
        <v>770690.63863041415</v>
      </c>
      <c r="G501" s="336"/>
      <c r="H501" s="336"/>
    </row>
    <row r="502" spans="2:8" ht="18" x14ac:dyDescent="0.25">
      <c r="B502" s="88"/>
      <c r="C502" s="87"/>
      <c r="D502" s="87"/>
      <c r="E502" s="87"/>
      <c r="G502" s="337"/>
      <c r="H502" s="337"/>
    </row>
    <row r="503" spans="2:8" ht="18" x14ac:dyDescent="0.25">
      <c r="B503" s="88"/>
      <c r="C503" s="87"/>
      <c r="D503" s="87"/>
      <c r="E503" s="87"/>
      <c r="G503" s="92"/>
      <c r="H503" s="92"/>
    </row>
    <row r="504" spans="2:8" ht="18" x14ac:dyDescent="0.25">
      <c r="B504" s="88"/>
      <c r="C504" s="87"/>
      <c r="D504" s="87"/>
      <c r="E504" s="87"/>
      <c r="G504" s="92"/>
      <c r="H504" s="92"/>
    </row>
    <row r="505" spans="2:8" ht="18" x14ac:dyDescent="0.25">
      <c r="B505" s="87"/>
      <c r="C505" s="87"/>
      <c r="D505" s="87"/>
      <c r="E505" s="87"/>
      <c r="F505" s="93"/>
      <c r="G505" s="92"/>
      <c r="H505" s="92"/>
    </row>
    <row r="506" spans="2:8" ht="11.25" customHeight="1" x14ac:dyDescent="0.25">
      <c r="B506" s="87"/>
      <c r="C506" s="87"/>
      <c r="D506" s="87"/>
      <c r="E506" s="87"/>
      <c r="F506" s="93"/>
      <c r="G506" s="92"/>
      <c r="H506" s="92"/>
    </row>
    <row r="507" spans="2:8" ht="3.75" customHeight="1" x14ac:dyDescent="0.25">
      <c r="B507" s="87"/>
      <c r="C507" s="87"/>
      <c r="D507" s="87"/>
      <c r="E507" s="87"/>
      <c r="F507" s="94"/>
      <c r="G507" s="87"/>
      <c r="H507" s="87"/>
    </row>
    <row r="508" spans="2:8" ht="18" x14ac:dyDescent="0.25">
      <c r="B508" s="87" t="str">
        <f>+B493</f>
        <v>ORO 2999 S.A.</v>
      </c>
      <c r="C508" s="338"/>
      <c r="D508" s="338"/>
      <c r="E508" s="87" t="str">
        <f>+B508</f>
        <v>ORO 2999 S.A.</v>
      </c>
      <c r="F508" s="94"/>
      <c r="G508" s="87"/>
      <c r="H508" s="87"/>
    </row>
    <row r="509" spans="2:8" ht="18" x14ac:dyDescent="0.25">
      <c r="C509" s="87"/>
      <c r="D509" s="87"/>
      <c r="F509" s="338"/>
      <c r="G509" s="338"/>
      <c r="H509" s="338"/>
    </row>
    <row r="510" spans="2:8" ht="18" x14ac:dyDescent="0.25">
      <c r="B510" s="87" t="str">
        <f>+E1</f>
        <v>URUGUAY 1025/27/29 CAP. FED.</v>
      </c>
      <c r="C510" s="87"/>
      <c r="D510" s="95" t="str">
        <f>+H493</f>
        <v>Unid. 13</v>
      </c>
      <c r="E510" s="87" t="str">
        <f>+E1</f>
        <v>URUGUAY 1025/27/29 CAP. FED.</v>
      </c>
      <c r="F510" s="87"/>
      <c r="G510" s="87"/>
      <c r="H510" s="95" t="str">
        <f>+D510</f>
        <v>Unid. 13</v>
      </c>
    </row>
    <row r="511" spans="2:8" ht="18" x14ac:dyDescent="0.25">
      <c r="D511" s="95" t="str">
        <f>+H511</f>
        <v>´11-13</v>
      </c>
      <c r="H511" s="95" t="str">
        <f>+H494</f>
        <v>´11-13</v>
      </c>
    </row>
    <row r="512" spans="2:8" ht="15" customHeight="1" x14ac:dyDescent="0.25">
      <c r="B512" s="87" t="str">
        <f>+F1</f>
        <v xml:space="preserve">P/depósito/transferencia en ICBC </v>
      </c>
      <c r="C512" s="88"/>
      <c r="D512" s="88"/>
      <c r="E512" s="88"/>
      <c r="F512" s="87"/>
      <c r="G512" s="87"/>
    </row>
    <row r="513" spans="2:8" ht="15" customHeight="1" x14ac:dyDescent="0.25">
      <c r="B513" s="87" t="str">
        <f>+F2</f>
        <v>Cta. Cte. $ N°538/02104658/84</v>
      </c>
      <c r="C513" s="88"/>
      <c r="D513" s="88"/>
      <c r="E513" s="88"/>
      <c r="F513" s="87"/>
      <c r="G513" s="87"/>
    </row>
    <row r="514" spans="2:8" ht="18" x14ac:dyDescent="0.25">
      <c r="B514" s="87" t="str">
        <f>+F3</f>
        <v>CBU:0150538202000104658840</v>
      </c>
      <c r="C514" s="87"/>
      <c r="D514" s="87"/>
      <c r="E514" s="98"/>
      <c r="F514" s="87"/>
      <c r="G514" s="96"/>
      <c r="H514" s="87"/>
    </row>
    <row r="515" spans="2:8" ht="18" x14ac:dyDescent="0.25">
      <c r="B515" s="87" t="str">
        <f>+F4</f>
        <v>CUIT: 30-58026090-6</v>
      </c>
      <c r="C515" s="87"/>
      <c r="D515" s="87"/>
      <c r="E515" s="87" t="s">
        <v>85</v>
      </c>
      <c r="F515" s="109">
        <f>+F496</f>
        <v>625899.27599999995</v>
      </c>
      <c r="H515" s="102">
        <f>+B520</f>
        <v>46183</v>
      </c>
    </row>
    <row r="516" spans="2:8" ht="18" x14ac:dyDescent="0.25">
      <c r="B516" s="87"/>
      <c r="C516" s="87"/>
      <c r="D516" s="87"/>
      <c r="E516" s="87" t="s">
        <v>193</v>
      </c>
      <c r="F516" s="109">
        <f>+F497</f>
        <v>144791.36263041417</v>
      </c>
    </row>
    <row r="517" spans="2:8" ht="18" x14ac:dyDescent="0.25">
      <c r="B517" s="87"/>
      <c r="C517" s="87"/>
      <c r="D517" s="87"/>
      <c r="E517" s="87" t="s">
        <v>86</v>
      </c>
      <c r="F517" s="109">
        <f>+F499</f>
        <v>0</v>
      </c>
      <c r="G517" s="87"/>
      <c r="H517" s="87"/>
    </row>
    <row r="518" spans="2:8" ht="18" x14ac:dyDescent="0.25">
      <c r="B518" s="87"/>
      <c r="C518" s="87"/>
      <c r="D518" s="87"/>
      <c r="E518" s="87" t="s">
        <v>87</v>
      </c>
      <c r="F518" s="109">
        <f>+F500</f>
        <v>0</v>
      </c>
      <c r="G518" s="87"/>
      <c r="H518" s="87"/>
    </row>
    <row r="519" spans="2:8" ht="18" x14ac:dyDescent="0.25">
      <c r="B519" s="98"/>
      <c r="C519" s="98"/>
      <c r="D519" s="98"/>
      <c r="E519" s="87" t="s">
        <v>321</v>
      </c>
      <c r="F519" s="167">
        <f>+F498</f>
        <v>0</v>
      </c>
      <c r="G519" s="87"/>
      <c r="H519" s="87"/>
    </row>
    <row r="520" spans="2:8" ht="18" x14ac:dyDescent="0.25">
      <c r="B520" s="102">
        <f>+$G$34</f>
        <v>46183</v>
      </c>
      <c r="C520" s="108">
        <f>+F501</f>
        <v>770690.63863041415</v>
      </c>
      <c r="D520" s="87"/>
      <c r="E520" s="87" t="s">
        <v>88</v>
      </c>
      <c r="F520" s="109">
        <f>+F501</f>
        <v>770690.63863041415</v>
      </c>
      <c r="G520" s="87"/>
      <c r="H520" s="87"/>
    </row>
    <row r="521" spans="2:8" ht="18" x14ac:dyDescent="0.25">
      <c r="B521" s="87"/>
      <c r="C521" s="87"/>
      <c r="D521" s="87"/>
      <c r="E521" s="105"/>
      <c r="F521" s="87"/>
      <c r="G521" s="87"/>
      <c r="H521" s="87"/>
    </row>
    <row r="522" spans="2:8" ht="18" x14ac:dyDescent="0.25">
      <c r="B522" s="87"/>
      <c r="C522" s="87"/>
      <c r="D522" s="87"/>
      <c r="F522" s="87"/>
      <c r="G522" s="87"/>
      <c r="H522" s="87"/>
    </row>
    <row r="523" spans="2:8" ht="18" x14ac:dyDescent="0.25">
      <c r="B523" s="87"/>
      <c r="C523" s="87"/>
      <c r="D523" s="87"/>
      <c r="E523" s="87"/>
      <c r="F523" s="87"/>
      <c r="G523" s="87"/>
      <c r="H523" s="87"/>
    </row>
    <row r="524" spans="2:8" ht="18" x14ac:dyDescent="0.25">
      <c r="B524" s="87"/>
      <c r="C524" s="87"/>
      <c r="D524" s="87"/>
      <c r="E524" s="87"/>
      <c r="F524" s="87"/>
      <c r="G524" s="87"/>
      <c r="H524" s="87"/>
    </row>
    <row r="525" spans="2:8" ht="18" x14ac:dyDescent="0.25">
      <c r="B525" s="87"/>
      <c r="C525" s="87"/>
      <c r="D525" s="87"/>
      <c r="E525" s="87"/>
      <c r="F525" s="87"/>
      <c r="G525" s="339"/>
      <c r="H525" s="339"/>
    </row>
    <row r="526" spans="2:8" ht="18" x14ac:dyDescent="0.25">
      <c r="B526" s="87"/>
      <c r="C526" s="87"/>
      <c r="D526" s="87"/>
      <c r="E526" s="87"/>
      <c r="F526" s="87"/>
      <c r="G526" s="87"/>
      <c r="H526" s="87"/>
    </row>
    <row r="527" spans="2:8" ht="18" x14ac:dyDescent="0.25">
      <c r="B527" s="87"/>
      <c r="C527" s="87"/>
      <c r="D527" s="87"/>
      <c r="E527" s="87"/>
      <c r="F527" s="87"/>
      <c r="G527" s="87"/>
      <c r="H527" s="87"/>
    </row>
    <row r="528" spans="2:8" ht="18" x14ac:dyDescent="0.25">
      <c r="B528" s="335"/>
      <c r="C528" s="335"/>
      <c r="D528" s="335"/>
      <c r="E528" s="87"/>
      <c r="F528" s="87"/>
      <c r="H528" s="87"/>
    </row>
    <row r="529" spans="2:8" ht="18" x14ac:dyDescent="0.25">
      <c r="B529" s="335"/>
      <c r="C529" s="335"/>
      <c r="D529" s="335"/>
      <c r="E529" s="101">
        <f>+$B$1</f>
        <v>46143</v>
      </c>
      <c r="F529" s="87"/>
      <c r="G529" s="102">
        <f>+$D$1</f>
        <v>46183</v>
      </c>
      <c r="H529" s="100"/>
    </row>
    <row r="530" spans="2:8" ht="18" x14ac:dyDescent="0.25">
      <c r="B530" s="86"/>
      <c r="C530" s="86"/>
      <c r="D530" s="103"/>
      <c r="E530" s="101"/>
      <c r="F530" s="87"/>
    </row>
    <row r="531" spans="2:8" ht="26.25" customHeight="1" x14ac:dyDescent="0.25">
      <c r="C531" s="87"/>
      <c r="D531" s="87"/>
      <c r="F531" s="87"/>
    </row>
    <row r="532" spans="2:8" ht="23.25" customHeight="1" x14ac:dyDescent="0.25">
      <c r="B532" s="87" t="e">
        <f>+B15</f>
        <v>#REF!</v>
      </c>
      <c r="C532" s="87"/>
      <c r="D532" s="87"/>
      <c r="E532" s="87" t="str">
        <f>+E1</f>
        <v>URUGUAY 1025/27/29 CAP. FED.</v>
      </c>
      <c r="F532" s="87"/>
      <c r="H532" s="95" t="s">
        <v>102</v>
      </c>
    </row>
    <row r="533" spans="2:8" ht="18" x14ac:dyDescent="0.25">
      <c r="B533" s="88"/>
      <c r="C533" s="87"/>
      <c r="D533" s="87"/>
      <c r="F533" s="87"/>
      <c r="G533" s="88"/>
      <c r="H533" s="95" t="e">
        <f>+'RES CUENTA'!#REF!</f>
        <v>#REF!</v>
      </c>
    </row>
    <row r="534" spans="2:8" ht="18" x14ac:dyDescent="0.25">
      <c r="B534" s="87"/>
      <c r="C534" s="87"/>
      <c r="D534" s="87"/>
      <c r="E534" s="88"/>
      <c r="F534" s="88"/>
      <c r="G534" s="87"/>
      <c r="H534" s="88"/>
    </row>
    <row r="535" spans="2:8" ht="18" customHeight="1" x14ac:dyDescent="0.25">
      <c r="B535" s="96"/>
      <c r="C535" s="87"/>
      <c r="D535" s="96"/>
      <c r="E535" s="87"/>
      <c r="F535" s="87"/>
      <c r="G535" s="87"/>
      <c r="H535" s="87"/>
    </row>
    <row r="536" spans="2:8" ht="18" x14ac:dyDescent="0.25">
      <c r="B536" s="87" t="s">
        <v>82</v>
      </c>
      <c r="C536" s="87"/>
      <c r="D536" s="110">
        <f>+'RES CUENTA'!$H$26</f>
        <v>6751880</v>
      </c>
      <c r="E536" s="111" t="e">
        <f>+'RES CUENTA'!#REF!</f>
        <v>#REF!</v>
      </c>
      <c r="F536" s="106" t="e">
        <f>+D536*E536/100</f>
        <v>#REF!</v>
      </c>
      <c r="G536" s="87"/>
      <c r="H536" s="96"/>
    </row>
    <row r="537" spans="2:8" ht="18" x14ac:dyDescent="0.25">
      <c r="B537" s="87" t="s">
        <v>194</v>
      </c>
      <c r="C537" s="87"/>
      <c r="D537" s="110">
        <f>+'RES CUENTA'!J26</f>
        <v>1482120</v>
      </c>
      <c r="E537" s="111" t="e">
        <f>+'RES CUENTA'!#REF!</f>
        <v>#REF!</v>
      </c>
      <c r="F537" s="106" t="e">
        <f>+D537*E537/100</f>
        <v>#REF!</v>
      </c>
      <c r="G537" s="96"/>
      <c r="H537" s="91"/>
    </row>
    <row r="538" spans="2:8" ht="18" x14ac:dyDescent="0.25">
      <c r="B538" s="87" t="s">
        <v>321</v>
      </c>
      <c r="C538" s="87"/>
      <c r="D538" s="110">
        <v>0</v>
      </c>
      <c r="E538" s="111">
        <v>0</v>
      </c>
      <c r="F538" s="106" t="e">
        <f>+'RES CUENTA'!#REF!</f>
        <v>#REF!</v>
      </c>
      <c r="G538" s="91"/>
      <c r="H538" s="91"/>
    </row>
    <row r="539" spans="2:8" ht="18" x14ac:dyDescent="0.25">
      <c r="B539" s="87" t="s">
        <v>201</v>
      </c>
      <c r="C539" s="87"/>
      <c r="D539" s="110" t="e">
        <f>+'RES CUENTA'!#REF!+'RES CUENTA'!#REF!</f>
        <v>#REF!</v>
      </c>
      <c r="E539" s="111">
        <v>0</v>
      </c>
      <c r="F539" s="166" t="e">
        <f>+D539+E539</f>
        <v>#REF!</v>
      </c>
      <c r="G539" s="91"/>
      <c r="H539" s="91"/>
    </row>
    <row r="540" spans="2:8" ht="18" x14ac:dyDescent="0.25">
      <c r="B540" s="88" t="s">
        <v>206</v>
      </c>
      <c r="C540" s="87"/>
      <c r="D540" s="87"/>
      <c r="F540" s="107" t="e">
        <f>SUM(F536:F539)</f>
        <v>#REF!</v>
      </c>
      <c r="G540" s="91"/>
      <c r="H540" s="92"/>
    </row>
    <row r="541" spans="2:8" ht="18" x14ac:dyDescent="0.25">
      <c r="B541" s="88"/>
      <c r="C541" s="87"/>
      <c r="D541" s="87"/>
      <c r="F541" s="107"/>
      <c r="G541" s="91"/>
      <c r="H541" s="92"/>
    </row>
    <row r="542" spans="2:8" ht="18" x14ac:dyDescent="0.25">
      <c r="B542" s="87"/>
      <c r="C542" s="87"/>
      <c r="D542" s="87"/>
      <c r="E542" s="87"/>
      <c r="F542" s="94"/>
      <c r="G542" s="92"/>
      <c r="H542" s="92"/>
    </row>
    <row r="543" spans="2:8" ht="15" customHeight="1" x14ac:dyDescent="0.25">
      <c r="B543" s="87"/>
      <c r="C543" s="87"/>
      <c r="D543" s="87"/>
      <c r="E543" s="87"/>
      <c r="F543" s="94"/>
      <c r="G543" s="92"/>
      <c r="H543" s="92"/>
    </row>
    <row r="544" spans="2:8" ht="15" customHeight="1" x14ac:dyDescent="0.25">
      <c r="B544" s="87"/>
      <c r="C544" s="87"/>
      <c r="D544" s="87"/>
      <c r="E544" s="87"/>
      <c r="F544" s="94"/>
      <c r="G544" s="92"/>
      <c r="H544" s="92"/>
    </row>
    <row r="545" spans="2:8" ht="0.75" customHeight="1" x14ac:dyDescent="0.25">
      <c r="B545" s="87"/>
      <c r="C545" s="87"/>
      <c r="D545" s="87"/>
      <c r="E545" s="87"/>
      <c r="F545" s="94"/>
      <c r="G545" s="92"/>
      <c r="H545" s="92"/>
    </row>
    <row r="546" spans="2:8" ht="14.25" customHeight="1" x14ac:dyDescent="0.25">
      <c r="B546" s="87"/>
      <c r="C546" s="87"/>
      <c r="D546" s="87"/>
      <c r="E546" s="87"/>
      <c r="F546" s="94"/>
      <c r="G546" s="92"/>
      <c r="H546" s="92"/>
    </row>
    <row r="547" spans="2:8" ht="18" x14ac:dyDescent="0.25">
      <c r="B547" s="87" t="e">
        <f>+B532</f>
        <v>#REF!</v>
      </c>
      <c r="C547" s="87"/>
      <c r="D547" s="87"/>
      <c r="E547" s="87" t="e">
        <f>+B532</f>
        <v>#REF!</v>
      </c>
      <c r="F547" s="87"/>
      <c r="G547" s="87"/>
      <c r="H547" s="104"/>
    </row>
    <row r="548" spans="2:8" ht="18" x14ac:dyDescent="0.25">
      <c r="B548" s="88"/>
      <c r="C548" s="87"/>
      <c r="D548" s="87"/>
      <c r="F548" s="87"/>
      <c r="G548" s="104"/>
      <c r="H548" s="95" t="str">
        <f>+H532</f>
        <v>Unid. 14</v>
      </c>
    </row>
    <row r="549" spans="2:8" ht="18" x14ac:dyDescent="0.25">
      <c r="B549" s="87" t="str">
        <f>+E1</f>
        <v>URUGUAY 1025/27/29 CAP. FED.</v>
      </c>
      <c r="C549" s="87"/>
      <c r="D549" s="95" t="str">
        <f>+H548</f>
        <v>Unid. 14</v>
      </c>
      <c r="E549" s="87" t="str">
        <f>+E1</f>
        <v>URUGUAY 1025/27/29 CAP. FED.</v>
      </c>
      <c r="F549" s="87"/>
      <c r="G549" s="87"/>
      <c r="H549" s="87" t="e">
        <f>+H533</f>
        <v>#REF!</v>
      </c>
    </row>
    <row r="550" spans="2:8" ht="18" x14ac:dyDescent="0.25">
      <c r="B550" s="88"/>
      <c r="C550" s="88"/>
      <c r="D550" s="87" t="e">
        <f>+H549</f>
        <v>#REF!</v>
      </c>
      <c r="F550" s="87"/>
      <c r="G550" s="87"/>
    </row>
    <row r="551" spans="2:8" ht="18" x14ac:dyDescent="0.25">
      <c r="B551" s="87"/>
      <c r="C551" s="87"/>
      <c r="D551" s="87"/>
      <c r="E551" s="88"/>
      <c r="F551" s="87"/>
      <c r="G551" s="87"/>
      <c r="H551" s="104"/>
    </row>
    <row r="552" spans="2:8" ht="18" x14ac:dyDescent="0.25">
      <c r="B552" s="87" t="str">
        <f>+F1</f>
        <v xml:space="preserve">P/depósito/transferencia en ICBC </v>
      </c>
      <c r="C552" s="87"/>
      <c r="D552" s="87"/>
      <c r="E552" s="87"/>
      <c r="F552" s="98"/>
      <c r="G552" s="88"/>
      <c r="H552" s="87"/>
    </row>
    <row r="553" spans="2:8" ht="18" x14ac:dyDescent="0.25">
      <c r="B553" s="87" t="str">
        <f>+F2</f>
        <v>Cta. Cte. $ N°538/02104658/84</v>
      </c>
      <c r="C553" s="87"/>
      <c r="D553" s="87"/>
      <c r="E553" s="87" t="s">
        <v>85</v>
      </c>
      <c r="F553" s="109" t="e">
        <f>+F536</f>
        <v>#REF!</v>
      </c>
      <c r="G553" s="97"/>
      <c r="H553" s="102">
        <f>+B558</f>
        <v>46183</v>
      </c>
    </row>
    <row r="554" spans="2:8" ht="18" x14ac:dyDescent="0.25">
      <c r="B554" s="87" t="str">
        <f>+F3</f>
        <v>CBU:0150538202000104658840</v>
      </c>
      <c r="C554" s="87"/>
      <c r="D554" s="87"/>
      <c r="E554" s="87" t="s">
        <v>193</v>
      </c>
      <c r="F554" s="109" t="e">
        <f>+F537</f>
        <v>#REF!</v>
      </c>
      <c r="H554" s="87"/>
    </row>
    <row r="555" spans="2:8" ht="18" x14ac:dyDescent="0.25">
      <c r="B555" s="87" t="str">
        <f>+F4</f>
        <v>CUIT: 30-58026090-6</v>
      </c>
      <c r="C555" s="87"/>
      <c r="D555" s="87"/>
      <c r="E555" s="87" t="s">
        <v>199</v>
      </c>
      <c r="F555" s="109">
        <v>0</v>
      </c>
      <c r="G555" s="87"/>
      <c r="H555" s="87"/>
    </row>
    <row r="556" spans="2:8" ht="26.25" customHeight="1" x14ac:dyDescent="0.25">
      <c r="B556" s="98"/>
      <c r="C556" s="98"/>
      <c r="D556" s="98"/>
      <c r="E556" s="87" t="s">
        <v>86</v>
      </c>
      <c r="F556" s="109" t="e">
        <f>+F539</f>
        <v>#REF!</v>
      </c>
      <c r="G556" s="87"/>
      <c r="H556" s="87"/>
    </row>
    <row r="557" spans="2:8" ht="18" x14ac:dyDescent="0.25">
      <c r="D557" s="87"/>
      <c r="E557" s="87" t="s">
        <v>321</v>
      </c>
      <c r="F557" s="167" t="e">
        <f>+F538</f>
        <v>#REF!</v>
      </c>
      <c r="G557" s="87"/>
      <c r="H557" s="87"/>
    </row>
    <row r="558" spans="2:8" ht="18" x14ac:dyDescent="0.25">
      <c r="B558" s="102">
        <f>+$G$34</f>
        <v>46183</v>
      </c>
      <c r="C558" s="108" t="e">
        <f>+F540</f>
        <v>#REF!</v>
      </c>
      <c r="D558" s="87"/>
      <c r="E558" s="87" t="s">
        <v>88</v>
      </c>
      <c r="F558" s="109" t="e">
        <f>+F540</f>
        <v>#REF!</v>
      </c>
      <c r="G558" s="87"/>
      <c r="H558" s="87"/>
    </row>
    <row r="559" spans="2:8" ht="18" x14ac:dyDescent="0.25">
      <c r="B559" s="87"/>
      <c r="C559" s="87"/>
      <c r="D559" s="87"/>
      <c r="E559" s="87"/>
      <c r="F559" s="87"/>
      <c r="G559" s="87"/>
      <c r="H559" s="87"/>
    </row>
    <row r="560" spans="2:8" ht="18" x14ac:dyDescent="0.25">
      <c r="B560" s="87"/>
      <c r="C560" s="87"/>
      <c r="D560" s="87"/>
      <c r="E560" s="105"/>
      <c r="F560" s="87"/>
      <c r="G560" s="87"/>
      <c r="H560" s="87"/>
    </row>
    <row r="561" spans="2:8" ht="18" x14ac:dyDescent="0.25">
      <c r="B561" s="87"/>
      <c r="C561" s="87"/>
      <c r="D561" s="87"/>
      <c r="E561" s="87"/>
      <c r="F561" s="87"/>
      <c r="G561" s="87"/>
      <c r="H561" s="96"/>
    </row>
    <row r="562" spans="2:8" ht="12" customHeight="1" x14ac:dyDescent="0.25">
      <c r="E562" s="87"/>
      <c r="G562" s="96"/>
      <c r="H562" s="87"/>
    </row>
    <row r="563" spans="2:8" ht="9" customHeight="1" x14ac:dyDescent="0.2"/>
    <row r="564" spans="2:8" ht="18" x14ac:dyDescent="0.25">
      <c r="B564" s="335"/>
      <c r="C564" s="335"/>
      <c r="D564" s="335"/>
      <c r="E564" s="340">
        <f>+$B$1</f>
        <v>46143</v>
      </c>
      <c r="F564" s="87"/>
      <c r="G564" s="341">
        <f>+$D$1</f>
        <v>46183</v>
      </c>
      <c r="H564" s="87"/>
    </row>
    <row r="565" spans="2:8" ht="18" x14ac:dyDescent="0.25">
      <c r="B565" s="86"/>
      <c r="C565" s="86"/>
      <c r="D565" s="103"/>
      <c r="E565" s="340"/>
      <c r="F565" s="87"/>
      <c r="G565" s="341"/>
      <c r="H565" s="87"/>
    </row>
    <row r="566" spans="2:8" ht="18" x14ac:dyDescent="0.25">
      <c r="B566" s="87"/>
      <c r="C566" s="87"/>
      <c r="D566" s="87"/>
      <c r="E566" s="88"/>
      <c r="F566" s="87"/>
      <c r="G566" s="88"/>
      <c r="H566" s="87"/>
    </row>
    <row r="567" spans="2:8" ht="29.25" customHeight="1" x14ac:dyDescent="0.25">
      <c r="C567" s="87"/>
      <c r="D567" s="87"/>
      <c r="E567" s="88"/>
      <c r="F567" s="87"/>
      <c r="G567" s="88"/>
      <c r="H567" s="87"/>
    </row>
    <row r="568" spans="2:8" ht="17.25" customHeight="1" x14ac:dyDescent="0.25">
      <c r="B568" s="87" t="e">
        <f>+B16</f>
        <v>#REF!</v>
      </c>
      <c r="C568" s="87"/>
      <c r="D568" s="87"/>
      <c r="E568" s="87" t="str">
        <f>+E39</f>
        <v>URUGUAY 1025/27/29 CAP. FED.</v>
      </c>
      <c r="F568" s="87"/>
      <c r="G568" s="87"/>
      <c r="H568" s="95" t="s">
        <v>103</v>
      </c>
    </row>
    <row r="569" spans="2:8" ht="18" x14ac:dyDescent="0.25">
      <c r="B569" s="87"/>
      <c r="C569" s="87"/>
      <c r="D569" s="87"/>
      <c r="E569" s="88"/>
      <c r="F569" s="88"/>
      <c r="G569" s="87"/>
      <c r="H569" s="95" t="e">
        <f>+'RES CUENTA'!#REF!</f>
        <v>#REF!</v>
      </c>
    </row>
    <row r="570" spans="2:8" ht="19.5" customHeight="1" x14ac:dyDescent="0.25">
      <c r="B570" s="96"/>
      <c r="C570" s="87"/>
      <c r="D570" s="96"/>
      <c r="E570" s="87"/>
      <c r="F570" s="87"/>
      <c r="G570" s="87"/>
      <c r="H570" s="87"/>
    </row>
    <row r="571" spans="2:8" ht="18" x14ac:dyDescent="0.25">
      <c r="B571" s="87" t="s">
        <v>82</v>
      </c>
      <c r="C571" s="87"/>
      <c r="D571" s="110">
        <f>+'RES CUENTA'!$H$26</f>
        <v>6751880</v>
      </c>
      <c r="E571" s="111" t="e">
        <f>+'RES CUENTA'!#REF!</f>
        <v>#REF!</v>
      </c>
      <c r="F571" s="106" t="e">
        <f>+D571*E571/100</f>
        <v>#REF!</v>
      </c>
      <c r="G571" s="339"/>
      <c r="H571" s="339"/>
    </row>
    <row r="572" spans="2:8" ht="18" x14ac:dyDescent="0.25">
      <c r="B572" s="87" t="s">
        <v>194</v>
      </c>
      <c r="C572" s="87"/>
      <c r="D572" s="110">
        <f>+'RES CUENTA'!J26</f>
        <v>1482120</v>
      </c>
      <c r="E572" s="111" t="e">
        <f>+'RES CUENTA'!#REF!</f>
        <v>#REF!</v>
      </c>
      <c r="F572" s="106" t="e">
        <f>+D572*E572/100</f>
        <v>#REF!</v>
      </c>
      <c r="G572" s="336"/>
      <c r="H572" s="336"/>
    </row>
    <row r="573" spans="2:8" ht="18" x14ac:dyDescent="0.25">
      <c r="B573" s="87" t="s">
        <v>321</v>
      </c>
      <c r="C573" s="87"/>
      <c r="D573" s="110">
        <v>0</v>
      </c>
      <c r="E573" s="111">
        <v>0</v>
      </c>
      <c r="F573" s="106" t="e">
        <f>+'RES CUENTA'!#REF!</f>
        <v>#REF!</v>
      </c>
      <c r="G573" s="336"/>
      <c r="H573" s="336"/>
    </row>
    <row r="574" spans="2:8" ht="18" x14ac:dyDescent="0.25">
      <c r="B574" s="87" t="s">
        <v>201</v>
      </c>
      <c r="C574" s="87"/>
      <c r="D574" s="110">
        <v>0</v>
      </c>
      <c r="E574" s="111">
        <v>0</v>
      </c>
      <c r="F574" s="106" t="e">
        <f>+'RES CUENTA'!#REF!</f>
        <v>#REF!</v>
      </c>
      <c r="G574" s="336"/>
      <c r="H574" s="336"/>
    </row>
    <row r="575" spans="2:8" ht="18" x14ac:dyDescent="0.25">
      <c r="B575" s="87" t="s">
        <v>84</v>
      </c>
      <c r="C575" s="87"/>
      <c r="D575" s="110" t="e">
        <f>+'RES CUENTA'!#REF!+'RES CUENTA'!#REF!</f>
        <v>#REF!</v>
      </c>
      <c r="E575" s="111">
        <v>0</v>
      </c>
      <c r="F575" s="166" t="e">
        <f>+'RES CUENTA'!#REF!</f>
        <v>#REF!</v>
      </c>
      <c r="G575" s="336"/>
      <c r="H575" s="336"/>
    </row>
    <row r="576" spans="2:8" ht="18" x14ac:dyDescent="0.25">
      <c r="B576" s="88" t="s">
        <v>206</v>
      </c>
      <c r="C576" s="87"/>
      <c r="D576" s="87"/>
      <c r="E576" s="94"/>
      <c r="F576" s="107" t="e">
        <f>SUM(F571:F575)</f>
        <v>#REF!</v>
      </c>
      <c r="G576" s="337"/>
      <c r="H576" s="337"/>
    </row>
    <row r="577" spans="2:8" ht="18" x14ac:dyDescent="0.25">
      <c r="B577" s="88"/>
      <c r="C577" s="87"/>
      <c r="D577" s="87"/>
      <c r="E577" s="87"/>
      <c r="G577" s="92"/>
      <c r="H577" s="92"/>
    </row>
    <row r="578" spans="2:8" ht="18" x14ac:dyDescent="0.25">
      <c r="B578" s="88"/>
      <c r="C578" s="87"/>
      <c r="D578" s="87"/>
      <c r="E578" s="87"/>
      <c r="G578" s="92"/>
      <c r="H578" s="92"/>
    </row>
    <row r="579" spans="2:8" ht="18" x14ac:dyDescent="0.25">
      <c r="B579" s="88"/>
      <c r="C579" s="87"/>
      <c r="D579" s="87"/>
      <c r="E579" s="87"/>
      <c r="G579" s="92"/>
      <c r="H579" s="92"/>
    </row>
    <row r="580" spans="2:8" ht="18" x14ac:dyDescent="0.25">
      <c r="B580" s="87"/>
      <c r="C580" s="87"/>
      <c r="D580" s="87"/>
      <c r="E580" s="87"/>
      <c r="F580" s="93"/>
      <c r="G580" s="92"/>
      <c r="H580" s="92"/>
    </row>
    <row r="581" spans="2:8" ht="12.75" customHeight="1" x14ac:dyDescent="0.25">
      <c r="B581" s="87"/>
      <c r="C581" s="87"/>
      <c r="D581" s="87"/>
      <c r="E581" s="87"/>
      <c r="F581" s="93"/>
      <c r="G581" s="92"/>
      <c r="H581" s="92"/>
    </row>
    <row r="582" spans="2:8" ht="3" customHeight="1" x14ac:dyDescent="0.25">
      <c r="B582" s="87"/>
      <c r="C582" s="87"/>
      <c r="D582" s="87"/>
      <c r="E582" s="87"/>
      <c r="F582" s="94"/>
      <c r="G582" s="87"/>
      <c r="H582" s="87"/>
    </row>
    <row r="583" spans="2:8" ht="23.25" customHeight="1" x14ac:dyDescent="0.25">
      <c r="B583" s="87" t="e">
        <f>+B568</f>
        <v>#REF!</v>
      </c>
      <c r="C583" s="87"/>
      <c r="D583" s="87"/>
      <c r="E583" s="87" t="e">
        <f>+B583</f>
        <v>#REF!</v>
      </c>
      <c r="F583" s="94"/>
      <c r="G583" s="87"/>
      <c r="H583" s="87"/>
    </row>
    <row r="584" spans="2:8" ht="18" x14ac:dyDescent="0.25">
      <c r="C584" s="87"/>
      <c r="D584" s="87"/>
      <c r="F584" s="338"/>
      <c r="G584" s="338"/>
      <c r="H584" s="338"/>
    </row>
    <row r="585" spans="2:8" ht="18" x14ac:dyDescent="0.25">
      <c r="B585" s="87" t="str">
        <f>+E1</f>
        <v>URUGUAY 1025/27/29 CAP. FED.</v>
      </c>
      <c r="C585" s="87"/>
      <c r="D585" s="95" t="str">
        <f>+H568</f>
        <v>Unid. 15</v>
      </c>
      <c r="E585" s="87" t="str">
        <f>+E1</f>
        <v>URUGUAY 1025/27/29 CAP. FED.</v>
      </c>
      <c r="F585" s="87"/>
      <c r="G585" s="87"/>
      <c r="H585" s="95" t="str">
        <f>+D585</f>
        <v>Unid. 15</v>
      </c>
    </row>
    <row r="586" spans="2:8" ht="18" x14ac:dyDescent="0.25">
      <c r="D586" s="95" t="e">
        <f>+H586</f>
        <v>#REF!</v>
      </c>
      <c r="H586" s="95" t="e">
        <f>+H569</f>
        <v>#REF!</v>
      </c>
    </row>
    <row r="587" spans="2:8" ht="6.75" customHeight="1" x14ac:dyDescent="0.25">
      <c r="B587" s="88"/>
      <c r="C587" s="88"/>
      <c r="D587" s="88"/>
      <c r="E587" s="88"/>
      <c r="F587" s="87"/>
      <c r="G587" s="87"/>
    </row>
    <row r="588" spans="2:8" ht="18" x14ac:dyDescent="0.25">
      <c r="B588" s="87" t="str">
        <f>+F1</f>
        <v xml:space="preserve">P/depósito/transferencia en ICBC </v>
      </c>
      <c r="C588" s="87"/>
      <c r="D588" s="87"/>
      <c r="E588" s="87"/>
      <c r="F588" s="87"/>
      <c r="G588" s="88"/>
      <c r="H588" s="104"/>
    </row>
    <row r="589" spans="2:8" ht="18" x14ac:dyDescent="0.25">
      <c r="B589" s="87" t="str">
        <f>+F2</f>
        <v>Cta. Cte. $ N°538/02104658/84</v>
      </c>
      <c r="C589" s="87"/>
      <c r="D589" s="87"/>
      <c r="E589" s="98"/>
      <c r="F589" s="87"/>
      <c r="G589" s="96"/>
      <c r="H589" s="87"/>
    </row>
    <row r="590" spans="2:8" ht="18" x14ac:dyDescent="0.25">
      <c r="B590" s="87" t="str">
        <f>+F3</f>
        <v>CBU:0150538202000104658840</v>
      </c>
      <c r="C590" s="87"/>
      <c r="D590" s="87"/>
      <c r="E590" s="87" t="s">
        <v>85</v>
      </c>
      <c r="F590" s="109" t="e">
        <f>+F571</f>
        <v>#REF!</v>
      </c>
      <c r="H590" s="102">
        <f>+B595</f>
        <v>46183</v>
      </c>
    </row>
    <row r="591" spans="2:8" ht="18" x14ac:dyDescent="0.25">
      <c r="B591" s="87" t="str">
        <f>+F4</f>
        <v>CUIT: 30-58026090-6</v>
      </c>
      <c r="C591" s="87"/>
      <c r="D591" s="87"/>
      <c r="E591" s="87" t="s">
        <v>193</v>
      </c>
      <c r="F591" s="109" t="e">
        <f>+F572</f>
        <v>#REF!</v>
      </c>
    </row>
    <row r="592" spans="2:8" ht="18" x14ac:dyDescent="0.25">
      <c r="B592" s="87"/>
      <c r="C592" s="87"/>
      <c r="D592" s="87"/>
      <c r="E592" s="87" t="s">
        <v>199</v>
      </c>
      <c r="F592" s="109">
        <v>0</v>
      </c>
      <c r="G592" s="87"/>
      <c r="H592" s="87"/>
    </row>
    <row r="593" spans="2:8" ht="18" x14ac:dyDescent="0.25">
      <c r="B593" s="87"/>
      <c r="C593" s="87"/>
      <c r="D593" s="87"/>
      <c r="E593" s="87" t="s">
        <v>321</v>
      </c>
      <c r="F593" s="109" t="e">
        <f>+F573</f>
        <v>#REF!</v>
      </c>
      <c r="G593" s="87"/>
      <c r="H593" s="87"/>
    </row>
    <row r="594" spans="2:8" ht="18" x14ac:dyDescent="0.25">
      <c r="B594" s="98"/>
      <c r="C594" s="98"/>
      <c r="D594" s="98"/>
      <c r="E594" s="87" t="s">
        <v>86</v>
      </c>
      <c r="F594" s="167" t="e">
        <f>+F574+F575</f>
        <v>#REF!</v>
      </c>
      <c r="G594" s="87"/>
      <c r="H594" s="87"/>
    </row>
    <row r="595" spans="2:8" ht="18" x14ac:dyDescent="0.25">
      <c r="B595" s="102">
        <f>+$G$34</f>
        <v>46183</v>
      </c>
      <c r="C595" s="108" t="e">
        <f>+F576</f>
        <v>#REF!</v>
      </c>
      <c r="D595" s="87"/>
      <c r="E595" s="87" t="s">
        <v>88</v>
      </c>
      <c r="F595" s="109" t="e">
        <f>+F576</f>
        <v>#REF!</v>
      </c>
      <c r="G595" s="87"/>
      <c r="H595" s="87"/>
    </row>
    <row r="596" spans="2:8" ht="18" x14ac:dyDescent="0.25">
      <c r="B596" s="87"/>
      <c r="C596" s="87"/>
      <c r="D596" s="87"/>
      <c r="E596" s="105"/>
      <c r="F596" s="87"/>
      <c r="G596" s="87"/>
      <c r="H596" s="87"/>
    </row>
    <row r="597" spans="2:8" ht="18" x14ac:dyDescent="0.25">
      <c r="B597" s="87"/>
      <c r="C597" s="87"/>
      <c r="D597" s="87"/>
      <c r="F597" s="87"/>
      <c r="G597" s="87"/>
      <c r="H597" s="87"/>
    </row>
    <row r="598" spans="2:8" ht="18" x14ac:dyDescent="0.25">
      <c r="B598" s="87"/>
      <c r="C598" s="87"/>
      <c r="D598" s="87"/>
      <c r="E598" s="87"/>
      <c r="F598" s="87"/>
      <c r="G598" s="87"/>
      <c r="H598" s="87"/>
    </row>
    <row r="599" spans="2:8" ht="18" x14ac:dyDescent="0.25">
      <c r="B599" s="87"/>
      <c r="C599" s="87"/>
      <c r="D599" s="87"/>
      <c r="E599" s="87"/>
      <c r="F599" s="87"/>
      <c r="G599" s="339"/>
      <c r="H599" s="339"/>
    </row>
    <row r="600" spans="2:8" ht="18" x14ac:dyDescent="0.25">
      <c r="B600" s="87"/>
      <c r="C600" s="87"/>
      <c r="D600" s="87"/>
      <c r="E600" s="87"/>
      <c r="F600" s="87"/>
      <c r="G600" s="96"/>
      <c r="H600" s="96"/>
    </row>
    <row r="601" spans="2:8" ht="18" x14ac:dyDescent="0.25">
      <c r="B601" s="87"/>
      <c r="C601" s="87"/>
      <c r="D601" s="87"/>
      <c r="E601" s="87"/>
      <c r="F601" s="87"/>
      <c r="G601" s="96"/>
      <c r="H601" s="96"/>
    </row>
    <row r="602" spans="2:8" ht="18" x14ac:dyDescent="0.25">
      <c r="B602" s="87"/>
      <c r="C602" s="87"/>
      <c r="D602" s="87"/>
      <c r="E602" s="87"/>
      <c r="F602" s="87"/>
      <c r="G602" s="87"/>
      <c r="H602" s="87"/>
    </row>
    <row r="603" spans="2:8" ht="18" x14ac:dyDescent="0.25">
      <c r="B603" s="87"/>
      <c r="C603" s="87"/>
      <c r="D603" s="87"/>
      <c r="E603" s="87"/>
      <c r="F603" s="87"/>
      <c r="G603" s="87"/>
      <c r="H603" s="87"/>
    </row>
    <row r="604" spans="2:8" ht="14.25" customHeight="1" x14ac:dyDescent="0.25">
      <c r="B604" s="335"/>
      <c r="C604" s="335"/>
      <c r="D604" s="335"/>
      <c r="E604" s="87"/>
      <c r="F604" s="87"/>
      <c r="H604" s="87"/>
    </row>
    <row r="605" spans="2:8" ht="18" x14ac:dyDescent="0.25">
      <c r="B605" s="335"/>
      <c r="C605" s="335"/>
      <c r="D605" s="335"/>
      <c r="E605" s="101">
        <f>+$B$1</f>
        <v>46143</v>
      </c>
      <c r="F605" s="87"/>
      <c r="G605" s="102">
        <f>+$D$1</f>
        <v>46183</v>
      </c>
      <c r="H605" s="100"/>
    </row>
    <row r="606" spans="2:8" ht="15" customHeight="1" x14ac:dyDescent="0.25">
      <c r="B606" s="86"/>
      <c r="C606" s="86"/>
      <c r="D606" s="103"/>
      <c r="E606" s="101"/>
      <c r="F606" s="87"/>
    </row>
    <row r="607" spans="2:8" ht="27" customHeight="1" x14ac:dyDescent="0.25">
      <c r="C607" s="87"/>
      <c r="D607" s="87"/>
      <c r="F607" s="87"/>
    </row>
    <row r="608" spans="2:8" ht="20.25" customHeight="1" x14ac:dyDescent="0.25">
      <c r="B608" s="87" t="e">
        <f>+B17</f>
        <v>#REF!</v>
      </c>
      <c r="C608" s="87"/>
      <c r="D608" s="87"/>
      <c r="E608" s="87" t="str">
        <f>+$E$1</f>
        <v>URUGUAY 1025/27/29 CAP. FED.</v>
      </c>
      <c r="F608" s="87"/>
      <c r="H608" s="95" t="s">
        <v>104</v>
      </c>
    </row>
    <row r="609" spans="2:8" ht="18" x14ac:dyDescent="0.25">
      <c r="B609" s="88"/>
      <c r="C609" s="87"/>
      <c r="D609" s="87"/>
      <c r="F609" s="87"/>
      <c r="G609" s="88"/>
      <c r="H609" s="95" t="e">
        <f>+'RES CUENTA'!#REF!</f>
        <v>#REF!</v>
      </c>
    </row>
    <row r="610" spans="2:8" ht="12.75" customHeight="1" x14ac:dyDescent="0.25">
      <c r="B610" s="87"/>
      <c r="C610" s="87"/>
      <c r="D610" s="87"/>
      <c r="E610" s="88"/>
      <c r="F610" s="88"/>
      <c r="G610" s="87"/>
      <c r="H610" s="88"/>
    </row>
    <row r="611" spans="2:8" ht="14.25" customHeight="1" x14ac:dyDescent="0.25">
      <c r="B611" s="96"/>
      <c r="C611" s="87"/>
      <c r="D611" s="96"/>
      <c r="E611" s="87"/>
      <c r="F611" s="87"/>
      <c r="G611" s="87"/>
      <c r="H611" s="87"/>
    </row>
    <row r="612" spans="2:8" ht="18" x14ac:dyDescent="0.25">
      <c r="B612" s="87" t="s">
        <v>82</v>
      </c>
      <c r="C612" s="87"/>
      <c r="D612" s="110">
        <f>+'RES CUENTA'!$H$26</f>
        <v>6751880</v>
      </c>
      <c r="E612" s="111" t="e">
        <f>+'RES CUENTA'!#REF!</f>
        <v>#REF!</v>
      </c>
      <c r="F612" s="106" t="e">
        <f>+D612*E612/100</f>
        <v>#REF!</v>
      </c>
      <c r="G612" s="87"/>
      <c r="H612" s="96"/>
    </row>
    <row r="613" spans="2:8" ht="18" x14ac:dyDescent="0.25">
      <c r="B613" s="87" t="s">
        <v>194</v>
      </c>
      <c r="C613" s="87"/>
      <c r="D613" s="110">
        <f>+'RES CUENTA'!J26</f>
        <v>1482120</v>
      </c>
      <c r="E613" s="111" t="e">
        <f>+'RES CUENTA'!#REF!</f>
        <v>#REF!</v>
      </c>
      <c r="F613" s="106" t="e">
        <f>+D613*E613/100</f>
        <v>#REF!</v>
      </c>
      <c r="G613" s="96"/>
      <c r="H613" s="91"/>
    </row>
    <row r="614" spans="2:8" ht="18" x14ac:dyDescent="0.25">
      <c r="B614" s="87" t="s">
        <v>321</v>
      </c>
      <c r="C614" s="87"/>
      <c r="D614" s="110">
        <v>0</v>
      </c>
      <c r="E614" s="111">
        <v>0</v>
      </c>
      <c r="F614" s="106" t="e">
        <f>+'RES CUENTA'!#REF!</f>
        <v>#REF!</v>
      </c>
      <c r="G614" s="96"/>
      <c r="H614" s="91"/>
    </row>
    <row r="615" spans="2:8" ht="18" x14ac:dyDescent="0.25">
      <c r="B615" s="87" t="s">
        <v>201</v>
      </c>
      <c r="C615" s="87"/>
      <c r="D615" s="110">
        <v>0</v>
      </c>
      <c r="E615" s="111">
        <v>0</v>
      </c>
      <c r="F615" s="106" t="e">
        <f>+'RES CUENTA'!#REF!</f>
        <v>#REF!</v>
      </c>
      <c r="G615" s="91"/>
      <c r="H615" s="91"/>
    </row>
    <row r="616" spans="2:8" ht="18" x14ac:dyDescent="0.25">
      <c r="B616" s="87" t="s">
        <v>84</v>
      </c>
      <c r="C616" s="87"/>
      <c r="D616" s="110">
        <v>0</v>
      </c>
      <c r="E616" s="111">
        <v>0</v>
      </c>
      <c r="F616" s="166" t="e">
        <f>+'RES CUENTA'!#REF!</f>
        <v>#REF!</v>
      </c>
      <c r="G616" s="91"/>
      <c r="H616" s="91"/>
    </row>
    <row r="617" spans="2:8" ht="18" x14ac:dyDescent="0.25">
      <c r="B617" s="88" t="s">
        <v>206</v>
      </c>
      <c r="C617" s="87"/>
      <c r="D617" s="110"/>
      <c r="E617" s="110"/>
      <c r="F617" s="107" t="e">
        <f>SUM(F612:F616)</f>
        <v>#REF!</v>
      </c>
      <c r="G617" s="91"/>
      <c r="H617" s="92"/>
    </row>
    <row r="618" spans="2:8" ht="18" x14ac:dyDescent="0.25">
      <c r="B618" s="87"/>
      <c r="C618" s="87"/>
      <c r="D618" s="110"/>
      <c r="E618" s="110"/>
      <c r="F618" s="94"/>
      <c r="G618" s="92"/>
      <c r="H618" s="92"/>
    </row>
    <row r="619" spans="2:8" ht="18" x14ac:dyDescent="0.25">
      <c r="B619" s="87"/>
      <c r="C619" s="87"/>
      <c r="D619" s="87"/>
      <c r="E619" s="87"/>
      <c r="F619" s="94"/>
      <c r="G619" s="92"/>
      <c r="H619" s="92"/>
    </row>
    <row r="620" spans="2:8" ht="17.25" customHeight="1" x14ac:dyDescent="0.25">
      <c r="B620" s="87"/>
      <c r="C620" s="87"/>
      <c r="D620" s="87"/>
      <c r="E620" s="87"/>
      <c r="F620" s="94"/>
      <c r="G620" s="92"/>
      <c r="H620" s="92"/>
    </row>
    <row r="621" spans="2:8" ht="14.25" hidden="1" customHeight="1" x14ac:dyDescent="0.25">
      <c r="B621" s="87"/>
      <c r="C621" s="87"/>
      <c r="D621" s="87"/>
      <c r="E621" s="87"/>
      <c r="F621" s="94"/>
      <c r="G621" s="92"/>
      <c r="H621" s="92"/>
    </row>
    <row r="622" spans="2:8" ht="18" x14ac:dyDescent="0.25">
      <c r="B622" s="87" t="e">
        <f>+B608</f>
        <v>#REF!</v>
      </c>
      <c r="C622" s="87"/>
      <c r="D622" s="87"/>
      <c r="E622" s="87" t="e">
        <f>+B608</f>
        <v>#REF!</v>
      </c>
      <c r="F622" s="87"/>
      <c r="G622" s="87"/>
      <c r="H622" s="104"/>
    </row>
    <row r="623" spans="2:8" ht="18" x14ac:dyDescent="0.25">
      <c r="B623" s="88"/>
      <c r="C623" s="87"/>
      <c r="D623" s="87"/>
      <c r="F623" s="87"/>
      <c r="G623" s="104"/>
      <c r="H623" s="95" t="str">
        <f>+H608</f>
        <v>Unid. 16</v>
      </c>
    </row>
    <row r="624" spans="2:8" ht="18" x14ac:dyDescent="0.25">
      <c r="B624" s="87" t="str">
        <f>+E1</f>
        <v>URUGUAY 1025/27/29 CAP. FED.</v>
      </c>
      <c r="C624" s="87"/>
      <c r="D624" s="95" t="str">
        <f>+H623</f>
        <v>Unid. 16</v>
      </c>
      <c r="E624" s="87" t="str">
        <f>+$E$1</f>
        <v>URUGUAY 1025/27/29 CAP. FED.</v>
      </c>
      <c r="F624" s="87"/>
      <c r="G624" s="87"/>
      <c r="H624" s="95" t="e">
        <f>+H609</f>
        <v>#REF!</v>
      </c>
    </row>
    <row r="625" spans="2:8" ht="18" x14ac:dyDescent="0.25">
      <c r="B625" s="88"/>
      <c r="C625" s="88"/>
      <c r="D625" s="95" t="e">
        <f>+H624</f>
        <v>#REF!</v>
      </c>
      <c r="F625" s="87"/>
      <c r="G625" s="87"/>
    </row>
    <row r="626" spans="2:8" ht="21" customHeight="1" x14ac:dyDescent="0.25">
      <c r="B626" s="87" t="str">
        <f>+F1</f>
        <v xml:space="preserve">P/depósito/transferencia en ICBC </v>
      </c>
      <c r="C626" s="87"/>
      <c r="D626" s="87"/>
      <c r="E626" s="88"/>
      <c r="F626" s="87"/>
      <c r="G626" s="87"/>
      <c r="H626" s="104"/>
    </row>
    <row r="627" spans="2:8" ht="18" x14ac:dyDescent="0.25">
      <c r="B627" s="87" t="str">
        <f>+F2</f>
        <v>Cta. Cte. $ N°538/02104658/84</v>
      </c>
      <c r="C627" s="87"/>
      <c r="D627" s="87"/>
      <c r="E627" s="87"/>
      <c r="F627" s="98"/>
      <c r="G627" s="88"/>
      <c r="H627" s="87"/>
    </row>
    <row r="628" spans="2:8" ht="14.25" customHeight="1" x14ac:dyDescent="0.25">
      <c r="B628" s="87" t="str">
        <f>+F3</f>
        <v>CBU:0150538202000104658840</v>
      </c>
      <c r="C628" s="87"/>
      <c r="D628" s="87"/>
      <c r="E628" s="98"/>
      <c r="G628" s="96"/>
      <c r="H628" s="97"/>
    </row>
    <row r="629" spans="2:8" ht="18" x14ac:dyDescent="0.25">
      <c r="B629" s="87" t="str">
        <f>+F4</f>
        <v>CUIT: 30-58026090-6</v>
      </c>
      <c r="C629" s="87"/>
      <c r="D629" s="87"/>
      <c r="E629" s="87" t="s">
        <v>85</v>
      </c>
      <c r="F629" s="109" t="e">
        <f t="shared" ref="F629:F634" si="0">+F612</f>
        <v>#REF!</v>
      </c>
      <c r="G629" s="97"/>
      <c r="H629" s="102">
        <f>+B634</f>
        <v>46183</v>
      </c>
    </row>
    <row r="630" spans="2:8" ht="18" x14ac:dyDescent="0.25">
      <c r="B630" s="87"/>
      <c r="C630" s="87"/>
      <c r="D630" s="87"/>
      <c r="E630" s="87" t="s">
        <v>193</v>
      </c>
      <c r="F630" s="109" t="e">
        <f t="shared" si="0"/>
        <v>#REF!</v>
      </c>
      <c r="H630" s="87"/>
    </row>
    <row r="631" spans="2:8" ht="18" x14ac:dyDescent="0.25">
      <c r="B631" s="87"/>
      <c r="C631" s="87"/>
      <c r="D631" s="87"/>
      <c r="E631" s="87" t="s">
        <v>321</v>
      </c>
      <c r="F631" s="109" t="e">
        <f t="shared" si="0"/>
        <v>#REF!</v>
      </c>
      <c r="G631" s="87"/>
      <c r="H631" s="87"/>
    </row>
    <row r="632" spans="2:8" ht="18" x14ac:dyDescent="0.25">
      <c r="B632" s="98"/>
      <c r="C632" s="98"/>
      <c r="D632" s="98"/>
      <c r="E632" s="87" t="s">
        <v>203</v>
      </c>
      <c r="F632" s="109" t="e">
        <f t="shared" si="0"/>
        <v>#REF!</v>
      </c>
      <c r="G632" s="87"/>
      <c r="H632" s="87"/>
    </row>
    <row r="633" spans="2:8" ht="18" x14ac:dyDescent="0.25">
      <c r="D633" s="87"/>
      <c r="E633" s="87" t="s">
        <v>204</v>
      </c>
      <c r="F633" s="167" t="e">
        <f t="shared" si="0"/>
        <v>#REF!</v>
      </c>
      <c r="G633" s="87"/>
      <c r="H633" s="87"/>
    </row>
    <row r="634" spans="2:8" ht="18" x14ac:dyDescent="0.25">
      <c r="B634" s="102">
        <f>+$G$34</f>
        <v>46183</v>
      </c>
      <c r="C634" s="108" t="e">
        <f>+F617</f>
        <v>#REF!</v>
      </c>
      <c r="D634" s="87"/>
      <c r="E634" s="87" t="s">
        <v>88</v>
      </c>
      <c r="F634" s="109" t="e">
        <f t="shared" si="0"/>
        <v>#REF!</v>
      </c>
      <c r="G634" s="87"/>
      <c r="H634" s="87"/>
    </row>
    <row r="635" spans="2:8" ht="18" x14ac:dyDescent="0.25">
      <c r="B635" s="87"/>
      <c r="C635" s="87"/>
      <c r="D635" s="87"/>
      <c r="E635" s="87"/>
      <c r="F635" s="87"/>
      <c r="G635" s="87"/>
      <c r="H635" s="87"/>
    </row>
    <row r="636" spans="2:8" ht="18" x14ac:dyDescent="0.25">
      <c r="B636" s="87"/>
      <c r="C636" s="87"/>
      <c r="D636" s="87"/>
      <c r="E636" s="105"/>
      <c r="F636" s="87"/>
      <c r="G636" s="87"/>
      <c r="H636" s="87"/>
    </row>
    <row r="637" spans="2:8" ht="27" customHeight="1" x14ac:dyDescent="0.25">
      <c r="B637" s="87"/>
      <c r="C637" s="87"/>
      <c r="D637" s="87"/>
      <c r="E637" s="87"/>
      <c r="F637" s="87"/>
      <c r="G637" s="87"/>
      <c r="H637" s="96"/>
    </row>
    <row r="638" spans="2:8" ht="10.5" customHeight="1" x14ac:dyDescent="0.25">
      <c r="E638" s="87"/>
      <c r="G638" s="96"/>
      <c r="H638" s="87"/>
    </row>
    <row r="639" spans="2:8" ht="9" customHeight="1" x14ac:dyDescent="0.2"/>
    <row r="640" spans="2:8" ht="18" x14ac:dyDescent="0.25">
      <c r="B640" s="335"/>
      <c r="C640" s="335"/>
      <c r="D640" s="335"/>
      <c r="E640" s="340">
        <f>+$B$1</f>
        <v>46143</v>
      </c>
      <c r="F640" s="87"/>
      <c r="G640" s="341">
        <f>+$D$1</f>
        <v>46183</v>
      </c>
      <c r="H640" s="87"/>
    </row>
    <row r="641" spans="2:8" ht="18" x14ac:dyDescent="0.25">
      <c r="B641" s="86"/>
      <c r="C641" s="86"/>
      <c r="D641" s="103"/>
      <c r="E641" s="340"/>
      <c r="F641" s="87"/>
      <c r="G641" s="341"/>
      <c r="H641" s="87"/>
    </row>
    <row r="642" spans="2:8" ht="18" x14ac:dyDescent="0.25">
      <c r="B642" s="87"/>
      <c r="C642" s="87"/>
      <c r="D642" s="87"/>
      <c r="E642" s="88"/>
      <c r="F642" s="87"/>
      <c r="G642" s="88"/>
      <c r="H642" s="87"/>
    </row>
    <row r="643" spans="2:8" ht="21.75" customHeight="1" x14ac:dyDescent="0.25">
      <c r="F643" s="87"/>
      <c r="G643" s="88"/>
      <c r="H643" s="87"/>
    </row>
    <row r="644" spans="2:8" ht="18" x14ac:dyDescent="0.25">
      <c r="B644" s="87" t="e">
        <f>+B18</f>
        <v>#REF!</v>
      </c>
      <c r="C644" s="87"/>
      <c r="D644" s="87"/>
      <c r="E644" s="87" t="str">
        <f>+E39</f>
        <v>URUGUAY 1025/27/29 CAP. FED.</v>
      </c>
      <c r="F644" s="87"/>
      <c r="G644" s="87"/>
      <c r="H644" s="95" t="s">
        <v>105</v>
      </c>
    </row>
    <row r="645" spans="2:8" ht="18" x14ac:dyDescent="0.25">
      <c r="B645" s="87"/>
      <c r="C645" s="87"/>
      <c r="D645" s="87"/>
      <c r="E645" s="88"/>
      <c r="F645" s="88"/>
      <c r="G645" s="87"/>
      <c r="H645" s="87" t="e">
        <f>+'RES CUENTA'!#REF!</f>
        <v>#REF!</v>
      </c>
    </row>
    <row r="646" spans="2:8" ht="11.25" customHeight="1" x14ac:dyDescent="0.25">
      <c r="B646" s="96"/>
      <c r="C646" s="87"/>
      <c r="D646" s="96"/>
      <c r="E646" s="87"/>
      <c r="F646" s="87"/>
      <c r="G646" s="87"/>
      <c r="H646" s="87"/>
    </row>
    <row r="647" spans="2:8" ht="12" customHeight="1" x14ac:dyDescent="0.25">
      <c r="B647" s="96"/>
      <c r="C647" s="87"/>
      <c r="D647" s="96"/>
      <c r="E647" s="87"/>
      <c r="F647" s="87"/>
      <c r="G647" s="87"/>
      <c r="H647" s="87"/>
    </row>
    <row r="648" spans="2:8" ht="18" x14ac:dyDescent="0.25">
      <c r="B648" s="87" t="s">
        <v>82</v>
      </c>
      <c r="C648" s="87"/>
      <c r="D648" s="110">
        <f>+'RES CUENTA'!$H$26</f>
        <v>6751880</v>
      </c>
      <c r="E648" s="111" t="e">
        <f>+'RES CUENTA'!#REF!</f>
        <v>#REF!</v>
      </c>
      <c r="F648" s="106" t="e">
        <f>+D648*E648/100</f>
        <v>#REF!</v>
      </c>
      <c r="G648" s="339"/>
      <c r="H648" s="339"/>
    </row>
    <row r="649" spans="2:8" ht="18" x14ac:dyDescent="0.25">
      <c r="B649" s="87" t="s">
        <v>194</v>
      </c>
      <c r="C649" s="87"/>
      <c r="D649" s="110">
        <f>+'RES CUENTA'!J26</f>
        <v>1482120</v>
      </c>
      <c r="E649" s="111" t="e">
        <f>+'RES CUENTA'!#REF!</f>
        <v>#REF!</v>
      </c>
      <c r="F649" s="106" t="e">
        <f>+D649*E649/100</f>
        <v>#REF!</v>
      </c>
      <c r="G649" s="336"/>
      <c r="H649" s="336"/>
    </row>
    <row r="650" spans="2:8" ht="18" x14ac:dyDescent="0.25">
      <c r="B650" s="87" t="s">
        <v>321</v>
      </c>
      <c r="C650" s="87"/>
      <c r="D650" s="110">
        <v>0</v>
      </c>
      <c r="E650" s="111">
        <v>0</v>
      </c>
      <c r="F650" s="106" t="e">
        <f>+'RES CUENTA'!#REF!</f>
        <v>#REF!</v>
      </c>
      <c r="G650" s="91"/>
      <c r="H650" s="91"/>
    </row>
    <row r="651" spans="2:8" ht="18" x14ac:dyDescent="0.25">
      <c r="B651" s="87" t="s">
        <v>201</v>
      </c>
      <c r="C651" s="87"/>
      <c r="D651" s="110">
        <v>0</v>
      </c>
      <c r="E651" s="111">
        <v>0</v>
      </c>
      <c r="F651" s="106" t="e">
        <f>+'RES CUENTA'!#REF!</f>
        <v>#REF!</v>
      </c>
      <c r="G651" s="336"/>
      <c r="H651" s="336"/>
    </row>
    <row r="652" spans="2:8" ht="18" x14ac:dyDescent="0.25">
      <c r="B652" s="87" t="s">
        <v>84</v>
      </c>
      <c r="C652" s="87"/>
      <c r="D652" s="110">
        <v>0</v>
      </c>
      <c r="E652" s="111">
        <v>0</v>
      </c>
      <c r="F652" s="166" t="e">
        <f>+'RES CUENTA'!#REF!</f>
        <v>#REF!</v>
      </c>
      <c r="G652" s="336"/>
      <c r="H652" s="336"/>
    </row>
    <row r="653" spans="2:8" ht="18" x14ac:dyDescent="0.25">
      <c r="B653" s="88" t="s">
        <v>206</v>
      </c>
      <c r="C653" s="87"/>
      <c r="D653" s="87"/>
      <c r="E653" s="94"/>
      <c r="F653" s="107" t="e">
        <f>SUM(F648:F652)</f>
        <v>#REF!</v>
      </c>
      <c r="G653" s="336"/>
      <c r="H653" s="336"/>
    </row>
    <row r="654" spans="2:8" ht="18" x14ac:dyDescent="0.25">
      <c r="B654" s="87"/>
      <c r="C654" s="87"/>
      <c r="D654" s="87"/>
      <c r="E654" s="87"/>
      <c r="F654" s="93"/>
      <c r="G654" s="92"/>
      <c r="H654" s="92"/>
    </row>
    <row r="655" spans="2:8" ht="18" x14ac:dyDescent="0.25">
      <c r="B655" s="87"/>
      <c r="C655" s="87"/>
      <c r="D655" s="87"/>
      <c r="E655" s="87"/>
      <c r="F655" s="93"/>
      <c r="G655" s="92"/>
      <c r="H655" s="92"/>
    </row>
    <row r="656" spans="2:8" ht="18" x14ac:dyDescent="0.25">
      <c r="B656" s="87"/>
      <c r="C656" s="87"/>
      <c r="D656" s="87"/>
      <c r="E656" s="87"/>
      <c r="F656" s="94"/>
      <c r="G656" s="87"/>
      <c r="H656" s="87"/>
    </row>
    <row r="657" spans="2:8" ht="21.75" customHeight="1" x14ac:dyDescent="0.25">
      <c r="B657" s="87"/>
      <c r="C657" s="87"/>
      <c r="D657" s="87"/>
      <c r="E657" s="87"/>
      <c r="F657" s="94"/>
      <c r="G657" s="87"/>
      <c r="H657" s="87"/>
    </row>
    <row r="658" spans="2:8" ht="14.25" customHeight="1" x14ac:dyDescent="0.25">
      <c r="B658" s="87"/>
      <c r="C658" s="87"/>
      <c r="D658" s="87"/>
      <c r="E658" s="87"/>
      <c r="F658" s="94"/>
      <c r="G658" s="87"/>
      <c r="H658" s="87"/>
    </row>
    <row r="659" spans="2:8" ht="18" x14ac:dyDescent="0.25">
      <c r="B659" s="87" t="e">
        <f>+B644</f>
        <v>#REF!</v>
      </c>
      <c r="C659" s="338"/>
      <c r="D659" s="338"/>
      <c r="E659" s="87" t="e">
        <f>+B659</f>
        <v>#REF!</v>
      </c>
      <c r="F659" s="94"/>
      <c r="G659" s="87"/>
      <c r="H659" s="87"/>
    </row>
    <row r="660" spans="2:8" ht="18" x14ac:dyDescent="0.25">
      <c r="C660" s="87"/>
      <c r="D660" s="87"/>
      <c r="F660" s="338"/>
      <c r="G660" s="338"/>
      <c r="H660" s="338"/>
    </row>
    <row r="661" spans="2:8" ht="18" x14ac:dyDescent="0.25">
      <c r="B661" s="87" t="str">
        <f>+E1</f>
        <v>URUGUAY 1025/27/29 CAP. FED.</v>
      </c>
      <c r="C661" s="87"/>
      <c r="D661" s="95" t="str">
        <f>+H644</f>
        <v>Unid. 17</v>
      </c>
      <c r="E661" s="87" t="str">
        <f>+$E$1</f>
        <v>URUGUAY 1025/27/29 CAP. FED.</v>
      </c>
      <c r="F661" s="87"/>
      <c r="G661" s="87"/>
      <c r="H661" s="95" t="str">
        <f>+D661</f>
        <v>Unid. 17</v>
      </c>
    </row>
    <row r="662" spans="2:8" ht="18" x14ac:dyDescent="0.25">
      <c r="D662" s="95" t="e">
        <f>+H662</f>
        <v>#REF!</v>
      </c>
      <c r="H662" s="87" t="e">
        <f>+H645</f>
        <v>#REF!</v>
      </c>
    </row>
    <row r="663" spans="2:8" ht="18" x14ac:dyDescent="0.25">
      <c r="B663" s="88"/>
      <c r="C663" s="88"/>
      <c r="D663" s="88"/>
      <c r="E663" s="88"/>
      <c r="F663" s="87"/>
      <c r="G663" s="87"/>
    </row>
    <row r="664" spans="2:8" ht="18" x14ac:dyDescent="0.25">
      <c r="B664" s="87" t="str">
        <f>+F1</f>
        <v xml:space="preserve">P/depósito/transferencia en ICBC </v>
      </c>
      <c r="C664" s="87"/>
      <c r="D664" s="87"/>
      <c r="E664" s="87"/>
      <c r="F664" s="87"/>
      <c r="G664" s="88"/>
      <c r="H664" s="104"/>
    </row>
    <row r="665" spans="2:8" ht="18" x14ac:dyDescent="0.25">
      <c r="B665" s="87" t="str">
        <f>+F2</f>
        <v>Cta. Cte. $ N°538/02104658/84</v>
      </c>
      <c r="C665" s="87"/>
      <c r="D665" s="87"/>
      <c r="E665" s="98"/>
      <c r="F665" s="87"/>
      <c r="G665" s="96"/>
      <c r="H665" s="87"/>
    </row>
    <row r="666" spans="2:8" ht="18" x14ac:dyDescent="0.25">
      <c r="B666" s="87" t="str">
        <f>+F3</f>
        <v>CBU:0150538202000104658840</v>
      </c>
      <c r="C666" s="87"/>
      <c r="D666" s="87"/>
      <c r="E666" s="87" t="s">
        <v>85</v>
      </c>
      <c r="F666" s="109" t="e">
        <f t="shared" ref="F666:F671" si="1">+F648</f>
        <v>#REF!</v>
      </c>
      <c r="H666" s="102">
        <f>+B671</f>
        <v>46183</v>
      </c>
    </row>
    <row r="667" spans="2:8" ht="18" x14ac:dyDescent="0.25">
      <c r="B667" s="87" t="str">
        <f>+F4</f>
        <v>CUIT: 30-58026090-6</v>
      </c>
      <c r="C667" s="87"/>
      <c r="D667" s="87"/>
      <c r="E667" s="87" t="s">
        <v>193</v>
      </c>
      <c r="F667" s="109" t="e">
        <f t="shared" si="1"/>
        <v>#REF!</v>
      </c>
    </row>
    <row r="668" spans="2:8" ht="18" x14ac:dyDescent="0.25">
      <c r="B668" s="87"/>
      <c r="C668" s="87"/>
      <c r="D668" s="87"/>
      <c r="E668" s="87" t="s">
        <v>202</v>
      </c>
      <c r="F668" s="109" t="e">
        <f t="shared" si="1"/>
        <v>#REF!</v>
      </c>
      <c r="G668" s="87"/>
      <c r="H668" s="87"/>
    </row>
    <row r="669" spans="2:8" ht="18" x14ac:dyDescent="0.25">
      <c r="B669" s="87"/>
      <c r="C669" s="87"/>
      <c r="D669" s="87"/>
      <c r="E669" s="87" t="s">
        <v>321</v>
      </c>
      <c r="F669" s="109" t="e">
        <f t="shared" si="1"/>
        <v>#REF!</v>
      </c>
      <c r="G669" s="87"/>
      <c r="H669" s="87"/>
    </row>
    <row r="670" spans="2:8" ht="18" x14ac:dyDescent="0.25">
      <c r="B670" s="98"/>
      <c r="C670" s="98"/>
      <c r="D670" s="98"/>
      <c r="E670" s="87" t="s">
        <v>86</v>
      </c>
      <c r="F670" s="167" t="e">
        <f t="shared" si="1"/>
        <v>#REF!</v>
      </c>
      <c r="G670" s="109"/>
      <c r="H670" s="87"/>
    </row>
    <row r="671" spans="2:8" ht="18" x14ac:dyDescent="0.25">
      <c r="B671" s="102">
        <f>+$G$34</f>
        <v>46183</v>
      </c>
      <c r="C671" s="108" t="e">
        <f>+F653</f>
        <v>#REF!</v>
      </c>
      <c r="D671" s="87"/>
      <c r="E671" s="87" t="s">
        <v>88</v>
      </c>
      <c r="F671" s="109" t="e">
        <f t="shared" si="1"/>
        <v>#REF!</v>
      </c>
      <c r="G671" s="87"/>
      <c r="H671" s="87"/>
    </row>
    <row r="672" spans="2:8" ht="18" x14ac:dyDescent="0.25">
      <c r="B672" s="87"/>
      <c r="C672" s="87"/>
      <c r="D672" s="87"/>
      <c r="E672" s="105"/>
      <c r="F672" s="87"/>
      <c r="G672" s="87"/>
      <c r="H672" s="87"/>
    </row>
    <row r="673" spans="2:8" ht="18" x14ac:dyDescent="0.25">
      <c r="B673" s="87"/>
      <c r="C673" s="87"/>
      <c r="D673" s="87"/>
      <c r="F673" s="87"/>
      <c r="G673" s="87"/>
      <c r="H673" s="87"/>
    </row>
    <row r="674" spans="2:8" ht="18" x14ac:dyDescent="0.25">
      <c r="B674" s="87"/>
      <c r="C674" s="87"/>
      <c r="D674" s="87"/>
      <c r="E674" s="87"/>
      <c r="F674" s="87"/>
      <c r="G674" s="87"/>
      <c r="H674" s="87"/>
    </row>
    <row r="675" spans="2:8" ht="18" x14ac:dyDescent="0.25">
      <c r="B675" s="87"/>
      <c r="C675" s="87"/>
      <c r="D675" s="87"/>
      <c r="E675" s="87"/>
      <c r="F675" s="87"/>
      <c r="G675" s="339"/>
      <c r="H675" s="339"/>
    </row>
    <row r="676" spans="2:8" ht="18" x14ac:dyDescent="0.25">
      <c r="B676" s="87"/>
      <c r="C676" s="87"/>
      <c r="D676" s="87"/>
      <c r="E676" s="87"/>
      <c r="F676" s="87"/>
      <c r="G676" s="87"/>
      <c r="H676" s="87"/>
    </row>
    <row r="677" spans="2:8" ht="18" x14ac:dyDescent="0.25">
      <c r="B677" s="87"/>
      <c r="C677" s="87"/>
      <c r="D677" s="87"/>
      <c r="E677" s="87"/>
      <c r="F677" s="87"/>
      <c r="G677" s="87"/>
      <c r="H677" s="87"/>
    </row>
    <row r="678" spans="2:8" ht="18" x14ac:dyDescent="0.25">
      <c r="B678" s="87"/>
      <c r="C678" s="87"/>
      <c r="D678" s="87"/>
      <c r="E678" s="87"/>
      <c r="F678" s="87"/>
      <c r="G678" s="87"/>
      <c r="H678" s="87"/>
    </row>
    <row r="679" spans="2:8" ht="18" x14ac:dyDescent="0.25">
      <c r="B679" s="335"/>
      <c r="C679" s="335"/>
      <c r="D679" s="335"/>
      <c r="E679" s="87"/>
      <c r="F679" s="87"/>
      <c r="H679" s="87"/>
    </row>
    <row r="680" spans="2:8" ht="18" x14ac:dyDescent="0.25">
      <c r="B680" s="335"/>
      <c r="C680" s="335"/>
      <c r="D680" s="335"/>
      <c r="E680" s="101">
        <f>+$B$1</f>
        <v>46143</v>
      </c>
      <c r="F680" s="87"/>
      <c r="G680" s="102">
        <f>+$D$1</f>
        <v>46183</v>
      </c>
      <c r="H680" s="100"/>
    </row>
    <row r="681" spans="2:8" ht="18" x14ac:dyDescent="0.25">
      <c r="B681" s="86"/>
      <c r="C681" s="86"/>
      <c r="D681" s="103"/>
      <c r="E681" s="101"/>
      <c r="F681" s="87"/>
    </row>
    <row r="682" spans="2:8" ht="27.75" customHeight="1" x14ac:dyDescent="0.25">
      <c r="C682" s="87"/>
      <c r="D682" s="87"/>
      <c r="F682" s="87"/>
    </row>
    <row r="683" spans="2:8" ht="24" customHeight="1" x14ac:dyDescent="0.25">
      <c r="B683" s="87" t="e">
        <f>+B19</f>
        <v>#REF!</v>
      </c>
      <c r="C683" s="87"/>
      <c r="D683" s="87"/>
      <c r="E683" s="87" t="str">
        <f>+$E$1</f>
        <v>URUGUAY 1025/27/29 CAP. FED.</v>
      </c>
      <c r="F683" s="87"/>
      <c r="H683" s="95" t="s">
        <v>106</v>
      </c>
    </row>
    <row r="684" spans="2:8" ht="18" x14ac:dyDescent="0.25">
      <c r="B684" s="88"/>
      <c r="C684" s="87"/>
      <c r="D684" s="87"/>
      <c r="F684" s="87"/>
      <c r="G684" s="88"/>
      <c r="H684" s="95" t="e">
        <f>+'RES CUENTA'!#REF!</f>
        <v>#REF!</v>
      </c>
    </row>
    <row r="685" spans="2:8" ht="13.5" customHeight="1" x14ac:dyDescent="0.25">
      <c r="B685" s="87"/>
      <c r="C685" s="87"/>
      <c r="D685" s="87"/>
      <c r="E685" s="88"/>
      <c r="F685" s="88"/>
      <c r="G685" s="87"/>
      <c r="H685" s="88"/>
    </row>
    <row r="686" spans="2:8" ht="14.25" customHeight="1" x14ac:dyDescent="0.25">
      <c r="B686" s="96"/>
      <c r="C686" s="87"/>
      <c r="D686" s="96"/>
      <c r="E686" s="87"/>
      <c r="F686" s="87"/>
      <c r="G686" s="87"/>
      <c r="H686" s="87"/>
    </row>
    <row r="687" spans="2:8" ht="18" x14ac:dyDescent="0.25">
      <c r="B687" s="87" t="s">
        <v>82</v>
      </c>
      <c r="C687" s="87"/>
      <c r="D687" s="110">
        <f>+'RES CUENTA'!$H$26</f>
        <v>6751880</v>
      </c>
      <c r="E687" s="111" t="e">
        <f>+'RES CUENTA'!#REF!</f>
        <v>#REF!</v>
      </c>
      <c r="F687" s="106" t="e">
        <f>+D687*E687/100</f>
        <v>#REF!</v>
      </c>
      <c r="G687" s="87"/>
      <c r="H687" s="96"/>
    </row>
    <row r="688" spans="2:8" ht="18" x14ac:dyDescent="0.25">
      <c r="B688" s="87" t="s">
        <v>194</v>
      </c>
      <c r="C688" s="87"/>
      <c r="D688" s="110">
        <f>+'RES CUENTA'!J26</f>
        <v>1482120</v>
      </c>
      <c r="E688" s="111" t="e">
        <f>+'RES CUENTA'!#REF!</f>
        <v>#REF!</v>
      </c>
      <c r="F688" s="106" t="e">
        <f>+D688*E688/100</f>
        <v>#REF!</v>
      </c>
      <c r="G688" s="96"/>
      <c r="H688" s="91"/>
    </row>
    <row r="689" spans="2:8" ht="18" x14ac:dyDescent="0.25">
      <c r="B689" s="87" t="s">
        <v>321</v>
      </c>
      <c r="C689" s="87"/>
      <c r="D689" s="110">
        <v>0</v>
      </c>
      <c r="E689" s="111">
        <v>0</v>
      </c>
      <c r="F689" s="106" t="e">
        <f>+'RES CUENTA'!#REF!</f>
        <v>#REF!</v>
      </c>
      <c r="G689" s="96"/>
      <c r="H689" s="91"/>
    </row>
    <row r="690" spans="2:8" ht="18" x14ac:dyDescent="0.25">
      <c r="B690" s="87" t="s">
        <v>201</v>
      </c>
      <c r="C690" s="87"/>
      <c r="D690" s="110">
        <v>0</v>
      </c>
      <c r="E690" s="111">
        <v>0</v>
      </c>
      <c r="F690" s="106" t="e">
        <f>+'RES CUENTA'!#REF!</f>
        <v>#REF!</v>
      </c>
      <c r="G690" s="91"/>
      <c r="H690" s="91"/>
    </row>
    <row r="691" spans="2:8" ht="18" x14ac:dyDescent="0.25">
      <c r="B691" s="87" t="s">
        <v>84</v>
      </c>
      <c r="C691" s="87"/>
      <c r="D691" s="110" t="e">
        <f>+'RES CUENTA'!#REF!</f>
        <v>#REF!</v>
      </c>
      <c r="E691" s="111">
        <v>0</v>
      </c>
      <c r="F691" s="166" t="e">
        <f>+'RES CUENTA'!#REF!</f>
        <v>#REF!</v>
      </c>
      <c r="G691" s="91"/>
      <c r="H691" s="91"/>
    </row>
    <row r="692" spans="2:8" ht="18" x14ac:dyDescent="0.25">
      <c r="B692" s="88" t="s">
        <v>206</v>
      </c>
      <c r="C692" s="87"/>
      <c r="D692" s="87"/>
      <c r="F692" s="107" t="e">
        <f>SUM(F687:F691)</f>
        <v>#REF!</v>
      </c>
      <c r="G692" s="91"/>
      <c r="H692" s="91"/>
    </row>
    <row r="693" spans="2:8" ht="18" x14ac:dyDescent="0.25">
      <c r="B693" s="88"/>
      <c r="C693" s="87"/>
      <c r="D693" s="87"/>
      <c r="F693" s="93"/>
      <c r="G693" s="91"/>
      <c r="H693" s="92"/>
    </row>
    <row r="694" spans="2:8" ht="18" x14ac:dyDescent="0.25">
      <c r="B694" s="87"/>
      <c r="C694" s="87"/>
      <c r="D694" s="87"/>
      <c r="E694" s="87"/>
      <c r="F694" s="94"/>
      <c r="G694" s="92"/>
      <c r="H694" s="92"/>
    </row>
    <row r="695" spans="2:8" ht="15.75" customHeight="1" x14ac:dyDescent="0.25">
      <c r="B695" s="87"/>
      <c r="C695" s="87"/>
      <c r="D695" s="87"/>
      <c r="E695" s="87"/>
      <c r="F695" s="94"/>
      <c r="G695" s="92"/>
      <c r="H695" s="92"/>
    </row>
    <row r="696" spans="2:8" ht="8.25" customHeight="1" x14ac:dyDescent="0.25">
      <c r="B696" s="87"/>
      <c r="C696" s="87"/>
      <c r="D696" s="87"/>
      <c r="E696" s="87"/>
      <c r="F696" s="94"/>
      <c r="G696" s="92"/>
      <c r="H696" s="92"/>
    </row>
    <row r="697" spans="2:8" ht="18" x14ac:dyDescent="0.25">
      <c r="B697" s="87" t="e">
        <f>+B683</f>
        <v>#REF!</v>
      </c>
      <c r="C697" s="87"/>
      <c r="D697" s="87"/>
      <c r="E697" s="87" t="e">
        <f>+B683</f>
        <v>#REF!</v>
      </c>
      <c r="F697" s="87"/>
      <c r="G697" s="87"/>
      <c r="H697" s="104"/>
    </row>
    <row r="698" spans="2:8" ht="18" x14ac:dyDescent="0.25">
      <c r="B698" s="88"/>
      <c r="C698" s="87"/>
      <c r="D698" s="87"/>
      <c r="F698" s="87"/>
      <c r="G698" s="104"/>
      <c r="H698" s="95" t="str">
        <f>+H683</f>
        <v>Unid. 18</v>
      </c>
    </row>
    <row r="699" spans="2:8" ht="18" x14ac:dyDescent="0.25">
      <c r="B699" s="87" t="str">
        <f>+E1</f>
        <v>URUGUAY 1025/27/29 CAP. FED.</v>
      </c>
      <c r="C699" s="87"/>
      <c r="D699" s="95" t="str">
        <f>+H698</f>
        <v>Unid. 18</v>
      </c>
      <c r="E699" s="87"/>
      <c r="F699" s="87"/>
      <c r="G699" s="87"/>
      <c r="H699" s="87" t="e">
        <f>+H684</f>
        <v>#REF!</v>
      </c>
    </row>
    <row r="700" spans="2:8" ht="18" x14ac:dyDescent="0.25">
      <c r="B700" s="88"/>
      <c r="C700" s="88"/>
      <c r="D700" s="95" t="e">
        <f>+H699</f>
        <v>#REF!</v>
      </c>
      <c r="F700" s="87"/>
      <c r="G700" s="87"/>
    </row>
    <row r="701" spans="2:8" ht="27" customHeight="1" x14ac:dyDescent="0.25">
      <c r="B701" s="87"/>
      <c r="C701" s="87"/>
      <c r="D701" s="87"/>
      <c r="E701" s="88"/>
      <c r="F701" s="87"/>
      <c r="G701" s="87"/>
      <c r="H701" s="104"/>
    </row>
    <row r="702" spans="2:8" ht="18" x14ac:dyDescent="0.25">
      <c r="B702" s="87" t="str">
        <f>+F1</f>
        <v xml:space="preserve">P/depósito/transferencia en ICBC </v>
      </c>
      <c r="C702" s="87"/>
      <c r="D702" s="87"/>
      <c r="E702" s="87"/>
      <c r="F702" s="98"/>
      <c r="G702" s="88"/>
      <c r="H702" s="87"/>
    </row>
    <row r="703" spans="2:8" ht="18" x14ac:dyDescent="0.25">
      <c r="B703" s="87" t="str">
        <f>+F2</f>
        <v>Cta. Cte. $ N°538/02104658/84</v>
      </c>
      <c r="C703" s="87"/>
      <c r="D703" s="87"/>
      <c r="E703" s="87" t="s">
        <v>85</v>
      </c>
      <c r="F703" s="109" t="e">
        <f t="shared" ref="F703:F708" si="2">+F687</f>
        <v>#REF!</v>
      </c>
      <c r="G703" s="97"/>
      <c r="H703" s="102">
        <f>+B708</f>
        <v>46183</v>
      </c>
    </row>
    <row r="704" spans="2:8" ht="18" x14ac:dyDescent="0.25">
      <c r="B704" s="87" t="str">
        <f>+F3</f>
        <v>CBU:0150538202000104658840</v>
      </c>
      <c r="C704" s="87"/>
      <c r="D704" s="87"/>
      <c r="E704" s="87" t="s">
        <v>193</v>
      </c>
      <c r="F704" s="109" t="e">
        <f t="shared" si="2"/>
        <v>#REF!</v>
      </c>
      <c r="H704" s="87"/>
    </row>
    <row r="705" spans="2:8" ht="18" x14ac:dyDescent="0.25">
      <c r="B705" s="87" t="str">
        <f>+F4</f>
        <v>CUIT: 30-58026090-6</v>
      </c>
      <c r="C705" s="87"/>
      <c r="D705" s="87"/>
      <c r="E705" s="87" t="s">
        <v>321</v>
      </c>
      <c r="F705" s="109" t="e">
        <f t="shared" si="2"/>
        <v>#REF!</v>
      </c>
      <c r="G705" s="87"/>
      <c r="H705" s="87"/>
    </row>
    <row r="706" spans="2:8" ht="22.5" customHeight="1" x14ac:dyDescent="0.25">
      <c r="B706" s="98"/>
      <c r="C706" s="98"/>
      <c r="D706" s="98"/>
      <c r="E706" s="87" t="s">
        <v>86</v>
      </c>
      <c r="F706" s="109" t="e">
        <f t="shared" si="2"/>
        <v>#REF!</v>
      </c>
      <c r="G706" s="87"/>
      <c r="H706" s="87"/>
    </row>
    <row r="707" spans="2:8" ht="18" x14ac:dyDescent="0.25">
      <c r="D707" s="87"/>
      <c r="E707" s="87" t="s">
        <v>204</v>
      </c>
      <c r="F707" s="167" t="e">
        <f t="shared" si="2"/>
        <v>#REF!</v>
      </c>
      <c r="G707" s="87"/>
      <c r="H707" s="87"/>
    </row>
    <row r="708" spans="2:8" ht="18" x14ac:dyDescent="0.25">
      <c r="B708" s="102">
        <f>+$G$34</f>
        <v>46183</v>
      </c>
      <c r="C708" s="108" t="e">
        <f>+F692</f>
        <v>#REF!</v>
      </c>
      <c r="D708" s="87"/>
      <c r="E708" s="87" t="s">
        <v>88</v>
      </c>
      <c r="F708" s="109" t="e">
        <f t="shared" si="2"/>
        <v>#REF!</v>
      </c>
      <c r="G708" s="87"/>
      <c r="H708" s="87"/>
    </row>
    <row r="709" spans="2:8" ht="18" x14ac:dyDescent="0.25">
      <c r="B709" s="87"/>
      <c r="C709" s="87"/>
      <c r="D709" s="87"/>
      <c r="E709" s="87"/>
      <c r="F709" s="87"/>
      <c r="G709" s="87"/>
      <c r="H709" s="87"/>
    </row>
    <row r="710" spans="2:8" ht="18" x14ac:dyDescent="0.25">
      <c r="B710" s="87"/>
      <c r="C710" s="87"/>
      <c r="D710" s="87"/>
      <c r="E710" s="105"/>
      <c r="F710" s="87"/>
      <c r="G710" s="87"/>
      <c r="H710" s="87"/>
    </row>
    <row r="711" spans="2:8" ht="18" x14ac:dyDescent="0.25">
      <c r="B711" s="87"/>
      <c r="C711" s="87"/>
      <c r="D711" s="87"/>
      <c r="E711" s="87"/>
      <c r="F711" s="87"/>
      <c r="G711" s="87"/>
      <c r="H711" s="96"/>
    </row>
    <row r="712" spans="2:8" ht="12.75" customHeight="1" x14ac:dyDescent="0.25">
      <c r="B712" s="168"/>
      <c r="E712" s="87"/>
      <c r="G712" s="96"/>
      <c r="H712" s="87"/>
    </row>
    <row r="713" spans="2:8" ht="9" customHeight="1" x14ac:dyDescent="0.2"/>
    <row r="714" spans="2:8" ht="18" x14ac:dyDescent="0.25">
      <c r="B714" s="335"/>
      <c r="C714" s="335"/>
      <c r="D714" s="335"/>
      <c r="E714" s="340">
        <f>+$B$1</f>
        <v>46143</v>
      </c>
      <c r="F714" s="87"/>
      <c r="G714" s="341">
        <f>+$D$1</f>
        <v>46183</v>
      </c>
      <c r="H714" s="87"/>
    </row>
    <row r="715" spans="2:8" ht="18" x14ac:dyDescent="0.25">
      <c r="B715" s="86"/>
      <c r="C715" s="86"/>
      <c r="D715" s="103"/>
      <c r="E715" s="340"/>
      <c r="F715" s="87"/>
      <c r="G715" s="341"/>
      <c r="H715" s="87"/>
    </row>
    <row r="716" spans="2:8" ht="18" x14ac:dyDescent="0.25">
      <c r="B716" s="87"/>
      <c r="C716" s="87"/>
      <c r="D716" s="87"/>
      <c r="E716" s="88"/>
      <c r="F716" s="87"/>
      <c r="G716" s="88"/>
      <c r="H716" s="87"/>
    </row>
    <row r="717" spans="2:8" ht="20.25" customHeight="1" x14ac:dyDescent="0.25">
      <c r="G717" s="88"/>
      <c r="H717" s="87"/>
    </row>
    <row r="718" spans="2:8" ht="18" customHeight="1" x14ac:dyDescent="0.25">
      <c r="B718" s="87" t="e">
        <f>+B20</f>
        <v>#REF!</v>
      </c>
      <c r="C718" s="87"/>
      <c r="D718" s="87"/>
      <c r="E718" s="87" t="str">
        <f>+E39</f>
        <v>URUGUAY 1025/27/29 CAP. FED.</v>
      </c>
      <c r="F718" s="87"/>
      <c r="G718" s="87"/>
      <c r="H718" s="95" t="s">
        <v>107</v>
      </c>
    </row>
    <row r="719" spans="2:8" ht="18" x14ac:dyDescent="0.25">
      <c r="B719" s="87"/>
      <c r="C719" s="87"/>
      <c r="D719" s="87"/>
      <c r="E719" s="88"/>
      <c r="F719" s="88"/>
      <c r="G719" s="87"/>
      <c r="H719" s="87" t="e">
        <f>+'RES CUENTA'!#REF!</f>
        <v>#REF!</v>
      </c>
    </row>
    <row r="720" spans="2:8" ht="16.5" customHeight="1" x14ac:dyDescent="0.25">
      <c r="B720" s="96"/>
      <c r="C720" s="87"/>
      <c r="D720" s="96"/>
      <c r="E720" s="87"/>
      <c r="F720" s="87"/>
      <c r="G720" s="87"/>
      <c r="H720" s="87"/>
    </row>
    <row r="721" spans="2:8" ht="18" x14ac:dyDescent="0.25">
      <c r="B721" s="87" t="s">
        <v>82</v>
      </c>
      <c r="C721" s="87"/>
      <c r="D721" s="110">
        <f>+'RES CUENTA'!$H$26</f>
        <v>6751880</v>
      </c>
      <c r="E721" s="111" t="e">
        <f>+'RES CUENTA'!#REF!</f>
        <v>#REF!</v>
      </c>
      <c r="F721" s="106" t="e">
        <f>+D721*E721/100</f>
        <v>#REF!</v>
      </c>
      <c r="G721" s="339"/>
      <c r="H721" s="339"/>
    </row>
    <row r="722" spans="2:8" ht="18" x14ac:dyDescent="0.25">
      <c r="B722" s="87" t="s">
        <v>194</v>
      </c>
      <c r="C722" s="87"/>
      <c r="D722" s="110">
        <f>+'RES CUENTA'!J26</f>
        <v>1482120</v>
      </c>
      <c r="E722" s="111" t="e">
        <f>+'RES CUENTA'!#REF!</f>
        <v>#REF!</v>
      </c>
      <c r="F722" s="106" t="e">
        <f>+D722*E722/100</f>
        <v>#REF!</v>
      </c>
      <c r="G722" s="336"/>
      <c r="H722" s="336"/>
    </row>
    <row r="723" spans="2:8" ht="18" x14ac:dyDescent="0.25">
      <c r="B723" s="87" t="str">
        <f>+B650</f>
        <v>s/Asamblea</v>
      </c>
      <c r="C723" s="87"/>
      <c r="D723" s="110">
        <v>0</v>
      </c>
      <c r="E723" s="111">
        <v>0</v>
      </c>
      <c r="F723" s="106" t="e">
        <f>+'RES CUENTA'!#REF!</f>
        <v>#REF!</v>
      </c>
      <c r="G723" s="91"/>
      <c r="H723" s="91"/>
    </row>
    <row r="724" spans="2:8" ht="18" x14ac:dyDescent="0.25">
      <c r="B724" s="87" t="s">
        <v>201</v>
      </c>
      <c r="C724" s="87"/>
      <c r="D724" s="110">
        <v>0</v>
      </c>
      <c r="E724" s="111">
        <v>0</v>
      </c>
      <c r="F724" s="106" t="e">
        <f>+'RES CUENTA'!#REF!</f>
        <v>#REF!</v>
      </c>
      <c r="G724" s="336"/>
      <c r="H724" s="336"/>
    </row>
    <row r="725" spans="2:8" ht="18" x14ac:dyDescent="0.25">
      <c r="B725" s="87" t="s">
        <v>84</v>
      </c>
      <c r="C725" s="87"/>
      <c r="D725" s="110">
        <v>0</v>
      </c>
      <c r="E725" s="111">
        <v>0</v>
      </c>
      <c r="F725" s="166" t="e">
        <f>+'RES CUENTA'!#REF!</f>
        <v>#REF!</v>
      </c>
      <c r="G725" s="336"/>
      <c r="H725" s="336"/>
    </row>
    <row r="726" spans="2:8" ht="18" x14ac:dyDescent="0.25">
      <c r="B726" s="88" t="s">
        <v>206</v>
      </c>
      <c r="C726" s="87"/>
      <c r="D726" s="87"/>
      <c r="E726" s="94"/>
      <c r="F726" s="107" t="e">
        <f>SUM(F721:F725)</f>
        <v>#REF!</v>
      </c>
      <c r="G726" s="336"/>
      <c r="H726" s="336"/>
    </row>
    <row r="727" spans="2:8" ht="18" x14ac:dyDescent="0.25">
      <c r="B727" s="88"/>
      <c r="C727" s="87"/>
      <c r="D727" s="87"/>
      <c r="E727" s="87"/>
      <c r="G727" s="337"/>
      <c r="H727" s="337"/>
    </row>
    <row r="728" spans="2:8" ht="18" x14ac:dyDescent="0.25">
      <c r="B728" s="87"/>
      <c r="C728" s="87"/>
      <c r="D728" s="87"/>
      <c r="E728" s="87"/>
      <c r="F728" s="93"/>
      <c r="G728" s="92"/>
      <c r="H728" s="92"/>
    </row>
    <row r="729" spans="2:8" ht="18" x14ac:dyDescent="0.25">
      <c r="B729" s="87"/>
      <c r="C729" s="87"/>
      <c r="D729" s="87"/>
      <c r="E729" s="87"/>
      <c r="F729" s="93"/>
      <c r="G729" s="92"/>
      <c r="H729" s="92"/>
    </row>
    <row r="730" spans="2:8" ht="18" x14ac:dyDescent="0.25">
      <c r="B730" s="87"/>
      <c r="C730" s="87"/>
      <c r="D730" s="87"/>
      <c r="E730" s="87"/>
      <c r="F730" s="93"/>
      <c r="G730" s="92"/>
      <c r="H730" s="92"/>
    </row>
    <row r="731" spans="2:8" ht="18" x14ac:dyDescent="0.25">
      <c r="B731" s="87"/>
      <c r="C731" s="87"/>
      <c r="D731" s="87"/>
      <c r="E731" s="87"/>
      <c r="F731" s="94"/>
      <c r="G731" s="87"/>
      <c r="H731" s="87"/>
    </row>
    <row r="732" spans="2:8" ht="12" customHeight="1" x14ac:dyDescent="0.25">
      <c r="B732" s="87"/>
      <c r="C732" s="87"/>
      <c r="D732" s="87"/>
      <c r="E732" s="87"/>
      <c r="F732" s="94"/>
      <c r="G732" s="87"/>
      <c r="H732" s="87"/>
    </row>
    <row r="733" spans="2:8" ht="18" x14ac:dyDescent="0.25">
      <c r="B733" s="87" t="e">
        <f>+B718</f>
        <v>#REF!</v>
      </c>
      <c r="C733" s="338"/>
      <c r="D733" s="338"/>
      <c r="E733" s="87" t="e">
        <f>+B733</f>
        <v>#REF!</v>
      </c>
      <c r="F733" s="94"/>
      <c r="G733" s="87"/>
      <c r="H733" s="87"/>
    </row>
    <row r="734" spans="2:8" ht="18" x14ac:dyDescent="0.25">
      <c r="C734" s="87"/>
      <c r="D734" s="87"/>
      <c r="F734" s="338"/>
      <c r="G734" s="338"/>
      <c r="H734" s="338"/>
    </row>
    <row r="735" spans="2:8" ht="18" x14ac:dyDescent="0.25">
      <c r="B735" s="87" t="str">
        <f>+E1</f>
        <v>URUGUAY 1025/27/29 CAP. FED.</v>
      </c>
      <c r="C735" s="87"/>
      <c r="D735" s="95" t="str">
        <f>+H718</f>
        <v>Unid. 19</v>
      </c>
      <c r="E735" s="87"/>
      <c r="F735" s="87"/>
      <c r="G735" s="87"/>
      <c r="H735" s="95" t="str">
        <f>+D735</f>
        <v>Unid. 19</v>
      </c>
    </row>
    <row r="736" spans="2:8" ht="18" x14ac:dyDescent="0.25">
      <c r="D736" s="95" t="e">
        <f>+H736</f>
        <v>#REF!</v>
      </c>
      <c r="H736" s="95" t="e">
        <f>+H719</f>
        <v>#REF!</v>
      </c>
    </row>
    <row r="737" spans="2:8" ht="14.25" customHeight="1" x14ac:dyDescent="0.25">
      <c r="B737" s="88"/>
      <c r="C737" s="88"/>
      <c r="D737" s="88"/>
      <c r="E737" s="88"/>
      <c r="F737" s="87"/>
      <c r="G737" s="87"/>
    </row>
    <row r="738" spans="2:8" ht="18" x14ac:dyDescent="0.25">
      <c r="B738" s="87" t="str">
        <f>+F1</f>
        <v xml:space="preserve">P/depósito/transferencia en ICBC </v>
      </c>
      <c r="C738" s="87"/>
      <c r="D738" s="87"/>
      <c r="E738" s="87"/>
      <c r="F738" s="87"/>
      <c r="G738" s="88"/>
      <c r="H738" s="104"/>
    </row>
    <row r="739" spans="2:8" ht="18" x14ac:dyDescent="0.25">
      <c r="B739" s="87" t="str">
        <f>+F2</f>
        <v>Cta. Cte. $ N°538/02104658/84</v>
      </c>
      <c r="C739" s="87"/>
      <c r="D739" s="87"/>
      <c r="E739" s="98"/>
      <c r="F739" s="87"/>
      <c r="G739" s="96"/>
      <c r="H739" s="87"/>
    </row>
    <row r="740" spans="2:8" ht="18" x14ac:dyDescent="0.25">
      <c r="B740" s="87" t="str">
        <f>+F3</f>
        <v>CBU:0150538202000104658840</v>
      </c>
      <c r="C740" s="87"/>
      <c r="D740" s="87"/>
      <c r="E740" s="87" t="s">
        <v>85</v>
      </c>
      <c r="F740" s="109" t="e">
        <f t="shared" ref="F740:F745" si="3">+F721</f>
        <v>#REF!</v>
      </c>
      <c r="H740" s="102">
        <f>+B745</f>
        <v>46183</v>
      </c>
    </row>
    <row r="741" spans="2:8" ht="18" x14ac:dyDescent="0.25">
      <c r="B741" s="87" t="str">
        <f>+F4</f>
        <v>CUIT: 30-58026090-6</v>
      </c>
      <c r="C741" s="87"/>
      <c r="D741" s="87"/>
      <c r="E741" s="87" t="s">
        <v>193</v>
      </c>
      <c r="F741" s="109" t="e">
        <f t="shared" si="3"/>
        <v>#REF!</v>
      </c>
    </row>
    <row r="742" spans="2:8" ht="18" x14ac:dyDescent="0.25">
      <c r="B742" s="88"/>
      <c r="C742" s="87"/>
      <c r="D742" s="87"/>
      <c r="E742" s="87" t="s">
        <v>202</v>
      </c>
      <c r="F742" s="109" t="e">
        <f t="shared" si="3"/>
        <v>#REF!</v>
      </c>
      <c r="G742" s="87"/>
      <c r="H742" s="87"/>
    </row>
    <row r="743" spans="2:8" ht="18" x14ac:dyDescent="0.25">
      <c r="B743" s="87"/>
      <c r="C743" s="87"/>
      <c r="D743" s="87"/>
      <c r="E743" s="87" t="s">
        <v>321</v>
      </c>
      <c r="F743" s="109" t="e">
        <f t="shared" si="3"/>
        <v>#REF!</v>
      </c>
      <c r="G743" s="87"/>
      <c r="H743" s="87"/>
    </row>
    <row r="744" spans="2:8" ht="18" x14ac:dyDescent="0.25">
      <c r="B744" s="98"/>
      <c r="C744" s="98"/>
      <c r="D744" s="98"/>
      <c r="E744" s="87" t="s">
        <v>86</v>
      </c>
      <c r="F744" s="167" t="e">
        <f t="shared" si="3"/>
        <v>#REF!</v>
      </c>
      <c r="G744" s="87"/>
      <c r="H744" s="87"/>
    </row>
    <row r="745" spans="2:8" ht="18" x14ac:dyDescent="0.25">
      <c r="B745" s="102">
        <f>+$G$34</f>
        <v>46183</v>
      </c>
      <c r="C745" s="108" t="e">
        <f>+F726</f>
        <v>#REF!</v>
      </c>
      <c r="D745" s="87"/>
      <c r="E745" s="87" t="s">
        <v>88</v>
      </c>
      <c r="F745" s="109" t="e">
        <f t="shared" si="3"/>
        <v>#REF!</v>
      </c>
      <c r="G745" s="87"/>
      <c r="H745" s="87"/>
    </row>
    <row r="746" spans="2:8" ht="18" x14ac:dyDescent="0.25">
      <c r="B746" s="87"/>
      <c r="C746" s="87"/>
      <c r="D746" s="87"/>
      <c r="E746" s="105"/>
      <c r="F746" s="87"/>
      <c r="G746" s="87"/>
      <c r="H746" s="87"/>
    </row>
    <row r="747" spans="2:8" ht="18" x14ac:dyDescent="0.25">
      <c r="B747" s="87"/>
      <c r="C747" s="87"/>
      <c r="D747" s="87"/>
      <c r="F747" s="87"/>
      <c r="G747" s="87"/>
      <c r="H747" s="87"/>
    </row>
    <row r="748" spans="2:8" ht="18" x14ac:dyDescent="0.25">
      <c r="B748" s="87"/>
      <c r="C748" s="87"/>
      <c r="D748" s="87"/>
      <c r="E748" s="87"/>
      <c r="F748" s="87"/>
      <c r="G748" s="87"/>
      <c r="H748" s="87"/>
    </row>
    <row r="749" spans="2:8" ht="18" x14ac:dyDescent="0.25">
      <c r="B749" s="87"/>
      <c r="C749" s="87"/>
      <c r="D749" s="87"/>
      <c r="E749" s="87"/>
      <c r="F749" s="87"/>
      <c r="G749" s="339"/>
      <c r="H749" s="339"/>
    </row>
    <row r="750" spans="2:8" ht="18" x14ac:dyDescent="0.25">
      <c r="B750" s="87"/>
      <c r="C750" s="87"/>
      <c r="D750" s="87"/>
      <c r="E750" s="87"/>
      <c r="F750" s="87"/>
      <c r="G750" s="87"/>
      <c r="H750" s="87"/>
    </row>
    <row r="751" spans="2:8" ht="18" x14ac:dyDescent="0.25">
      <c r="B751" s="87"/>
      <c r="C751" s="87"/>
      <c r="D751" s="87"/>
      <c r="E751" s="87"/>
      <c r="F751" s="87"/>
      <c r="G751" s="87"/>
      <c r="H751" s="87"/>
    </row>
    <row r="752" spans="2:8" ht="24.75" customHeight="1" x14ac:dyDescent="0.25">
      <c r="B752" s="87"/>
      <c r="C752" s="87"/>
      <c r="D752" s="87"/>
      <c r="E752" s="87"/>
      <c r="F752" s="87"/>
      <c r="H752" s="87"/>
    </row>
    <row r="753" spans="2:8" ht="18" x14ac:dyDescent="0.25">
      <c r="B753" s="335"/>
      <c r="C753" s="335"/>
      <c r="D753" s="335"/>
      <c r="E753" s="87"/>
      <c r="F753" s="87"/>
      <c r="H753" s="87"/>
    </row>
    <row r="754" spans="2:8" ht="18" x14ac:dyDescent="0.25">
      <c r="B754" s="335"/>
      <c r="C754" s="335"/>
      <c r="D754" s="335"/>
      <c r="E754" s="101">
        <f>+$B$1</f>
        <v>46143</v>
      </c>
      <c r="F754" s="87"/>
      <c r="G754" s="102">
        <f>+$D$1</f>
        <v>46183</v>
      </c>
      <c r="H754" s="100"/>
    </row>
    <row r="755" spans="2:8" ht="18" x14ac:dyDescent="0.25">
      <c r="B755" s="86"/>
      <c r="C755" s="86"/>
      <c r="D755" s="103"/>
      <c r="E755" s="101"/>
      <c r="F755" s="87"/>
    </row>
    <row r="756" spans="2:8" ht="29.25" customHeight="1" x14ac:dyDescent="0.25">
      <c r="C756" s="87"/>
      <c r="D756" s="87"/>
      <c r="F756" s="87"/>
    </row>
    <row r="757" spans="2:8" ht="21.75" customHeight="1" x14ac:dyDescent="0.25">
      <c r="B757" s="87" t="e">
        <f>+B21</f>
        <v>#REF!</v>
      </c>
      <c r="C757" s="87"/>
      <c r="D757" s="87"/>
      <c r="E757" s="87" t="str">
        <f>+$E$1</f>
        <v>URUGUAY 1025/27/29 CAP. FED.</v>
      </c>
      <c r="F757" s="87"/>
      <c r="H757" s="95" t="s">
        <v>108</v>
      </c>
    </row>
    <row r="758" spans="2:8" ht="18" x14ac:dyDescent="0.25">
      <c r="B758" s="88"/>
      <c r="C758" s="87"/>
      <c r="D758" s="87"/>
      <c r="F758" s="87"/>
      <c r="G758" s="88"/>
      <c r="H758" s="95" t="e">
        <f>+'RES CUENTA'!#REF!</f>
        <v>#REF!</v>
      </c>
    </row>
    <row r="759" spans="2:8" ht="12" customHeight="1" x14ac:dyDescent="0.25">
      <c r="B759" s="87"/>
      <c r="C759" s="87"/>
      <c r="D759" s="87"/>
      <c r="E759" s="88"/>
      <c r="F759" s="88"/>
      <c r="G759" s="87"/>
      <c r="H759" s="88"/>
    </row>
    <row r="760" spans="2:8" ht="9" customHeight="1" x14ac:dyDescent="0.25">
      <c r="B760" s="96"/>
      <c r="C760" s="87"/>
      <c r="D760" s="96"/>
      <c r="E760" s="87"/>
      <c r="F760" s="87"/>
      <c r="G760" s="87"/>
      <c r="H760" s="87"/>
    </row>
    <row r="761" spans="2:8" ht="18" x14ac:dyDescent="0.25">
      <c r="B761" s="87" t="s">
        <v>82</v>
      </c>
      <c r="C761" s="87"/>
      <c r="D761" s="110">
        <f>+'RES CUENTA'!$H$26</f>
        <v>6751880</v>
      </c>
      <c r="E761" s="111" t="e">
        <f>+'RES CUENTA'!#REF!</f>
        <v>#REF!</v>
      </c>
      <c r="F761" s="106" t="e">
        <f>+D761*E761/100</f>
        <v>#REF!</v>
      </c>
      <c r="G761" s="87"/>
      <c r="H761" s="96"/>
    </row>
    <row r="762" spans="2:8" ht="18" x14ac:dyDescent="0.25">
      <c r="B762" s="87" t="s">
        <v>194</v>
      </c>
      <c r="C762" s="87"/>
      <c r="D762" s="110">
        <f>+'RES CUENTA'!J26</f>
        <v>1482120</v>
      </c>
      <c r="E762" s="111" t="e">
        <f>+'RES CUENTA'!#REF!</f>
        <v>#REF!</v>
      </c>
      <c r="F762" s="106" t="e">
        <f>+D762*E762/100</f>
        <v>#REF!</v>
      </c>
      <c r="G762" s="96"/>
      <c r="H762" s="91"/>
    </row>
    <row r="763" spans="2:8" ht="18" x14ac:dyDescent="0.25">
      <c r="B763" s="87" t="str">
        <f>+B723</f>
        <v>s/Asamblea</v>
      </c>
      <c r="C763" s="87"/>
      <c r="D763" s="110">
        <v>0</v>
      </c>
      <c r="E763" s="111">
        <v>0</v>
      </c>
      <c r="F763" s="106" t="e">
        <f>+'RES CUENTA'!#REF!</f>
        <v>#REF!</v>
      </c>
      <c r="G763" s="96"/>
      <c r="H763" s="91"/>
    </row>
    <row r="764" spans="2:8" ht="18" x14ac:dyDescent="0.25">
      <c r="B764" s="87" t="s">
        <v>201</v>
      </c>
      <c r="C764" s="87"/>
      <c r="D764" s="110">
        <v>0</v>
      </c>
      <c r="E764" s="111">
        <v>0</v>
      </c>
      <c r="F764" s="106" t="e">
        <f>+'RES CUENTA'!#REF!</f>
        <v>#REF!</v>
      </c>
      <c r="G764" s="91"/>
      <c r="H764" s="91"/>
    </row>
    <row r="765" spans="2:8" ht="20.25" customHeight="1" x14ac:dyDescent="0.25">
      <c r="B765" s="87" t="s">
        <v>84</v>
      </c>
      <c r="C765" s="87"/>
      <c r="D765" s="110">
        <v>0</v>
      </c>
      <c r="E765" s="111">
        <v>0</v>
      </c>
      <c r="F765" s="166" t="e">
        <f>+'RES CUENTA'!#REF!</f>
        <v>#REF!</v>
      </c>
      <c r="G765" s="91"/>
      <c r="H765" s="91"/>
    </row>
    <row r="766" spans="2:8" ht="18" x14ac:dyDescent="0.25">
      <c r="B766" s="88" t="s">
        <v>206</v>
      </c>
      <c r="C766" s="87"/>
      <c r="D766" s="87"/>
      <c r="F766" s="107" t="e">
        <f>SUM(F761:F765)</f>
        <v>#REF!</v>
      </c>
      <c r="G766" s="91"/>
      <c r="H766" s="91"/>
    </row>
    <row r="767" spans="2:8" ht="11.25" customHeight="1" x14ac:dyDescent="0.25">
      <c r="B767" s="88"/>
      <c r="C767" s="87"/>
      <c r="D767" s="87"/>
      <c r="F767" s="107"/>
      <c r="G767" s="91"/>
      <c r="H767" s="91"/>
    </row>
    <row r="768" spans="2:8" ht="18" x14ac:dyDescent="0.25">
      <c r="B768" s="88"/>
      <c r="C768" s="87"/>
      <c r="D768" s="87"/>
      <c r="F768" s="93"/>
      <c r="G768" s="91"/>
      <c r="H768" s="92"/>
    </row>
    <row r="769" spans="2:8" ht="14.25" customHeight="1" x14ac:dyDescent="0.25">
      <c r="B769" s="88"/>
      <c r="C769" s="87"/>
      <c r="D769" s="87"/>
      <c r="F769" s="93"/>
      <c r="G769" s="91"/>
      <c r="H769" s="92"/>
    </row>
    <row r="770" spans="2:8" ht="15" customHeight="1" x14ac:dyDescent="0.25">
      <c r="B770" s="87"/>
      <c r="C770" s="87"/>
      <c r="D770" s="87"/>
      <c r="E770" s="87"/>
      <c r="F770" s="94"/>
      <c r="G770" s="92"/>
      <c r="H770" s="92"/>
    </row>
    <row r="771" spans="2:8" ht="3.75" customHeight="1" x14ac:dyDescent="0.25">
      <c r="B771" s="87"/>
      <c r="C771" s="87"/>
      <c r="D771" s="87"/>
      <c r="E771" s="87"/>
      <c r="F771" s="94"/>
      <c r="G771" s="92"/>
      <c r="H771" s="92"/>
    </row>
    <row r="772" spans="2:8" ht="18" x14ac:dyDescent="0.25">
      <c r="B772" s="87" t="e">
        <f>+B757</f>
        <v>#REF!</v>
      </c>
      <c r="C772" s="87"/>
      <c r="D772" s="87"/>
      <c r="E772" s="87" t="e">
        <f>+B757</f>
        <v>#REF!</v>
      </c>
      <c r="F772" s="87"/>
      <c r="G772" s="87"/>
      <c r="H772" s="104"/>
    </row>
    <row r="773" spans="2:8" ht="18" x14ac:dyDescent="0.25">
      <c r="B773" s="88"/>
      <c r="C773" s="87"/>
      <c r="D773" s="87"/>
      <c r="F773" s="87"/>
      <c r="G773" s="104"/>
      <c r="H773" s="95" t="str">
        <f>+H757</f>
        <v>Unid. 20</v>
      </c>
    </row>
    <row r="774" spans="2:8" ht="18" x14ac:dyDescent="0.25">
      <c r="B774" s="87" t="str">
        <f>+E1</f>
        <v>URUGUAY 1025/27/29 CAP. FED.</v>
      </c>
      <c r="C774" s="87"/>
      <c r="D774" s="95" t="str">
        <f>+H773</f>
        <v>Unid. 20</v>
      </c>
      <c r="E774" s="87" t="str">
        <f>+$E$1</f>
        <v>URUGUAY 1025/27/29 CAP. FED.</v>
      </c>
      <c r="F774" s="87"/>
      <c r="G774" s="87"/>
      <c r="H774" s="87" t="e">
        <f>+H758</f>
        <v>#REF!</v>
      </c>
    </row>
    <row r="775" spans="2:8" ht="18" x14ac:dyDescent="0.25">
      <c r="B775" s="88"/>
      <c r="C775" s="88"/>
      <c r="D775" s="87" t="e">
        <f>+H774</f>
        <v>#REF!</v>
      </c>
      <c r="F775" s="87"/>
      <c r="G775" s="87"/>
    </row>
    <row r="776" spans="2:8" ht="12" customHeight="1" x14ac:dyDescent="0.25">
      <c r="B776" s="87"/>
      <c r="C776" s="87"/>
      <c r="D776" s="87"/>
      <c r="E776" s="88"/>
      <c r="F776" s="87"/>
      <c r="G776" s="87"/>
      <c r="H776" s="104"/>
    </row>
    <row r="777" spans="2:8" ht="18" x14ac:dyDescent="0.25">
      <c r="B777" s="87" t="str">
        <f>+F1</f>
        <v xml:space="preserve">P/depósito/transferencia en ICBC </v>
      </c>
      <c r="C777" s="87"/>
      <c r="D777" s="87"/>
      <c r="E777" s="87"/>
      <c r="F777" s="98"/>
      <c r="G777" s="88"/>
      <c r="H777" s="87"/>
    </row>
    <row r="778" spans="2:8" ht="21.75" customHeight="1" x14ac:dyDescent="0.25">
      <c r="B778" s="87" t="str">
        <f>+F2</f>
        <v>Cta. Cte. $ N°538/02104658/84</v>
      </c>
      <c r="C778" s="87"/>
      <c r="D778" s="87"/>
      <c r="E778" s="87" t="s">
        <v>85</v>
      </c>
      <c r="F778" s="109" t="e">
        <f t="shared" ref="F778:F783" si="4">+F761</f>
        <v>#REF!</v>
      </c>
      <c r="G778" s="97"/>
      <c r="H778" s="102">
        <f>+B783</f>
        <v>46183</v>
      </c>
    </row>
    <row r="779" spans="2:8" ht="21.75" customHeight="1" x14ac:dyDescent="0.25">
      <c r="B779" s="87" t="str">
        <f>+F3</f>
        <v>CBU:0150538202000104658840</v>
      </c>
      <c r="C779" s="87"/>
      <c r="D779" s="87"/>
      <c r="E779" s="87" t="s">
        <v>193</v>
      </c>
      <c r="F779" s="109" t="e">
        <f t="shared" si="4"/>
        <v>#REF!</v>
      </c>
      <c r="H779" s="87"/>
    </row>
    <row r="780" spans="2:8" ht="18" x14ac:dyDescent="0.25">
      <c r="B780" s="87" t="str">
        <f>+F4</f>
        <v>CUIT: 30-58026090-6</v>
      </c>
      <c r="C780" s="87"/>
      <c r="D780" s="87"/>
      <c r="E780" s="87" t="s">
        <v>321</v>
      </c>
      <c r="F780" s="109" t="e">
        <f t="shared" si="4"/>
        <v>#REF!</v>
      </c>
      <c r="G780" s="87"/>
      <c r="H780" s="87"/>
    </row>
    <row r="781" spans="2:8" ht="21" customHeight="1" x14ac:dyDescent="0.25">
      <c r="B781" s="98"/>
      <c r="C781" s="98"/>
      <c r="D781" s="98"/>
      <c r="E781" s="87" t="s">
        <v>86</v>
      </c>
      <c r="F781" s="109" t="e">
        <f>+F764</f>
        <v>#REF!</v>
      </c>
      <c r="G781" s="87"/>
      <c r="H781" s="87"/>
    </row>
    <row r="782" spans="2:8" ht="18" x14ac:dyDescent="0.25">
      <c r="D782" s="87"/>
      <c r="E782" s="87" t="s">
        <v>204</v>
      </c>
      <c r="F782" s="167" t="e">
        <f>+F765</f>
        <v>#REF!</v>
      </c>
      <c r="G782" s="87"/>
      <c r="H782" s="87"/>
    </row>
    <row r="783" spans="2:8" ht="18" x14ac:dyDescent="0.25">
      <c r="B783" s="102">
        <f>+$G$34</f>
        <v>46183</v>
      </c>
      <c r="C783" s="108" t="e">
        <f>+F766</f>
        <v>#REF!</v>
      </c>
      <c r="D783" s="87"/>
      <c r="E783" s="87" t="s">
        <v>88</v>
      </c>
      <c r="F783" s="109" t="e">
        <f t="shared" si="4"/>
        <v>#REF!</v>
      </c>
      <c r="G783" s="87"/>
      <c r="H783" s="87"/>
    </row>
    <row r="784" spans="2:8" ht="18" x14ac:dyDescent="0.25">
      <c r="B784" s="87"/>
      <c r="C784" s="87"/>
      <c r="D784" s="87"/>
      <c r="E784" s="87"/>
      <c r="F784" s="87"/>
      <c r="G784" s="87"/>
      <c r="H784" s="87"/>
    </row>
    <row r="785" spans="2:8" ht="18" x14ac:dyDescent="0.25">
      <c r="B785" s="87"/>
      <c r="C785" s="87"/>
      <c r="D785" s="87"/>
      <c r="E785" s="105"/>
      <c r="F785" s="87"/>
      <c r="G785" s="87"/>
      <c r="H785" s="87"/>
    </row>
    <row r="786" spans="2:8" ht="12" customHeight="1" x14ac:dyDescent="0.25">
      <c r="B786" s="87"/>
      <c r="C786" s="87"/>
      <c r="D786" s="87"/>
      <c r="E786" s="87"/>
      <c r="F786" s="87"/>
      <c r="G786" s="87"/>
      <c r="H786" s="96"/>
    </row>
    <row r="787" spans="2:8" ht="11.25" customHeight="1" x14ac:dyDescent="0.25">
      <c r="E787" s="87"/>
      <c r="G787" s="96"/>
      <c r="H787" s="87"/>
    </row>
    <row r="788" spans="2:8" ht="9.75" customHeight="1" x14ac:dyDescent="0.2"/>
    <row r="789" spans="2:8" ht="18" x14ac:dyDescent="0.25">
      <c r="B789" s="335"/>
      <c r="C789" s="335"/>
      <c r="D789" s="335"/>
      <c r="E789" s="340">
        <f>+$B$1</f>
        <v>46143</v>
      </c>
      <c r="F789" s="87"/>
      <c r="G789" s="341">
        <f>+$D$1</f>
        <v>46183</v>
      </c>
      <c r="H789" s="87"/>
    </row>
    <row r="790" spans="2:8" ht="18" x14ac:dyDescent="0.25">
      <c r="B790" s="86"/>
      <c r="C790" s="86"/>
      <c r="D790" s="103"/>
      <c r="E790" s="340"/>
      <c r="F790" s="87"/>
      <c r="G790" s="341"/>
      <c r="H790" s="87"/>
    </row>
    <row r="791" spans="2:8" ht="18" x14ac:dyDescent="0.25">
      <c r="B791" s="87"/>
      <c r="C791" s="87"/>
      <c r="D791" s="87"/>
      <c r="E791" s="88"/>
      <c r="F791" s="87"/>
      <c r="G791" s="88"/>
      <c r="H791" s="87"/>
    </row>
    <row r="792" spans="2:8" ht="23.25" customHeight="1" x14ac:dyDescent="0.25">
      <c r="C792" s="87"/>
      <c r="D792" s="87"/>
      <c r="E792" s="88"/>
      <c r="F792" s="87"/>
      <c r="G792" s="88"/>
      <c r="H792" s="87"/>
    </row>
    <row r="793" spans="2:8" ht="27" customHeight="1" x14ac:dyDescent="0.25">
      <c r="B793" s="87" t="e">
        <f>+B22</f>
        <v>#REF!</v>
      </c>
      <c r="C793" s="87"/>
      <c r="D793" s="87"/>
      <c r="E793" s="87" t="str">
        <f>+E39</f>
        <v>URUGUAY 1025/27/29 CAP. FED.</v>
      </c>
      <c r="F793" s="87"/>
      <c r="G793" s="87"/>
      <c r="H793" s="95" t="s">
        <v>109</v>
      </c>
    </row>
    <row r="794" spans="2:8" ht="18" x14ac:dyDescent="0.25">
      <c r="B794" s="87"/>
      <c r="C794" s="87"/>
      <c r="D794" s="87"/>
      <c r="E794" s="88"/>
      <c r="F794" s="88"/>
      <c r="G794" s="87"/>
      <c r="H794" s="87" t="e">
        <f>+'RES CUENTA'!#REF!</f>
        <v>#REF!</v>
      </c>
    </row>
    <row r="795" spans="2:8" ht="15.75" customHeight="1" x14ac:dyDescent="0.25">
      <c r="B795" s="96"/>
      <c r="C795" s="87"/>
      <c r="D795" s="96"/>
      <c r="E795" s="87"/>
      <c r="F795" s="87"/>
      <c r="G795" s="87"/>
      <c r="H795" s="87"/>
    </row>
    <row r="796" spans="2:8" ht="18" x14ac:dyDescent="0.25">
      <c r="B796" s="87" t="s">
        <v>82</v>
      </c>
      <c r="C796" s="87"/>
      <c r="D796" s="110">
        <f>+'RES CUENTA'!H26</f>
        <v>6751880</v>
      </c>
      <c r="E796" s="111" t="e">
        <f>+'RES CUENTA'!#REF!</f>
        <v>#REF!</v>
      </c>
      <c r="F796" s="106" t="e">
        <f>+D796*E796/100</f>
        <v>#REF!</v>
      </c>
      <c r="G796" s="339"/>
      <c r="H796" s="339"/>
    </row>
    <row r="797" spans="2:8" ht="18" x14ac:dyDescent="0.25">
      <c r="B797" s="87" t="s">
        <v>194</v>
      </c>
      <c r="C797" s="87"/>
      <c r="D797" s="110">
        <f>+'RES CUENTA'!J26</f>
        <v>1482120</v>
      </c>
      <c r="E797" s="111" t="e">
        <f>+'RES CUENTA'!#REF!</f>
        <v>#REF!</v>
      </c>
      <c r="F797" s="106" t="e">
        <f>+D797*E797/100</f>
        <v>#REF!</v>
      </c>
      <c r="G797" s="336"/>
      <c r="H797" s="336"/>
    </row>
    <row r="798" spans="2:8" ht="18" x14ac:dyDescent="0.25">
      <c r="B798" s="87" t="str">
        <f>+B763</f>
        <v>s/Asamblea</v>
      </c>
      <c r="C798" s="87"/>
      <c r="D798" s="110">
        <v>0</v>
      </c>
      <c r="E798" s="111">
        <v>0</v>
      </c>
      <c r="F798" s="106" t="e">
        <f>+'RES CUENTA'!#REF!</f>
        <v>#REF!</v>
      </c>
      <c r="G798" s="91"/>
      <c r="H798" s="91"/>
    </row>
    <row r="799" spans="2:8" ht="18" x14ac:dyDescent="0.25">
      <c r="B799" s="87" t="s">
        <v>230</v>
      </c>
      <c r="C799" s="87"/>
      <c r="D799" s="110">
        <v>0</v>
      </c>
      <c r="E799" s="111">
        <v>0</v>
      </c>
      <c r="F799" s="106" t="e">
        <f>+'RES CUENTA'!#REF!</f>
        <v>#REF!</v>
      </c>
      <c r="G799" s="336"/>
      <c r="H799" s="336"/>
    </row>
    <row r="800" spans="2:8" ht="18" x14ac:dyDescent="0.25">
      <c r="B800" s="87" t="s">
        <v>84</v>
      </c>
      <c r="C800" s="87"/>
      <c r="D800" s="110">
        <v>0</v>
      </c>
      <c r="E800" s="111">
        <v>0</v>
      </c>
      <c r="F800" s="166" t="e">
        <f>+'RES CUENTA'!#REF!</f>
        <v>#REF!</v>
      </c>
      <c r="G800" s="336"/>
      <c r="H800" s="336"/>
    </row>
    <row r="801" spans="2:8" ht="18" x14ac:dyDescent="0.25">
      <c r="B801" s="88" t="s">
        <v>206</v>
      </c>
      <c r="C801" s="87"/>
      <c r="D801" s="87"/>
      <c r="E801" s="94"/>
      <c r="F801" s="107" t="e">
        <f>SUM(F796:F800)</f>
        <v>#REF!</v>
      </c>
      <c r="G801" s="336"/>
      <c r="H801" s="336"/>
    </row>
    <row r="802" spans="2:8" ht="18" x14ac:dyDescent="0.25">
      <c r="B802" s="88"/>
      <c r="C802" s="87"/>
      <c r="D802" s="87"/>
      <c r="E802" s="94"/>
      <c r="F802" s="107"/>
      <c r="G802" s="91"/>
      <c r="H802" s="91"/>
    </row>
    <row r="803" spans="2:8" ht="18" x14ac:dyDescent="0.25">
      <c r="B803" s="88"/>
      <c r="C803" s="87"/>
      <c r="D803" s="87"/>
      <c r="E803" s="94"/>
      <c r="F803" s="107"/>
      <c r="G803" s="91"/>
      <c r="H803" s="91"/>
    </row>
    <row r="804" spans="2:8" ht="18" x14ac:dyDescent="0.25">
      <c r="B804" s="88"/>
      <c r="C804" s="87"/>
      <c r="D804" s="87"/>
      <c r="E804" s="87"/>
      <c r="G804" s="337"/>
      <c r="H804" s="337"/>
    </row>
    <row r="805" spans="2:8" ht="12" customHeight="1" x14ac:dyDescent="0.25">
      <c r="B805" s="87"/>
      <c r="C805" s="87"/>
      <c r="D805" s="87"/>
      <c r="E805" s="87"/>
      <c r="F805" s="93"/>
      <c r="G805" s="92"/>
      <c r="H805" s="92"/>
    </row>
    <row r="806" spans="2:8" ht="25.5" customHeight="1" x14ac:dyDescent="0.25">
      <c r="B806" s="87"/>
      <c r="C806" s="87"/>
      <c r="D806" s="87"/>
      <c r="E806" s="87"/>
      <c r="F806" s="93"/>
      <c r="G806" s="92"/>
      <c r="H806" s="92"/>
    </row>
    <row r="807" spans="2:8" ht="18" x14ac:dyDescent="0.25">
      <c r="B807" s="87" t="e">
        <f>+B793</f>
        <v>#REF!</v>
      </c>
      <c r="C807" s="338"/>
      <c r="D807" s="338"/>
      <c r="E807" s="87" t="e">
        <f>+B807</f>
        <v>#REF!</v>
      </c>
      <c r="F807" s="94"/>
      <c r="G807" s="87"/>
      <c r="H807" s="87"/>
    </row>
    <row r="808" spans="2:8" ht="18" x14ac:dyDescent="0.25">
      <c r="C808" s="87"/>
      <c r="D808" s="87"/>
      <c r="F808" s="338"/>
      <c r="G808" s="338"/>
      <c r="H808" s="338"/>
    </row>
    <row r="809" spans="2:8" ht="18" x14ac:dyDescent="0.25">
      <c r="B809" s="87" t="str">
        <f>+E1</f>
        <v>URUGUAY 1025/27/29 CAP. FED.</v>
      </c>
      <c r="C809" s="87"/>
      <c r="D809" s="95" t="str">
        <f>+H793</f>
        <v>Unid. 21</v>
      </c>
      <c r="E809" s="87" t="str">
        <f>+E1</f>
        <v>URUGUAY 1025/27/29 CAP. FED.</v>
      </c>
      <c r="F809" s="87"/>
      <c r="G809" s="87"/>
      <c r="H809" s="95" t="str">
        <f>+D809</f>
        <v>Unid. 21</v>
      </c>
    </row>
    <row r="810" spans="2:8" ht="18" x14ac:dyDescent="0.25">
      <c r="D810" s="95" t="e">
        <f>+H810</f>
        <v>#REF!</v>
      </c>
      <c r="H810" s="95" t="e">
        <f>+H794</f>
        <v>#REF!</v>
      </c>
    </row>
    <row r="811" spans="2:8" ht="18" x14ac:dyDescent="0.25">
      <c r="B811" s="88"/>
      <c r="C811" s="88"/>
      <c r="D811" s="88"/>
      <c r="E811" s="88"/>
      <c r="F811" s="87"/>
      <c r="G811" s="87"/>
    </row>
    <row r="812" spans="2:8" ht="18" x14ac:dyDescent="0.25">
      <c r="B812" s="87" t="str">
        <f>+F1</f>
        <v xml:space="preserve">P/depósito/transferencia en ICBC </v>
      </c>
      <c r="C812" s="87"/>
      <c r="D812" s="87"/>
      <c r="E812" s="87"/>
      <c r="F812" s="87"/>
      <c r="G812" s="88"/>
      <c r="H812" s="104"/>
    </row>
    <row r="813" spans="2:8" ht="18" x14ac:dyDescent="0.25">
      <c r="B813" s="87" t="str">
        <f>+F2</f>
        <v>Cta. Cte. $ N°538/02104658/84</v>
      </c>
      <c r="C813" s="87"/>
      <c r="D813" s="87"/>
      <c r="E813" s="87" t="s">
        <v>85</v>
      </c>
      <c r="F813" s="109" t="e">
        <f t="shared" ref="F813:F818" si="5">+F796</f>
        <v>#REF!</v>
      </c>
      <c r="H813" s="102">
        <f>+B818</f>
        <v>46183</v>
      </c>
    </row>
    <row r="814" spans="2:8" ht="18" x14ac:dyDescent="0.25">
      <c r="B814" s="87" t="str">
        <f>+F3</f>
        <v>CBU:0150538202000104658840</v>
      </c>
      <c r="C814" s="87"/>
      <c r="D814" s="87"/>
      <c r="E814" s="87" t="s">
        <v>193</v>
      </c>
      <c r="F814" s="109" t="e">
        <f t="shared" si="5"/>
        <v>#REF!</v>
      </c>
    </row>
    <row r="815" spans="2:8" ht="18" x14ac:dyDescent="0.25">
      <c r="B815" s="87" t="str">
        <f>+F4</f>
        <v>CUIT: 30-58026090-6</v>
      </c>
      <c r="C815" s="87"/>
      <c r="D815" s="87"/>
      <c r="E815" s="87" t="s">
        <v>202</v>
      </c>
      <c r="F815" s="109" t="e">
        <f t="shared" si="5"/>
        <v>#REF!</v>
      </c>
      <c r="G815" s="87"/>
      <c r="H815" s="87"/>
    </row>
    <row r="816" spans="2:8" ht="18" x14ac:dyDescent="0.25">
      <c r="B816" s="87"/>
      <c r="C816" s="87"/>
      <c r="D816" s="87"/>
      <c r="E816" s="87" t="s">
        <v>321</v>
      </c>
      <c r="F816" s="109" t="e">
        <f t="shared" si="5"/>
        <v>#REF!</v>
      </c>
      <c r="G816" s="87"/>
      <c r="H816" s="87"/>
    </row>
    <row r="817" spans="2:8" ht="15.75" customHeight="1" x14ac:dyDescent="0.25">
      <c r="B817" s="98"/>
      <c r="C817" s="98"/>
      <c r="D817" s="98"/>
      <c r="E817" s="87" t="s">
        <v>86</v>
      </c>
      <c r="F817" s="167" t="e">
        <f t="shared" si="5"/>
        <v>#REF!</v>
      </c>
      <c r="G817" s="87"/>
      <c r="H817" s="87"/>
    </row>
    <row r="818" spans="2:8" ht="18" x14ac:dyDescent="0.25">
      <c r="B818" s="102">
        <f>+$G$34</f>
        <v>46183</v>
      </c>
      <c r="C818" s="108" t="e">
        <f>+F801</f>
        <v>#REF!</v>
      </c>
      <c r="D818" s="87"/>
      <c r="E818" s="87" t="s">
        <v>88</v>
      </c>
      <c r="F818" s="109" t="e">
        <f t="shared" si="5"/>
        <v>#REF!</v>
      </c>
      <c r="G818" s="87"/>
      <c r="H818" s="87"/>
    </row>
    <row r="819" spans="2:8" ht="18" x14ac:dyDescent="0.25">
      <c r="B819" s="87"/>
      <c r="C819" s="87"/>
      <c r="D819" s="87"/>
      <c r="E819" s="105"/>
      <c r="F819" s="87"/>
      <c r="G819" s="87"/>
      <c r="H819" s="87"/>
    </row>
    <row r="820" spans="2:8" ht="18" x14ac:dyDescent="0.25">
      <c r="B820" s="87"/>
      <c r="C820" s="87"/>
      <c r="D820" s="87"/>
      <c r="F820" s="87"/>
      <c r="G820" s="87"/>
      <c r="H820" s="87"/>
    </row>
    <row r="821" spans="2:8" ht="18" x14ac:dyDescent="0.25">
      <c r="B821" s="87"/>
      <c r="C821" s="87"/>
      <c r="D821" s="87"/>
      <c r="E821" s="87"/>
      <c r="F821" s="87"/>
      <c r="G821" s="87"/>
      <c r="H821" s="87"/>
    </row>
    <row r="822" spans="2:8" ht="18" x14ac:dyDescent="0.25">
      <c r="B822" s="87"/>
      <c r="C822" s="87"/>
      <c r="D822" s="87"/>
      <c r="E822" s="87"/>
      <c r="F822" s="87"/>
      <c r="G822" s="339"/>
      <c r="H822" s="339"/>
    </row>
    <row r="823" spans="2:8" ht="18" x14ac:dyDescent="0.25">
      <c r="B823" s="87"/>
      <c r="C823" s="87"/>
      <c r="D823" s="87"/>
      <c r="E823" s="87"/>
      <c r="F823" s="87"/>
      <c r="G823" s="87"/>
      <c r="H823" s="87"/>
    </row>
    <row r="824" spans="2:8" ht="18" x14ac:dyDescent="0.25">
      <c r="B824" s="87"/>
      <c r="C824" s="87"/>
      <c r="D824" s="87"/>
      <c r="E824" s="87"/>
      <c r="F824" s="87"/>
      <c r="G824" s="87"/>
      <c r="H824" s="87"/>
    </row>
    <row r="825" spans="2:8" ht="18" x14ac:dyDescent="0.25">
      <c r="B825" s="87"/>
      <c r="C825" s="87"/>
      <c r="D825" s="87"/>
      <c r="E825" s="87"/>
      <c r="F825" s="87"/>
      <c r="G825" s="87"/>
      <c r="H825" s="87"/>
    </row>
    <row r="826" spans="2:8" ht="18.75" customHeight="1" x14ac:dyDescent="0.25">
      <c r="B826" s="87"/>
      <c r="C826" s="87"/>
      <c r="D826" s="87"/>
      <c r="E826" s="87"/>
      <c r="F826" s="87"/>
      <c r="G826" s="87"/>
      <c r="H826" s="87"/>
    </row>
    <row r="827" spans="2:8" ht="18" x14ac:dyDescent="0.25">
      <c r="B827" s="335"/>
      <c r="C827" s="335"/>
      <c r="D827" s="335"/>
      <c r="E827" s="101">
        <f>+$B$1</f>
        <v>46143</v>
      </c>
      <c r="F827" s="87"/>
      <c r="G827" s="102">
        <f>+$D$1</f>
        <v>46183</v>
      </c>
      <c r="H827" s="100"/>
    </row>
    <row r="828" spans="2:8" ht="21.75" customHeight="1" x14ac:dyDescent="0.25">
      <c r="B828" s="86"/>
      <c r="C828" s="86"/>
      <c r="D828" s="103"/>
      <c r="E828" s="101"/>
      <c r="F828" s="87"/>
    </row>
    <row r="829" spans="2:8" ht="32.25" customHeight="1" x14ac:dyDescent="0.25">
      <c r="C829" s="87"/>
      <c r="D829" s="87"/>
      <c r="F829" s="87"/>
    </row>
    <row r="830" spans="2:8" ht="33" customHeight="1" x14ac:dyDescent="0.25">
      <c r="B830" s="87" t="str">
        <f>+B23</f>
        <v>TOTALES</v>
      </c>
      <c r="C830" s="87"/>
      <c r="D830" s="87"/>
      <c r="E830" s="87" t="str">
        <f>+$E$1</f>
        <v>URUGUAY 1025/27/29 CAP. FED.</v>
      </c>
      <c r="F830" s="87"/>
      <c r="H830" s="95" t="s">
        <v>110</v>
      </c>
    </row>
    <row r="831" spans="2:8" ht="18" x14ac:dyDescent="0.25">
      <c r="B831" s="88"/>
      <c r="C831" s="87"/>
      <c r="D831" s="87"/>
      <c r="F831" s="87"/>
      <c r="G831" s="88"/>
      <c r="H831" s="95" t="e">
        <f>+'RES CUENTA'!#REF!</f>
        <v>#REF!</v>
      </c>
    </row>
    <row r="832" spans="2:8" ht="14.25" customHeight="1" x14ac:dyDescent="0.25">
      <c r="B832" s="87"/>
      <c r="C832" s="87"/>
      <c r="D832" s="87"/>
      <c r="E832" s="88"/>
      <c r="F832" s="88"/>
      <c r="G832" s="87"/>
      <c r="H832" s="88"/>
    </row>
    <row r="833" spans="2:8" ht="15.75" customHeight="1" x14ac:dyDescent="0.25">
      <c r="B833" s="96"/>
      <c r="C833" s="87"/>
      <c r="D833" s="96"/>
      <c r="E833" s="87"/>
      <c r="F833" s="87"/>
      <c r="G833" s="87"/>
      <c r="H833" s="87"/>
    </row>
    <row r="834" spans="2:8" ht="18" x14ac:dyDescent="0.25">
      <c r="B834" s="87" t="s">
        <v>82</v>
      </c>
      <c r="C834" s="87"/>
      <c r="D834" s="110">
        <f>+'RES CUENTA'!$H$26</f>
        <v>6751880</v>
      </c>
      <c r="E834" s="111" t="e">
        <f>+'RES CUENTA'!#REF!</f>
        <v>#REF!</v>
      </c>
      <c r="F834" s="106" t="e">
        <f>+D834*E834/100</f>
        <v>#REF!</v>
      </c>
      <c r="G834" s="87"/>
      <c r="H834" s="96"/>
    </row>
    <row r="835" spans="2:8" ht="18" x14ac:dyDescent="0.25">
      <c r="B835" s="87" t="s">
        <v>194</v>
      </c>
      <c r="C835" s="87"/>
      <c r="D835" s="110">
        <f>+'RES CUENTA'!J26</f>
        <v>1482120</v>
      </c>
      <c r="E835" s="111" t="e">
        <f>+'RES CUENTA'!#REF!</f>
        <v>#REF!</v>
      </c>
      <c r="F835" s="106" t="e">
        <f>+D835*E835/100</f>
        <v>#REF!</v>
      </c>
      <c r="G835" s="96"/>
      <c r="H835" s="91"/>
    </row>
    <row r="836" spans="2:8" ht="18" x14ac:dyDescent="0.25">
      <c r="B836" s="87" t="str">
        <f>+B798</f>
        <v>s/Asamblea</v>
      </c>
      <c r="C836" s="87"/>
      <c r="D836" s="110" t="e">
        <f>+'RES CUENTA'!#REF!</f>
        <v>#REF!</v>
      </c>
      <c r="E836" s="111">
        <v>0</v>
      </c>
      <c r="F836" s="106" t="e">
        <f>+D836</f>
        <v>#REF!</v>
      </c>
      <c r="G836" s="96"/>
      <c r="H836" s="91"/>
    </row>
    <row r="837" spans="2:8" ht="18" x14ac:dyDescent="0.25">
      <c r="B837" s="87" t="s">
        <v>321</v>
      </c>
      <c r="C837" s="87"/>
      <c r="D837" s="110" t="e">
        <f>+'RES CUENTA'!#REF!</f>
        <v>#REF!</v>
      </c>
      <c r="E837" s="111">
        <v>0</v>
      </c>
      <c r="F837" s="106" t="e">
        <f>+D837</f>
        <v>#REF!</v>
      </c>
      <c r="G837" s="91"/>
      <c r="H837" s="91"/>
    </row>
    <row r="838" spans="2:8" ht="18" x14ac:dyDescent="0.25">
      <c r="B838" s="87" t="s">
        <v>201</v>
      </c>
      <c r="C838" s="87"/>
      <c r="D838" s="110" t="e">
        <f>+'RES CUENTA'!#REF!+'RES CUENTA'!#REF!</f>
        <v>#REF!</v>
      </c>
      <c r="E838" s="111">
        <v>0</v>
      </c>
      <c r="F838" s="166" t="e">
        <f>+D838</f>
        <v>#REF!</v>
      </c>
      <c r="G838" s="91"/>
      <c r="H838" s="91"/>
    </row>
    <row r="839" spans="2:8" ht="18" x14ac:dyDescent="0.25">
      <c r="B839" s="88" t="s">
        <v>206</v>
      </c>
      <c r="C839" s="87"/>
      <c r="D839" s="89"/>
      <c r="F839" s="107" t="e">
        <f>SUM(F834:F838)</f>
        <v>#REF!</v>
      </c>
      <c r="G839" s="91"/>
      <c r="H839" s="91"/>
    </row>
    <row r="840" spans="2:8" ht="18" x14ac:dyDescent="0.25">
      <c r="B840" s="87"/>
      <c r="C840" s="87"/>
      <c r="D840" s="87"/>
      <c r="E840" s="87"/>
      <c r="F840" s="94"/>
      <c r="G840" s="92"/>
      <c r="H840" s="92"/>
    </row>
    <row r="841" spans="2:8" ht="18" x14ac:dyDescent="0.25">
      <c r="B841" s="87"/>
      <c r="C841" s="87"/>
      <c r="D841" s="87"/>
      <c r="E841" s="87"/>
      <c r="F841" s="94"/>
      <c r="G841" s="92"/>
      <c r="H841" s="92"/>
    </row>
    <row r="842" spans="2:8" ht="16.5" customHeight="1" x14ac:dyDescent="0.25">
      <c r="B842" s="87"/>
      <c r="C842" s="87"/>
      <c r="D842" s="87"/>
      <c r="E842" s="87"/>
      <c r="F842" s="94"/>
      <c r="G842" s="92"/>
      <c r="H842" s="92"/>
    </row>
    <row r="843" spans="2:8" ht="15" customHeight="1" x14ac:dyDescent="0.25">
      <c r="B843" s="87"/>
      <c r="C843" s="87"/>
      <c r="D843" s="87"/>
      <c r="E843" s="87"/>
      <c r="F843" s="94"/>
      <c r="G843" s="92"/>
      <c r="H843" s="92"/>
    </row>
    <row r="844" spans="2:8" ht="18" x14ac:dyDescent="0.25">
      <c r="B844" s="87" t="str">
        <f>+B830</f>
        <v>TOTALES</v>
      </c>
      <c r="C844" s="87"/>
      <c r="D844" s="87"/>
      <c r="E844" s="87" t="str">
        <f>+B830</f>
        <v>TOTALES</v>
      </c>
      <c r="F844" s="87"/>
      <c r="G844" s="87"/>
      <c r="H844" s="104"/>
    </row>
    <row r="845" spans="2:8" ht="18" x14ac:dyDescent="0.25">
      <c r="B845" s="88"/>
      <c r="C845" s="87"/>
      <c r="D845" s="87"/>
      <c r="F845" s="87"/>
      <c r="G845" s="104"/>
      <c r="H845" s="95" t="str">
        <f>+H830</f>
        <v>Unid. 22</v>
      </c>
    </row>
    <row r="846" spans="2:8" ht="18" x14ac:dyDescent="0.25">
      <c r="B846" s="87" t="str">
        <f>+E1</f>
        <v>URUGUAY 1025/27/29 CAP. FED.</v>
      </c>
      <c r="C846" s="87"/>
      <c r="D846" s="95" t="str">
        <f>+H845</f>
        <v>Unid. 22</v>
      </c>
      <c r="E846" s="87" t="str">
        <f>+E1</f>
        <v>URUGUAY 1025/27/29 CAP. FED.</v>
      </c>
      <c r="F846" s="87"/>
      <c r="G846" s="87"/>
      <c r="H846" s="87" t="e">
        <f>+H831</f>
        <v>#REF!</v>
      </c>
    </row>
    <row r="847" spans="2:8" ht="18" x14ac:dyDescent="0.25">
      <c r="B847" s="88"/>
      <c r="C847" s="88"/>
      <c r="D847" s="87" t="e">
        <f>+H846</f>
        <v>#REF!</v>
      </c>
      <c r="F847" s="87"/>
      <c r="G847" s="87"/>
    </row>
    <row r="848" spans="2:8" ht="18" x14ac:dyDescent="0.25">
      <c r="B848" s="87"/>
      <c r="C848" s="87"/>
      <c r="D848" s="87"/>
      <c r="E848" s="88"/>
      <c r="F848" s="87"/>
      <c r="G848" s="87"/>
      <c r="H848" s="104"/>
    </row>
    <row r="849" spans="2:8" ht="18" x14ac:dyDescent="0.25">
      <c r="B849" s="87" t="str">
        <f>+F1</f>
        <v xml:space="preserve">P/depósito/transferencia en ICBC </v>
      </c>
      <c r="C849" s="87"/>
      <c r="D849" s="87"/>
      <c r="E849" s="87"/>
      <c r="F849" s="98"/>
      <c r="G849" s="88"/>
      <c r="H849" s="87"/>
    </row>
    <row r="850" spans="2:8" ht="15" customHeight="1" x14ac:dyDescent="0.25">
      <c r="B850" s="87" t="str">
        <f>+F2</f>
        <v>Cta. Cte. $ N°538/02104658/84</v>
      </c>
      <c r="C850" s="87"/>
      <c r="D850" s="87"/>
      <c r="E850" s="98"/>
      <c r="G850" s="96"/>
      <c r="H850" s="97"/>
    </row>
    <row r="851" spans="2:8" ht="18" x14ac:dyDescent="0.25">
      <c r="B851" s="88"/>
      <c r="C851" s="87"/>
      <c r="D851" s="87"/>
      <c r="E851" s="87" t="s">
        <v>85</v>
      </c>
      <c r="F851" s="109" t="e">
        <f t="shared" ref="F851:F856" si="6">+F834</f>
        <v>#REF!</v>
      </c>
      <c r="G851" s="97"/>
      <c r="H851" s="102">
        <f>+B855</f>
        <v>46183</v>
      </c>
    </row>
    <row r="852" spans="2:8" ht="18" x14ac:dyDescent="0.25">
      <c r="B852" s="88"/>
      <c r="C852" s="87"/>
      <c r="D852" s="87"/>
      <c r="E852" s="87" t="s">
        <v>193</v>
      </c>
      <c r="F852" s="109" t="e">
        <f t="shared" si="6"/>
        <v>#REF!</v>
      </c>
      <c r="H852" s="87"/>
    </row>
    <row r="853" spans="2:8" ht="18" x14ac:dyDescent="0.25">
      <c r="B853" s="87"/>
      <c r="C853" s="87"/>
      <c r="D853" s="87"/>
      <c r="E853" s="87" t="s">
        <v>202</v>
      </c>
      <c r="F853" s="109" t="e">
        <f t="shared" si="6"/>
        <v>#REF!</v>
      </c>
      <c r="G853" s="87"/>
      <c r="H853" s="87"/>
    </row>
    <row r="854" spans="2:8" ht="18" x14ac:dyDescent="0.25">
      <c r="B854" s="98"/>
      <c r="C854" s="98"/>
      <c r="D854" s="98"/>
      <c r="E854" s="87" t="s">
        <v>321</v>
      </c>
      <c r="F854" s="109" t="e">
        <f t="shared" si="6"/>
        <v>#REF!</v>
      </c>
      <c r="G854" s="87"/>
      <c r="H854" s="87"/>
    </row>
    <row r="855" spans="2:8" ht="18" x14ac:dyDescent="0.25">
      <c r="B855" s="102">
        <f>+$G$34</f>
        <v>46183</v>
      </c>
      <c r="C855" s="108" t="e">
        <f>+F839</f>
        <v>#REF!</v>
      </c>
      <c r="D855" s="87"/>
      <c r="E855" s="87" t="s">
        <v>86</v>
      </c>
      <c r="F855" s="167" t="e">
        <f t="shared" si="6"/>
        <v>#REF!</v>
      </c>
      <c r="G855" s="87"/>
      <c r="H855" s="87"/>
    </row>
    <row r="856" spans="2:8" ht="18" x14ac:dyDescent="0.25">
      <c r="B856" s="87"/>
      <c r="C856" s="87"/>
      <c r="D856" s="87"/>
      <c r="E856" s="87" t="s">
        <v>88</v>
      </c>
      <c r="F856" s="109" t="e">
        <f t="shared" si="6"/>
        <v>#REF!</v>
      </c>
      <c r="G856" s="87"/>
      <c r="H856" s="87"/>
    </row>
    <row r="857" spans="2:8" ht="18" x14ac:dyDescent="0.25">
      <c r="B857" s="87"/>
      <c r="C857" s="87"/>
      <c r="D857" s="87"/>
      <c r="E857" s="87"/>
      <c r="F857" s="87"/>
      <c r="G857" s="87"/>
      <c r="H857" s="87"/>
    </row>
    <row r="858" spans="2:8" ht="18" x14ac:dyDescent="0.25">
      <c r="B858" s="87"/>
      <c r="C858" s="87"/>
      <c r="D858" s="87"/>
      <c r="E858" s="105"/>
      <c r="F858" s="87"/>
      <c r="G858" s="87"/>
      <c r="H858" s="87"/>
    </row>
    <row r="859" spans="2:8" ht="18" x14ac:dyDescent="0.25">
      <c r="B859" s="87"/>
      <c r="C859" s="87"/>
      <c r="D859" s="87"/>
      <c r="E859" s="87"/>
      <c r="F859" s="87"/>
      <c r="G859" s="87"/>
      <c r="H859" s="96"/>
    </row>
    <row r="860" spans="2:8" ht="9" customHeight="1" x14ac:dyDescent="0.25">
      <c r="E860" s="87"/>
      <c r="G860" s="96"/>
      <c r="H860" s="87"/>
    </row>
    <row r="862" spans="2:8" ht="18" x14ac:dyDescent="0.25">
      <c r="B862" s="335"/>
      <c r="C862" s="335"/>
      <c r="D862" s="335"/>
      <c r="E862" s="340">
        <f>+$B$1</f>
        <v>46143</v>
      </c>
      <c r="F862" s="87"/>
      <c r="G862" s="341">
        <f>+$D$1</f>
        <v>46183</v>
      </c>
      <c r="H862" s="87"/>
    </row>
    <row r="863" spans="2:8" ht="18" x14ac:dyDescent="0.25">
      <c r="B863" s="86"/>
      <c r="C863" s="86"/>
      <c r="D863" s="103"/>
      <c r="E863" s="340"/>
      <c r="F863" s="87"/>
      <c r="G863" s="341"/>
      <c r="H863" s="87"/>
    </row>
    <row r="864" spans="2:8" ht="18" x14ac:dyDescent="0.25">
      <c r="B864" s="87"/>
      <c r="C864" s="87"/>
      <c r="D864" s="87"/>
      <c r="E864" s="88"/>
      <c r="F864" s="87"/>
      <c r="G864" s="88"/>
      <c r="H864" s="87"/>
    </row>
    <row r="865" spans="2:8" ht="28.5" customHeight="1" x14ac:dyDescent="0.25">
      <c r="C865" s="87"/>
      <c r="D865" s="87"/>
      <c r="E865" s="88"/>
      <c r="F865" s="87"/>
      <c r="G865" s="88"/>
      <c r="H865" s="87"/>
    </row>
    <row r="866" spans="2:8" ht="15.75" customHeight="1" x14ac:dyDescent="0.25">
      <c r="B866" s="87">
        <f>+B24</f>
        <v>0</v>
      </c>
      <c r="C866" s="87"/>
      <c r="D866" s="87"/>
      <c r="E866" s="87" t="str">
        <f>+E39</f>
        <v>URUGUAY 1025/27/29 CAP. FED.</v>
      </c>
      <c r="F866" s="87"/>
      <c r="G866" s="87"/>
      <c r="H866" s="95" t="s">
        <v>111</v>
      </c>
    </row>
    <row r="867" spans="2:8" ht="14.25" customHeight="1" x14ac:dyDescent="0.25">
      <c r="B867" s="87"/>
      <c r="C867" s="87"/>
      <c r="D867" s="87"/>
      <c r="E867" s="88"/>
      <c r="F867" s="88"/>
      <c r="G867" s="87"/>
      <c r="H867" s="87" t="e">
        <f>+'RES CUENTA'!#REF!</f>
        <v>#REF!</v>
      </c>
    </row>
    <row r="868" spans="2:8" ht="9.75" customHeight="1" x14ac:dyDescent="0.25">
      <c r="B868" s="96"/>
      <c r="C868" s="87"/>
      <c r="D868" s="96"/>
      <c r="E868" s="87"/>
      <c r="F868" s="87"/>
      <c r="G868" s="87"/>
      <c r="H868" s="87"/>
    </row>
    <row r="869" spans="2:8" ht="16.5" customHeight="1" x14ac:dyDescent="0.25">
      <c r="B869" s="96"/>
      <c r="C869" s="87"/>
      <c r="D869" s="96"/>
      <c r="E869" s="87"/>
      <c r="F869" s="87"/>
      <c r="G869" s="87"/>
      <c r="H869" s="87"/>
    </row>
    <row r="870" spans="2:8" ht="18.75" customHeight="1" x14ac:dyDescent="0.25">
      <c r="B870" s="87" t="s">
        <v>82</v>
      </c>
      <c r="C870" s="87"/>
      <c r="D870" s="110">
        <f>+'RES CUENTA'!$H$26</f>
        <v>6751880</v>
      </c>
      <c r="E870" s="111" t="e">
        <f>+'RES CUENTA'!#REF!</f>
        <v>#REF!</v>
      </c>
      <c r="F870" s="106" t="e">
        <f>+D870*E870/100</f>
        <v>#REF!</v>
      </c>
      <c r="G870" s="339"/>
      <c r="H870" s="339"/>
    </row>
    <row r="871" spans="2:8" ht="18" x14ac:dyDescent="0.25">
      <c r="B871" s="87" t="s">
        <v>194</v>
      </c>
      <c r="C871" s="87"/>
      <c r="D871" s="110">
        <f>+'RES CUENTA'!J26</f>
        <v>1482120</v>
      </c>
      <c r="E871" s="111" t="e">
        <f>+'RES CUENTA'!#REF!</f>
        <v>#REF!</v>
      </c>
      <c r="F871" s="106" t="e">
        <f>+D871*E871/100</f>
        <v>#REF!</v>
      </c>
      <c r="G871" s="336"/>
      <c r="H871" s="336"/>
    </row>
    <row r="872" spans="2:8" ht="18" x14ac:dyDescent="0.25">
      <c r="B872" s="87" t="str">
        <f>+B836</f>
        <v>s/Asamblea</v>
      </c>
      <c r="C872" s="87"/>
      <c r="D872" s="110" t="e">
        <f>+'RES CUENTA'!#REF!</f>
        <v>#REF!</v>
      </c>
      <c r="E872" s="111">
        <v>0</v>
      </c>
      <c r="F872" s="106" t="e">
        <f>+D872</f>
        <v>#REF!</v>
      </c>
      <c r="G872" s="91"/>
      <c r="H872" s="91"/>
    </row>
    <row r="873" spans="2:8" ht="18" x14ac:dyDescent="0.25">
      <c r="B873" s="87" t="s">
        <v>321</v>
      </c>
      <c r="C873" s="87"/>
      <c r="D873" s="110" t="e">
        <f>+'RES CUENTA'!#REF!</f>
        <v>#REF!</v>
      </c>
      <c r="E873" s="111">
        <v>0</v>
      </c>
      <c r="F873" s="106" t="e">
        <f>+D873</f>
        <v>#REF!</v>
      </c>
      <c r="G873" s="336"/>
      <c r="H873" s="336"/>
    </row>
    <row r="874" spans="2:8" ht="18" x14ac:dyDescent="0.25">
      <c r="B874" s="87" t="s">
        <v>201</v>
      </c>
      <c r="C874" s="87"/>
      <c r="D874" s="110" t="e">
        <f>+'RES CUENTA'!#REF!+'RES CUENTA'!#REF!</f>
        <v>#REF!</v>
      </c>
      <c r="E874" s="111">
        <v>0</v>
      </c>
      <c r="F874" s="166" t="e">
        <f>+D874</f>
        <v>#REF!</v>
      </c>
      <c r="G874" s="336"/>
      <c r="H874" s="336"/>
    </row>
    <row r="875" spans="2:8" ht="18" x14ac:dyDescent="0.25">
      <c r="B875" s="88" t="s">
        <v>206</v>
      </c>
      <c r="C875" s="87"/>
      <c r="D875" s="87"/>
      <c r="E875" s="94"/>
      <c r="F875" s="107" t="e">
        <f>SUM(F870:F874)</f>
        <v>#REF!</v>
      </c>
      <c r="G875" s="336"/>
      <c r="H875" s="336"/>
    </row>
    <row r="876" spans="2:8" ht="18" x14ac:dyDescent="0.25">
      <c r="B876" s="88"/>
      <c r="C876" s="87"/>
      <c r="D876" s="87"/>
      <c r="E876" s="87"/>
      <c r="G876" s="337"/>
      <c r="H876" s="337"/>
    </row>
    <row r="877" spans="2:8" ht="18" x14ac:dyDescent="0.25">
      <c r="B877" s="87"/>
      <c r="C877" s="87"/>
      <c r="D877" s="87"/>
      <c r="E877" s="87"/>
      <c r="F877" s="93"/>
      <c r="G877" s="92"/>
      <c r="H877" s="92"/>
    </row>
    <row r="878" spans="2:8" ht="18" x14ac:dyDescent="0.25">
      <c r="B878" s="87"/>
      <c r="C878" s="87"/>
      <c r="D878" s="87"/>
      <c r="E878" s="87"/>
      <c r="F878" s="94"/>
      <c r="G878" s="87"/>
      <c r="H878" s="87"/>
    </row>
    <row r="879" spans="2:8" ht="10.5" customHeight="1" x14ac:dyDescent="0.25">
      <c r="B879" s="87"/>
      <c r="C879" s="87"/>
      <c r="D879" s="87"/>
      <c r="E879" s="87"/>
      <c r="F879" s="94"/>
      <c r="G879" s="87"/>
      <c r="H879" s="87"/>
    </row>
    <row r="880" spans="2:8" ht="18" x14ac:dyDescent="0.25">
      <c r="B880" s="87">
        <f>+B866</f>
        <v>0</v>
      </c>
      <c r="C880" s="338"/>
      <c r="D880" s="338"/>
      <c r="E880" s="87">
        <f>+B880</f>
        <v>0</v>
      </c>
      <c r="F880" s="94"/>
      <c r="G880" s="87"/>
      <c r="H880" s="87"/>
    </row>
    <row r="881" spans="2:8" ht="18" x14ac:dyDescent="0.25">
      <c r="C881" s="87"/>
      <c r="D881" s="87"/>
      <c r="F881" s="338"/>
      <c r="G881" s="338"/>
      <c r="H881" s="338"/>
    </row>
    <row r="882" spans="2:8" ht="18" x14ac:dyDescent="0.25">
      <c r="B882" s="87" t="str">
        <f>+E1</f>
        <v>URUGUAY 1025/27/29 CAP. FED.</v>
      </c>
      <c r="C882" s="87"/>
      <c r="D882" s="95" t="str">
        <f>+H866</f>
        <v>Unid. 23</v>
      </c>
      <c r="E882" s="87" t="str">
        <f>+E1</f>
        <v>URUGUAY 1025/27/29 CAP. FED.</v>
      </c>
      <c r="F882" s="87"/>
      <c r="G882" s="87"/>
      <c r="H882" s="95" t="str">
        <f>+D882</f>
        <v>Unid. 23</v>
      </c>
    </row>
    <row r="883" spans="2:8" ht="18" x14ac:dyDescent="0.25">
      <c r="D883" s="95" t="e">
        <f>+H883</f>
        <v>#REF!</v>
      </c>
      <c r="H883" s="95" t="e">
        <f>+H867</f>
        <v>#REF!</v>
      </c>
    </row>
    <row r="884" spans="2:8" ht="18" x14ac:dyDescent="0.25">
      <c r="B884" s="88"/>
      <c r="C884" s="88"/>
      <c r="D884" s="88"/>
      <c r="E884" s="88"/>
      <c r="F884" s="87"/>
      <c r="G884" s="87"/>
    </row>
    <row r="885" spans="2:8" ht="18" x14ac:dyDescent="0.25">
      <c r="B885" s="87" t="str">
        <f>+F1</f>
        <v xml:space="preserve">P/depósito/transferencia en ICBC </v>
      </c>
      <c r="C885" s="87"/>
      <c r="D885" s="87"/>
      <c r="E885" s="87"/>
      <c r="F885" s="87"/>
      <c r="G885" s="88"/>
      <c r="H885" s="104"/>
    </row>
    <row r="886" spans="2:8" ht="18" x14ac:dyDescent="0.25">
      <c r="B886" s="87" t="str">
        <f>+F2</f>
        <v>Cta. Cte. $ N°538/02104658/84</v>
      </c>
      <c r="C886" s="87"/>
      <c r="D886" s="87"/>
      <c r="E886" s="98"/>
      <c r="F886" s="87"/>
      <c r="G886" s="96"/>
      <c r="H886" s="87"/>
    </row>
    <row r="887" spans="2:8" ht="18" x14ac:dyDescent="0.25">
      <c r="C887" s="87"/>
      <c r="D887" s="87"/>
      <c r="E887" s="87" t="s">
        <v>85</v>
      </c>
      <c r="F887" s="109" t="e">
        <f t="shared" ref="F887:F892" si="7">+F870</f>
        <v>#REF!</v>
      </c>
      <c r="H887" s="102">
        <f>+B892</f>
        <v>46183</v>
      </c>
    </row>
    <row r="888" spans="2:8" ht="18" x14ac:dyDescent="0.25">
      <c r="B888" s="88"/>
      <c r="C888" s="87"/>
      <c r="D888" s="87"/>
      <c r="E888" s="87" t="s">
        <v>193</v>
      </c>
      <c r="F888" s="109" t="e">
        <f t="shared" si="7"/>
        <v>#REF!</v>
      </c>
    </row>
    <row r="889" spans="2:8" ht="18" x14ac:dyDescent="0.25">
      <c r="B889" s="88"/>
      <c r="C889" s="87"/>
      <c r="D889" s="87"/>
      <c r="E889" s="87" t="s">
        <v>202</v>
      </c>
      <c r="F889" s="109" t="e">
        <f t="shared" si="7"/>
        <v>#REF!</v>
      </c>
      <c r="G889" s="87"/>
      <c r="H889" s="87"/>
    </row>
    <row r="890" spans="2:8" ht="18" x14ac:dyDescent="0.25">
      <c r="B890" s="87"/>
      <c r="C890" s="87"/>
      <c r="D890" s="87"/>
      <c r="E890" s="87" t="s">
        <v>321</v>
      </c>
      <c r="F890" s="109" t="e">
        <f t="shared" si="7"/>
        <v>#REF!</v>
      </c>
      <c r="G890" s="87"/>
      <c r="H890" s="87"/>
    </row>
    <row r="891" spans="2:8" ht="18" x14ac:dyDescent="0.25">
      <c r="B891" s="98"/>
      <c r="C891" s="98"/>
      <c r="D891" s="98"/>
      <c r="E891" s="87" t="s">
        <v>86</v>
      </c>
      <c r="F891" s="167" t="e">
        <f t="shared" si="7"/>
        <v>#REF!</v>
      </c>
      <c r="G891" s="87"/>
      <c r="H891" s="87"/>
    </row>
    <row r="892" spans="2:8" ht="18" x14ac:dyDescent="0.25">
      <c r="B892" s="102">
        <f>+$G$34</f>
        <v>46183</v>
      </c>
      <c r="C892" s="108" t="e">
        <f>+F875</f>
        <v>#REF!</v>
      </c>
      <c r="D892" s="87"/>
      <c r="E892" s="87" t="s">
        <v>88</v>
      </c>
      <c r="F892" s="109" t="e">
        <f t="shared" si="7"/>
        <v>#REF!</v>
      </c>
      <c r="G892" s="87"/>
      <c r="H892" s="87"/>
    </row>
    <row r="893" spans="2:8" ht="18" x14ac:dyDescent="0.25">
      <c r="B893" s="87"/>
      <c r="C893" s="87"/>
      <c r="D893" s="87"/>
      <c r="E893" s="105"/>
      <c r="F893" s="87"/>
      <c r="G893" s="87"/>
      <c r="H893" s="87"/>
    </row>
    <row r="894" spans="2:8" ht="18" x14ac:dyDescent="0.25">
      <c r="B894" s="87"/>
      <c r="C894" s="87"/>
      <c r="D894" s="87"/>
      <c r="F894" s="87"/>
      <c r="G894" s="87"/>
      <c r="H894" s="87"/>
    </row>
    <row r="895" spans="2:8" ht="18" x14ac:dyDescent="0.25">
      <c r="B895" s="87"/>
      <c r="C895" s="87"/>
      <c r="D895" s="87"/>
      <c r="E895" s="87"/>
      <c r="F895" s="87"/>
      <c r="G895" s="87"/>
      <c r="H895" s="87"/>
    </row>
    <row r="896" spans="2:8" ht="18" x14ac:dyDescent="0.25">
      <c r="B896" s="87"/>
      <c r="C896" s="87"/>
      <c r="D896" s="87"/>
      <c r="E896" s="87"/>
      <c r="F896" s="87"/>
      <c r="G896" s="339"/>
      <c r="H896" s="339"/>
    </row>
    <row r="897" spans="2:8" ht="18" x14ac:dyDescent="0.25">
      <c r="B897" s="87"/>
      <c r="C897" s="87"/>
      <c r="D897" s="87"/>
      <c r="E897" s="87"/>
      <c r="F897" s="87"/>
      <c r="G897" s="87"/>
      <c r="H897" s="87"/>
    </row>
    <row r="898" spans="2:8" ht="18" x14ac:dyDescent="0.25">
      <c r="B898" s="87"/>
      <c r="C898" s="87"/>
      <c r="D898" s="87"/>
      <c r="E898" s="87"/>
      <c r="F898" s="87"/>
      <c r="G898" s="87"/>
      <c r="H898" s="87"/>
    </row>
    <row r="899" spans="2:8" ht="18" x14ac:dyDescent="0.25">
      <c r="B899" s="87"/>
      <c r="C899" s="87"/>
      <c r="D899" s="87"/>
      <c r="E899" s="87"/>
      <c r="F899" s="87"/>
      <c r="G899" s="87"/>
      <c r="H899" s="87"/>
    </row>
    <row r="900" spans="2:8" ht="18" x14ac:dyDescent="0.25">
      <c r="B900" s="87"/>
      <c r="C900" s="87"/>
      <c r="D900" s="87"/>
      <c r="E900" s="87"/>
      <c r="F900" s="87"/>
      <c r="G900" s="87"/>
      <c r="H900" s="87"/>
    </row>
    <row r="901" spans="2:8" ht="18" x14ac:dyDescent="0.25">
      <c r="B901" s="335"/>
      <c r="C901" s="335"/>
      <c r="D901" s="335"/>
      <c r="E901" s="101">
        <f>+$B$1</f>
        <v>46143</v>
      </c>
      <c r="F901" s="87"/>
      <c r="G901" s="102">
        <f>+$D$1</f>
        <v>46183</v>
      </c>
      <c r="H901" s="100"/>
    </row>
    <row r="902" spans="2:8" ht="18" x14ac:dyDescent="0.25">
      <c r="B902" s="86"/>
      <c r="C902" s="86"/>
      <c r="D902" s="103"/>
      <c r="E902" s="101"/>
      <c r="F902" s="87"/>
    </row>
    <row r="903" spans="2:8" ht="31.5" customHeight="1" x14ac:dyDescent="0.25">
      <c r="C903" s="87"/>
      <c r="D903" s="87"/>
      <c r="F903" s="87"/>
    </row>
    <row r="904" spans="2:8" ht="18" customHeight="1" x14ac:dyDescent="0.25">
      <c r="B904" s="87">
        <f>+B25</f>
        <v>0</v>
      </c>
      <c r="C904" s="87"/>
      <c r="D904" s="87"/>
      <c r="E904" s="87" t="str">
        <f>+E1</f>
        <v>URUGUAY 1025/27/29 CAP. FED.</v>
      </c>
      <c r="F904" s="87"/>
      <c r="H904" s="95" t="s">
        <v>112</v>
      </c>
    </row>
    <row r="905" spans="2:8" ht="18" x14ac:dyDescent="0.25">
      <c r="B905" s="88"/>
      <c r="C905" s="87"/>
      <c r="D905" s="87"/>
      <c r="F905" s="87"/>
      <c r="G905" s="88"/>
      <c r="H905" s="95" t="e">
        <f>+'RES CUENTA'!#REF!</f>
        <v>#REF!</v>
      </c>
    </row>
    <row r="906" spans="2:8" ht="11.25" customHeight="1" x14ac:dyDescent="0.25">
      <c r="B906" s="87"/>
      <c r="C906" s="87"/>
      <c r="D906" s="87"/>
      <c r="E906" s="88"/>
      <c r="F906" s="88"/>
      <c r="G906" s="87"/>
      <c r="H906" s="88"/>
    </row>
    <row r="907" spans="2:8" ht="12.75" customHeight="1" x14ac:dyDescent="0.25">
      <c r="B907" s="96"/>
      <c r="C907" s="87"/>
      <c r="D907" s="96"/>
      <c r="E907" s="87"/>
      <c r="F907" s="87"/>
      <c r="G907" s="87"/>
      <c r="H907" s="87"/>
    </row>
    <row r="908" spans="2:8" ht="18" x14ac:dyDescent="0.25">
      <c r="B908" s="87" t="s">
        <v>82</v>
      </c>
      <c r="C908" s="87"/>
      <c r="D908" s="110">
        <f>+'RES CUENTA'!$H$26</f>
        <v>6751880</v>
      </c>
      <c r="E908" s="111" t="e">
        <f>+'RES CUENTA'!#REF!</f>
        <v>#REF!</v>
      </c>
      <c r="F908" s="106" t="e">
        <f>+D908*E908/100</f>
        <v>#REF!</v>
      </c>
      <c r="G908" s="87"/>
      <c r="H908" s="96"/>
    </row>
    <row r="909" spans="2:8" ht="18" x14ac:dyDescent="0.25">
      <c r="B909" s="87" t="s">
        <v>194</v>
      </c>
      <c r="C909" s="87"/>
      <c r="D909" s="110">
        <f>+'RES CUENTA'!J26</f>
        <v>1482120</v>
      </c>
      <c r="E909" s="111" t="e">
        <f>+'RES CUENTA'!#REF!</f>
        <v>#REF!</v>
      </c>
      <c r="F909" s="106" t="e">
        <f>+D909*E909/100</f>
        <v>#REF!</v>
      </c>
      <c r="G909" s="96"/>
      <c r="H909" s="91"/>
    </row>
    <row r="910" spans="2:8" ht="18" x14ac:dyDescent="0.25">
      <c r="B910" s="87" t="str">
        <f>+B872</f>
        <v>s/Asamblea</v>
      </c>
      <c r="C910" s="87"/>
      <c r="D910" s="110" t="e">
        <f>+'RES CUENTA'!#REF!</f>
        <v>#REF!</v>
      </c>
      <c r="E910" s="111">
        <v>0</v>
      </c>
      <c r="F910" s="106" t="e">
        <f>+D910</f>
        <v>#REF!</v>
      </c>
      <c r="G910" s="96"/>
      <c r="H910" s="91"/>
    </row>
    <row r="911" spans="2:8" ht="18" x14ac:dyDescent="0.25">
      <c r="B911" s="87" t="s">
        <v>321</v>
      </c>
      <c r="C911" s="87"/>
      <c r="D911" s="110" t="e">
        <f>+'RES CUENTA'!#REF!</f>
        <v>#REF!</v>
      </c>
      <c r="E911" s="111">
        <v>0</v>
      </c>
      <c r="F911" s="106" t="e">
        <f>+D911</f>
        <v>#REF!</v>
      </c>
      <c r="G911" s="91"/>
      <c r="H911" s="91"/>
    </row>
    <row r="912" spans="2:8" ht="18" x14ac:dyDescent="0.25">
      <c r="B912" s="87" t="s">
        <v>201</v>
      </c>
      <c r="C912" s="87"/>
      <c r="D912" s="110" t="e">
        <f>+'RES CUENTA'!#REF!+'RES CUENTA'!#REF!</f>
        <v>#REF!</v>
      </c>
      <c r="E912" s="111">
        <v>0</v>
      </c>
      <c r="F912" s="166" t="e">
        <f>+D912</f>
        <v>#REF!</v>
      </c>
      <c r="G912" s="91"/>
      <c r="H912" s="91"/>
    </row>
    <row r="913" spans="2:8" ht="18" x14ac:dyDescent="0.25">
      <c r="B913" s="88" t="s">
        <v>206</v>
      </c>
      <c r="C913" s="87"/>
      <c r="D913" s="87"/>
      <c r="F913" s="107" t="e">
        <f>SUM(F908:F912)</f>
        <v>#REF!</v>
      </c>
      <c r="G913" s="91"/>
      <c r="H913" s="91"/>
    </row>
    <row r="914" spans="2:8" ht="18" x14ac:dyDescent="0.25">
      <c r="B914" s="88"/>
      <c r="C914" s="87"/>
      <c r="D914" s="87"/>
      <c r="F914" s="93"/>
      <c r="G914" s="91"/>
      <c r="H914" s="92"/>
    </row>
    <row r="915" spans="2:8" ht="18" x14ac:dyDescent="0.25">
      <c r="B915" s="87"/>
      <c r="C915" s="87"/>
      <c r="D915" s="87"/>
      <c r="E915" s="87"/>
      <c r="F915" s="94"/>
      <c r="G915" s="92"/>
      <c r="H915" s="92"/>
    </row>
    <row r="916" spans="2:8" ht="24.75" customHeight="1" x14ac:dyDescent="0.25">
      <c r="B916" s="87"/>
      <c r="C916" s="87"/>
      <c r="D916" s="87"/>
      <c r="E916" s="87"/>
      <c r="F916" s="94"/>
      <c r="G916" s="92"/>
      <c r="H916" s="92"/>
    </row>
    <row r="917" spans="2:8" ht="9" customHeight="1" x14ac:dyDescent="0.25">
      <c r="B917" s="87"/>
      <c r="C917" s="87"/>
      <c r="D917" s="87"/>
      <c r="E917" s="87"/>
      <c r="F917" s="94"/>
      <c r="G917" s="92"/>
      <c r="H917" s="87"/>
    </row>
    <row r="918" spans="2:8" ht="18" x14ac:dyDescent="0.25">
      <c r="B918" s="87">
        <f>+B904</f>
        <v>0</v>
      </c>
      <c r="C918" s="87"/>
      <c r="D918" s="87"/>
      <c r="E918" s="87">
        <f>+B904</f>
        <v>0</v>
      </c>
      <c r="F918" s="87"/>
      <c r="G918" s="87"/>
      <c r="H918" s="104"/>
    </row>
    <row r="919" spans="2:8" ht="18" x14ac:dyDescent="0.25">
      <c r="B919" s="88"/>
      <c r="C919" s="87"/>
      <c r="D919" s="87"/>
      <c r="F919" s="87"/>
      <c r="G919" s="104"/>
      <c r="H919" s="95" t="str">
        <f>+H904</f>
        <v>Unid. 24</v>
      </c>
    </row>
    <row r="920" spans="2:8" ht="18" x14ac:dyDescent="0.25">
      <c r="B920" s="87" t="str">
        <f>+E1</f>
        <v>URUGUAY 1025/27/29 CAP. FED.</v>
      </c>
      <c r="C920" s="87"/>
      <c r="D920" s="95" t="str">
        <f>+H919</f>
        <v>Unid. 24</v>
      </c>
      <c r="E920" s="87" t="str">
        <f>+E1</f>
        <v>URUGUAY 1025/27/29 CAP. FED.</v>
      </c>
      <c r="F920" s="87"/>
      <c r="G920" s="87"/>
      <c r="H920" s="87" t="e">
        <f>+H905</f>
        <v>#REF!</v>
      </c>
    </row>
    <row r="921" spans="2:8" ht="18" x14ac:dyDescent="0.25">
      <c r="B921" s="88"/>
      <c r="C921" s="88"/>
      <c r="D921" s="87" t="e">
        <f>+H920</f>
        <v>#REF!</v>
      </c>
      <c r="F921" s="87"/>
      <c r="G921" s="87"/>
    </row>
    <row r="922" spans="2:8" ht="12.75" customHeight="1" x14ac:dyDescent="0.25">
      <c r="B922" s="87"/>
      <c r="C922" s="87"/>
      <c r="D922" s="87"/>
      <c r="E922" s="88"/>
      <c r="F922" s="87"/>
      <c r="G922" s="87"/>
      <c r="H922" s="104"/>
    </row>
    <row r="923" spans="2:8" ht="18" x14ac:dyDescent="0.25">
      <c r="B923" s="87" t="str">
        <f>+F1</f>
        <v xml:space="preserve">P/depósito/transferencia en ICBC </v>
      </c>
      <c r="C923" s="87"/>
      <c r="D923" s="87"/>
      <c r="E923" s="87"/>
      <c r="F923" s="98"/>
      <c r="G923" s="88"/>
      <c r="H923" s="87"/>
    </row>
    <row r="924" spans="2:8" ht="18" x14ac:dyDescent="0.25">
      <c r="B924" s="87" t="str">
        <f>+F2</f>
        <v>Cta. Cte. $ N°538/02104658/84</v>
      </c>
      <c r="C924" s="87"/>
      <c r="D924" s="87"/>
      <c r="E924" s="98"/>
      <c r="G924" s="96"/>
      <c r="H924" s="97"/>
    </row>
    <row r="925" spans="2:8" ht="18" x14ac:dyDescent="0.25">
      <c r="B925" s="88"/>
      <c r="C925" s="87"/>
      <c r="D925" s="87"/>
      <c r="E925" s="87" t="s">
        <v>85</v>
      </c>
      <c r="F925" s="109" t="e">
        <f t="shared" ref="F925:F930" si="8">+F908</f>
        <v>#REF!</v>
      </c>
      <c r="G925" s="97"/>
      <c r="H925" s="102">
        <f>+B929</f>
        <v>46183</v>
      </c>
    </row>
    <row r="926" spans="2:8" ht="18" x14ac:dyDescent="0.25">
      <c r="B926" s="88"/>
      <c r="C926" s="87"/>
      <c r="D926" s="87"/>
      <c r="E926" s="87" t="s">
        <v>193</v>
      </c>
      <c r="F926" s="109" t="e">
        <f t="shared" si="8"/>
        <v>#REF!</v>
      </c>
      <c r="H926" s="87"/>
    </row>
    <row r="927" spans="2:8" ht="18" x14ac:dyDescent="0.25">
      <c r="B927" s="87"/>
      <c r="C927" s="87"/>
      <c r="D927" s="87"/>
      <c r="E927" s="87" t="s">
        <v>202</v>
      </c>
      <c r="F927" s="109" t="e">
        <f t="shared" si="8"/>
        <v>#REF!</v>
      </c>
      <c r="G927" s="87"/>
      <c r="H927" s="87"/>
    </row>
    <row r="928" spans="2:8" ht="18" x14ac:dyDescent="0.25">
      <c r="B928" s="98"/>
      <c r="C928" s="98"/>
      <c r="D928" s="98"/>
      <c r="E928" s="87" t="s">
        <v>321</v>
      </c>
      <c r="F928" s="109" t="e">
        <f t="shared" si="8"/>
        <v>#REF!</v>
      </c>
      <c r="G928" s="87"/>
      <c r="H928" s="87"/>
    </row>
    <row r="929" spans="2:8" ht="18" x14ac:dyDescent="0.25">
      <c r="B929" s="102">
        <f>+$G$34</f>
        <v>46183</v>
      </c>
      <c r="C929" s="134" t="e">
        <f>+F913</f>
        <v>#REF!</v>
      </c>
      <c r="D929" s="87"/>
      <c r="E929" s="87" t="s">
        <v>86</v>
      </c>
      <c r="F929" s="167" t="e">
        <f t="shared" si="8"/>
        <v>#REF!</v>
      </c>
      <c r="G929" s="87"/>
      <c r="H929" s="87"/>
    </row>
    <row r="930" spans="2:8" ht="18" x14ac:dyDescent="0.25">
      <c r="B930" s="87"/>
      <c r="C930" s="87"/>
      <c r="D930" s="87"/>
      <c r="E930" s="87" t="s">
        <v>88</v>
      </c>
      <c r="F930" s="109" t="e">
        <f t="shared" si="8"/>
        <v>#REF!</v>
      </c>
      <c r="G930" s="87"/>
      <c r="H930" s="87"/>
    </row>
    <row r="931" spans="2:8" ht="18" x14ac:dyDescent="0.25">
      <c r="B931" s="87"/>
      <c r="C931" s="87"/>
      <c r="D931" s="87"/>
      <c r="E931" s="87"/>
      <c r="F931" s="87"/>
      <c r="G931" s="87"/>
      <c r="H931" s="87"/>
    </row>
    <row r="932" spans="2:8" ht="18" x14ac:dyDescent="0.25">
      <c r="B932" s="87"/>
      <c r="C932" s="87"/>
      <c r="D932" s="87"/>
      <c r="E932" s="105"/>
      <c r="F932" s="87"/>
      <c r="G932" s="87"/>
      <c r="H932" s="87"/>
    </row>
    <row r="933" spans="2:8" ht="18" x14ac:dyDescent="0.25">
      <c r="B933" s="87"/>
      <c r="C933" s="87"/>
      <c r="D933" s="87"/>
      <c r="E933" s="87"/>
      <c r="F933" s="87"/>
      <c r="G933" s="87"/>
      <c r="H933" s="96"/>
    </row>
    <row r="934" spans="2:8" ht="9.75" customHeight="1" x14ac:dyDescent="0.25">
      <c r="E934" s="87"/>
      <c r="G934" s="96"/>
      <c r="H934" s="87"/>
    </row>
    <row r="935" spans="2:8" ht="9" customHeight="1" x14ac:dyDescent="0.2"/>
    <row r="936" spans="2:8" ht="18" x14ac:dyDescent="0.25">
      <c r="B936" s="335"/>
      <c r="C936" s="335"/>
      <c r="D936" s="335"/>
      <c r="E936" s="340">
        <f>+$B$1</f>
        <v>46143</v>
      </c>
      <c r="F936" s="87"/>
      <c r="G936" s="341">
        <f>+$D$1</f>
        <v>46183</v>
      </c>
      <c r="H936" s="87"/>
    </row>
    <row r="937" spans="2:8" ht="18" x14ac:dyDescent="0.25">
      <c r="B937" s="86"/>
      <c r="C937" s="86"/>
      <c r="D937" s="103"/>
      <c r="E937" s="340"/>
      <c r="F937" s="87"/>
      <c r="G937" s="341"/>
      <c r="H937" s="87"/>
    </row>
    <row r="938" spans="2:8" ht="18" x14ac:dyDescent="0.25">
      <c r="B938" s="87"/>
      <c r="C938" s="87"/>
      <c r="D938" s="87"/>
      <c r="E938" s="88"/>
      <c r="F938" s="87"/>
      <c r="G938" s="88"/>
      <c r="H938" s="87"/>
    </row>
    <row r="939" spans="2:8" ht="27.75" customHeight="1" x14ac:dyDescent="0.25">
      <c r="C939" s="87"/>
      <c r="D939" s="87"/>
      <c r="E939" s="88"/>
      <c r="F939" s="87"/>
      <c r="G939" s="88"/>
      <c r="H939" s="87"/>
    </row>
    <row r="940" spans="2:8" ht="18" x14ac:dyDescent="0.25">
      <c r="B940" s="87">
        <f>+B26</f>
        <v>0</v>
      </c>
      <c r="C940" s="87"/>
      <c r="D940" s="87"/>
      <c r="E940" s="87" t="str">
        <f>+E39</f>
        <v>URUGUAY 1025/27/29 CAP. FED.</v>
      </c>
      <c r="F940" s="87"/>
      <c r="G940" s="87"/>
      <c r="H940" s="95" t="s">
        <v>113</v>
      </c>
    </row>
    <row r="941" spans="2:8" ht="18" x14ac:dyDescent="0.25">
      <c r="B941" s="87"/>
      <c r="C941" s="87"/>
      <c r="D941" s="87"/>
      <c r="E941" s="88"/>
      <c r="F941" s="88"/>
      <c r="G941" s="87"/>
      <c r="H941" s="87" t="e">
        <f>+'RES CUENTA'!#REF!</f>
        <v>#REF!</v>
      </c>
    </row>
    <row r="942" spans="2:8" ht="14.25" customHeight="1" x14ac:dyDescent="0.25">
      <c r="B942" s="96"/>
      <c r="C942" s="87"/>
      <c r="D942" s="96"/>
      <c r="E942" s="87"/>
      <c r="F942" s="87"/>
      <c r="G942" s="87"/>
      <c r="H942" s="87"/>
    </row>
    <row r="943" spans="2:8" ht="14.25" customHeight="1" x14ac:dyDescent="0.25">
      <c r="B943" s="96"/>
      <c r="C943" s="87"/>
      <c r="D943" s="96"/>
      <c r="E943" s="87"/>
      <c r="F943" s="87"/>
      <c r="G943" s="87"/>
      <c r="H943" s="87"/>
    </row>
    <row r="944" spans="2:8" ht="18" x14ac:dyDescent="0.25">
      <c r="B944" s="87" t="s">
        <v>82</v>
      </c>
      <c r="C944" s="87"/>
      <c r="D944" s="110">
        <f>+'RES CUENTA'!$H$26</f>
        <v>6751880</v>
      </c>
      <c r="E944" s="111" t="e">
        <f>+'RES CUENTA'!#REF!</f>
        <v>#REF!</v>
      </c>
      <c r="F944" s="106" t="e">
        <f>+D944*E944/100</f>
        <v>#REF!</v>
      </c>
      <c r="G944" s="339"/>
      <c r="H944" s="339"/>
    </row>
    <row r="945" spans="2:8" ht="18" x14ac:dyDescent="0.25">
      <c r="B945" s="87" t="s">
        <v>194</v>
      </c>
      <c r="C945" s="87"/>
      <c r="D945" s="110">
        <f>+'RES CUENTA'!J26</f>
        <v>1482120</v>
      </c>
      <c r="E945" s="111" t="e">
        <f>+'RES CUENTA'!#REF!</f>
        <v>#REF!</v>
      </c>
      <c r="F945" s="106" t="e">
        <f>+D945*E945/100</f>
        <v>#REF!</v>
      </c>
      <c r="G945" s="336"/>
      <c r="H945" s="336"/>
    </row>
    <row r="946" spans="2:8" ht="18" x14ac:dyDescent="0.25">
      <c r="B946" s="87" t="str">
        <f>+B910</f>
        <v>s/Asamblea</v>
      </c>
      <c r="C946" s="87"/>
      <c r="D946" s="110" t="e">
        <f>+'RES CUENTA'!#REF!</f>
        <v>#REF!</v>
      </c>
      <c r="E946" s="111">
        <v>0</v>
      </c>
      <c r="F946" s="106" t="e">
        <f>+D946</f>
        <v>#REF!</v>
      </c>
      <c r="G946" s="91"/>
      <c r="H946" s="91"/>
    </row>
    <row r="947" spans="2:8" ht="18" x14ac:dyDescent="0.25">
      <c r="B947" s="87" t="s">
        <v>321</v>
      </c>
      <c r="C947" s="87"/>
      <c r="D947" s="110" t="e">
        <f>+'RES CUENTA'!#REF!</f>
        <v>#REF!</v>
      </c>
      <c r="E947" s="111">
        <v>0</v>
      </c>
      <c r="F947" s="106" t="e">
        <f>+D947</f>
        <v>#REF!</v>
      </c>
      <c r="G947" s="336"/>
      <c r="H947" s="336"/>
    </row>
    <row r="948" spans="2:8" ht="18" x14ac:dyDescent="0.25">
      <c r="B948" s="87" t="s">
        <v>201</v>
      </c>
      <c r="C948" s="87"/>
      <c r="D948" s="110" t="e">
        <f>+'RES CUENTA'!#REF!+'RES CUENTA'!#REF!</f>
        <v>#REF!</v>
      </c>
      <c r="E948" s="111">
        <v>0</v>
      </c>
      <c r="F948" s="166" t="e">
        <f>+D948</f>
        <v>#REF!</v>
      </c>
      <c r="G948" s="336"/>
      <c r="H948" s="336"/>
    </row>
    <row r="949" spans="2:8" ht="18" x14ac:dyDescent="0.25">
      <c r="B949" s="88" t="s">
        <v>206</v>
      </c>
      <c r="C949" s="87"/>
      <c r="D949" s="87"/>
      <c r="E949" s="94"/>
      <c r="F949" s="107" t="e">
        <f>SUM(F944:F948)</f>
        <v>#REF!</v>
      </c>
      <c r="G949" s="336"/>
      <c r="H949" s="336"/>
    </row>
    <row r="950" spans="2:8" ht="18" x14ac:dyDescent="0.25">
      <c r="B950" s="88"/>
      <c r="C950" s="87"/>
      <c r="D950" s="87"/>
      <c r="E950" s="87"/>
      <c r="G950" s="337"/>
      <c r="H950" s="337"/>
    </row>
    <row r="951" spans="2:8" ht="18" x14ac:dyDescent="0.25">
      <c r="B951" s="87"/>
      <c r="C951" s="87"/>
      <c r="D951" s="87"/>
      <c r="E951" s="87"/>
      <c r="F951" s="93"/>
      <c r="G951" s="92"/>
      <c r="H951" s="92"/>
    </row>
    <row r="952" spans="2:8" ht="18" x14ac:dyDescent="0.25">
      <c r="B952" s="87"/>
      <c r="C952" s="87"/>
      <c r="D952" s="87"/>
      <c r="E952" s="87"/>
      <c r="F952" s="94"/>
      <c r="G952" s="87"/>
      <c r="H952" s="87"/>
    </row>
    <row r="953" spans="2:8" ht="15.75" customHeight="1" x14ac:dyDescent="0.25">
      <c r="B953" s="87"/>
      <c r="C953" s="87"/>
      <c r="D953" s="87"/>
      <c r="E953" s="87"/>
      <c r="F953" s="94"/>
      <c r="G953" s="87"/>
      <c r="H953" s="87"/>
    </row>
    <row r="954" spans="2:8" ht="3.75" customHeight="1" x14ac:dyDescent="0.25">
      <c r="B954" s="87"/>
      <c r="C954" s="87"/>
      <c r="D954" s="87"/>
      <c r="E954" s="87"/>
      <c r="F954" s="94"/>
      <c r="G954" s="87"/>
      <c r="H954" s="87"/>
    </row>
    <row r="955" spans="2:8" ht="18" x14ac:dyDescent="0.25">
      <c r="B955" s="87">
        <f>+B940</f>
        <v>0</v>
      </c>
      <c r="C955" s="338"/>
      <c r="D955" s="338"/>
      <c r="E955" s="87">
        <f>+B955</f>
        <v>0</v>
      </c>
      <c r="F955" s="94"/>
      <c r="G955" s="87"/>
      <c r="H955" s="87"/>
    </row>
    <row r="956" spans="2:8" ht="18" x14ac:dyDescent="0.25">
      <c r="C956" s="87"/>
      <c r="D956" s="87"/>
      <c r="F956" s="338"/>
      <c r="G956" s="338"/>
      <c r="H956" s="338"/>
    </row>
    <row r="957" spans="2:8" ht="18" x14ac:dyDescent="0.25">
      <c r="B957" s="87" t="str">
        <f>+E1</f>
        <v>URUGUAY 1025/27/29 CAP. FED.</v>
      </c>
      <c r="C957" s="87"/>
      <c r="D957" s="95" t="str">
        <f>+H940</f>
        <v>Unid. 25</v>
      </c>
      <c r="E957" s="87" t="str">
        <f>+E1</f>
        <v>URUGUAY 1025/27/29 CAP. FED.</v>
      </c>
      <c r="F957" s="87"/>
      <c r="G957" s="87"/>
      <c r="H957" s="95" t="str">
        <f>+D957</f>
        <v>Unid. 25</v>
      </c>
    </row>
    <row r="958" spans="2:8" ht="18" x14ac:dyDescent="0.25">
      <c r="D958" s="95" t="e">
        <f>+H958</f>
        <v>#REF!</v>
      </c>
      <c r="H958" s="87" t="e">
        <f>+H941</f>
        <v>#REF!</v>
      </c>
    </row>
    <row r="959" spans="2:8" ht="18" x14ac:dyDescent="0.25">
      <c r="B959" s="88"/>
      <c r="C959" s="88"/>
      <c r="D959" s="88"/>
      <c r="E959" s="88"/>
      <c r="F959" s="87"/>
      <c r="G959" s="87"/>
    </row>
    <row r="960" spans="2:8" ht="18" x14ac:dyDescent="0.25">
      <c r="B960" s="87" t="str">
        <f>+F1</f>
        <v xml:space="preserve">P/depósito/transferencia en ICBC </v>
      </c>
      <c r="C960" s="87"/>
      <c r="D960" s="87"/>
      <c r="E960" s="87"/>
      <c r="F960" s="87"/>
      <c r="G960" s="88"/>
      <c r="H960" s="104"/>
    </row>
    <row r="961" spans="2:8" ht="18" x14ac:dyDescent="0.25">
      <c r="B961" s="87" t="str">
        <f>+F2</f>
        <v>Cta. Cte. $ N°538/02104658/84</v>
      </c>
      <c r="C961" s="87"/>
      <c r="D961" s="87"/>
      <c r="E961" s="87" t="s">
        <v>85</v>
      </c>
      <c r="F961" s="109" t="e">
        <f t="shared" ref="F961:F966" si="9">+F944</f>
        <v>#REF!</v>
      </c>
      <c r="H961" s="102">
        <f>+RECIBOS!B966</f>
        <v>46183</v>
      </c>
    </row>
    <row r="962" spans="2:8" ht="18" x14ac:dyDescent="0.25">
      <c r="B962" s="88"/>
      <c r="C962" s="87"/>
      <c r="D962" s="87"/>
      <c r="E962" s="87" t="s">
        <v>193</v>
      </c>
      <c r="F962" s="109" t="e">
        <f t="shared" si="9"/>
        <v>#REF!</v>
      </c>
    </row>
    <row r="963" spans="2:8" ht="18" x14ac:dyDescent="0.25">
      <c r="B963" s="88"/>
      <c r="C963" s="87"/>
      <c r="D963" s="87"/>
      <c r="E963" s="87" t="s">
        <v>202</v>
      </c>
      <c r="F963" s="109" t="e">
        <f t="shared" si="9"/>
        <v>#REF!</v>
      </c>
      <c r="G963" s="87"/>
      <c r="H963" s="87"/>
    </row>
    <row r="964" spans="2:8" ht="18" x14ac:dyDescent="0.25">
      <c r="B964" s="87"/>
      <c r="C964" s="87"/>
      <c r="D964" s="87"/>
      <c r="E964" s="87" t="s">
        <v>321</v>
      </c>
      <c r="F964" s="109" t="e">
        <f t="shared" si="9"/>
        <v>#REF!</v>
      </c>
      <c r="G964" s="87"/>
      <c r="H964" s="87"/>
    </row>
    <row r="965" spans="2:8" ht="21" customHeight="1" x14ac:dyDescent="0.25">
      <c r="B965" s="98"/>
      <c r="C965" s="98"/>
      <c r="D965" s="98"/>
      <c r="E965" s="87" t="s">
        <v>86</v>
      </c>
      <c r="F965" s="167" t="e">
        <f t="shared" si="9"/>
        <v>#REF!</v>
      </c>
      <c r="G965" s="87"/>
      <c r="H965" s="87"/>
    </row>
    <row r="966" spans="2:8" ht="18" x14ac:dyDescent="0.25">
      <c r="B966" s="102">
        <f>+$G$34</f>
        <v>46183</v>
      </c>
      <c r="C966" s="108" t="e">
        <f>+F949</f>
        <v>#REF!</v>
      </c>
      <c r="D966" s="87"/>
      <c r="E966" s="87" t="s">
        <v>88</v>
      </c>
      <c r="F966" s="109" t="e">
        <f t="shared" si="9"/>
        <v>#REF!</v>
      </c>
      <c r="G966" s="87"/>
      <c r="H966" s="87"/>
    </row>
    <row r="967" spans="2:8" ht="18" x14ac:dyDescent="0.25">
      <c r="B967" s="87"/>
      <c r="C967" s="87"/>
      <c r="D967" s="87"/>
      <c r="E967" s="105"/>
      <c r="F967" s="87"/>
      <c r="G967" s="87"/>
      <c r="H967" s="87"/>
    </row>
    <row r="968" spans="2:8" ht="18" x14ac:dyDescent="0.25">
      <c r="B968" s="87"/>
      <c r="C968" s="87"/>
      <c r="D968" s="87"/>
      <c r="F968" s="87"/>
      <c r="G968" s="87"/>
      <c r="H968" s="87"/>
    </row>
    <row r="969" spans="2:8" ht="18" x14ac:dyDescent="0.25">
      <c r="B969" s="87"/>
      <c r="C969" s="87"/>
      <c r="D969" s="87"/>
      <c r="E969" s="87"/>
      <c r="F969" s="87"/>
      <c r="G969" s="87"/>
      <c r="H969" s="87"/>
    </row>
    <row r="970" spans="2:8" ht="18" x14ac:dyDescent="0.25">
      <c r="B970" s="87"/>
      <c r="C970" s="87"/>
      <c r="D970" s="87"/>
      <c r="E970" s="87"/>
      <c r="F970" s="87"/>
      <c r="G970" s="339"/>
      <c r="H970" s="339"/>
    </row>
    <row r="971" spans="2:8" ht="18" x14ac:dyDescent="0.25">
      <c r="B971" s="87"/>
      <c r="C971" s="87"/>
      <c r="D971" s="87"/>
      <c r="E971" s="87"/>
      <c r="F971" s="87"/>
      <c r="G971" s="96"/>
      <c r="H971" s="96"/>
    </row>
    <row r="972" spans="2:8" ht="18" x14ac:dyDescent="0.25">
      <c r="B972" s="87"/>
      <c r="C972" s="87"/>
      <c r="D972" s="87"/>
      <c r="E972" s="87"/>
      <c r="F972" s="87"/>
      <c r="G972" s="87"/>
      <c r="H972" s="87"/>
    </row>
    <row r="973" spans="2:8" ht="18" x14ac:dyDescent="0.25">
      <c r="B973" s="87"/>
      <c r="C973" s="87"/>
      <c r="D973" s="87"/>
      <c r="E973" s="87"/>
      <c r="F973" s="87"/>
      <c r="G973" s="87"/>
      <c r="H973" s="87"/>
    </row>
    <row r="974" spans="2:8" ht="23.25" customHeight="1" x14ac:dyDescent="0.25">
      <c r="B974" s="335"/>
      <c r="C974" s="335"/>
      <c r="D974" s="335"/>
      <c r="E974" s="87"/>
      <c r="F974" s="87"/>
      <c r="H974" s="87"/>
    </row>
    <row r="975" spans="2:8" ht="18" x14ac:dyDescent="0.25">
      <c r="B975" s="335"/>
      <c r="C975" s="335"/>
      <c r="D975" s="335"/>
      <c r="E975" s="101">
        <f>+$B$1</f>
        <v>46143</v>
      </c>
      <c r="F975" s="87"/>
      <c r="G975" s="102">
        <f>+$D$1</f>
        <v>46183</v>
      </c>
      <c r="H975" s="100"/>
    </row>
    <row r="976" spans="2:8" ht="18" x14ac:dyDescent="0.25">
      <c r="B976" s="86"/>
      <c r="C976" s="86"/>
      <c r="D976" s="103"/>
      <c r="E976" s="101"/>
      <c r="F976" s="87"/>
    </row>
    <row r="977" spans="2:8" ht="24.75" customHeight="1" x14ac:dyDescent="0.25">
      <c r="C977" s="87"/>
      <c r="D977" s="87"/>
      <c r="F977" s="87"/>
    </row>
    <row r="978" spans="2:8" ht="24.75" customHeight="1" x14ac:dyDescent="0.25">
      <c r="B978" s="87" t="e">
        <f>+B27</f>
        <v>#REF!</v>
      </c>
      <c r="C978" s="87"/>
      <c r="D978" s="87"/>
      <c r="E978" s="87" t="str">
        <f>+$E$1</f>
        <v>URUGUAY 1025/27/29 CAP. FED.</v>
      </c>
      <c r="F978" s="87"/>
      <c r="H978" s="95" t="s">
        <v>114</v>
      </c>
    </row>
    <row r="979" spans="2:8" ht="18" x14ac:dyDescent="0.25">
      <c r="B979" s="88"/>
      <c r="C979" s="87"/>
      <c r="D979" s="87"/>
      <c r="F979" s="87"/>
      <c r="G979" s="88"/>
      <c r="H979" s="95" t="e">
        <f>+'RES CUENTA'!#REF!</f>
        <v>#REF!</v>
      </c>
    </row>
    <row r="980" spans="2:8" ht="18" x14ac:dyDescent="0.25">
      <c r="B980" s="87"/>
      <c r="C980" s="87"/>
      <c r="D980" s="87"/>
      <c r="E980" s="88"/>
      <c r="F980" s="88"/>
      <c r="G980" s="87"/>
      <c r="H980" s="88"/>
    </row>
    <row r="981" spans="2:8" ht="13.5" customHeight="1" x14ac:dyDescent="0.25">
      <c r="B981" s="96"/>
      <c r="C981" s="87"/>
      <c r="D981" s="96"/>
      <c r="E981" s="87"/>
      <c r="F981" s="87"/>
      <c r="G981" s="87"/>
      <c r="H981" s="87"/>
    </row>
    <row r="982" spans="2:8" ht="18" x14ac:dyDescent="0.25">
      <c r="B982" s="87" t="s">
        <v>82</v>
      </c>
      <c r="C982" s="87"/>
      <c r="D982" s="110">
        <f>+'RES CUENTA'!$H$26</f>
        <v>6751880</v>
      </c>
      <c r="E982" s="111" t="e">
        <f>+'RES CUENTA'!#REF!</f>
        <v>#REF!</v>
      </c>
      <c r="F982" s="106" t="e">
        <f>+D982*E982/100</f>
        <v>#REF!</v>
      </c>
      <c r="G982" s="87"/>
      <c r="H982" s="96"/>
    </row>
    <row r="983" spans="2:8" ht="18" x14ac:dyDescent="0.25">
      <c r="B983" s="87" t="s">
        <v>194</v>
      </c>
      <c r="C983" s="87"/>
      <c r="D983" s="110">
        <f>+'RES CUENTA'!J26</f>
        <v>1482120</v>
      </c>
      <c r="E983" s="111" t="e">
        <f>+'RES CUENTA'!#REF!</f>
        <v>#REF!</v>
      </c>
      <c r="F983" s="106" t="e">
        <f>+D983*E983/100</f>
        <v>#REF!</v>
      </c>
      <c r="G983" s="96"/>
      <c r="H983" s="91"/>
    </row>
    <row r="984" spans="2:8" ht="18" x14ac:dyDescent="0.25">
      <c r="B984" s="87" t="str">
        <f>+B946</f>
        <v>s/Asamblea</v>
      </c>
      <c r="C984" s="87"/>
      <c r="D984" s="110" t="e">
        <f>+'RES CUENTA'!#REF!</f>
        <v>#REF!</v>
      </c>
      <c r="E984" s="111">
        <v>0</v>
      </c>
      <c r="F984" s="106" t="e">
        <f>+D984</f>
        <v>#REF!</v>
      </c>
      <c r="G984" s="96"/>
      <c r="H984" s="91"/>
    </row>
    <row r="985" spans="2:8" ht="18" x14ac:dyDescent="0.25">
      <c r="B985" s="87" t="s">
        <v>321</v>
      </c>
      <c r="C985" s="87"/>
      <c r="D985" s="110" t="e">
        <f>+'RES CUENTA'!#REF!</f>
        <v>#REF!</v>
      </c>
      <c r="E985" s="111" t="e">
        <f>+'RES CUENTA'!#REF!</f>
        <v>#REF!</v>
      </c>
      <c r="F985" s="106" t="e">
        <f>+D985</f>
        <v>#REF!</v>
      </c>
      <c r="G985" s="91"/>
      <c r="H985" s="91"/>
    </row>
    <row r="986" spans="2:8" ht="15.75" customHeight="1" x14ac:dyDescent="0.25">
      <c r="B986" s="87" t="s">
        <v>201</v>
      </c>
      <c r="C986" s="87"/>
      <c r="D986" s="110" t="e">
        <f>+'RES CUENTA'!#REF!+'RES CUENTA'!#REF!</f>
        <v>#REF!</v>
      </c>
      <c r="E986" s="111">
        <f>+'RES CUENTA'!P58</f>
        <v>0</v>
      </c>
      <c r="F986" s="166" t="e">
        <f>+D986</f>
        <v>#REF!</v>
      </c>
      <c r="G986" s="91"/>
      <c r="H986" s="91"/>
    </row>
    <row r="987" spans="2:8" ht="15" customHeight="1" x14ac:dyDescent="0.25">
      <c r="B987" s="88" t="s">
        <v>206</v>
      </c>
      <c r="C987" s="87"/>
      <c r="D987" s="87"/>
      <c r="F987" s="107" t="e">
        <f>SUM(F982:F986)</f>
        <v>#REF!</v>
      </c>
      <c r="G987" s="91"/>
      <c r="H987" s="91"/>
    </row>
    <row r="988" spans="2:8" ht="18" x14ac:dyDescent="0.25">
      <c r="B988" s="88"/>
      <c r="C988" s="87"/>
      <c r="D988" s="87"/>
      <c r="F988" s="93"/>
      <c r="G988" s="91"/>
      <c r="H988" s="92"/>
    </row>
    <row r="989" spans="2:8" ht="18" x14ac:dyDescent="0.25">
      <c r="B989" s="87"/>
      <c r="C989" s="87"/>
      <c r="D989" s="87"/>
      <c r="E989" s="87"/>
      <c r="F989" s="94"/>
      <c r="G989" s="92"/>
      <c r="H989" s="92"/>
    </row>
    <row r="990" spans="2:8" ht="21.75" customHeight="1" x14ac:dyDescent="0.25">
      <c r="B990" s="87"/>
      <c r="C990" s="87"/>
      <c r="D990" s="87"/>
      <c r="E990" s="87"/>
      <c r="F990" s="94"/>
      <c r="G990" s="92"/>
      <c r="H990" s="92"/>
    </row>
    <row r="991" spans="2:8" ht="9" customHeight="1" x14ac:dyDescent="0.25">
      <c r="B991" s="87"/>
      <c r="C991" s="87"/>
      <c r="D991" s="87"/>
      <c r="E991" s="87"/>
      <c r="F991" s="94"/>
      <c r="G991" s="92"/>
      <c r="H991" s="87"/>
    </row>
    <row r="992" spans="2:8" ht="18" x14ac:dyDescent="0.25">
      <c r="B992" s="87" t="e">
        <f>+B978</f>
        <v>#REF!</v>
      </c>
      <c r="C992" s="87"/>
      <c r="D992" s="87"/>
      <c r="E992" s="87" t="e">
        <f>+B978</f>
        <v>#REF!</v>
      </c>
      <c r="F992" s="87"/>
      <c r="G992" s="87"/>
      <c r="H992" s="104"/>
    </row>
    <row r="993" spans="2:8" ht="24.75" customHeight="1" x14ac:dyDescent="0.25">
      <c r="B993" s="88"/>
      <c r="C993" s="87"/>
      <c r="D993" s="87"/>
      <c r="F993" s="87"/>
      <c r="G993" s="104"/>
      <c r="H993" s="95" t="str">
        <f>+H978</f>
        <v>Unid. 26</v>
      </c>
    </row>
    <row r="994" spans="2:8" ht="18.75" customHeight="1" x14ac:dyDescent="0.25">
      <c r="B994" s="87" t="str">
        <f>+E1</f>
        <v>URUGUAY 1025/27/29 CAP. FED.</v>
      </c>
      <c r="C994" s="87"/>
      <c r="D994" s="95" t="str">
        <f>+H993</f>
        <v>Unid. 26</v>
      </c>
      <c r="E994" s="87" t="str">
        <f>+E1</f>
        <v>URUGUAY 1025/27/29 CAP. FED.</v>
      </c>
      <c r="F994" s="87"/>
      <c r="G994" s="87"/>
      <c r="H994" s="87" t="e">
        <f>+H979</f>
        <v>#REF!</v>
      </c>
    </row>
    <row r="995" spans="2:8" ht="18" x14ac:dyDescent="0.25">
      <c r="B995" s="88"/>
      <c r="C995" s="88"/>
      <c r="D995" s="87" t="e">
        <f>+H994</f>
        <v>#REF!</v>
      </c>
      <c r="F995" s="87"/>
      <c r="G995" s="87"/>
    </row>
    <row r="996" spans="2:8" ht="20.25" customHeight="1" x14ac:dyDescent="0.25">
      <c r="B996" s="87"/>
      <c r="C996" s="87"/>
      <c r="D996" s="87"/>
      <c r="E996" s="88"/>
      <c r="F996" s="87"/>
      <c r="G996" s="87"/>
      <c r="H996" s="104"/>
    </row>
    <row r="997" spans="2:8" ht="18" x14ac:dyDescent="0.25">
      <c r="B997" s="87" t="str">
        <f>+F1</f>
        <v xml:space="preserve">P/depósito/transferencia en ICBC </v>
      </c>
      <c r="C997" s="87"/>
      <c r="D997" s="87"/>
      <c r="E997" s="87"/>
      <c r="F997" s="98"/>
      <c r="G997" s="88"/>
      <c r="H997" s="87"/>
    </row>
    <row r="998" spans="2:8" ht="18" x14ac:dyDescent="0.25">
      <c r="B998" s="87" t="str">
        <f>+F2</f>
        <v>Cta. Cte. $ N°538/02104658/84</v>
      </c>
      <c r="C998" s="87"/>
      <c r="D998" s="87"/>
      <c r="E998" s="87" t="s">
        <v>85</v>
      </c>
      <c r="F998" s="109" t="e">
        <f t="shared" ref="F998:F1003" si="10">+F982</f>
        <v>#REF!</v>
      </c>
      <c r="G998" s="97"/>
      <c r="H998" s="102">
        <f>+B1002</f>
        <v>46183</v>
      </c>
    </row>
    <row r="999" spans="2:8" ht="18" x14ac:dyDescent="0.25">
      <c r="B999" s="88"/>
      <c r="C999" s="87"/>
      <c r="D999" s="87"/>
      <c r="E999" s="87" t="s">
        <v>193</v>
      </c>
      <c r="F999" s="109" t="e">
        <f t="shared" si="10"/>
        <v>#REF!</v>
      </c>
      <c r="H999" s="87"/>
    </row>
    <row r="1000" spans="2:8" ht="18" x14ac:dyDescent="0.25">
      <c r="B1000" s="87"/>
      <c r="C1000" s="87"/>
      <c r="D1000" s="87"/>
      <c r="E1000" s="87" t="s">
        <v>202</v>
      </c>
      <c r="F1000" s="109" t="e">
        <f t="shared" si="10"/>
        <v>#REF!</v>
      </c>
      <c r="G1000" s="87"/>
      <c r="H1000" s="87"/>
    </row>
    <row r="1001" spans="2:8" ht="21.75" customHeight="1" x14ac:dyDescent="0.25">
      <c r="B1001" s="98"/>
      <c r="C1001" s="98"/>
      <c r="D1001" s="98"/>
      <c r="E1001" s="87" t="s">
        <v>321</v>
      </c>
      <c r="F1001" s="109" t="e">
        <f t="shared" si="10"/>
        <v>#REF!</v>
      </c>
      <c r="G1001" s="87"/>
      <c r="H1001" s="87"/>
    </row>
    <row r="1002" spans="2:8" ht="18" x14ac:dyDescent="0.25">
      <c r="B1002" s="102">
        <f>+$G$34</f>
        <v>46183</v>
      </c>
      <c r="C1002" s="108" t="e">
        <f>+F987</f>
        <v>#REF!</v>
      </c>
      <c r="D1002" s="87"/>
      <c r="E1002" s="87" t="s">
        <v>86</v>
      </c>
      <c r="F1002" s="167" t="e">
        <f t="shared" si="10"/>
        <v>#REF!</v>
      </c>
      <c r="G1002" s="87"/>
      <c r="H1002" s="87"/>
    </row>
    <row r="1003" spans="2:8" ht="18" x14ac:dyDescent="0.25">
      <c r="B1003" s="87"/>
      <c r="C1003" s="87"/>
      <c r="D1003" s="87"/>
      <c r="E1003" s="87" t="s">
        <v>88</v>
      </c>
      <c r="F1003" s="109" t="e">
        <f t="shared" si="10"/>
        <v>#REF!</v>
      </c>
      <c r="G1003" s="87"/>
      <c r="H1003" s="87"/>
    </row>
    <row r="1004" spans="2:8" ht="18" x14ac:dyDescent="0.25">
      <c r="B1004" s="87"/>
      <c r="C1004" s="87"/>
      <c r="D1004" s="87"/>
      <c r="E1004" s="87"/>
      <c r="F1004" s="87"/>
      <c r="G1004" s="87"/>
      <c r="H1004" s="87"/>
    </row>
    <row r="1005" spans="2:8" ht="18" x14ac:dyDescent="0.25">
      <c r="B1005" s="87"/>
      <c r="C1005" s="87"/>
      <c r="D1005" s="87"/>
      <c r="E1005" s="105"/>
      <c r="F1005" s="87"/>
      <c r="G1005" s="87"/>
      <c r="H1005" s="87"/>
    </row>
    <row r="1006" spans="2:8" ht="18" x14ac:dyDescent="0.25">
      <c r="B1006" s="87"/>
      <c r="C1006" s="87"/>
      <c r="D1006" s="87"/>
      <c r="E1006" s="87"/>
      <c r="F1006" s="87"/>
      <c r="G1006" s="87"/>
      <c r="H1006" s="96"/>
    </row>
    <row r="1007" spans="2:8" ht="9.75" customHeight="1" x14ac:dyDescent="0.25">
      <c r="E1007" s="87"/>
      <c r="G1007" s="96"/>
      <c r="H1007" s="87"/>
    </row>
    <row r="1009" spans="2:8" ht="18" x14ac:dyDescent="0.25">
      <c r="B1009" s="335"/>
      <c r="C1009" s="335"/>
      <c r="D1009" s="335"/>
      <c r="E1009" s="340">
        <f>+$B$1</f>
        <v>46143</v>
      </c>
      <c r="F1009" s="87"/>
      <c r="G1009" s="341">
        <f>+$D$1</f>
        <v>46183</v>
      </c>
      <c r="H1009" s="87"/>
    </row>
    <row r="1010" spans="2:8" ht="18" x14ac:dyDescent="0.25">
      <c r="B1010" s="86"/>
      <c r="C1010" s="86"/>
      <c r="D1010" s="103"/>
      <c r="E1010" s="340"/>
      <c r="F1010" s="87"/>
      <c r="G1010" s="341"/>
      <c r="H1010" s="87"/>
    </row>
    <row r="1011" spans="2:8" ht="18" x14ac:dyDescent="0.25">
      <c r="B1011" s="87"/>
      <c r="C1011" s="87"/>
      <c r="D1011" s="87"/>
      <c r="E1011" s="88"/>
      <c r="F1011" s="87"/>
      <c r="G1011" s="88"/>
      <c r="H1011" s="87"/>
    </row>
    <row r="1012" spans="2:8" ht="16.5" customHeight="1" x14ac:dyDescent="0.25">
      <c r="C1012" s="87"/>
      <c r="D1012" s="87"/>
      <c r="E1012" s="88"/>
      <c r="F1012" s="87"/>
      <c r="G1012" s="88"/>
      <c r="H1012" s="87"/>
    </row>
    <row r="1013" spans="2:8" ht="18" x14ac:dyDescent="0.25">
      <c r="B1013" s="87" t="e">
        <f>+B28</f>
        <v>#REF!</v>
      </c>
      <c r="C1013" s="87"/>
      <c r="D1013" s="87"/>
      <c r="E1013" s="87" t="str">
        <f>+E39</f>
        <v>URUGUAY 1025/27/29 CAP. FED.</v>
      </c>
      <c r="F1013" s="87"/>
      <c r="G1013" s="87"/>
      <c r="H1013" s="95" t="s">
        <v>115</v>
      </c>
    </row>
    <row r="1014" spans="2:8" ht="18" x14ac:dyDescent="0.25">
      <c r="B1014" s="87"/>
      <c r="C1014" s="87"/>
      <c r="D1014" s="87"/>
      <c r="E1014" s="88"/>
      <c r="F1014" s="88"/>
      <c r="G1014" s="87"/>
      <c r="H1014" s="87" t="e">
        <f>+'RES CUENTA'!#REF!</f>
        <v>#REF!</v>
      </c>
    </row>
    <row r="1015" spans="2:8" ht="18" x14ac:dyDescent="0.25">
      <c r="B1015" s="96"/>
      <c r="C1015" s="87"/>
      <c r="D1015" s="96"/>
      <c r="E1015" s="87"/>
      <c r="F1015" s="87"/>
      <c r="G1015" s="87"/>
      <c r="H1015" s="87"/>
    </row>
    <row r="1016" spans="2:8" ht="9" customHeight="1" x14ac:dyDescent="0.25">
      <c r="B1016" s="96"/>
      <c r="C1016" s="87"/>
      <c r="D1016" s="96"/>
      <c r="E1016" s="87"/>
      <c r="F1016" s="87"/>
      <c r="G1016" s="87"/>
      <c r="H1016" s="87"/>
    </row>
    <row r="1017" spans="2:8" ht="18" x14ac:dyDescent="0.25">
      <c r="B1017" s="87" t="s">
        <v>82</v>
      </c>
      <c r="C1017" s="87"/>
      <c r="D1017" s="110">
        <f>+'RES CUENTA'!$H$26</f>
        <v>6751880</v>
      </c>
      <c r="E1017" s="111" t="e">
        <f>+'RES CUENTA'!#REF!</f>
        <v>#REF!</v>
      </c>
      <c r="F1017" s="106" t="e">
        <f>+D1017*E1017/100</f>
        <v>#REF!</v>
      </c>
      <c r="G1017" s="339"/>
      <c r="H1017" s="339"/>
    </row>
    <row r="1018" spans="2:8" ht="18" x14ac:dyDescent="0.25">
      <c r="B1018" s="87" t="s">
        <v>194</v>
      </c>
      <c r="C1018" s="87"/>
      <c r="D1018" s="110">
        <f>+'RES CUENTA'!J26</f>
        <v>1482120</v>
      </c>
      <c r="E1018" s="111" t="e">
        <f>+'RES CUENTA'!#REF!</f>
        <v>#REF!</v>
      </c>
      <c r="F1018" s="106" t="e">
        <f>+D1018*E1018/100</f>
        <v>#REF!</v>
      </c>
      <c r="G1018" s="336"/>
      <c r="H1018" s="336"/>
    </row>
    <row r="1019" spans="2:8" ht="18" x14ac:dyDescent="0.25">
      <c r="B1019" s="87" t="str">
        <f>+B984</f>
        <v>s/Asamblea</v>
      </c>
      <c r="C1019" s="87"/>
      <c r="D1019" s="110" t="e">
        <f>+'RES CUENTA'!#REF!</f>
        <v>#REF!</v>
      </c>
      <c r="E1019" s="111">
        <v>0</v>
      </c>
      <c r="F1019" s="106" t="e">
        <f>+D1019</f>
        <v>#REF!</v>
      </c>
      <c r="G1019" s="91"/>
      <c r="H1019" s="91"/>
    </row>
    <row r="1020" spans="2:8" ht="18" x14ac:dyDescent="0.25">
      <c r="B1020" s="87" t="s">
        <v>321</v>
      </c>
      <c r="C1020" s="87"/>
      <c r="D1020" s="110" t="e">
        <f>+'RES CUENTA'!#REF!</f>
        <v>#REF!</v>
      </c>
      <c r="E1020" s="111">
        <v>0</v>
      </c>
      <c r="F1020" s="106" t="e">
        <f>+D1020</f>
        <v>#REF!</v>
      </c>
      <c r="G1020" s="336"/>
      <c r="H1020" s="336"/>
    </row>
    <row r="1021" spans="2:8" ht="18" x14ac:dyDescent="0.25">
      <c r="B1021" s="87" t="s">
        <v>226</v>
      </c>
      <c r="D1021" s="110" t="e">
        <f>+'RES CUENTA'!#REF!</f>
        <v>#REF!</v>
      </c>
      <c r="E1021" s="111">
        <v>0</v>
      </c>
      <c r="F1021" s="106" t="e">
        <f>+D1021</f>
        <v>#REF!</v>
      </c>
    </row>
    <row r="1022" spans="2:8" ht="18" x14ac:dyDescent="0.25">
      <c r="B1022" s="87" t="s">
        <v>201</v>
      </c>
      <c r="C1022" s="87"/>
      <c r="D1022" s="110" t="e">
        <f>+'RES CUENTA'!#REF!+'RES CUENTA'!#REF!</f>
        <v>#REF!</v>
      </c>
      <c r="E1022" s="111">
        <v>0</v>
      </c>
      <c r="F1022" s="166" t="e">
        <f>+D1022</f>
        <v>#REF!</v>
      </c>
      <c r="G1022" s="336"/>
      <c r="H1022" s="336"/>
    </row>
    <row r="1023" spans="2:8" ht="18" x14ac:dyDescent="0.25">
      <c r="B1023" s="88" t="s">
        <v>206</v>
      </c>
      <c r="C1023" s="87"/>
      <c r="D1023" s="87"/>
      <c r="E1023" s="94"/>
      <c r="F1023" s="107" t="e">
        <f>SUM(F1017:F1022)</f>
        <v>#REF!</v>
      </c>
      <c r="G1023" s="91"/>
      <c r="H1023" s="91"/>
    </row>
    <row r="1024" spans="2:8" ht="18" x14ac:dyDescent="0.25">
      <c r="B1024" s="87"/>
      <c r="C1024" s="87"/>
      <c r="D1024" s="87"/>
      <c r="E1024" s="87"/>
      <c r="F1024" s="93"/>
      <c r="G1024" s="92"/>
      <c r="H1024" s="92"/>
    </row>
    <row r="1025" spans="2:8" ht="18" x14ac:dyDescent="0.25">
      <c r="B1025" s="87"/>
      <c r="C1025" s="87"/>
      <c r="D1025" s="87"/>
      <c r="E1025" s="87"/>
      <c r="F1025" s="94"/>
      <c r="G1025" s="87"/>
      <c r="H1025" s="87"/>
    </row>
    <row r="1026" spans="2:8" ht="21.75" customHeight="1" x14ac:dyDescent="0.25">
      <c r="B1026" s="87"/>
      <c r="C1026" s="87"/>
      <c r="D1026" s="87"/>
      <c r="E1026" s="87"/>
      <c r="F1026" s="94"/>
      <c r="G1026" s="87"/>
      <c r="H1026" s="87"/>
    </row>
    <row r="1027" spans="2:8" ht="18" x14ac:dyDescent="0.25">
      <c r="B1027" s="87" t="e">
        <f>+B1013</f>
        <v>#REF!</v>
      </c>
      <c r="C1027" s="338"/>
      <c r="D1027" s="338"/>
      <c r="E1027" s="87" t="e">
        <f>+B1027</f>
        <v>#REF!</v>
      </c>
      <c r="F1027" s="94"/>
      <c r="G1027" s="87"/>
      <c r="H1027" s="87"/>
    </row>
    <row r="1028" spans="2:8" ht="18" x14ac:dyDescent="0.25">
      <c r="C1028" s="87"/>
      <c r="D1028" s="87"/>
      <c r="F1028" s="338"/>
      <c r="G1028" s="338"/>
      <c r="H1028" s="338"/>
    </row>
    <row r="1029" spans="2:8" ht="24" customHeight="1" x14ac:dyDescent="0.25">
      <c r="B1029" s="87" t="str">
        <f>+$E$1</f>
        <v>URUGUAY 1025/27/29 CAP. FED.</v>
      </c>
      <c r="C1029" s="87"/>
      <c r="D1029" s="95" t="str">
        <f>+H1013</f>
        <v>Unid. 27</v>
      </c>
      <c r="E1029" s="87" t="str">
        <f>+$E$1</f>
        <v>URUGUAY 1025/27/29 CAP. FED.</v>
      </c>
      <c r="F1029" s="87"/>
      <c r="G1029" s="87"/>
      <c r="H1029" s="95" t="str">
        <f>+D1029</f>
        <v>Unid. 27</v>
      </c>
    </row>
    <row r="1030" spans="2:8" ht="18" x14ac:dyDescent="0.25">
      <c r="D1030" s="95" t="e">
        <f>+H1030</f>
        <v>#REF!</v>
      </c>
      <c r="H1030" s="95" t="e">
        <f>+H1014</f>
        <v>#REF!</v>
      </c>
    </row>
    <row r="1031" spans="2:8" ht="18" x14ac:dyDescent="0.25">
      <c r="B1031" s="88"/>
      <c r="C1031" s="88"/>
      <c r="D1031" s="88"/>
      <c r="E1031" s="88"/>
      <c r="F1031" s="87"/>
      <c r="G1031" s="87"/>
    </row>
    <row r="1032" spans="2:8" ht="18" x14ac:dyDescent="0.25">
      <c r="B1032" s="87" t="str">
        <f>+F1</f>
        <v xml:space="preserve">P/depósito/transferencia en ICBC </v>
      </c>
      <c r="C1032" s="87"/>
      <c r="D1032" s="87"/>
      <c r="E1032" s="87"/>
      <c r="F1032" s="87"/>
      <c r="G1032" s="88"/>
      <c r="H1032" s="104"/>
    </row>
    <row r="1033" spans="2:8" ht="18" x14ac:dyDescent="0.25">
      <c r="B1033" s="87" t="str">
        <f>+F2</f>
        <v>Cta. Cte. $ N°538/02104658/84</v>
      </c>
      <c r="C1033" s="87"/>
      <c r="D1033" s="87"/>
      <c r="E1033" s="87" t="s">
        <v>85</v>
      </c>
      <c r="F1033" s="109" t="e">
        <f t="shared" ref="F1033:F1039" si="11">+F1017</f>
        <v>#REF!</v>
      </c>
      <c r="H1033" s="102">
        <f>+B1038</f>
        <v>46183</v>
      </c>
    </row>
    <row r="1034" spans="2:8" ht="18" x14ac:dyDescent="0.25">
      <c r="B1034" s="88"/>
      <c r="C1034" s="87"/>
      <c r="D1034" s="87"/>
      <c r="E1034" s="87" t="s">
        <v>193</v>
      </c>
      <c r="F1034" s="109" t="e">
        <f t="shared" si="11"/>
        <v>#REF!</v>
      </c>
    </row>
    <row r="1035" spans="2:8" ht="18" x14ac:dyDescent="0.25">
      <c r="B1035" s="88"/>
      <c r="C1035" s="87"/>
      <c r="D1035" s="87"/>
      <c r="E1035" s="87" t="s">
        <v>202</v>
      </c>
      <c r="F1035" s="109" t="e">
        <f t="shared" si="11"/>
        <v>#REF!</v>
      </c>
      <c r="G1035" s="87"/>
      <c r="H1035" s="87"/>
    </row>
    <row r="1036" spans="2:8" ht="18" x14ac:dyDescent="0.25">
      <c r="B1036" s="87"/>
      <c r="C1036" s="87"/>
      <c r="D1036" s="87"/>
      <c r="E1036" s="87" t="s">
        <v>321</v>
      </c>
      <c r="F1036" s="109" t="e">
        <f t="shared" si="11"/>
        <v>#REF!</v>
      </c>
      <c r="G1036" s="87"/>
      <c r="H1036" s="87"/>
    </row>
    <row r="1037" spans="2:8" ht="21" customHeight="1" x14ac:dyDescent="0.25">
      <c r="B1037" s="98"/>
      <c r="C1037" s="98"/>
      <c r="D1037" s="98"/>
      <c r="E1037" s="87" t="s">
        <v>199</v>
      </c>
      <c r="F1037" s="109" t="e">
        <f t="shared" si="11"/>
        <v>#REF!</v>
      </c>
      <c r="G1037" s="87"/>
      <c r="H1037" s="87"/>
    </row>
    <row r="1038" spans="2:8" ht="18" x14ac:dyDescent="0.25">
      <c r="B1038" s="102">
        <f>+$G$34</f>
        <v>46183</v>
      </c>
      <c r="C1038" s="108" t="e">
        <f>+F1023</f>
        <v>#REF!</v>
      </c>
      <c r="D1038" s="87"/>
      <c r="E1038" s="87" t="s">
        <v>86</v>
      </c>
      <c r="F1038" s="167" t="e">
        <f t="shared" si="11"/>
        <v>#REF!</v>
      </c>
      <c r="G1038" s="87"/>
      <c r="H1038" s="87"/>
    </row>
    <row r="1039" spans="2:8" ht="18" x14ac:dyDescent="0.25">
      <c r="B1039" s="87"/>
      <c r="C1039" s="87"/>
      <c r="D1039" s="87"/>
      <c r="E1039" s="87" t="s">
        <v>88</v>
      </c>
      <c r="F1039" s="109" t="e">
        <f t="shared" si="11"/>
        <v>#REF!</v>
      </c>
      <c r="G1039" s="87"/>
      <c r="H1039" s="87"/>
    </row>
    <row r="1040" spans="2:8" ht="18" x14ac:dyDescent="0.25">
      <c r="B1040" s="87"/>
      <c r="C1040" s="87"/>
      <c r="D1040" s="87"/>
      <c r="F1040" s="87"/>
      <c r="G1040" s="87"/>
      <c r="H1040" s="87"/>
    </row>
    <row r="1041" spans="2:8" ht="18" x14ac:dyDescent="0.25">
      <c r="B1041" s="87"/>
      <c r="C1041" s="87"/>
      <c r="D1041" s="87"/>
      <c r="E1041" s="87"/>
      <c r="F1041" s="87"/>
      <c r="G1041" s="87"/>
      <c r="H1041" s="87"/>
    </row>
    <row r="1042" spans="2:8" ht="18" x14ac:dyDescent="0.25">
      <c r="B1042" s="87"/>
      <c r="C1042" s="87"/>
      <c r="D1042" s="87"/>
      <c r="E1042" s="87"/>
      <c r="F1042" s="87"/>
      <c r="G1042" s="339"/>
      <c r="H1042" s="339"/>
    </row>
    <row r="1043" spans="2:8" ht="18" x14ac:dyDescent="0.25">
      <c r="B1043" s="87"/>
      <c r="C1043" s="87"/>
      <c r="D1043" s="87"/>
      <c r="E1043" s="87"/>
      <c r="F1043" s="87"/>
      <c r="G1043" s="87"/>
      <c r="H1043" s="87"/>
    </row>
    <row r="1044" spans="2:8" ht="18" x14ac:dyDescent="0.25">
      <c r="B1044" s="87"/>
      <c r="C1044" s="87"/>
      <c r="D1044" s="87"/>
      <c r="E1044" s="87"/>
      <c r="F1044" s="87"/>
      <c r="G1044" s="87"/>
      <c r="H1044" s="87"/>
    </row>
    <row r="1045" spans="2:8" ht="18" x14ac:dyDescent="0.25">
      <c r="B1045" s="87"/>
      <c r="C1045" s="87"/>
      <c r="D1045" s="87"/>
      <c r="E1045" s="87"/>
      <c r="F1045" s="87"/>
      <c r="G1045" s="87"/>
      <c r="H1045" s="87"/>
    </row>
    <row r="1046" spans="2:8" ht="23.25" customHeight="1" x14ac:dyDescent="0.25">
      <c r="B1046" s="87"/>
      <c r="C1046" s="87"/>
      <c r="D1046" s="87"/>
      <c r="E1046" s="87"/>
      <c r="F1046" s="87"/>
      <c r="G1046" s="87"/>
      <c r="H1046" s="87"/>
    </row>
    <row r="1047" spans="2:8" ht="18" x14ac:dyDescent="0.25">
      <c r="B1047" s="335"/>
      <c r="C1047" s="335"/>
      <c r="D1047" s="335"/>
      <c r="E1047" s="101">
        <f>+$B$1</f>
        <v>46143</v>
      </c>
      <c r="F1047" s="87"/>
      <c r="G1047" s="102">
        <f>+$D$1</f>
        <v>46183</v>
      </c>
      <c r="H1047" s="100"/>
    </row>
    <row r="1048" spans="2:8" ht="21" customHeight="1" x14ac:dyDescent="0.25">
      <c r="B1048" s="86"/>
      <c r="C1048" s="86"/>
      <c r="D1048" s="103"/>
      <c r="E1048" s="101"/>
      <c r="F1048" s="87"/>
    </row>
    <row r="1049" spans="2:8" ht="18" x14ac:dyDescent="0.25">
      <c r="B1049" s="87" t="e">
        <f>+'RES CUENTA'!#REF!</f>
        <v>#REF!</v>
      </c>
      <c r="C1049" s="87"/>
      <c r="D1049" s="87"/>
      <c r="F1049" s="87"/>
    </row>
    <row r="1050" spans="2:8" ht="18" x14ac:dyDescent="0.25">
      <c r="C1050" s="87"/>
      <c r="D1050" s="87"/>
      <c r="E1050" s="87" t="str">
        <f>+$E$1</f>
        <v>URUGUAY 1025/27/29 CAP. FED.</v>
      </c>
      <c r="F1050" s="87"/>
      <c r="H1050" s="95" t="str">
        <f>+H809</f>
        <v>Unid. 21</v>
      </c>
    </row>
    <row r="1051" spans="2:8" ht="18" x14ac:dyDescent="0.25">
      <c r="B1051" s="88"/>
      <c r="C1051" s="87"/>
      <c r="D1051" s="87"/>
      <c r="F1051" s="87"/>
      <c r="G1051" s="88"/>
      <c r="H1051" s="95" t="e">
        <f>+H810</f>
        <v>#REF!</v>
      </c>
    </row>
    <row r="1052" spans="2:8" ht="18" x14ac:dyDescent="0.25">
      <c r="B1052" s="87"/>
      <c r="C1052" s="87"/>
      <c r="D1052" s="87"/>
      <c r="E1052" s="88"/>
      <c r="F1052" s="88"/>
      <c r="G1052" s="87"/>
      <c r="H1052" s="88"/>
    </row>
    <row r="1053" spans="2:8" ht="12.75" customHeight="1" x14ac:dyDescent="0.25">
      <c r="B1053" s="96"/>
      <c r="C1053" s="87"/>
      <c r="D1053" s="96"/>
      <c r="E1053" s="87"/>
      <c r="F1053" s="87"/>
      <c r="G1053" s="87"/>
      <c r="H1053" s="87"/>
    </row>
    <row r="1054" spans="2:8" ht="18" x14ac:dyDescent="0.25">
      <c r="B1054" s="87" t="s">
        <v>82</v>
      </c>
      <c r="C1054" s="87"/>
      <c r="D1054" s="110" t="e">
        <f>+'RES CUENTA'!#REF!-RECIBOS!F796</f>
        <v>#REF!</v>
      </c>
      <c r="E1054" s="111">
        <v>0</v>
      </c>
      <c r="F1054" s="106" t="e">
        <f>+D1054</f>
        <v>#REF!</v>
      </c>
      <c r="G1054" s="87"/>
      <c r="H1054" s="96"/>
    </row>
    <row r="1055" spans="2:8" ht="18" x14ac:dyDescent="0.25">
      <c r="B1055" s="87" t="s">
        <v>194</v>
      </c>
      <c r="C1055" s="87"/>
      <c r="D1055" s="110">
        <v>0</v>
      </c>
      <c r="E1055" s="111">
        <v>0</v>
      </c>
      <c r="F1055" s="106">
        <f>+D1055*E1055/100</f>
        <v>0</v>
      </c>
      <c r="G1055" s="96"/>
      <c r="H1055" s="91"/>
    </row>
    <row r="1056" spans="2:8" ht="18" x14ac:dyDescent="0.25">
      <c r="B1056" s="87" t="s">
        <v>205</v>
      </c>
      <c r="C1056" s="87"/>
      <c r="D1056" s="110" t="e">
        <f>+'RES CUENTA'!#REF!</f>
        <v>#REF!</v>
      </c>
      <c r="E1056" s="111">
        <f>+'RES CUENTA'!N130</f>
        <v>0</v>
      </c>
      <c r="F1056" s="106" t="e">
        <f>+D1056</f>
        <v>#REF!</v>
      </c>
      <c r="G1056" s="91"/>
      <c r="H1056" s="91"/>
    </row>
    <row r="1057" spans="2:8" ht="18" x14ac:dyDescent="0.25">
      <c r="B1057" s="87" t="s">
        <v>84</v>
      </c>
      <c r="C1057" s="87"/>
      <c r="D1057" s="110" t="e">
        <f>+'RES CUENTA'!#REF!</f>
        <v>#REF!</v>
      </c>
      <c r="E1057" s="111">
        <f>+'RES CUENTA'!P129</f>
        <v>0</v>
      </c>
      <c r="F1057" s="166" t="e">
        <f>+D1057</f>
        <v>#REF!</v>
      </c>
      <c r="G1057" s="91"/>
      <c r="H1057" s="91"/>
    </row>
    <row r="1058" spans="2:8" ht="18" x14ac:dyDescent="0.25">
      <c r="B1058" s="88" t="s">
        <v>206</v>
      </c>
      <c r="C1058" s="87"/>
      <c r="D1058" s="87"/>
      <c r="F1058" s="107" t="e">
        <f>SUM(F1054:F1057)</f>
        <v>#REF!</v>
      </c>
      <c r="G1058" s="91"/>
      <c r="H1058" s="91"/>
    </row>
    <row r="1059" spans="2:8" ht="18" x14ac:dyDescent="0.25">
      <c r="B1059" s="88"/>
      <c r="C1059" s="87"/>
      <c r="D1059" s="87"/>
      <c r="F1059" s="107"/>
      <c r="G1059" s="91"/>
      <c r="H1059" s="91"/>
    </row>
    <row r="1060" spans="2:8" ht="18" x14ac:dyDescent="0.25">
      <c r="B1060" s="88"/>
      <c r="C1060" s="87"/>
      <c r="D1060" s="87"/>
      <c r="F1060" s="93"/>
      <c r="G1060" s="91"/>
      <c r="H1060" s="92"/>
    </row>
    <row r="1061" spans="2:8" ht="18" x14ac:dyDescent="0.25">
      <c r="B1061" s="87"/>
      <c r="C1061" s="87"/>
      <c r="D1061" s="87"/>
      <c r="E1061" s="87"/>
      <c r="F1061" s="94"/>
      <c r="G1061" s="92"/>
      <c r="H1061" s="92"/>
    </row>
    <row r="1062" spans="2:8" ht="18" x14ac:dyDescent="0.25">
      <c r="B1062" s="87"/>
      <c r="C1062" s="87"/>
      <c r="D1062" s="87"/>
      <c r="E1062" s="87"/>
      <c r="F1062" s="94"/>
      <c r="G1062" s="92"/>
      <c r="H1062" s="92"/>
    </row>
    <row r="1063" spans="2:8" ht="28.5" customHeight="1" x14ac:dyDescent="0.25">
      <c r="B1063" s="87"/>
      <c r="C1063" s="87"/>
      <c r="D1063" s="87"/>
      <c r="E1063" s="87"/>
      <c r="F1063" s="94"/>
      <c r="G1063" s="92"/>
      <c r="H1063" s="92"/>
    </row>
    <row r="1064" spans="2:8" ht="18" x14ac:dyDescent="0.25">
      <c r="B1064" s="87" t="e">
        <f>+B1049</f>
        <v>#REF!</v>
      </c>
      <c r="C1064" s="87"/>
      <c r="D1064" s="87"/>
      <c r="E1064" s="87" t="e">
        <f>+B1049</f>
        <v>#REF!</v>
      </c>
      <c r="F1064" s="87"/>
      <c r="G1064" s="87"/>
      <c r="H1064" s="104"/>
    </row>
    <row r="1065" spans="2:8" ht="18" x14ac:dyDescent="0.25">
      <c r="B1065" s="88"/>
      <c r="C1065" s="87"/>
      <c r="D1065" s="87"/>
      <c r="F1065" s="87"/>
      <c r="G1065" s="104"/>
      <c r="H1065" s="95" t="str">
        <f>+H1050</f>
        <v>Unid. 21</v>
      </c>
    </row>
    <row r="1066" spans="2:8" ht="18" x14ac:dyDescent="0.25">
      <c r="B1066" s="87" t="str">
        <f>+$E$1</f>
        <v>URUGUAY 1025/27/29 CAP. FED.</v>
      </c>
      <c r="C1066" s="87"/>
      <c r="D1066" s="95" t="str">
        <f>+H1065</f>
        <v>Unid. 21</v>
      </c>
      <c r="E1066" s="87" t="str">
        <f>+$E$1</f>
        <v>URUGUAY 1025/27/29 CAP. FED.</v>
      </c>
      <c r="F1066" s="87"/>
      <c r="G1066" s="87"/>
      <c r="H1066" s="88"/>
    </row>
    <row r="1067" spans="2:8" ht="18" x14ac:dyDescent="0.25">
      <c r="B1067" s="88"/>
      <c r="C1067" s="88"/>
      <c r="D1067" s="88"/>
      <c r="F1067" s="87"/>
      <c r="G1067" s="87"/>
    </row>
    <row r="1068" spans="2:8" ht="18" x14ac:dyDescent="0.25">
      <c r="B1068" s="87"/>
      <c r="C1068" s="87"/>
      <c r="D1068" s="87"/>
      <c r="E1068" s="88"/>
      <c r="F1068" s="87"/>
      <c r="G1068" s="87"/>
      <c r="H1068" s="104"/>
    </row>
    <row r="1069" spans="2:8" ht="18" x14ac:dyDescent="0.25">
      <c r="B1069" s="87" t="str">
        <f>+F1</f>
        <v xml:space="preserve">P/depósito/transferencia en ICBC </v>
      </c>
      <c r="C1069" s="87"/>
      <c r="D1069" s="87"/>
      <c r="E1069" s="87"/>
      <c r="F1069" s="98"/>
      <c r="G1069" s="88"/>
      <c r="H1069" s="87"/>
    </row>
    <row r="1070" spans="2:8" ht="18" x14ac:dyDescent="0.25">
      <c r="B1070" s="87" t="str">
        <f>+F2</f>
        <v>Cta. Cte. $ N°538/02104658/84</v>
      </c>
      <c r="C1070" s="87"/>
      <c r="D1070" s="87"/>
      <c r="E1070" s="98"/>
      <c r="G1070" s="96"/>
      <c r="H1070" s="97"/>
    </row>
    <row r="1071" spans="2:8" ht="18" x14ac:dyDescent="0.25">
      <c r="B1071" s="88"/>
      <c r="C1071" s="87"/>
      <c r="D1071" s="87"/>
      <c r="E1071" s="87" t="s">
        <v>85</v>
      </c>
      <c r="F1071" s="109" t="e">
        <f>+D1054</f>
        <v>#REF!</v>
      </c>
      <c r="G1071" s="97"/>
      <c r="H1071" s="102">
        <f>+B1075</f>
        <v>46183</v>
      </c>
    </row>
    <row r="1072" spans="2:8" ht="18" x14ac:dyDescent="0.25">
      <c r="B1072" s="88"/>
      <c r="C1072" s="87"/>
      <c r="D1072" s="87"/>
      <c r="E1072" s="87" t="s">
        <v>193</v>
      </c>
      <c r="F1072" s="109">
        <f>+F1055</f>
        <v>0</v>
      </c>
      <c r="H1072" s="87"/>
    </row>
    <row r="1073" spans="1:8" ht="18" x14ac:dyDescent="0.25">
      <c r="B1073" s="87"/>
      <c r="C1073" s="87"/>
      <c r="D1073" s="87"/>
      <c r="E1073" s="87" t="s">
        <v>86</v>
      </c>
      <c r="F1073" s="109" t="e">
        <f>+F1056</f>
        <v>#REF!</v>
      </c>
      <c r="G1073" s="87"/>
      <c r="H1073" s="87"/>
    </row>
    <row r="1074" spans="1:8" ht="18" x14ac:dyDescent="0.25">
      <c r="B1074" s="98"/>
      <c r="C1074" s="98"/>
      <c r="D1074" s="98"/>
      <c r="E1074" s="87" t="s">
        <v>87</v>
      </c>
      <c r="F1074" s="109">
        <f>+'RES CUENTA'!P948</f>
        <v>0</v>
      </c>
      <c r="G1074" s="87"/>
      <c r="H1074" s="87"/>
    </row>
    <row r="1075" spans="1:8" ht="18" x14ac:dyDescent="0.25">
      <c r="B1075" s="102">
        <f>+$G$34</f>
        <v>46183</v>
      </c>
      <c r="C1075" s="108" t="e">
        <f>+F1058</f>
        <v>#REF!</v>
      </c>
      <c r="D1075" s="87"/>
      <c r="E1075" s="87" t="s">
        <v>207</v>
      </c>
      <c r="F1075" s="167" t="e">
        <f>+F1057</f>
        <v>#REF!</v>
      </c>
      <c r="G1075" s="87"/>
      <c r="H1075" s="87"/>
    </row>
    <row r="1076" spans="1:8" ht="18" x14ac:dyDescent="0.25">
      <c r="B1076" s="87"/>
      <c r="C1076" s="87"/>
      <c r="D1076" s="87"/>
      <c r="E1076" s="87" t="s">
        <v>88</v>
      </c>
      <c r="F1076" s="109" t="e">
        <f>+F1058</f>
        <v>#REF!</v>
      </c>
      <c r="G1076" s="87"/>
      <c r="H1076" s="87"/>
    </row>
    <row r="1077" spans="1:8" ht="18" x14ac:dyDescent="0.25">
      <c r="B1077" s="87"/>
      <c r="C1077" s="87"/>
      <c r="D1077" s="87"/>
      <c r="E1077" s="87"/>
      <c r="F1077" s="87"/>
      <c r="G1077" s="87"/>
      <c r="H1077" s="87"/>
    </row>
    <row r="1078" spans="1:8" ht="18" x14ac:dyDescent="0.25">
      <c r="B1078" s="87"/>
      <c r="C1078" s="87"/>
      <c r="D1078" s="87"/>
      <c r="E1078" s="105"/>
      <c r="F1078" s="87"/>
      <c r="G1078" s="87"/>
      <c r="H1078" s="87"/>
    </row>
    <row r="1079" spans="1:8" ht="18" x14ac:dyDescent="0.25">
      <c r="B1079" s="87"/>
      <c r="C1079" s="87"/>
      <c r="D1079" s="87"/>
      <c r="E1079" s="87"/>
      <c r="F1079" s="87"/>
      <c r="G1079" s="87"/>
      <c r="H1079" s="96"/>
    </row>
    <row r="1080" spans="1:8" ht="18" x14ac:dyDescent="0.25">
      <c r="E1080" s="87"/>
      <c r="G1080" s="96"/>
      <c r="H1080" s="87"/>
    </row>
    <row r="1081" spans="1:8" ht="18" x14ac:dyDescent="0.25">
      <c r="E1081" s="87"/>
      <c r="G1081" s="96"/>
      <c r="H1081" s="87"/>
    </row>
    <row r="1082" spans="1:8" ht="18" x14ac:dyDescent="0.25">
      <c r="A1082" s="168"/>
      <c r="E1082" s="87"/>
      <c r="G1082" s="96"/>
      <c r="H1082" s="87"/>
    </row>
    <row r="1083" spans="1:8" ht="18" x14ac:dyDescent="0.25">
      <c r="E1083" s="87"/>
      <c r="G1083" s="96"/>
      <c r="H1083" s="87"/>
    </row>
    <row r="1085" spans="1:8" ht="18" x14ac:dyDescent="0.25">
      <c r="B1085" s="335"/>
      <c r="C1085" s="335"/>
      <c r="D1085" s="335"/>
      <c r="E1085" s="340">
        <v>39417</v>
      </c>
      <c r="F1085" s="87"/>
      <c r="G1085" s="341">
        <v>39437</v>
      </c>
      <c r="H1085" s="87"/>
    </row>
    <row r="1086" spans="1:8" ht="18" x14ac:dyDescent="0.25">
      <c r="B1086" s="86"/>
      <c r="C1086" s="86"/>
      <c r="D1086" s="103"/>
      <c r="E1086" s="340"/>
      <c r="F1086" s="87"/>
      <c r="G1086" s="341"/>
      <c r="H1086" s="87"/>
    </row>
    <row r="1087" spans="1:8" ht="18" x14ac:dyDescent="0.25">
      <c r="B1087" s="87"/>
      <c r="C1087" s="87"/>
      <c r="D1087" s="87"/>
      <c r="E1087" s="88"/>
      <c r="F1087" s="87"/>
      <c r="G1087" s="88"/>
      <c r="H1087" s="87"/>
    </row>
    <row r="1088" spans="1:8" ht="18" x14ac:dyDescent="0.25">
      <c r="B1088" s="87" t="e">
        <f>+'RES CUENTA'!#REF!</f>
        <v>#REF!</v>
      </c>
      <c r="C1088" s="87"/>
      <c r="D1088" s="87"/>
      <c r="E1088" s="88"/>
      <c r="F1088" s="87"/>
      <c r="G1088" s="88"/>
      <c r="H1088" s="87"/>
    </row>
    <row r="1089" spans="2:8" ht="18" x14ac:dyDescent="0.25">
      <c r="B1089" s="88"/>
      <c r="C1089" s="87"/>
      <c r="D1089" s="87"/>
      <c r="E1089" s="87" t="str">
        <f>+E1050</f>
        <v>URUGUAY 1025/27/29 CAP. FED.</v>
      </c>
      <c r="F1089" s="87"/>
      <c r="G1089" s="87"/>
      <c r="H1089" s="95" t="s">
        <v>108</v>
      </c>
    </row>
    <row r="1090" spans="2:8" ht="18" x14ac:dyDescent="0.25">
      <c r="B1090" s="87"/>
      <c r="C1090" s="87"/>
      <c r="D1090" s="87"/>
      <c r="E1090" s="88"/>
      <c r="F1090" s="88"/>
      <c r="G1090" s="87"/>
      <c r="H1090" s="87" t="e">
        <f>+'RES CUENTA'!#REF!</f>
        <v>#REF!</v>
      </c>
    </row>
    <row r="1091" spans="2:8" ht="18" x14ac:dyDescent="0.25">
      <c r="B1091" s="96"/>
      <c r="C1091" s="87"/>
      <c r="D1091" s="96"/>
      <c r="E1091" s="87"/>
      <c r="F1091" s="87"/>
      <c r="G1091" s="87"/>
      <c r="H1091" s="87"/>
    </row>
    <row r="1092" spans="2:8" ht="19.5" customHeight="1" x14ac:dyDescent="0.25">
      <c r="B1092" s="95" t="s">
        <v>210</v>
      </c>
      <c r="C1092" s="87"/>
      <c r="D1092" s="96"/>
      <c r="E1092" s="87"/>
      <c r="F1092" s="173">
        <v>500</v>
      </c>
      <c r="G1092" s="87"/>
      <c r="H1092" s="87"/>
    </row>
    <row r="1093" spans="2:8" ht="18" x14ac:dyDescent="0.25">
      <c r="B1093" s="88"/>
      <c r="C1093" s="87"/>
      <c r="D1093" s="87"/>
      <c r="E1093" s="94"/>
      <c r="F1093" s="107">
        <f>+F1092</f>
        <v>500</v>
      </c>
      <c r="G1093" s="336"/>
      <c r="H1093" s="336"/>
    </row>
    <row r="1094" spans="2:8" ht="18" x14ac:dyDescent="0.25">
      <c r="B1094" s="88"/>
      <c r="C1094" s="87"/>
      <c r="D1094" s="87"/>
      <c r="E1094" s="87"/>
      <c r="G1094" s="337"/>
      <c r="H1094" s="337"/>
    </row>
    <row r="1095" spans="2:8" ht="18" x14ac:dyDescent="0.25">
      <c r="B1095" s="87"/>
      <c r="C1095" s="87"/>
      <c r="D1095" s="87"/>
      <c r="E1095" s="87"/>
      <c r="F1095" s="93"/>
      <c r="G1095" s="92"/>
      <c r="H1095" s="92"/>
    </row>
    <row r="1096" spans="2:8" ht="18" x14ac:dyDescent="0.25">
      <c r="B1096" s="87"/>
      <c r="C1096" s="87"/>
      <c r="D1096" s="87"/>
      <c r="E1096" s="87"/>
      <c r="F1096" s="93"/>
      <c r="G1096" s="92"/>
      <c r="H1096" s="92"/>
    </row>
    <row r="1097" spans="2:8" ht="18" x14ac:dyDescent="0.25">
      <c r="B1097" s="87"/>
      <c r="C1097" s="87"/>
      <c r="D1097" s="87"/>
      <c r="E1097" s="87"/>
      <c r="F1097" s="93"/>
      <c r="G1097" s="92"/>
      <c r="H1097" s="92"/>
    </row>
    <row r="1098" spans="2:8" ht="18" x14ac:dyDescent="0.25">
      <c r="B1098" s="87"/>
      <c r="C1098" s="87"/>
      <c r="D1098" s="87"/>
      <c r="E1098" s="87"/>
      <c r="F1098" s="93"/>
      <c r="G1098" s="92"/>
      <c r="H1098" s="92"/>
    </row>
    <row r="1099" spans="2:8" ht="18" x14ac:dyDescent="0.25">
      <c r="B1099" s="87"/>
      <c r="C1099" s="87"/>
      <c r="D1099" s="87"/>
      <c r="E1099" s="87"/>
      <c r="F1099" s="93"/>
      <c r="G1099" s="92"/>
      <c r="H1099" s="92"/>
    </row>
    <row r="1100" spans="2:8" ht="18" x14ac:dyDescent="0.25">
      <c r="B1100" s="87"/>
      <c r="C1100" s="87"/>
      <c r="D1100" s="87"/>
      <c r="E1100" s="87"/>
      <c r="F1100" s="93"/>
      <c r="G1100" s="92"/>
      <c r="H1100" s="92"/>
    </row>
    <row r="1101" spans="2:8" ht="18" x14ac:dyDescent="0.25">
      <c r="B1101" s="87"/>
      <c r="C1101" s="87"/>
      <c r="D1101" s="87"/>
      <c r="E1101" s="87"/>
      <c r="F1101" s="94"/>
      <c r="G1101" s="87"/>
      <c r="H1101" s="87"/>
    </row>
    <row r="1102" spans="2:8" ht="11.25" customHeight="1" x14ac:dyDescent="0.25">
      <c r="B1102" s="87"/>
      <c r="C1102" s="87"/>
      <c r="D1102" s="87"/>
      <c r="E1102" s="87"/>
      <c r="F1102" s="94"/>
      <c r="G1102" s="87"/>
      <c r="H1102" s="87"/>
    </row>
    <row r="1103" spans="2:8" ht="18" x14ac:dyDescent="0.25">
      <c r="B1103" s="87" t="e">
        <f>+B1088</f>
        <v>#REF!</v>
      </c>
      <c r="C1103" s="338"/>
      <c r="D1103" s="338"/>
      <c r="E1103" s="87" t="e">
        <f>+B1103</f>
        <v>#REF!</v>
      </c>
      <c r="F1103" s="94"/>
      <c r="G1103" s="87"/>
      <c r="H1103" s="87"/>
    </row>
    <row r="1104" spans="2:8" ht="18" x14ac:dyDescent="0.25">
      <c r="C1104" s="87"/>
      <c r="D1104" s="87"/>
      <c r="F1104" s="338"/>
      <c r="G1104" s="338"/>
      <c r="H1104" s="338"/>
    </row>
    <row r="1105" spans="2:8" ht="18" x14ac:dyDescent="0.25">
      <c r="B1105" s="87" t="str">
        <f>+$E$1</f>
        <v>URUGUAY 1025/27/29 CAP. FED.</v>
      </c>
      <c r="C1105" s="87"/>
      <c r="D1105" s="95" t="str">
        <f>+H1089</f>
        <v>Unid. 20</v>
      </c>
      <c r="E1105" s="87" t="str">
        <f>+$E$1</f>
        <v>URUGUAY 1025/27/29 CAP. FED.</v>
      </c>
      <c r="F1105" s="87"/>
      <c r="G1105" s="87"/>
      <c r="H1105" s="95" t="str">
        <f>+D1105</f>
        <v>Unid. 20</v>
      </c>
    </row>
    <row r="1106" spans="2:8" ht="18" x14ac:dyDescent="0.25">
      <c r="D1106" s="95" t="e">
        <f>+H1090</f>
        <v>#REF!</v>
      </c>
      <c r="H1106" s="95" t="e">
        <f>+D1106</f>
        <v>#REF!</v>
      </c>
    </row>
    <row r="1107" spans="2:8" ht="11.25" customHeight="1" x14ac:dyDescent="0.25">
      <c r="B1107" s="88"/>
      <c r="C1107" s="88"/>
      <c r="D1107" s="88"/>
      <c r="E1107" s="88"/>
      <c r="F1107" s="87"/>
      <c r="G1107" s="87"/>
    </row>
    <row r="1108" spans="2:8" ht="18" x14ac:dyDescent="0.25">
      <c r="B1108" s="87"/>
      <c r="C1108" s="87"/>
      <c r="D1108" s="87"/>
      <c r="E1108" s="87"/>
      <c r="F1108" s="87"/>
      <c r="G1108" s="88"/>
      <c r="H1108" s="104"/>
    </row>
    <row r="1109" spans="2:8" ht="18" x14ac:dyDescent="0.25">
      <c r="B1109" s="87"/>
      <c r="C1109" s="87"/>
      <c r="D1109" s="87"/>
      <c r="E1109" s="98"/>
      <c r="F1109" s="87"/>
      <c r="G1109" s="96"/>
      <c r="H1109" s="87"/>
    </row>
    <row r="1110" spans="2:8" ht="18" x14ac:dyDescent="0.25">
      <c r="C1110" s="87"/>
      <c r="D1110" s="87"/>
      <c r="E1110" s="87" t="s">
        <v>211</v>
      </c>
      <c r="F1110" s="109">
        <f>+F1093</f>
        <v>500</v>
      </c>
      <c r="H1110" s="102">
        <f>+G1085</f>
        <v>39437</v>
      </c>
    </row>
    <row r="1111" spans="2:8" ht="18" x14ac:dyDescent="0.25">
      <c r="B1111" s="88"/>
      <c r="C1111" s="87"/>
      <c r="D1111" s="87"/>
      <c r="E1111" s="87" t="s">
        <v>193</v>
      </c>
      <c r="F1111" s="109">
        <v>0</v>
      </c>
    </row>
    <row r="1112" spans="2:8" ht="18" x14ac:dyDescent="0.25">
      <c r="B1112" s="88"/>
      <c r="C1112" s="87"/>
      <c r="D1112" s="87"/>
      <c r="E1112" s="87" t="s">
        <v>202</v>
      </c>
      <c r="F1112" s="109">
        <v>0</v>
      </c>
      <c r="G1112" s="87"/>
      <c r="H1112" s="87"/>
    </row>
    <row r="1113" spans="2:8" ht="18" x14ac:dyDescent="0.25">
      <c r="B1113" s="87"/>
      <c r="C1113" s="87"/>
      <c r="D1113" s="87"/>
      <c r="E1113" s="87" t="s">
        <v>209</v>
      </c>
      <c r="F1113" s="109">
        <v>0</v>
      </c>
      <c r="G1113" s="87"/>
      <c r="H1113" s="87"/>
    </row>
    <row r="1114" spans="2:8" ht="18" x14ac:dyDescent="0.25">
      <c r="B1114" s="98"/>
      <c r="C1114" s="98"/>
      <c r="D1114" s="98"/>
      <c r="E1114" s="87" t="s">
        <v>321</v>
      </c>
      <c r="F1114" s="167">
        <v>0</v>
      </c>
      <c r="G1114" s="87"/>
      <c r="H1114" s="87"/>
    </row>
    <row r="1115" spans="2:8" ht="18" x14ac:dyDescent="0.25">
      <c r="B1115" s="102">
        <f>+H1110</f>
        <v>39437</v>
      </c>
      <c r="C1115" s="108">
        <f>+F1093</f>
        <v>500</v>
      </c>
      <c r="D1115" s="87"/>
      <c r="E1115" s="87" t="s">
        <v>88</v>
      </c>
      <c r="F1115" s="109">
        <f>+F1093</f>
        <v>500</v>
      </c>
      <c r="G1115" s="87"/>
      <c r="H1115" s="87"/>
    </row>
    <row r="1116" spans="2:8" ht="18" x14ac:dyDescent="0.25">
      <c r="B1116" s="87"/>
      <c r="C1116" s="87"/>
      <c r="D1116" s="87"/>
      <c r="E1116" s="105"/>
      <c r="F1116" s="87"/>
      <c r="G1116" s="87"/>
      <c r="H1116" s="87"/>
    </row>
    <row r="1117" spans="2:8" ht="18" x14ac:dyDescent="0.25">
      <c r="B1117" s="87"/>
      <c r="C1117" s="87"/>
      <c r="D1117" s="87"/>
      <c r="E1117" s="87"/>
      <c r="F1117" s="87"/>
      <c r="G1117" s="339"/>
      <c r="H1117" s="339"/>
    </row>
    <row r="1118" spans="2:8" ht="18" x14ac:dyDescent="0.25">
      <c r="B1118" s="87"/>
      <c r="C1118" s="87"/>
      <c r="D1118" s="87"/>
      <c r="E1118" s="87"/>
      <c r="F1118" s="87"/>
      <c r="G1118" s="87"/>
      <c r="H1118" s="87"/>
    </row>
    <row r="1119" spans="2:8" ht="18" x14ac:dyDescent="0.25">
      <c r="B1119" s="87"/>
      <c r="C1119" s="87"/>
      <c r="D1119" s="87"/>
      <c r="E1119" s="87"/>
      <c r="F1119" s="87"/>
      <c r="G1119" s="87"/>
      <c r="H1119" s="87"/>
    </row>
    <row r="1120" spans="2:8" ht="18" x14ac:dyDescent="0.25">
      <c r="B1120" s="87"/>
      <c r="C1120" s="87"/>
      <c r="D1120" s="87"/>
      <c r="E1120" s="87"/>
      <c r="F1120" s="87"/>
      <c r="G1120" s="87"/>
      <c r="H1120" s="87"/>
    </row>
    <row r="1121" spans="2:8" ht="18" x14ac:dyDescent="0.25">
      <c r="B1121" s="87"/>
      <c r="C1121" s="87"/>
      <c r="D1121" s="87"/>
      <c r="E1121" s="87"/>
      <c r="F1121" s="87"/>
      <c r="H1121" s="87"/>
    </row>
    <row r="1122" spans="2:8" ht="18" x14ac:dyDescent="0.25">
      <c r="B1122" s="87"/>
      <c r="C1122" s="87"/>
      <c r="D1122" s="87"/>
      <c r="E1122" s="87"/>
      <c r="F1122" s="87"/>
      <c r="H1122" s="87"/>
    </row>
    <row r="1123" spans="2:8" ht="18" x14ac:dyDescent="0.25">
      <c r="B1123" s="335"/>
      <c r="C1123" s="335"/>
      <c r="D1123" s="335"/>
      <c r="E1123" s="101">
        <v>39448</v>
      </c>
      <c r="F1123" s="87"/>
      <c r="G1123" s="102">
        <v>39488</v>
      </c>
      <c r="H1123" s="100"/>
    </row>
    <row r="1124" spans="2:8" ht="30" customHeight="1" x14ac:dyDescent="0.25">
      <c r="B1124" s="86"/>
      <c r="C1124" s="86"/>
      <c r="D1124" s="103"/>
      <c r="E1124" s="101"/>
      <c r="F1124" s="87"/>
    </row>
    <row r="1125" spans="2:8" ht="18" x14ac:dyDescent="0.25">
      <c r="B1125" s="87" t="e">
        <f>+'RES CUENTA'!#REF!</f>
        <v>#REF!</v>
      </c>
      <c r="C1125" s="87"/>
      <c r="D1125" s="87"/>
      <c r="F1125" s="87"/>
    </row>
    <row r="1126" spans="2:8" ht="18" x14ac:dyDescent="0.25">
      <c r="C1126" s="87"/>
      <c r="D1126" s="87"/>
      <c r="E1126" s="87" t="str">
        <f>+$E$1</f>
        <v>URUGUAY 1025/27/29 CAP. FED.</v>
      </c>
      <c r="F1126" s="87"/>
      <c r="H1126" s="95" t="str">
        <f>+H1089</f>
        <v>Unid. 20</v>
      </c>
    </row>
    <row r="1127" spans="2:8" ht="18" x14ac:dyDescent="0.25">
      <c r="B1127" s="88"/>
      <c r="C1127" s="87"/>
      <c r="D1127" s="87"/>
      <c r="F1127" s="87"/>
      <c r="G1127" s="88"/>
      <c r="H1127" s="95" t="e">
        <f>+H1090</f>
        <v>#REF!</v>
      </c>
    </row>
    <row r="1128" spans="2:8" ht="18" x14ac:dyDescent="0.25">
      <c r="B1128" s="87"/>
      <c r="C1128" s="87"/>
      <c r="D1128" s="87"/>
      <c r="E1128" s="88"/>
      <c r="F1128" s="88"/>
      <c r="G1128" s="87"/>
      <c r="H1128" s="88"/>
    </row>
    <row r="1129" spans="2:8" ht="12" customHeight="1" x14ac:dyDescent="0.25">
      <c r="B1129" s="96"/>
      <c r="C1129" s="87"/>
      <c r="D1129" s="96"/>
      <c r="E1129" s="87"/>
      <c r="F1129" s="87"/>
      <c r="G1129" s="87"/>
      <c r="H1129" s="87"/>
    </row>
    <row r="1130" spans="2:8" ht="18" x14ac:dyDescent="0.25">
      <c r="B1130" s="87" t="s">
        <v>82</v>
      </c>
      <c r="C1130" s="87"/>
      <c r="D1130" s="110">
        <f>+'RES CUENTA'!H26</f>
        <v>6751880</v>
      </c>
      <c r="E1130" s="111" t="e">
        <f>+'RES CUENTA'!#REF!</f>
        <v>#REF!</v>
      </c>
      <c r="F1130" s="106" t="e">
        <f>+D1130*E1130/100</f>
        <v>#REF!</v>
      </c>
      <c r="G1130" s="87"/>
      <c r="H1130" s="96"/>
    </row>
    <row r="1131" spans="2:8" ht="18" x14ac:dyDescent="0.25">
      <c r="B1131" s="87" t="s">
        <v>194</v>
      </c>
      <c r="C1131" s="87"/>
      <c r="D1131" s="110">
        <f>+'RES CUENTA'!J26</f>
        <v>1482120</v>
      </c>
      <c r="E1131" s="111" t="e">
        <f>+'RES CUENTA'!#REF!</f>
        <v>#REF!</v>
      </c>
      <c r="F1131" s="106" t="e">
        <f>+D1131*E1131/100</f>
        <v>#REF!</v>
      </c>
      <c r="G1131" s="96"/>
      <c r="H1131" s="91"/>
    </row>
    <row r="1132" spans="2:8" ht="18" x14ac:dyDescent="0.25">
      <c r="B1132" s="87" t="s">
        <v>200</v>
      </c>
      <c r="D1132" s="110">
        <v>0</v>
      </c>
      <c r="E1132" s="111">
        <v>0</v>
      </c>
      <c r="F1132" s="106">
        <f>+D1132</f>
        <v>0</v>
      </c>
      <c r="G1132" s="91"/>
      <c r="H1132" s="91"/>
    </row>
    <row r="1133" spans="2:8" ht="18" x14ac:dyDescent="0.25">
      <c r="B1133" s="87" t="s">
        <v>321</v>
      </c>
      <c r="C1133" s="87"/>
      <c r="D1133" s="110" t="e">
        <f>+'RES CUENTA'!#REF!</f>
        <v>#REF!</v>
      </c>
      <c r="E1133" s="111">
        <f>+'RES CUENTA'!N206</f>
        <v>0</v>
      </c>
      <c r="F1133" s="106" t="e">
        <f>+D1133</f>
        <v>#REF!</v>
      </c>
      <c r="G1133" s="91"/>
      <c r="H1133" s="91"/>
    </row>
    <row r="1134" spans="2:8" ht="18" x14ac:dyDescent="0.25">
      <c r="B1134" s="87" t="s">
        <v>201</v>
      </c>
      <c r="C1134" s="87"/>
      <c r="D1134" s="110">
        <v>0</v>
      </c>
      <c r="E1134" s="111">
        <v>0</v>
      </c>
      <c r="F1134" s="166">
        <f>+'RES CUENTA'!P1024</f>
        <v>0</v>
      </c>
      <c r="G1134" s="91"/>
      <c r="H1134" s="91"/>
    </row>
    <row r="1135" spans="2:8" ht="18" x14ac:dyDescent="0.25">
      <c r="B1135" s="88"/>
      <c r="C1135" s="87"/>
      <c r="D1135" s="87"/>
      <c r="F1135" s="107" t="e">
        <f>SUM(F1130:F1134)</f>
        <v>#REF!</v>
      </c>
      <c r="G1135" s="91"/>
      <c r="H1135" s="92"/>
    </row>
    <row r="1136" spans="2:8" ht="18" x14ac:dyDescent="0.25">
      <c r="B1136" s="88"/>
      <c r="C1136" s="87"/>
      <c r="D1136" s="87"/>
      <c r="F1136" s="93"/>
      <c r="G1136" s="91"/>
      <c r="H1136" s="92"/>
    </row>
    <row r="1137" spans="2:8" ht="18" x14ac:dyDescent="0.25">
      <c r="B1137" s="87"/>
      <c r="C1137" s="87"/>
      <c r="D1137" s="87"/>
      <c r="E1137" s="87"/>
      <c r="F1137" s="94"/>
      <c r="G1137" s="92"/>
      <c r="H1137" s="92"/>
    </row>
    <row r="1138" spans="2:8" ht="18" x14ac:dyDescent="0.25">
      <c r="B1138" s="87"/>
      <c r="C1138" s="87"/>
      <c r="D1138" s="87"/>
      <c r="E1138" s="87"/>
      <c r="F1138" s="94"/>
      <c r="G1138" s="92"/>
      <c r="H1138" s="92"/>
    </row>
    <row r="1139" spans="2:8" ht="27" customHeight="1" x14ac:dyDescent="0.25">
      <c r="B1139" s="87"/>
      <c r="C1139" s="87"/>
      <c r="D1139" s="87"/>
      <c r="E1139" s="87"/>
      <c r="F1139" s="94"/>
      <c r="G1139" s="92"/>
      <c r="H1139" s="87"/>
    </row>
    <row r="1140" spans="2:8" ht="18" x14ac:dyDescent="0.25">
      <c r="B1140" s="87" t="e">
        <f>+B1125</f>
        <v>#REF!</v>
      </c>
      <c r="C1140" s="87"/>
      <c r="D1140" s="87"/>
      <c r="E1140" s="87" t="e">
        <f>+B1125</f>
        <v>#REF!</v>
      </c>
      <c r="F1140" s="87"/>
      <c r="G1140" s="87"/>
      <c r="H1140" s="104"/>
    </row>
    <row r="1141" spans="2:8" ht="18" x14ac:dyDescent="0.25">
      <c r="B1141" s="88"/>
      <c r="C1141" s="87"/>
      <c r="D1141" s="87"/>
      <c r="F1141" s="87"/>
      <c r="G1141" s="104"/>
      <c r="H1141" s="95" t="str">
        <f>+H1126</f>
        <v>Unid. 20</v>
      </c>
    </row>
    <row r="1142" spans="2:8" ht="18" x14ac:dyDescent="0.25">
      <c r="B1142" s="87" t="str">
        <f>+$E$1</f>
        <v>URUGUAY 1025/27/29 CAP. FED.</v>
      </c>
      <c r="C1142" s="87"/>
      <c r="D1142" s="95" t="str">
        <f>+H1141</f>
        <v>Unid. 20</v>
      </c>
      <c r="E1142" s="87" t="str">
        <f>+$E$1</f>
        <v>URUGUAY 1025/27/29 CAP. FED.</v>
      </c>
      <c r="F1142" s="87"/>
      <c r="G1142" s="87"/>
      <c r="H1142" s="95" t="e">
        <f>+H1127</f>
        <v>#REF!</v>
      </c>
    </row>
    <row r="1143" spans="2:8" ht="18" x14ac:dyDescent="0.25">
      <c r="B1143" s="88"/>
      <c r="C1143" s="88"/>
      <c r="D1143" s="95" t="e">
        <f>+H1142</f>
        <v>#REF!</v>
      </c>
      <c r="F1143" s="87"/>
      <c r="G1143" s="87"/>
    </row>
    <row r="1144" spans="2:8" ht="18" x14ac:dyDescent="0.25">
      <c r="B1144" s="87"/>
      <c r="C1144" s="87"/>
      <c r="D1144" s="87"/>
      <c r="E1144" s="88"/>
      <c r="F1144" s="87"/>
      <c r="G1144" s="87"/>
      <c r="H1144" s="104"/>
    </row>
    <row r="1145" spans="2:8" ht="18" x14ac:dyDescent="0.25">
      <c r="B1145" s="87" t="str">
        <f>+$F1</f>
        <v xml:space="preserve">P/depósito/transferencia en ICBC </v>
      </c>
      <c r="C1145" s="87"/>
      <c r="D1145" s="87"/>
      <c r="E1145" s="87"/>
      <c r="F1145" s="98"/>
      <c r="G1145" s="88"/>
      <c r="H1145" s="87"/>
    </row>
    <row r="1146" spans="2:8" ht="18" x14ac:dyDescent="0.25">
      <c r="B1146" s="87" t="str">
        <f>+$F$2</f>
        <v>Cta. Cte. $ N°538/02104658/84</v>
      </c>
      <c r="C1146" s="87"/>
      <c r="D1146" s="87"/>
      <c r="E1146" s="98"/>
      <c r="G1146" s="96"/>
      <c r="H1146" s="97"/>
    </row>
    <row r="1147" spans="2:8" ht="18" x14ac:dyDescent="0.25">
      <c r="B1147" s="88"/>
      <c r="C1147" s="87"/>
      <c r="D1147" s="87"/>
      <c r="E1147" s="87" t="s">
        <v>85</v>
      </c>
      <c r="F1147" s="109" t="e">
        <f>+F1130</f>
        <v>#REF!</v>
      </c>
      <c r="G1147" s="97"/>
      <c r="H1147" s="102">
        <f>+G1123</f>
        <v>39488</v>
      </c>
    </row>
    <row r="1148" spans="2:8" ht="18" x14ac:dyDescent="0.25">
      <c r="B1148" s="88"/>
      <c r="C1148" s="87"/>
      <c r="D1148" s="87"/>
      <c r="E1148" s="87" t="s">
        <v>193</v>
      </c>
      <c r="F1148" s="109" t="e">
        <f>+F1131</f>
        <v>#REF!</v>
      </c>
      <c r="H1148" s="87"/>
    </row>
    <row r="1149" spans="2:8" ht="18" x14ac:dyDescent="0.25">
      <c r="B1149" s="87"/>
      <c r="C1149" s="87"/>
      <c r="D1149" s="87"/>
      <c r="E1149" s="87" t="s">
        <v>202</v>
      </c>
      <c r="F1149" s="109">
        <f>+F1132</f>
        <v>0</v>
      </c>
      <c r="G1149" s="87"/>
      <c r="H1149" s="87"/>
    </row>
    <row r="1150" spans="2:8" ht="18" x14ac:dyDescent="0.25">
      <c r="B1150" s="98"/>
      <c r="C1150" s="98"/>
      <c r="D1150" s="98"/>
      <c r="E1150" s="87" t="s">
        <v>209</v>
      </c>
      <c r="F1150" s="109">
        <f>+'RES CUENTA'!P1024</f>
        <v>0</v>
      </c>
      <c r="G1150" s="87"/>
      <c r="H1150" s="87"/>
    </row>
    <row r="1151" spans="2:8" ht="18" x14ac:dyDescent="0.25">
      <c r="B1151" s="102">
        <f>+H1147</f>
        <v>39488</v>
      </c>
      <c r="C1151" s="108" t="e">
        <f>+F1135</f>
        <v>#REF!</v>
      </c>
      <c r="D1151" s="87"/>
      <c r="E1151" s="87" t="s">
        <v>321</v>
      </c>
      <c r="F1151" s="167" t="e">
        <f>+F1133</f>
        <v>#REF!</v>
      </c>
      <c r="G1151" s="87"/>
      <c r="H1151" s="87"/>
    </row>
    <row r="1152" spans="2:8" ht="18" x14ac:dyDescent="0.25">
      <c r="B1152" s="87"/>
      <c r="C1152" s="87"/>
      <c r="D1152" s="87"/>
      <c r="E1152" s="87" t="s">
        <v>88</v>
      </c>
      <c r="F1152" s="109" t="e">
        <f>+F1135</f>
        <v>#REF!</v>
      </c>
      <c r="G1152" s="87"/>
      <c r="H1152" s="87"/>
    </row>
    <row r="1153" spans="2:8" ht="18" x14ac:dyDescent="0.25">
      <c r="B1153" s="87"/>
      <c r="C1153" s="87"/>
      <c r="D1153" s="87"/>
      <c r="E1153" s="87"/>
      <c r="F1153" s="87"/>
      <c r="G1153" s="87"/>
      <c r="H1153" s="87"/>
    </row>
    <row r="1154" spans="2:8" ht="18" x14ac:dyDescent="0.25">
      <c r="B1154" s="87"/>
      <c r="C1154" s="87"/>
      <c r="D1154" s="87"/>
      <c r="E1154" s="105"/>
      <c r="F1154" s="87"/>
      <c r="G1154" s="87"/>
      <c r="H1154" s="87"/>
    </row>
    <row r="1155" spans="2:8" ht="18" x14ac:dyDescent="0.25">
      <c r="B1155" s="87"/>
      <c r="C1155" s="87"/>
      <c r="D1155" s="87"/>
      <c r="E1155" s="87"/>
      <c r="F1155" s="87"/>
      <c r="G1155" s="87"/>
      <c r="H1155" s="96"/>
    </row>
    <row r="1156" spans="2:8" ht="9" customHeight="1" x14ac:dyDescent="0.25">
      <c r="E1156" s="342" t="s">
        <v>227</v>
      </c>
      <c r="G1156" s="96"/>
      <c r="H1156" s="87"/>
    </row>
    <row r="1157" spans="2:8" x14ac:dyDescent="0.2">
      <c r="E1157" s="343"/>
    </row>
    <row r="1158" spans="2:8" ht="18" customHeight="1" x14ac:dyDescent="0.25">
      <c r="B1158" s="335"/>
      <c r="C1158" s="335"/>
      <c r="D1158" s="335"/>
      <c r="E1158" s="343"/>
      <c r="F1158" s="87"/>
      <c r="G1158" s="341">
        <v>40872</v>
      </c>
      <c r="H1158" s="87"/>
    </row>
    <row r="1159" spans="2:8" ht="18" x14ac:dyDescent="0.25">
      <c r="B1159" s="86"/>
      <c r="C1159" s="86"/>
      <c r="D1159" s="103"/>
      <c r="E1159" s="343"/>
      <c r="F1159" s="87"/>
      <c r="G1159" s="341"/>
      <c r="H1159" s="87"/>
    </row>
    <row r="1160" spans="2:8" ht="18" x14ac:dyDescent="0.25">
      <c r="B1160" s="87"/>
      <c r="C1160" s="87"/>
      <c r="D1160" s="87"/>
      <c r="E1160" s="88"/>
      <c r="F1160" s="87"/>
      <c r="G1160" s="88"/>
      <c r="H1160" s="87"/>
    </row>
    <row r="1161" spans="2:8" ht="23.25" customHeight="1" x14ac:dyDescent="0.25">
      <c r="B1161" s="87" t="e">
        <f>+'RES CUENTA'!#REF!</f>
        <v>#REF!</v>
      </c>
      <c r="C1161" s="87"/>
      <c r="D1161" s="87"/>
      <c r="E1161" s="88"/>
      <c r="F1161" s="87"/>
      <c r="G1161" s="88"/>
      <c r="H1161" s="87"/>
    </row>
    <row r="1162" spans="2:8" ht="18" x14ac:dyDescent="0.25">
      <c r="B1162" s="88"/>
      <c r="C1162" s="87"/>
      <c r="D1162" s="87"/>
      <c r="E1162" s="87" t="str">
        <f>+E1142</f>
        <v>URUGUAY 1025/27/29 CAP. FED.</v>
      </c>
      <c r="F1162" s="87"/>
      <c r="G1162" s="87"/>
      <c r="H1162" s="95" t="s">
        <v>114</v>
      </c>
    </row>
    <row r="1163" spans="2:8" ht="18" x14ac:dyDescent="0.25">
      <c r="B1163" s="87"/>
      <c r="C1163" s="87"/>
      <c r="D1163" s="87"/>
      <c r="E1163" s="88"/>
      <c r="F1163" s="88"/>
      <c r="G1163" s="87"/>
      <c r="H1163" s="95" t="e">
        <f>+'RES CUENTA'!#REF!</f>
        <v>#REF!</v>
      </c>
    </row>
    <row r="1164" spans="2:8" ht="18" x14ac:dyDescent="0.25">
      <c r="B1164" s="96"/>
      <c r="C1164" s="87"/>
      <c r="D1164" s="96"/>
      <c r="E1164" s="87"/>
      <c r="F1164" s="87"/>
      <c r="G1164" s="87"/>
      <c r="H1164" s="87"/>
    </row>
    <row r="1165" spans="2:8" ht="18" x14ac:dyDescent="0.25">
      <c r="B1165" s="96"/>
      <c r="C1165" s="87"/>
      <c r="D1165" s="96"/>
      <c r="E1165" s="87"/>
      <c r="F1165" s="87"/>
      <c r="G1165" s="87"/>
      <c r="H1165" s="87"/>
    </row>
    <row r="1166" spans="2:8" ht="18" x14ac:dyDescent="0.25">
      <c r="B1166" s="87" t="s">
        <v>82</v>
      </c>
      <c r="C1166" s="87"/>
      <c r="D1166" s="110">
        <f>34787*3+33717*2</f>
        <v>171795</v>
      </c>
      <c r="E1166" s="111" t="e">
        <f>+'RES CUENTA'!#REF!</f>
        <v>#REF!</v>
      </c>
      <c r="F1166" s="106" t="e">
        <f>+D1166*E1166/100</f>
        <v>#REF!</v>
      </c>
      <c r="G1166" s="339"/>
      <c r="H1166" s="339"/>
    </row>
    <row r="1167" spans="2:8" ht="18" x14ac:dyDescent="0.25">
      <c r="B1167" s="87" t="s">
        <v>194</v>
      </c>
      <c r="C1167" s="87"/>
      <c r="D1167" s="110">
        <f>3865*2+3746*3</f>
        <v>18968</v>
      </c>
      <c r="E1167" s="111" t="e">
        <f>+'RES CUENTA'!#REF!</f>
        <v>#REF!</v>
      </c>
      <c r="F1167" s="106" t="e">
        <f>+D1167*E1167/100</f>
        <v>#REF!</v>
      </c>
      <c r="G1167" s="336"/>
      <c r="H1167" s="336"/>
    </row>
    <row r="1168" spans="2:8" ht="18" x14ac:dyDescent="0.25">
      <c r="B1168" s="87" t="s">
        <v>200</v>
      </c>
      <c r="D1168" s="110">
        <f>999*3</f>
        <v>2997</v>
      </c>
      <c r="E1168" s="111">
        <f>0.02/0.18</f>
        <v>0.11111111111111112</v>
      </c>
      <c r="F1168" s="106">
        <f>+D1168*E1168</f>
        <v>333</v>
      </c>
      <c r="G1168" s="336"/>
      <c r="H1168" s="336"/>
    </row>
    <row r="1169" spans="2:8" ht="18" x14ac:dyDescent="0.25">
      <c r="B1169" s="87" t="s">
        <v>321</v>
      </c>
      <c r="C1169" s="87"/>
      <c r="D1169" s="110">
        <v>589</v>
      </c>
      <c r="E1169" s="111">
        <v>0</v>
      </c>
      <c r="F1169" s="106">
        <f>+D1169</f>
        <v>589</v>
      </c>
      <c r="G1169" s="336"/>
      <c r="H1169" s="336"/>
    </row>
    <row r="1170" spans="2:8" ht="18" x14ac:dyDescent="0.25">
      <c r="B1170" s="87" t="s">
        <v>201</v>
      </c>
      <c r="C1170" s="87"/>
      <c r="D1170" s="110">
        <v>0</v>
      </c>
      <c r="E1170" s="111">
        <v>0</v>
      </c>
      <c r="F1170" s="166">
        <f>+D1170</f>
        <v>0</v>
      </c>
      <c r="G1170" s="336"/>
      <c r="H1170" s="336"/>
    </row>
    <row r="1171" spans="2:8" ht="18" x14ac:dyDescent="0.25">
      <c r="B1171" s="88"/>
      <c r="C1171" s="87"/>
      <c r="D1171" s="87"/>
      <c r="E1171" s="94"/>
      <c r="F1171" s="107" t="e">
        <f>SUM(F1166:F1170)</f>
        <v>#REF!</v>
      </c>
      <c r="G1171" s="91"/>
      <c r="H1171" s="91"/>
    </row>
    <row r="1172" spans="2:8" ht="18" x14ac:dyDescent="0.25">
      <c r="B1172" s="88"/>
      <c r="C1172" s="87"/>
      <c r="D1172" s="87"/>
      <c r="E1172" s="87"/>
      <c r="G1172" s="337"/>
      <c r="H1172" s="337"/>
    </row>
    <row r="1173" spans="2:8" ht="18" x14ac:dyDescent="0.25">
      <c r="B1173" s="87"/>
      <c r="C1173" s="87"/>
      <c r="D1173" s="87"/>
      <c r="E1173" s="87"/>
      <c r="F1173" s="93"/>
      <c r="G1173" s="92"/>
      <c r="H1173" s="92"/>
    </row>
    <row r="1174" spans="2:8" ht="18" x14ac:dyDescent="0.25">
      <c r="B1174" s="87"/>
      <c r="C1174" s="87"/>
      <c r="D1174" s="87"/>
      <c r="E1174" s="87"/>
      <c r="F1174" s="94"/>
      <c r="G1174" s="87"/>
      <c r="H1174" s="87"/>
    </row>
    <row r="1175" spans="2:8" ht="30" customHeight="1" x14ac:dyDescent="0.25">
      <c r="B1175" s="87"/>
      <c r="C1175" s="87"/>
      <c r="D1175" s="87"/>
      <c r="E1175" s="87"/>
      <c r="F1175" s="94"/>
      <c r="G1175" s="87"/>
      <c r="H1175" s="87"/>
    </row>
    <row r="1176" spans="2:8" ht="18" x14ac:dyDescent="0.25">
      <c r="B1176" s="87" t="e">
        <f>+B1161</f>
        <v>#REF!</v>
      </c>
      <c r="C1176" s="338"/>
      <c r="D1176" s="338"/>
      <c r="E1176" s="87" t="e">
        <f>+B1176</f>
        <v>#REF!</v>
      </c>
      <c r="F1176" s="94"/>
      <c r="G1176" s="87"/>
      <c r="H1176" s="87"/>
    </row>
    <row r="1177" spans="2:8" ht="18" x14ac:dyDescent="0.25">
      <c r="C1177" s="87"/>
      <c r="D1177" s="87"/>
      <c r="F1177" s="338"/>
      <c r="G1177" s="338"/>
      <c r="H1177" s="338"/>
    </row>
    <row r="1178" spans="2:8" ht="18" x14ac:dyDescent="0.25">
      <c r="B1178" s="87" t="str">
        <f>+$E$1</f>
        <v>URUGUAY 1025/27/29 CAP. FED.</v>
      </c>
      <c r="C1178" s="87"/>
      <c r="D1178" s="95" t="str">
        <f>+H1162</f>
        <v>Unid. 26</v>
      </c>
      <c r="E1178" s="87" t="str">
        <f>+$E$1</f>
        <v>URUGUAY 1025/27/29 CAP. FED.</v>
      </c>
      <c r="F1178" s="87"/>
      <c r="G1178" s="87"/>
      <c r="H1178" s="95" t="str">
        <f>+D1178</f>
        <v>Unid. 26</v>
      </c>
    </row>
    <row r="1179" spans="2:8" ht="18" x14ac:dyDescent="0.25">
      <c r="D1179" s="95" t="e">
        <f>+H1163</f>
        <v>#REF!</v>
      </c>
      <c r="H1179" s="95" t="e">
        <f>+H1163</f>
        <v>#REF!</v>
      </c>
    </row>
    <row r="1180" spans="2:8" ht="12" customHeight="1" x14ac:dyDescent="0.25">
      <c r="B1180" s="88"/>
      <c r="C1180" s="88"/>
      <c r="D1180" s="88"/>
      <c r="E1180" s="88"/>
      <c r="F1180" s="87"/>
      <c r="G1180" s="87"/>
    </row>
    <row r="1181" spans="2:8" ht="18" x14ac:dyDescent="0.25">
      <c r="B1181" s="87" t="str">
        <f>+B1145</f>
        <v xml:space="preserve">P/depósito/transferencia en ICBC </v>
      </c>
      <c r="C1181" s="87"/>
      <c r="D1181" s="87"/>
      <c r="E1181" s="87"/>
      <c r="F1181" s="87"/>
      <c r="G1181" s="88"/>
      <c r="H1181" s="104"/>
    </row>
    <row r="1182" spans="2:8" ht="18" x14ac:dyDescent="0.25">
      <c r="B1182" s="87" t="str">
        <f>+B1146</f>
        <v>Cta. Cte. $ N°538/02104658/84</v>
      </c>
      <c r="C1182" s="87"/>
      <c r="D1182" s="87"/>
      <c r="E1182" s="98"/>
      <c r="F1182" s="87"/>
      <c r="G1182" s="96"/>
      <c r="H1182" s="87"/>
    </row>
    <row r="1183" spans="2:8" ht="18" x14ac:dyDescent="0.25">
      <c r="C1183" s="87"/>
      <c r="D1183" s="87"/>
      <c r="E1183" s="87" t="s">
        <v>85</v>
      </c>
      <c r="F1183" s="109" t="e">
        <f>+F1166</f>
        <v>#REF!</v>
      </c>
      <c r="H1183" s="102">
        <f>+G1158</f>
        <v>40872</v>
      </c>
    </row>
    <row r="1184" spans="2:8" ht="18" x14ac:dyDescent="0.25">
      <c r="B1184" s="88"/>
      <c r="C1184" s="87"/>
      <c r="D1184" s="87"/>
      <c r="E1184" s="87" t="s">
        <v>193</v>
      </c>
      <c r="F1184" s="109" t="e">
        <f>+F1167</f>
        <v>#REF!</v>
      </c>
    </row>
    <row r="1185" spans="2:8" ht="18" x14ac:dyDescent="0.25">
      <c r="B1185" s="88"/>
      <c r="C1185" s="87"/>
      <c r="D1185" s="87"/>
      <c r="E1185" s="87" t="s">
        <v>202</v>
      </c>
      <c r="F1185" s="109">
        <f>+F1169</f>
        <v>589</v>
      </c>
      <c r="G1185" s="87"/>
      <c r="H1185" s="87"/>
    </row>
    <row r="1186" spans="2:8" ht="18" x14ac:dyDescent="0.25">
      <c r="B1186" s="87"/>
      <c r="C1186" s="87"/>
      <c r="D1186" s="87"/>
      <c r="E1186" s="87" t="s">
        <v>209</v>
      </c>
      <c r="F1186" s="109">
        <f>+F1170</f>
        <v>0</v>
      </c>
      <c r="G1186" s="87"/>
      <c r="H1186" s="87"/>
    </row>
    <row r="1187" spans="2:8" ht="18" x14ac:dyDescent="0.25">
      <c r="B1187" s="98"/>
      <c r="C1187" s="98"/>
      <c r="D1187" s="98"/>
      <c r="E1187" s="87" t="s">
        <v>321</v>
      </c>
      <c r="F1187" s="167">
        <f>+F1169</f>
        <v>589</v>
      </c>
      <c r="G1187" s="87"/>
      <c r="H1187" s="87"/>
    </row>
    <row r="1188" spans="2:8" ht="18" x14ac:dyDescent="0.25">
      <c r="B1188" s="102">
        <f>+H1183</f>
        <v>40872</v>
      </c>
      <c r="C1188" s="108" t="e">
        <f>+F1171</f>
        <v>#REF!</v>
      </c>
      <c r="D1188" s="87"/>
      <c r="E1188" s="87" t="s">
        <v>88</v>
      </c>
      <c r="F1188" s="109" t="e">
        <f>+F1171</f>
        <v>#REF!</v>
      </c>
      <c r="G1188" s="87"/>
      <c r="H1188" s="87"/>
    </row>
    <row r="1189" spans="2:8" ht="18" x14ac:dyDescent="0.25">
      <c r="B1189" s="87"/>
      <c r="C1189" s="87"/>
      <c r="D1189" s="87"/>
      <c r="E1189" s="87"/>
      <c r="F1189" s="87"/>
      <c r="G1189" s="87"/>
      <c r="H1189" s="87"/>
    </row>
    <row r="1190" spans="2:8" ht="18" x14ac:dyDescent="0.25">
      <c r="B1190" s="87"/>
      <c r="C1190" s="87"/>
      <c r="D1190" s="87"/>
      <c r="E1190" s="87"/>
      <c r="F1190" s="87"/>
      <c r="G1190" s="339"/>
      <c r="H1190" s="339"/>
    </row>
    <row r="1191" spans="2:8" ht="18" x14ac:dyDescent="0.25">
      <c r="B1191" s="87"/>
      <c r="C1191" s="87"/>
      <c r="D1191" s="87"/>
      <c r="E1191" s="87"/>
      <c r="F1191" s="87"/>
      <c r="G1191" s="87"/>
      <c r="H1191" s="87"/>
    </row>
    <row r="1192" spans="2:8" ht="18" x14ac:dyDescent="0.25">
      <c r="B1192" s="87"/>
      <c r="C1192" s="87"/>
      <c r="D1192" s="87"/>
      <c r="E1192" s="87"/>
      <c r="F1192" s="87"/>
      <c r="G1192" s="87"/>
      <c r="H1192" s="87"/>
    </row>
    <row r="1193" spans="2:8" ht="18" x14ac:dyDescent="0.25">
      <c r="B1193" s="87"/>
      <c r="C1193" s="87"/>
      <c r="D1193" s="87"/>
      <c r="E1193" s="87"/>
      <c r="F1193" s="87"/>
      <c r="G1193" s="87"/>
      <c r="H1193" s="87"/>
    </row>
    <row r="1194" spans="2:8" ht="18" x14ac:dyDescent="0.25">
      <c r="B1194" s="87"/>
      <c r="C1194" s="87"/>
      <c r="D1194" s="87"/>
      <c r="E1194" s="87"/>
      <c r="F1194" s="87"/>
      <c r="H1194" s="87"/>
    </row>
    <row r="1195" spans="2:8" ht="18" x14ac:dyDescent="0.25">
      <c r="B1195" s="87"/>
      <c r="C1195" s="87"/>
      <c r="D1195" s="87"/>
      <c r="E1195" s="87"/>
      <c r="F1195" s="87"/>
      <c r="H1195" s="87"/>
    </row>
    <row r="1196" spans="2:8" ht="18" x14ac:dyDescent="0.25">
      <c r="B1196" s="335"/>
      <c r="C1196" s="335"/>
      <c r="D1196" s="335"/>
      <c r="E1196" s="87"/>
      <c r="F1196" s="87"/>
      <c r="H1196" s="87"/>
    </row>
    <row r="1197" spans="2:8" ht="18" x14ac:dyDescent="0.25">
      <c r="B1197" s="335"/>
      <c r="C1197" s="335"/>
      <c r="D1197" s="335"/>
      <c r="E1197" s="101">
        <v>40603</v>
      </c>
      <c r="F1197" s="87"/>
      <c r="G1197" s="102">
        <v>40512</v>
      </c>
      <c r="H1197" s="100"/>
    </row>
    <row r="1198" spans="2:8" ht="20.25" customHeight="1" x14ac:dyDescent="0.25">
      <c r="B1198" s="86"/>
      <c r="C1198" s="86"/>
      <c r="D1198" s="103"/>
      <c r="E1198" s="101"/>
      <c r="F1198" s="87"/>
    </row>
    <row r="1199" spans="2:8" ht="18" x14ac:dyDescent="0.25">
      <c r="B1199" s="87" t="e">
        <f>+B1161</f>
        <v>#REF!</v>
      </c>
      <c r="C1199" s="87"/>
      <c r="D1199" s="87"/>
      <c r="F1199" s="87"/>
    </row>
    <row r="1200" spans="2:8" ht="18" x14ac:dyDescent="0.25">
      <c r="C1200" s="87"/>
      <c r="D1200" s="87"/>
      <c r="E1200" s="87" t="str">
        <f>+$E$1</f>
        <v>URUGUAY 1025/27/29 CAP. FED.</v>
      </c>
      <c r="F1200" s="87"/>
      <c r="H1200" s="95" t="str">
        <f>+H1178</f>
        <v>Unid. 26</v>
      </c>
    </row>
    <row r="1201" spans="2:8" ht="18" x14ac:dyDescent="0.25">
      <c r="B1201" s="88"/>
      <c r="C1201" s="87"/>
      <c r="D1201" s="87"/>
      <c r="F1201" s="87"/>
      <c r="G1201" s="88"/>
      <c r="H1201" s="95" t="e">
        <f>+H1179</f>
        <v>#REF!</v>
      </c>
    </row>
    <row r="1202" spans="2:8" ht="18" x14ac:dyDescent="0.25">
      <c r="B1202" s="87"/>
      <c r="C1202" s="87"/>
      <c r="D1202" s="87"/>
      <c r="E1202" s="88"/>
      <c r="F1202" s="88"/>
      <c r="G1202" s="87"/>
      <c r="H1202" s="88"/>
    </row>
    <row r="1203" spans="2:8" ht="14.25" customHeight="1" x14ac:dyDescent="0.25">
      <c r="B1203" s="96"/>
      <c r="C1203" s="87"/>
      <c r="D1203" s="96"/>
      <c r="E1203" s="87"/>
      <c r="F1203" s="87"/>
      <c r="G1203" s="87"/>
      <c r="H1203" s="87"/>
    </row>
    <row r="1204" spans="2:8" ht="18" x14ac:dyDescent="0.25">
      <c r="B1204" s="87" t="s">
        <v>82</v>
      </c>
      <c r="C1204" s="87"/>
      <c r="D1204" s="110">
        <v>34077</v>
      </c>
      <c r="E1204" s="111" t="e">
        <f>+'RES CUENTA'!#REF!</f>
        <v>#REF!</v>
      </c>
      <c r="F1204" s="106" t="e">
        <f>+D1204*E1204/100</f>
        <v>#REF!</v>
      </c>
      <c r="G1204" s="87"/>
      <c r="H1204" s="96"/>
    </row>
    <row r="1205" spans="2:8" ht="18" x14ac:dyDescent="0.25">
      <c r="B1205" s="87" t="s">
        <v>194</v>
      </c>
      <c r="C1205" s="87"/>
      <c r="D1205" s="110">
        <v>3786</v>
      </c>
      <c r="E1205" s="111" t="e">
        <f>+'RES CUENTA'!#REF!</f>
        <v>#REF!</v>
      </c>
      <c r="F1205" s="106" t="e">
        <f>+D1205*E1205/100</f>
        <v>#REF!</v>
      </c>
      <c r="G1205" s="96"/>
      <c r="H1205" s="91"/>
    </row>
    <row r="1206" spans="2:8" ht="18" x14ac:dyDescent="0.25">
      <c r="B1206" s="87" t="s">
        <v>200</v>
      </c>
      <c r="D1206" s="110">
        <v>111</v>
      </c>
      <c r="E1206" s="111">
        <v>0</v>
      </c>
      <c r="F1206" s="106">
        <f>+D1206</f>
        <v>111</v>
      </c>
      <c r="G1206" s="91"/>
      <c r="H1206" s="91"/>
    </row>
    <row r="1207" spans="2:8" ht="18" x14ac:dyDescent="0.25">
      <c r="B1207" s="87" t="s">
        <v>321</v>
      </c>
      <c r="C1207" s="87"/>
      <c r="D1207" s="110" t="e">
        <f>+'RES CUENTA'!#REF!</f>
        <v>#REF!</v>
      </c>
      <c r="E1207" s="111">
        <f>+'RES CUENTA'!N282</f>
        <v>0</v>
      </c>
      <c r="F1207" s="106" t="e">
        <f>+D1207</f>
        <v>#REF!</v>
      </c>
      <c r="G1207" s="91"/>
      <c r="H1207" s="91"/>
    </row>
    <row r="1208" spans="2:8" ht="18" x14ac:dyDescent="0.25">
      <c r="B1208" s="87" t="s">
        <v>201</v>
      </c>
      <c r="C1208" s="87"/>
      <c r="D1208" s="110">
        <v>0</v>
      </c>
      <c r="E1208" s="111">
        <f>+'RES CUENTA'!P281</f>
        <v>0</v>
      </c>
      <c r="F1208" s="166">
        <f>+D1208</f>
        <v>0</v>
      </c>
      <c r="G1208" s="91"/>
      <c r="H1208" s="91"/>
    </row>
    <row r="1209" spans="2:8" ht="18" x14ac:dyDescent="0.25">
      <c r="B1209" s="88"/>
      <c r="C1209" s="87"/>
      <c r="D1209" s="87"/>
      <c r="F1209" s="107" t="e">
        <f>SUM(F1204:F1208)</f>
        <v>#REF!</v>
      </c>
      <c r="G1209" s="91"/>
      <c r="H1209" s="92"/>
    </row>
    <row r="1210" spans="2:8" ht="18" x14ac:dyDescent="0.25">
      <c r="B1210" s="88"/>
      <c r="C1210" s="87"/>
      <c r="D1210" s="87"/>
      <c r="F1210" s="93"/>
      <c r="G1210" s="91"/>
      <c r="H1210" s="92"/>
    </row>
    <row r="1211" spans="2:8" ht="18" x14ac:dyDescent="0.25">
      <c r="B1211" s="87"/>
      <c r="C1211" s="87"/>
      <c r="D1211" s="87"/>
      <c r="E1211" s="87"/>
      <c r="F1211" s="94"/>
      <c r="G1211" s="92"/>
      <c r="H1211" s="92"/>
    </row>
    <row r="1212" spans="2:8" ht="18" x14ac:dyDescent="0.25">
      <c r="B1212" s="87"/>
      <c r="C1212" s="87"/>
      <c r="D1212" s="87"/>
      <c r="E1212" s="87"/>
      <c r="F1212" s="94"/>
      <c r="G1212" s="92"/>
      <c r="H1212" s="92"/>
    </row>
    <row r="1213" spans="2:8" ht="21" customHeight="1" x14ac:dyDescent="0.25">
      <c r="B1213" s="87"/>
      <c r="C1213" s="87"/>
      <c r="D1213" s="87"/>
      <c r="E1213" s="87"/>
      <c r="F1213" s="94"/>
      <c r="G1213" s="92"/>
      <c r="H1213" s="87"/>
    </row>
    <row r="1214" spans="2:8" ht="23.25" customHeight="1" x14ac:dyDescent="0.25">
      <c r="B1214" s="87" t="e">
        <f>+B1199</f>
        <v>#REF!</v>
      </c>
      <c r="C1214" s="87"/>
      <c r="D1214" s="87"/>
      <c r="E1214" s="87" t="e">
        <f>+B1199</f>
        <v>#REF!</v>
      </c>
      <c r="F1214" s="87"/>
      <c r="G1214" s="87"/>
      <c r="H1214" s="104"/>
    </row>
    <row r="1215" spans="2:8" ht="18" x14ac:dyDescent="0.25">
      <c r="B1215" s="88"/>
      <c r="C1215" s="87"/>
      <c r="D1215" s="87"/>
      <c r="F1215" s="87"/>
      <c r="G1215" s="104"/>
      <c r="H1215" s="95" t="str">
        <f>+H1200</f>
        <v>Unid. 26</v>
      </c>
    </row>
    <row r="1216" spans="2:8" ht="18" x14ac:dyDescent="0.25">
      <c r="B1216" s="87" t="str">
        <f>+$E$1</f>
        <v>URUGUAY 1025/27/29 CAP. FED.</v>
      </c>
      <c r="C1216" s="87"/>
      <c r="D1216" s="95" t="str">
        <f>+H1215</f>
        <v>Unid. 26</v>
      </c>
      <c r="E1216" s="87" t="str">
        <f>+$E$1</f>
        <v>URUGUAY 1025/27/29 CAP. FED.</v>
      </c>
      <c r="F1216" s="87"/>
      <c r="G1216" s="87"/>
      <c r="H1216" s="95" t="e">
        <f>+H1201</f>
        <v>#REF!</v>
      </c>
    </row>
    <row r="1217" spans="2:10" ht="18" x14ac:dyDescent="0.25">
      <c r="B1217" s="88"/>
      <c r="C1217" s="88"/>
      <c r="D1217" s="95" t="e">
        <f>+H1216</f>
        <v>#REF!</v>
      </c>
      <c r="F1217" s="87"/>
      <c r="G1217" s="87"/>
    </row>
    <row r="1218" spans="2:10" ht="18" x14ac:dyDescent="0.25">
      <c r="B1218" s="87"/>
      <c r="C1218" s="87"/>
      <c r="D1218" s="87"/>
      <c r="E1218" s="88"/>
      <c r="F1218" s="87"/>
      <c r="G1218" s="87"/>
      <c r="H1218" s="104"/>
    </row>
    <row r="1219" spans="2:10" ht="18" x14ac:dyDescent="0.25">
      <c r="B1219" s="87" t="str">
        <f>+F1</f>
        <v xml:space="preserve">P/depósito/transferencia en ICBC </v>
      </c>
      <c r="C1219" s="87"/>
      <c r="D1219" s="87"/>
      <c r="E1219" s="87"/>
      <c r="F1219" s="98"/>
      <c r="G1219" s="88"/>
      <c r="H1219" s="87"/>
    </row>
    <row r="1220" spans="2:10" ht="18" x14ac:dyDescent="0.25">
      <c r="B1220" s="87" t="str">
        <f>+F2</f>
        <v>Cta. Cte. $ N°538/02104658/84</v>
      </c>
      <c r="C1220" s="87"/>
      <c r="D1220" s="87"/>
      <c r="E1220" s="98"/>
      <c r="G1220" s="96"/>
      <c r="H1220" s="97"/>
    </row>
    <row r="1221" spans="2:10" ht="18" x14ac:dyDescent="0.25">
      <c r="B1221" s="88"/>
      <c r="C1221" s="87"/>
      <c r="D1221" s="87"/>
      <c r="E1221" s="87" t="s">
        <v>85</v>
      </c>
      <c r="F1221" s="109" t="e">
        <f>+F1204</f>
        <v>#REF!</v>
      </c>
      <c r="G1221" s="97"/>
      <c r="H1221" s="102">
        <f>+G1197</f>
        <v>40512</v>
      </c>
    </row>
    <row r="1222" spans="2:10" ht="18" x14ac:dyDescent="0.25">
      <c r="B1222" s="88"/>
      <c r="C1222" s="87"/>
      <c r="D1222" s="87"/>
      <c r="E1222" s="87" t="s">
        <v>193</v>
      </c>
      <c r="F1222" s="109" t="e">
        <f>+F1205</f>
        <v>#REF!</v>
      </c>
      <c r="H1222" s="87"/>
    </row>
    <row r="1223" spans="2:10" ht="18" x14ac:dyDescent="0.25">
      <c r="B1223" s="87"/>
      <c r="C1223" s="87"/>
      <c r="D1223" s="87"/>
      <c r="E1223" s="87" t="s">
        <v>202</v>
      </c>
      <c r="F1223" s="109">
        <f>+F1206</f>
        <v>111</v>
      </c>
      <c r="G1223" s="87"/>
      <c r="H1223" s="87"/>
    </row>
    <row r="1224" spans="2:10" ht="18" x14ac:dyDescent="0.25">
      <c r="B1224" s="98"/>
      <c r="C1224" s="98"/>
      <c r="D1224" s="98"/>
      <c r="E1224" s="87" t="s">
        <v>209</v>
      </c>
      <c r="F1224" s="109">
        <f>+F1208</f>
        <v>0</v>
      </c>
      <c r="G1224" s="87"/>
      <c r="H1224" s="87"/>
      <c r="J1224">
        <f>2632+2585+2632+2585+2632</f>
        <v>13066</v>
      </c>
    </row>
    <row r="1225" spans="2:10" ht="18" x14ac:dyDescent="0.25">
      <c r="B1225" s="102" t="s">
        <v>225</v>
      </c>
      <c r="C1225" s="108" t="e">
        <f>+F1209</f>
        <v>#REF!</v>
      </c>
      <c r="D1225" s="87"/>
      <c r="E1225" s="87" t="s">
        <v>321</v>
      </c>
      <c r="F1225" s="167" t="e">
        <f>+F1207</f>
        <v>#REF!</v>
      </c>
      <c r="G1225" s="87"/>
      <c r="H1225" s="87"/>
    </row>
    <row r="1226" spans="2:10" ht="18" x14ac:dyDescent="0.25">
      <c r="B1226" s="87"/>
      <c r="C1226" s="87"/>
      <c r="D1226" s="87"/>
      <c r="E1226" s="87" t="s">
        <v>88</v>
      </c>
      <c r="F1226" s="109" t="e">
        <f>+F1209</f>
        <v>#REF!</v>
      </c>
      <c r="G1226" s="87"/>
      <c r="H1226" s="87"/>
    </row>
    <row r="1227" spans="2:10" ht="18" x14ac:dyDescent="0.25">
      <c r="B1227" s="87"/>
      <c r="C1227" s="87"/>
      <c r="D1227" s="87"/>
      <c r="E1227" s="87"/>
      <c r="F1227" s="87"/>
      <c r="G1227" s="87"/>
      <c r="H1227" s="87"/>
    </row>
    <row r="1228" spans="2:10" ht="18" x14ac:dyDescent="0.25">
      <c r="B1228" s="87"/>
      <c r="C1228" s="87"/>
      <c r="D1228" s="87"/>
      <c r="E1228" s="105"/>
      <c r="F1228" s="87"/>
      <c r="G1228" s="87"/>
      <c r="H1228" s="87"/>
    </row>
    <row r="1229" spans="2:10" ht="18" x14ac:dyDescent="0.25">
      <c r="B1229" s="87"/>
      <c r="C1229" s="87"/>
      <c r="D1229" s="87"/>
      <c r="E1229" s="87"/>
      <c r="F1229" s="87"/>
      <c r="G1229" s="87"/>
      <c r="H1229" s="96"/>
    </row>
    <row r="1230" spans="2:10" ht="18" x14ac:dyDescent="0.25">
      <c r="E1230" s="87"/>
      <c r="G1230" s="96"/>
      <c r="H1230" s="87"/>
    </row>
    <row r="1232" spans="2:10" ht="18" x14ac:dyDescent="0.25">
      <c r="B1232" s="335"/>
      <c r="C1232" s="335"/>
      <c r="D1232" s="335"/>
      <c r="E1232" s="340">
        <f>+$B$1</f>
        <v>46143</v>
      </c>
      <c r="F1232" s="87"/>
      <c r="G1232" s="341">
        <f>+$D$1</f>
        <v>46183</v>
      </c>
      <c r="H1232" s="87"/>
    </row>
    <row r="1233" spans="2:8" ht="18" x14ac:dyDescent="0.25">
      <c r="B1233" s="86"/>
      <c r="C1233" s="86"/>
      <c r="D1233" s="103"/>
      <c r="E1233" s="340"/>
      <c r="F1233" s="87"/>
      <c r="G1233" s="341"/>
      <c r="H1233" s="87"/>
    </row>
    <row r="1234" spans="2:8" ht="18" x14ac:dyDescent="0.25">
      <c r="B1234" s="87"/>
      <c r="C1234" s="87"/>
      <c r="D1234" s="87"/>
      <c r="E1234" s="88"/>
      <c r="F1234" s="87"/>
      <c r="G1234" s="88"/>
      <c r="H1234" s="87"/>
    </row>
    <row r="1235" spans="2:8" ht="18" x14ac:dyDescent="0.25">
      <c r="B1235" s="87" t="e">
        <f>+#REF!</f>
        <v>#REF!</v>
      </c>
      <c r="C1235" s="87"/>
      <c r="D1235" s="87"/>
      <c r="E1235" s="88"/>
      <c r="F1235" s="87"/>
      <c r="G1235" s="88"/>
      <c r="H1235" s="87"/>
    </row>
    <row r="1236" spans="2:8" ht="18" x14ac:dyDescent="0.25">
      <c r="B1236" s="88"/>
      <c r="C1236" s="87"/>
      <c r="D1236" s="87"/>
      <c r="E1236" s="87" t="s">
        <v>81</v>
      </c>
      <c r="F1236" s="87"/>
      <c r="G1236" s="87"/>
      <c r="H1236" s="95" t="s">
        <v>116</v>
      </c>
    </row>
    <row r="1237" spans="2:8" ht="18" x14ac:dyDescent="0.25">
      <c r="B1237" s="87"/>
      <c r="C1237" s="87"/>
      <c r="D1237" s="87"/>
      <c r="E1237" s="88"/>
      <c r="F1237" s="88"/>
      <c r="G1237" s="87"/>
      <c r="H1237" s="88"/>
    </row>
    <row r="1238" spans="2:8" ht="18" x14ac:dyDescent="0.25">
      <c r="B1238" s="96"/>
      <c r="C1238" s="87"/>
      <c r="D1238" s="96"/>
      <c r="E1238" s="87"/>
      <c r="F1238" s="87"/>
      <c r="G1238" s="87"/>
      <c r="H1238" s="87"/>
    </row>
    <row r="1239" spans="2:8" ht="18" x14ac:dyDescent="0.25">
      <c r="B1239" s="96"/>
      <c r="C1239" s="87"/>
      <c r="D1239" s="96"/>
      <c r="E1239" s="87"/>
      <c r="F1239" s="87"/>
      <c r="G1239" s="87"/>
      <c r="H1239" s="87"/>
    </row>
    <row r="1240" spans="2:8" ht="18" x14ac:dyDescent="0.25">
      <c r="B1240" s="87" t="s">
        <v>82</v>
      </c>
      <c r="C1240" s="87"/>
      <c r="D1240" s="110">
        <f>+'RES CUENTA'!$H$26</f>
        <v>6751880</v>
      </c>
      <c r="E1240" s="111" t="e">
        <f>+'RES CUENTA'!#REF!</f>
        <v>#REF!</v>
      </c>
      <c r="F1240" s="106" t="e">
        <f>+D1240*E1240/100</f>
        <v>#REF!</v>
      </c>
      <c r="G1240" s="339"/>
      <c r="H1240" s="339"/>
    </row>
    <row r="1241" spans="2:8" ht="18" x14ac:dyDescent="0.25">
      <c r="B1241" s="87" t="s">
        <v>194</v>
      </c>
      <c r="C1241" s="87"/>
      <c r="D1241" s="110" t="e">
        <f>+'RES CUENTA'!#REF!</f>
        <v>#REF!</v>
      </c>
      <c r="E1241" s="111" t="e">
        <f>+'RES CUENTA'!#REF!</f>
        <v>#REF!</v>
      </c>
      <c r="F1241" s="106" t="e">
        <f>+D1241*E1241/100</f>
        <v>#REF!</v>
      </c>
      <c r="G1241" s="336"/>
      <c r="H1241" s="336"/>
    </row>
    <row r="1242" spans="2:8" ht="18" x14ac:dyDescent="0.25">
      <c r="B1242" s="87" t="s">
        <v>83</v>
      </c>
      <c r="C1242" s="87"/>
      <c r="D1242" s="110" t="e">
        <f>+'RES CUENTA'!#REF!</f>
        <v>#REF!</v>
      </c>
      <c r="E1242" s="111">
        <v>0</v>
      </c>
      <c r="F1242" s="106" t="e">
        <f>+D1242</f>
        <v>#REF!</v>
      </c>
      <c r="G1242" s="336"/>
      <c r="H1242" s="336"/>
    </row>
    <row r="1243" spans="2:8" ht="18" x14ac:dyDescent="0.25">
      <c r="B1243" s="87" t="s">
        <v>84</v>
      </c>
      <c r="C1243" s="87"/>
      <c r="D1243" s="110" t="e">
        <f>+'RES CUENTA'!#REF!</f>
        <v>#REF!</v>
      </c>
      <c r="E1243" s="111">
        <v>0</v>
      </c>
      <c r="F1243" s="106" t="e">
        <f>+D1243</f>
        <v>#REF!</v>
      </c>
      <c r="G1243" s="336"/>
      <c r="H1243" s="336"/>
    </row>
    <row r="1244" spans="2:8" ht="18" x14ac:dyDescent="0.25">
      <c r="B1244" s="88"/>
      <c r="C1244" s="87"/>
      <c r="D1244" s="87"/>
      <c r="E1244" s="94"/>
      <c r="F1244" s="107" t="e">
        <f>SUM(F1240:F1243)</f>
        <v>#REF!</v>
      </c>
      <c r="G1244" s="336"/>
      <c r="H1244" s="336"/>
    </row>
    <row r="1245" spans="2:8" ht="18" x14ac:dyDescent="0.25">
      <c r="B1245" s="88"/>
      <c r="C1245" s="87"/>
      <c r="D1245" s="87"/>
      <c r="E1245" s="94"/>
      <c r="F1245" s="107"/>
      <c r="G1245" s="91"/>
      <c r="H1245" s="91"/>
    </row>
    <row r="1246" spans="2:8" ht="18" x14ac:dyDescent="0.25">
      <c r="B1246" s="88"/>
      <c r="C1246" s="87"/>
      <c r="D1246" s="87"/>
      <c r="E1246" s="87"/>
      <c r="G1246" s="337"/>
      <c r="H1246" s="337"/>
    </row>
    <row r="1247" spans="2:8" ht="18" x14ac:dyDescent="0.25">
      <c r="B1247" s="87"/>
      <c r="C1247" s="87"/>
      <c r="D1247" s="87"/>
      <c r="E1247" s="87"/>
      <c r="F1247" s="93"/>
      <c r="G1247" s="92"/>
      <c r="H1247" s="92"/>
    </row>
    <row r="1248" spans="2:8" ht="18" x14ac:dyDescent="0.25">
      <c r="B1248" s="87"/>
      <c r="C1248" s="87"/>
      <c r="D1248" s="87"/>
      <c r="E1248" s="87"/>
      <c r="F1248" s="94"/>
      <c r="G1248" s="87"/>
      <c r="H1248" s="87"/>
    </row>
    <row r="1249" spans="2:8" ht="18" x14ac:dyDescent="0.25">
      <c r="B1249" s="87"/>
      <c r="C1249" s="87"/>
      <c r="D1249" s="87"/>
      <c r="E1249" s="87"/>
      <c r="F1249" s="94"/>
      <c r="G1249" s="87"/>
      <c r="H1249" s="87"/>
    </row>
    <row r="1250" spans="2:8" ht="18" x14ac:dyDescent="0.25">
      <c r="B1250" s="87" t="e">
        <f>+B1235</f>
        <v>#REF!</v>
      </c>
      <c r="C1250" s="338"/>
      <c r="D1250" s="338"/>
      <c r="E1250" s="87" t="e">
        <f>+B1250</f>
        <v>#REF!</v>
      </c>
      <c r="F1250" s="94"/>
      <c r="G1250" s="87"/>
      <c r="H1250" s="87"/>
    </row>
    <row r="1251" spans="2:8" ht="18" x14ac:dyDescent="0.25">
      <c r="C1251" s="87"/>
      <c r="D1251" s="87"/>
      <c r="F1251" s="338"/>
      <c r="G1251" s="338"/>
      <c r="H1251" s="338"/>
    </row>
    <row r="1252" spans="2:8" ht="18" x14ac:dyDescent="0.25">
      <c r="B1252" s="87" t="str">
        <f>+$E$1</f>
        <v>URUGUAY 1025/27/29 CAP. FED.</v>
      </c>
      <c r="C1252" s="87"/>
      <c r="D1252" s="95" t="str">
        <f>+H1236</f>
        <v>Unid. 33</v>
      </c>
      <c r="E1252" s="87" t="str">
        <f>+$E$1</f>
        <v>URUGUAY 1025/27/29 CAP. FED.</v>
      </c>
      <c r="F1252" s="87"/>
      <c r="G1252" s="87"/>
      <c r="H1252" s="95" t="str">
        <f>+D1252</f>
        <v>Unid. 33</v>
      </c>
    </row>
    <row r="1253" spans="2:8" ht="18" x14ac:dyDescent="0.25">
      <c r="H1253" s="88"/>
    </row>
    <row r="1254" spans="2:8" ht="18" x14ac:dyDescent="0.25">
      <c r="B1254" s="88"/>
      <c r="C1254" s="88"/>
      <c r="D1254" s="88"/>
      <c r="E1254" s="88"/>
      <c r="F1254" s="87"/>
      <c r="G1254" s="87"/>
    </row>
    <row r="1255" spans="2:8" ht="18" x14ac:dyDescent="0.25">
      <c r="B1255" s="87" t="e">
        <f>+$E$2</f>
        <v>#REF!</v>
      </c>
      <c r="C1255" s="87"/>
      <c r="D1255" s="87"/>
      <c r="E1255" s="87"/>
      <c r="F1255" s="87"/>
      <c r="G1255" s="88"/>
      <c r="H1255" s="104"/>
    </row>
    <row r="1256" spans="2:8" ht="18" x14ac:dyDescent="0.25">
      <c r="B1256" s="87" t="e">
        <f>+$E$3</f>
        <v>#REF!</v>
      </c>
      <c r="C1256" s="87"/>
      <c r="D1256" s="87"/>
      <c r="E1256" s="98"/>
      <c r="F1256" s="87"/>
      <c r="G1256" s="96"/>
      <c r="H1256" s="87"/>
    </row>
    <row r="1257" spans="2:8" ht="18" x14ac:dyDescent="0.25">
      <c r="C1257" s="87"/>
      <c r="D1257" s="87"/>
      <c r="E1257" s="87" t="s">
        <v>85</v>
      </c>
      <c r="F1257" s="109" t="e">
        <f>+F1240</f>
        <v>#REF!</v>
      </c>
      <c r="H1257" s="102">
        <f>+B1262</f>
        <v>46183</v>
      </c>
    </row>
    <row r="1258" spans="2:8" ht="18" x14ac:dyDescent="0.25">
      <c r="B1258" s="88"/>
      <c r="C1258" s="87"/>
      <c r="D1258" s="87"/>
      <c r="E1258" s="87" t="s">
        <v>193</v>
      </c>
      <c r="F1258" s="109" t="e">
        <f>+F1241</f>
        <v>#REF!</v>
      </c>
    </row>
    <row r="1259" spans="2:8" ht="18" x14ac:dyDescent="0.25">
      <c r="B1259" s="88"/>
      <c r="C1259" s="87"/>
      <c r="D1259" s="87"/>
      <c r="E1259" s="87" t="s">
        <v>86</v>
      </c>
      <c r="F1259" s="109" t="e">
        <f>+F1242</f>
        <v>#REF!</v>
      </c>
      <c r="G1259" s="87"/>
      <c r="H1259" s="87"/>
    </row>
    <row r="1260" spans="2:8" ht="18" x14ac:dyDescent="0.25">
      <c r="B1260" s="87"/>
      <c r="C1260" s="87"/>
      <c r="D1260" s="87"/>
      <c r="E1260" s="87" t="s">
        <v>87</v>
      </c>
      <c r="F1260" s="109" t="e">
        <f>+F1243</f>
        <v>#REF!</v>
      </c>
      <c r="G1260" s="87"/>
      <c r="H1260" s="87"/>
    </row>
    <row r="1261" spans="2:8" ht="18" x14ac:dyDescent="0.25">
      <c r="B1261" s="98"/>
      <c r="C1261" s="98"/>
      <c r="D1261" s="98"/>
      <c r="E1261" s="87" t="s">
        <v>321</v>
      </c>
      <c r="F1261" s="109">
        <v>0</v>
      </c>
      <c r="G1261" s="87"/>
      <c r="H1261" s="87"/>
    </row>
    <row r="1262" spans="2:8" ht="18" x14ac:dyDescent="0.25">
      <c r="B1262" s="102">
        <f>+$G$34</f>
        <v>46183</v>
      </c>
      <c r="C1262" s="108" t="e">
        <f>+F1244</f>
        <v>#REF!</v>
      </c>
      <c r="D1262" s="87"/>
      <c r="E1262" s="87" t="s">
        <v>88</v>
      </c>
      <c r="F1262" s="109" t="e">
        <f>+F1244</f>
        <v>#REF!</v>
      </c>
      <c r="G1262" s="87"/>
      <c r="H1262" s="87"/>
    </row>
    <row r="1263" spans="2:8" ht="18" x14ac:dyDescent="0.25">
      <c r="B1263" s="87"/>
      <c r="C1263" s="87"/>
      <c r="D1263" s="87"/>
      <c r="E1263" s="87"/>
      <c r="F1263" s="87"/>
      <c r="G1263" s="87"/>
      <c r="H1263" s="87"/>
    </row>
    <row r="1264" spans="2:8" ht="18" x14ac:dyDescent="0.25">
      <c r="B1264" s="87"/>
      <c r="C1264" s="87"/>
      <c r="D1264" s="87"/>
      <c r="E1264" s="87"/>
      <c r="F1264" s="87"/>
      <c r="G1264" s="339"/>
      <c r="H1264" s="339"/>
    </row>
    <row r="1265" spans="2:8" ht="18" x14ac:dyDescent="0.25">
      <c r="B1265" s="87"/>
      <c r="C1265" s="87"/>
      <c r="D1265" s="87"/>
      <c r="E1265" s="87"/>
      <c r="F1265" s="87"/>
      <c r="G1265" s="87"/>
      <c r="H1265" s="87"/>
    </row>
    <row r="1266" spans="2:8" ht="18" x14ac:dyDescent="0.25">
      <c r="B1266" s="87"/>
      <c r="C1266" s="87"/>
      <c r="D1266" s="87"/>
      <c r="E1266" s="87"/>
      <c r="F1266" s="87"/>
      <c r="G1266" s="87"/>
      <c r="H1266" s="87"/>
    </row>
    <row r="1267" spans="2:8" ht="18" x14ac:dyDescent="0.25">
      <c r="B1267" s="87"/>
      <c r="C1267" s="87"/>
      <c r="D1267" s="87"/>
      <c r="E1267" s="87"/>
      <c r="F1267" s="87"/>
      <c r="G1267" s="87"/>
      <c r="H1267" s="87"/>
    </row>
    <row r="1268" spans="2:8" ht="18" x14ac:dyDescent="0.25">
      <c r="B1268" s="87"/>
      <c r="C1268" s="87"/>
      <c r="D1268" s="87"/>
      <c r="E1268" s="87"/>
      <c r="F1268" s="87"/>
      <c r="H1268" s="87"/>
    </row>
    <row r="1269" spans="2:8" ht="18" x14ac:dyDescent="0.25">
      <c r="B1269" s="87"/>
      <c r="C1269" s="87"/>
      <c r="D1269" s="87"/>
      <c r="E1269" s="87"/>
      <c r="F1269" s="87"/>
      <c r="H1269" s="87"/>
    </row>
    <row r="1270" spans="2:8" ht="18" x14ac:dyDescent="0.25">
      <c r="B1270" s="335"/>
      <c r="C1270" s="335"/>
      <c r="D1270" s="335"/>
      <c r="E1270" s="87"/>
      <c r="F1270" s="87"/>
      <c r="H1270" s="87"/>
    </row>
    <row r="1271" spans="2:8" ht="18" x14ac:dyDescent="0.25">
      <c r="B1271" s="335"/>
      <c r="C1271" s="335"/>
      <c r="D1271" s="335"/>
      <c r="E1271" s="101">
        <f>+$B$1</f>
        <v>46143</v>
      </c>
      <c r="F1271" s="87"/>
      <c r="G1271" s="102">
        <f>+$D$1</f>
        <v>46183</v>
      </c>
      <c r="H1271" s="100"/>
    </row>
    <row r="1272" spans="2:8" ht="18" x14ac:dyDescent="0.25">
      <c r="B1272" s="86"/>
      <c r="C1272" s="86"/>
      <c r="D1272" s="103"/>
      <c r="E1272" s="101"/>
      <c r="F1272" s="87"/>
    </row>
    <row r="1273" spans="2:8" ht="18" x14ac:dyDescent="0.25">
      <c r="B1273" s="87" t="e">
        <f>+#REF!</f>
        <v>#REF!</v>
      </c>
      <c r="C1273" s="87"/>
      <c r="D1273" s="87"/>
      <c r="F1273" s="87"/>
    </row>
    <row r="1274" spans="2:8" ht="18" x14ac:dyDescent="0.25">
      <c r="C1274" s="87"/>
      <c r="D1274" s="87"/>
      <c r="E1274" s="87" t="str">
        <f>+$E$1</f>
        <v>URUGUAY 1025/27/29 CAP. FED.</v>
      </c>
      <c r="F1274" s="87"/>
      <c r="H1274" s="95" t="s">
        <v>117</v>
      </c>
    </row>
    <row r="1275" spans="2:8" ht="18" x14ac:dyDescent="0.25">
      <c r="B1275" s="88"/>
      <c r="C1275" s="87"/>
      <c r="D1275" s="87"/>
      <c r="F1275" s="87"/>
      <c r="G1275" s="88"/>
    </row>
    <row r="1276" spans="2:8" ht="18" x14ac:dyDescent="0.25">
      <c r="B1276" s="87"/>
      <c r="C1276" s="87"/>
      <c r="D1276" s="87"/>
      <c r="E1276" s="88"/>
      <c r="F1276" s="88"/>
      <c r="G1276" s="87"/>
      <c r="H1276" s="88"/>
    </row>
    <row r="1277" spans="2:8" ht="18" x14ac:dyDescent="0.25">
      <c r="B1277" s="96"/>
      <c r="C1277" s="87"/>
      <c r="D1277" s="110"/>
      <c r="E1277" s="111"/>
      <c r="F1277" s="87"/>
      <c r="G1277" s="87"/>
      <c r="H1277" s="87"/>
    </row>
    <row r="1278" spans="2:8" ht="18" x14ac:dyDescent="0.25">
      <c r="B1278" s="87" t="s">
        <v>82</v>
      </c>
      <c r="C1278" s="87"/>
      <c r="D1278" s="110">
        <f>+'RES CUENTA'!$H$26</f>
        <v>6751880</v>
      </c>
      <c r="E1278" s="111" t="e">
        <f>+'RES CUENTA'!#REF!</f>
        <v>#REF!</v>
      </c>
      <c r="F1278" s="106" t="e">
        <f>+D1278*E1278/100</f>
        <v>#REF!</v>
      </c>
      <c r="G1278" s="87"/>
      <c r="H1278" s="96"/>
    </row>
    <row r="1279" spans="2:8" ht="18" x14ac:dyDescent="0.25">
      <c r="B1279" s="87" t="s">
        <v>194</v>
      </c>
      <c r="C1279" s="87"/>
      <c r="D1279" s="110" t="e">
        <f>+'RES CUENTA'!#REF!</f>
        <v>#REF!</v>
      </c>
      <c r="E1279" s="111" t="e">
        <f>+'RES CUENTA'!#REF!</f>
        <v>#REF!</v>
      </c>
      <c r="F1279" s="106" t="e">
        <f>+D1279*E1279/100</f>
        <v>#REF!</v>
      </c>
      <c r="G1279" s="96"/>
      <c r="H1279" s="91"/>
    </row>
    <row r="1280" spans="2:8" ht="18" x14ac:dyDescent="0.25">
      <c r="B1280" s="87" t="s">
        <v>83</v>
      </c>
      <c r="C1280" s="87"/>
      <c r="D1280" s="110" t="e">
        <f>+'RES CUENTA'!#REF!</f>
        <v>#REF!</v>
      </c>
      <c r="E1280" s="111">
        <f>+'RES CUENTA'!N358</f>
        <v>0</v>
      </c>
      <c r="F1280" s="106" t="e">
        <f>+D1280</f>
        <v>#REF!</v>
      </c>
      <c r="G1280" s="91"/>
      <c r="H1280" s="91"/>
    </row>
    <row r="1281" spans="2:8" ht="18" x14ac:dyDescent="0.25">
      <c r="B1281" s="87" t="s">
        <v>84</v>
      </c>
      <c r="C1281" s="87"/>
      <c r="D1281" s="110" t="e">
        <f>+'RES CUENTA'!#REF!</f>
        <v>#REF!</v>
      </c>
      <c r="E1281" s="111">
        <f>+'RES CUENTA'!P357</f>
        <v>0</v>
      </c>
      <c r="F1281" s="106" t="e">
        <f>+D1281</f>
        <v>#REF!</v>
      </c>
      <c r="G1281" s="91"/>
      <c r="H1281" s="91"/>
    </row>
    <row r="1282" spans="2:8" ht="18" x14ac:dyDescent="0.25">
      <c r="B1282" s="88"/>
      <c r="C1282" s="87"/>
      <c r="D1282" s="87"/>
      <c r="F1282" s="107" t="e">
        <f>SUM(F1278:F1281)</f>
        <v>#REF!</v>
      </c>
      <c r="G1282" s="91"/>
      <c r="H1282" s="91"/>
    </row>
    <row r="1283" spans="2:8" ht="18" x14ac:dyDescent="0.25">
      <c r="B1283" s="88"/>
      <c r="C1283" s="87"/>
      <c r="D1283" s="87"/>
      <c r="F1283" s="93"/>
      <c r="G1283" s="91"/>
      <c r="H1283" s="92"/>
    </row>
    <row r="1284" spans="2:8" ht="18" x14ac:dyDescent="0.25">
      <c r="B1284" s="88"/>
      <c r="C1284" s="87"/>
      <c r="D1284" s="87"/>
      <c r="F1284" s="93"/>
      <c r="G1284" s="91"/>
      <c r="H1284" s="92"/>
    </row>
    <row r="1285" spans="2:8" ht="18" x14ac:dyDescent="0.25">
      <c r="B1285" s="87"/>
      <c r="C1285" s="87"/>
      <c r="D1285" s="87"/>
      <c r="E1285" s="87"/>
      <c r="F1285" s="94"/>
      <c r="G1285" s="92"/>
      <c r="H1285" s="92"/>
    </row>
    <row r="1286" spans="2:8" ht="18" x14ac:dyDescent="0.25">
      <c r="B1286" s="87"/>
      <c r="C1286" s="87"/>
      <c r="D1286" s="87"/>
      <c r="E1286" s="87"/>
      <c r="F1286" s="94"/>
      <c r="G1286" s="92"/>
      <c r="H1286" s="92"/>
    </row>
    <row r="1287" spans="2:8" ht="18" x14ac:dyDescent="0.25">
      <c r="B1287" s="87"/>
      <c r="C1287" s="87"/>
      <c r="D1287" s="87"/>
      <c r="E1287" s="87"/>
      <c r="F1287" s="94"/>
      <c r="G1287" s="92"/>
      <c r="H1287" s="87"/>
    </row>
    <row r="1288" spans="2:8" ht="18" x14ac:dyDescent="0.25">
      <c r="B1288" s="87" t="e">
        <f>+B1273</f>
        <v>#REF!</v>
      </c>
      <c r="C1288" s="87"/>
      <c r="D1288" s="87"/>
      <c r="E1288" s="87" t="e">
        <f>+B1273</f>
        <v>#REF!</v>
      </c>
      <c r="F1288" s="87"/>
      <c r="G1288" s="87"/>
      <c r="H1288" s="104"/>
    </row>
    <row r="1289" spans="2:8" ht="18" x14ac:dyDescent="0.25">
      <c r="B1289" s="88"/>
      <c r="C1289" s="87"/>
      <c r="D1289" s="87"/>
      <c r="F1289" s="87"/>
      <c r="G1289" s="104"/>
      <c r="H1289" s="95" t="str">
        <f>+H1274</f>
        <v>Unid. 34</v>
      </c>
    </row>
    <row r="1290" spans="2:8" ht="18" x14ac:dyDescent="0.25">
      <c r="B1290" s="87" t="str">
        <f>+$E$1</f>
        <v>URUGUAY 1025/27/29 CAP. FED.</v>
      </c>
      <c r="C1290" s="87"/>
      <c r="D1290" s="95" t="str">
        <f>+H1289</f>
        <v>Unid. 34</v>
      </c>
      <c r="E1290" s="87" t="str">
        <f>+$E$1</f>
        <v>URUGUAY 1025/27/29 CAP. FED.</v>
      </c>
      <c r="F1290" s="87"/>
      <c r="G1290" s="87"/>
      <c r="H1290" s="88"/>
    </row>
    <row r="1291" spans="2:8" ht="18" x14ac:dyDescent="0.25">
      <c r="B1291" s="88"/>
      <c r="C1291" s="88"/>
      <c r="D1291" s="88"/>
      <c r="F1291" s="87"/>
      <c r="G1291" s="87"/>
    </row>
    <row r="1292" spans="2:8" ht="18" x14ac:dyDescent="0.25">
      <c r="B1292" s="87"/>
      <c r="C1292" s="87"/>
      <c r="D1292" s="87"/>
      <c r="E1292" s="88"/>
      <c r="F1292" s="87"/>
      <c r="G1292" s="87"/>
      <c r="H1292" s="104"/>
    </row>
    <row r="1293" spans="2:8" ht="18" x14ac:dyDescent="0.25">
      <c r="B1293" s="87" t="e">
        <f>+$E$2</f>
        <v>#REF!</v>
      </c>
      <c r="C1293" s="87"/>
      <c r="D1293" s="87"/>
      <c r="E1293" s="87"/>
      <c r="F1293" s="98"/>
      <c r="G1293" s="88"/>
      <c r="H1293" s="87"/>
    </row>
    <row r="1294" spans="2:8" ht="18" x14ac:dyDescent="0.25">
      <c r="B1294" s="87" t="e">
        <f>+$E$3</f>
        <v>#REF!</v>
      </c>
      <c r="C1294" s="87"/>
      <c r="D1294" s="87"/>
      <c r="E1294" s="98"/>
      <c r="G1294" s="96"/>
      <c r="H1294" s="97"/>
    </row>
    <row r="1295" spans="2:8" ht="18" x14ac:dyDescent="0.25">
      <c r="B1295" s="88"/>
      <c r="C1295" s="87"/>
      <c r="D1295" s="87"/>
      <c r="E1295" s="87" t="s">
        <v>85</v>
      </c>
      <c r="F1295" s="109" t="e">
        <f>+F1278</f>
        <v>#REF!</v>
      </c>
      <c r="G1295" s="97"/>
      <c r="H1295" s="102">
        <f>+B1299</f>
        <v>46183</v>
      </c>
    </row>
    <row r="1296" spans="2:8" ht="18" x14ac:dyDescent="0.25">
      <c r="B1296" s="88"/>
      <c r="C1296" s="87"/>
      <c r="D1296" s="87"/>
      <c r="E1296" s="87" t="s">
        <v>193</v>
      </c>
      <c r="F1296" s="109" t="e">
        <f>+F1279</f>
        <v>#REF!</v>
      </c>
      <c r="H1296" s="87"/>
    </row>
    <row r="1297" spans="2:8" ht="18" x14ac:dyDescent="0.25">
      <c r="B1297" s="87"/>
      <c r="C1297" s="87"/>
      <c r="D1297" s="87"/>
      <c r="E1297" s="87" t="s">
        <v>86</v>
      </c>
      <c r="F1297" s="109" t="e">
        <f>+F1280</f>
        <v>#REF!</v>
      </c>
      <c r="G1297" s="87"/>
      <c r="H1297" s="87"/>
    </row>
    <row r="1298" spans="2:8" ht="18" x14ac:dyDescent="0.25">
      <c r="B1298" s="98"/>
      <c r="C1298" s="98"/>
      <c r="D1298" s="98"/>
      <c r="E1298" s="87" t="s">
        <v>87</v>
      </c>
      <c r="F1298" s="109" t="e">
        <f>+F1281</f>
        <v>#REF!</v>
      </c>
      <c r="G1298" s="87"/>
      <c r="H1298" s="87"/>
    </row>
    <row r="1299" spans="2:8" ht="18" x14ac:dyDescent="0.25">
      <c r="B1299" s="102">
        <f>+$G$34</f>
        <v>46183</v>
      </c>
      <c r="C1299" s="108" t="e">
        <f>+F1282</f>
        <v>#REF!</v>
      </c>
      <c r="D1299" s="87"/>
      <c r="E1299" s="87" t="s">
        <v>321</v>
      </c>
      <c r="F1299" s="109">
        <v>0</v>
      </c>
      <c r="G1299" s="87"/>
      <c r="H1299" s="87"/>
    </row>
    <row r="1300" spans="2:8" ht="18" x14ac:dyDescent="0.25">
      <c r="B1300" s="87"/>
      <c r="C1300" s="87"/>
      <c r="D1300" s="87"/>
      <c r="E1300" s="87" t="s">
        <v>88</v>
      </c>
      <c r="F1300" s="109" t="e">
        <f>+F1282</f>
        <v>#REF!</v>
      </c>
      <c r="G1300" s="87"/>
      <c r="H1300" s="87"/>
    </row>
    <row r="1301" spans="2:8" ht="18" x14ac:dyDescent="0.25">
      <c r="B1301" s="87"/>
      <c r="C1301" s="87"/>
      <c r="D1301" s="87"/>
      <c r="E1301" s="87"/>
      <c r="F1301" s="87"/>
      <c r="G1301" s="87"/>
      <c r="H1301" s="87"/>
    </row>
    <row r="1302" spans="2:8" ht="18" x14ac:dyDescent="0.25">
      <c r="B1302" s="87"/>
      <c r="C1302" s="87"/>
      <c r="D1302" s="87"/>
      <c r="E1302" s="105"/>
      <c r="F1302" s="87"/>
      <c r="G1302" s="87"/>
      <c r="H1302" s="87"/>
    </row>
    <row r="1303" spans="2:8" ht="18" x14ac:dyDescent="0.25">
      <c r="B1303" s="87"/>
      <c r="C1303" s="87"/>
      <c r="D1303" s="87"/>
      <c r="E1303" s="87"/>
      <c r="F1303" s="87"/>
      <c r="G1303" s="87"/>
      <c r="H1303" s="96"/>
    </row>
    <row r="1304" spans="2:8" ht="18" x14ac:dyDescent="0.25">
      <c r="E1304" s="87"/>
      <c r="G1304" s="96"/>
      <c r="H1304" s="87"/>
    </row>
    <row r="1306" spans="2:8" ht="18" x14ac:dyDescent="0.25">
      <c r="B1306" s="335"/>
      <c r="C1306" s="335"/>
      <c r="D1306" s="335"/>
      <c r="E1306" s="340">
        <f>+$B$1</f>
        <v>46143</v>
      </c>
      <c r="F1306" s="87"/>
      <c r="G1306" s="341">
        <f>+$D$1</f>
        <v>46183</v>
      </c>
      <c r="H1306" s="87"/>
    </row>
    <row r="1307" spans="2:8" ht="18" x14ac:dyDescent="0.25">
      <c r="B1307" s="86"/>
      <c r="C1307" s="86"/>
      <c r="D1307" s="103"/>
      <c r="E1307" s="340"/>
      <c r="F1307" s="87"/>
      <c r="G1307" s="341"/>
      <c r="H1307" s="87"/>
    </row>
    <row r="1308" spans="2:8" ht="18" x14ac:dyDescent="0.25">
      <c r="B1308" s="87"/>
      <c r="C1308" s="87"/>
      <c r="D1308" s="87"/>
      <c r="E1308" s="88"/>
      <c r="F1308" s="87"/>
      <c r="G1308" s="88"/>
      <c r="H1308" s="87"/>
    </row>
    <row r="1309" spans="2:8" ht="18" x14ac:dyDescent="0.25">
      <c r="B1309" s="87" t="e">
        <f>+#REF!</f>
        <v>#REF!</v>
      </c>
      <c r="C1309" s="87"/>
      <c r="D1309" s="87"/>
      <c r="E1309" s="88"/>
      <c r="F1309" s="87"/>
      <c r="G1309" s="88"/>
      <c r="H1309" s="87"/>
    </row>
    <row r="1310" spans="2:8" ht="18" x14ac:dyDescent="0.25">
      <c r="B1310" s="88"/>
      <c r="C1310" s="87"/>
      <c r="D1310" s="87"/>
      <c r="E1310" s="87" t="s">
        <v>81</v>
      </c>
      <c r="F1310" s="87"/>
      <c r="G1310" s="87"/>
      <c r="H1310" s="95" t="s">
        <v>118</v>
      </c>
    </row>
    <row r="1311" spans="2:8" ht="18" x14ac:dyDescent="0.25">
      <c r="B1311" s="87"/>
      <c r="C1311" s="87"/>
      <c r="D1311" s="87"/>
      <c r="E1311" s="88"/>
      <c r="F1311" s="88"/>
      <c r="G1311" s="87"/>
      <c r="H1311" s="88"/>
    </row>
    <row r="1312" spans="2:8" ht="18" x14ac:dyDescent="0.25">
      <c r="B1312" s="96"/>
      <c r="C1312" s="87"/>
      <c r="D1312" s="96"/>
      <c r="E1312" s="87"/>
      <c r="F1312" s="87"/>
      <c r="G1312" s="87"/>
      <c r="H1312" s="87"/>
    </row>
    <row r="1313" spans="2:8" ht="18" x14ac:dyDescent="0.25">
      <c r="B1313" s="96"/>
      <c r="C1313" s="87"/>
      <c r="D1313" s="96"/>
      <c r="E1313" s="87"/>
      <c r="F1313" s="87"/>
      <c r="G1313" s="87"/>
      <c r="H1313" s="87"/>
    </row>
    <row r="1314" spans="2:8" ht="18" x14ac:dyDescent="0.25">
      <c r="B1314" s="87" t="s">
        <v>82</v>
      </c>
      <c r="C1314" s="87"/>
      <c r="D1314" s="110">
        <f>+'RES CUENTA'!$H$26</f>
        <v>6751880</v>
      </c>
      <c r="E1314" s="111" t="e">
        <f>+'RES CUENTA'!#REF!</f>
        <v>#REF!</v>
      </c>
      <c r="F1314" s="106" t="e">
        <f>+D1314*E1314/100</f>
        <v>#REF!</v>
      </c>
      <c r="G1314" s="339"/>
      <c r="H1314" s="339"/>
    </row>
    <row r="1315" spans="2:8" ht="18" x14ac:dyDescent="0.25">
      <c r="B1315" s="87" t="s">
        <v>194</v>
      </c>
      <c r="C1315" s="87"/>
      <c r="D1315" s="110" t="e">
        <f>+'RES CUENTA'!#REF!</f>
        <v>#REF!</v>
      </c>
      <c r="E1315" s="111" t="e">
        <f>+'RES CUENTA'!#REF!</f>
        <v>#REF!</v>
      </c>
      <c r="F1315" s="106" t="e">
        <f>+D1315*E1315/100</f>
        <v>#REF!</v>
      </c>
      <c r="G1315" s="336"/>
      <c r="H1315" s="336"/>
    </row>
    <row r="1316" spans="2:8" ht="18" x14ac:dyDescent="0.25">
      <c r="B1316" s="87" t="s">
        <v>83</v>
      </c>
      <c r="C1316" s="87"/>
      <c r="D1316" s="110" t="e">
        <f>+'RES CUENTA'!#REF!</f>
        <v>#REF!</v>
      </c>
      <c r="E1316" s="111">
        <v>0</v>
      </c>
      <c r="F1316" s="106" t="e">
        <f>+D1316</f>
        <v>#REF!</v>
      </c>
      <c r="G1316" s="336"/>
      <c r="H1316" s="336"/>
    </row>
    <row r="1317" spans="2:8" ht="18" x14ac:dyDescent="0.25">
      <c r="B1317" s="87" t="s">
        <v>84</v>
      </c>
      <c r="C1317" s="87"/>
      <c r="D1317" s="110" t="e">
        <f>+'RES CUENTA'!#REF!</f>
        <v>#REF!</v>
      </c>
      <c r="E1317" s="111">
        <v>0</v>
      </c>
      <c r="F1317" s="106" t="e">
        <f>+D1317</f>
        <v>#REF!</v>
      </c>
      <c r="G1317" s="336"/>
      <c r="H1317" s="336"/>
    </row>
    <row r="1318" spans="2:8" ht="18" x14ac:dyDescent="0.25">
      <c r="B1318" s="88"/>
      <c r="C1318" s="87"/>
      <c r="D1318" s="87"/>
      <c r="E1318" s="94"/>
      <c r="F1318" s="107" t="e">
        <f>SUM(F1314:F1317)</f>
        <v>#REF!</v>
      </c>
      <c r="G1318" s="336"/>
      <c r="H1318" s="336"/>
    </row>
    <row r="1319" spans="2:8" ht="18" x14ac:dyDescent="0.25">
      <c r="B1319" s="88"/>
      <c r="C1319" s="87"/>
      <c r="D1319" s="87"/>
      <c r="E1319" s="87"/>
      <c r="G1319" s="337"/>
      <c r="H1319" s="337"/>
    </row>
    <row r="1320" spans="2:8" ht="18" x14ac:dyDescent="0.25">
      <c r="B1320" s="87"/>
      <c r="C1320" s="87"/>
      <c r="D1320" s="87"/>
      <c r="E1320" s="87"/>
      <c r="F1320" s="93"/>
      <c r="G1320" s="92"/>
      <c r="H1320" s="92"/>
    </row>
    <row r="1321" spans="2:8" ht="18" x14ac:dyDescent="0.25">
      <c r="B1321" s="87"/>
      <c r="C1321" s="87"/>
      <c r="D1321" s="87"/>
      <c r="E1321" s="87"/>
      <c r="F1321" s="94"/>
      <c r="G1321" s="87"/>
      <c r="H1321" s="87"/>
    </row>
    <row r="1322" spans="2:8" ht="18" x14ac:dyDescent="0.25">
      <c r="B1322" s="87"/>
      <c r="C1322" s="87"/>
      <c r="D1322" s="87"/>
      <c r="E1322" s="87"/>
      <c r="F1322" s="94"/>
      <c r="G1322" s="87"/>
      <c r="H1322" s="87"/>
    </row>
    <row r="1323" spans="2:8" ht="18" x14ac:dyDescent="0.25">
      <c r="B1323" s="87"/>
      <c r="C1323" s="87"/>
      <c r="D1323" s="87"/>
      <c r="E1323" s="87"/>
      <c r="F1323" s="94"/>
      <c r="G1323" s="87"/>
      <c r="H1323" s="87"/>
    </row>
    <row r="1324" spans="2:8" ht="18" x14ac:dyDescent="0.25">
      <c r="B1324" s="87" t="e">
        <f>+B1309</f>
        <v>#REF!</v>
      </c>
      <c r="C1324" s="338"/>
      <c r="D1324" s="338"/>
      <c r="E1324" s="87" t="e">
        <f>+B1324</f>
        <v>#REF!</v>
      </c>
      <c r="F1324" s="94"/>
      <c r="G1324" s="87"/>
      <c r="H1324" s="87"/>
    </row>
    <row r="1325" spans="2:8" ht="18" x14ac:dyDescent="0.25">
      <c r="C1325" s="87"/>
      <c r="D1325" s="87"/>
      <c r="F1325" s="338"/>
      <c r="G1325" s="338"/>
      <c r="H1325" s="338"/>
    </row>
    <row r="1326" spans="2:8" ht="18" x14ac:dyDescent="0.25">
      <c r="B1326" s="87" t="str">
        <f>+$E$1</f>
        <v>URUGUAY 1025/27/29 CAP. FED.</v>
      </c>
      <c r="C1326" s="87"/>
      <c r="D1326" s="95" t="str">
        <f>+H1310</f>
        <v>Unid. 35</v>
      </c>
      <c r="E1326" s="87" t="str">
        <f>+$E$1</f>
        <v>URUGUAY 1025/27/29 CAP. FED.</v>
      </c>
      <c r="F1326" s="87"/>
      <c r="G1326" s="87"/>
      <c r="H1326" s="95" t="str">
        <f>+D1326</f>
        <v>Unid. 35</v>
      </c>
    </row>
    <row r="1327" spans="2:8" ht="18" x14ac:dyDescent="0.25">
      <c r="H1327" s="88"/>
    </row>
    <row r="1328" spans="2:8" ht="18" x14ac:dyDescent="0.25">
      <c r="B1328" s="88"/>
      <c r="C1328" s="88"/>
      <c r="D1328" s="88"/>
      <c r="E1328" s="88"/>
      <c r="F1328" s="87"/>
      <c r="G1328" s="87"/>
    </row>
    <row r="1329" spans="2:8" ht="18" x14ac:dyDescent="0.25">
      <c r="B1329" s="87" t="e">
        <f>+$E$2</f>
        <v>#REF!</v>
      </c>
      <c r="C1329" s="87"/>
      <c r="D1329" s="87"/>
      <c r="E1329" s="87"/>
      <c r="F1329" s="87"/>
      <c r="G1329" s="88"/>
      <c r="H1329" s="104"/>
    </row>
    <row r="1330" spans="2:8" ht="18" x14ac:dyDescent="0.25">
      <c r="B1330" s="87" t="e">
        <f>+$E$3</f>
        <v>#REF!</v>
      </c>
      <c r="C1330" s="87"/>
      <c r="D1330" s="87"/>
      <c r="E1330" s="98"/>
      <c r="F1330" s="87"/>
      <c r="G1330" s="96"/>
      <c r="H1330" s="87"/>
    </row>
    <row r="1331" spans="2:8" ht="18" x14ac:dyDescent="0.25">
      <c r="C1331" s="87"/>
      <c r="D1331" s="87"/>
      <c r="E1331" s="87" t="s">
        <v>85</v>
      </c>
      <c r="F1331" s="109" t="e">
        <f>+F1314</f>
        <v>#REF!</v>
      </c>
      <c r="H1331" s="102">
        <f>+B1336</f>
        <v>46183</v>
      </c>
    </row>
    <row r="1332" spans="2:8" ht="18" x14ac:dyDescent="0.25">
      <c r="B1332" s="88"/>
      <c r="C1332" s="87"/>
      <c r="D1332" s="87"/>
      <c r="E1332" s="87" t="s">
        <v>193</v>
      </c>
      <c r="F1332" s="109" t="e">
        <f>+F1315</f>
        <v>#REF!</v>
      </c>
    </row>
    <row r="1333" spans="2:8" ht="18" x14ac:dyDescent="0.25">
      <c r="B1333" s="88"/>
      <c r="C1333" s="87"/>
      <c r="D1333" s="87"/>
      <c r="E1333" s="87" t="s">
        <v>86</v>
      </c>
      <c r="F1333" s="109" t="e">
        <f>+F1316</f>
        <v>#REF!</v>
      </c>
      <c r="G1333" s="87"/>
      <c r="H1333" s="87"/>
    </row>
    <row r="1334" spans="2:8" ht="18" x14ac:dyDescent="0.25">
      <c r="B1334" s="87"/>
      <c r="C1334" s="87"/>
      <c r="D1334" s="87"/>
      <c r="E1334" s="87" t="s">
        <v>87</v>
      </c>
      <c r="F1334" s="109" t="e">
        <f>+F1317</f>
        <v>#REF!</v>
      </c>
      <c r="G1334" s="87"/>
      <c r="H1334" s="87"/>
    </row>
    <row r="1335" spans="2:8" ht="18" x14ac:dyDescent="0.25">
      <c r="B1335" s="98"/>
      <c r="C1335" s="98"/>
      <c r="D1335" s="98"/>
      <c r="E1335" s="87" t="s">
        <v>321</v>
      </c>
      <c r="F1335" s="109">
        <v>0</v>
      </c>
      <c r="G1335" s="87"/>
      <c r="H1335" s="87"/>
    </row>
    <row r="1336" spans="2:8" ht="18" x14ac:dyDescent="0.25">
      <c r="B1336" s="102">
        <f>+$G$34</f>
        <v>46183</v>
      </c>
      <c r="C1336" s="108" t="e">
        <f>+F1318</f>
        <v>#REF!</v>
      </c>
      <c r="D1336" s="87"/>
      <c r="E1336" s="87" t="s">
        <v>88</v>
      </c>
      <c r="F1336" s="109" t="e">
        <f>+F1318</f>
        <v>#REF!</v>
      </c>
      <c r="G1336" s="87"/>
      <c r="H1336" s="87"/>
    </row>
    <row r="1337" spans="2:8" ht="18" x14ac:dyDescent="0.25">
      <c r="B1337" s="87"/>
      <c r="C1337" s="87"/>
      <c r="D1337" s="87"/>
      <c r="E1337" s="87"/>
      <c r="F1337" s="87"/>
      <c r="G1337" s="87"/>
      <c r="H1337" s="87"/>
    </row>
    <row r="1338" spans="2:8" ht="18" x14ac:dyDescent="0.25">
      <c r="B1338" s="87"/>
      <c r="C1338" s="87"/>
      <c r="D1338" s="87"/>
      <c r="E1338" s="87"/>
      <c r="F1338" s="87"/>
      <c r="G1338" s="339"/>
      <c r="H1338" s="339"/>
    </row>
    <row r="1339" spans="2:8" ht="18" x14ac:dyDescent="0.25">
      <c r="B1339" s="87"/>
      <c r="C1339" s="87"/>
      <c r="D1339" s="87"/>
      <c r="E1339" s="87"/>
      <c r="F1339" s="87"/>
      <c r="G1339" s="87"/>
      <c r="H1339" s="87"/>
    </row>
    <row r="1340" spans="2:8" ht="18" x14ac:dyDescent="0.25">
      <c r="B1340" s="87"/>
      <c r="C1340" s="87"/>
      <c r="D1340" s="87"/>
      <c r="E1340" s="87"/>
      <c r="F1340" s="87"/>
      <c r="G1340" s="87"/>
      <c r="H1340" s="87"/>
    </row>
    <row r="1341" spans="2:8" ht="18" x14ac:dyDescent="0.25">
      <c r="B1341" s="87"/>
      <c r="C1341" s="87"/>
      <c r="D1341" s="87"/>
      <c r="E1341" s="87"/>
      <c r="F1341" s="87"/>
      <c r="G1341" s="87"/>
      <c r="H1341" s="87"/>
    </row>
    <row r="1342" spans="2:8" ht="18" x14ac:dyDescent="0.25">
      <c r="B1342" s="87"/>
      <c r="C1342" s="87"/>
      <c r="D1342" s="87"/>
      <c r="E1342" s="87"/>
      <c r="F1342" s="87"/>
      <c r="H1342" s="87"/>
    </row>
    <row r="1343" spans="2:8" ht="18" x14ac:dyDescent="0.25">
      <c r="B1343" s="87"/>
      <c r="C1343" s="87"/>
      <c r="D1343" s="87"/>
      <c r="E1343" s="87"/>
      <c r="F1343" s="87"/>
      <c r="H1343" s="87"/>
    </row>
    <row r="1344" spans="2:8" ht="18" x14ac:dyDescent="0.25">
      <c r="B1344" s="335"/>
      <c r="C1344" s="335"/>
      <c r="D1344" s="335"/>
      <c r="E1344" s="87"/>
      <c r="F1344" s="87"/>
      <c r="H1344" s="87"/>
    </row>
    <row r="1345" spans="2:8" ht="18" x14ac:dyDescent="0.25">
      <c r="B1345" s="335"/>
      <c r="C1345" s="335"/>
      <c r="D1345" s="335"/>
      <c r="E1345" s="101">
        <f>+$B$1</f>
        <v>46143</v>
      </c>
      <c r="F1345" s="87"/>
      <c r="G1345" s="102">
        <f>+$D$1</f>
        <v>46183</v>
      </c>
      <c r="H1345" s="100"/>
    </row>
    <row r="1346" spans="2:8" ht="18" x14ac:dyDescent="0.25">
      <c r="B1346" s="86"/>
      <c r="C1346" s="86"/>
      <c r="D1346" s="103"/>
      <c r="E1346" s="101"/>
      <c r="F1346" s="87"/>
    </row>
    <row r="1347" spans="2:8" ht="18" x14ac:dyDescent="0.25">
      <c r="B1347" s="87" t="e">
        <f>+#REF!</f>
        <v>#REF!</v>
      </c>
      <c r="C1347" s="87"/>
      <c r="D1347" s="87"/>
      <c r="F1347" s="87"/>
    </row>
    <row r="1348" spans="2:8" ht="18" x14ac:dyDescent="0.25">
      <c r="C1348" s="87"/>
      <c r="D1348" s="87"/>
      <c r="E1348" s="87" t="str">
        <f>+$E$1</f>
        <v>URUGUAY 1025/27/29 CAP. FED.</v>
      </c>
      <c r="F1348" s="87"/>
      <c r="H1348" s="95" t="s">
        <v>119</v>
      </c>
    </row>
    <row r="1349" spans="2:8" ht="18" x14ac:dyDescent="0.25">
      <c r="B1349" s="88"/>
      <c r="C1349" s="87"/>
      <c r="D1349" s="87"/>
      <c r="F1349" s="87"/>
      <c r="G1349" s="88"/>
    </row>
    <row r="1350" spans="2:8" ht="18" x14ac:dyDescent="0.25">
      <c r="B1350" s="87"/>
      <c r="C1350" s="87"/>
      <c r="D1350" s="87"/>
      <c r="E1350" s="88"/>
      <c r="F1350" s="88"/>
      <c r="G1350" s="87"/>
      <c r="H1350" s="88"/>
    </row>
    <row r="1351" spans="2:8" ht="18" x14ac:dyDescent="0.25">
      <c r="B1351" s="96"/>
      <c r="C1351" s="87"/>
      <c r="D1351" s="96"/>
      <c r="E1351" s="87"/>
      <c r="F1351" s="87"/>
      <c r="G1351" s="87"/>
      <c r="H1351" s="87"/>
    </row>
    <row r="1352" spans="2:8" ht="18" x14ac:dyDescent="0.25">
      <c r="B1352" s="87" t="s">
        <v>82</v>
      </c>
      <c r="C1352" s="87"/>
      <c r="D1352" s="110">
        <f>+'RES CUENTA'!$H$26</f>
        <v>6751880</v>
      </c>
      <c r="E1352" s="111" t="e">
        <f>+'RES CUENTA'!#REF!</f>
        <v>#REF!</v>
      </c>
      <c r="F1352" s="106" t="e">
        <f>+D1352*E1352/100</f>
        <v>#REF!</v>
      </c>
      <c r="G1352" s="87"/>
      <c r="H1352" s="96"/>
    </row>
    <row r="1353" spans="2:8" ht="18" x14ac:dyDescent="0.25">
      <c r="B1353" s="87" t="s">
        <v>194</v>
      </c>
      <c r="C1353" s="87"/>
      <c r="D1353" s="110" t="e">
        <f>+'RES CUENTA'!#REF!</f>
        <v>#REF!</v>
      </c>
      <c r="E1353" s="111" t="e">
        <f>+'RES CUENTA'!#REF!</f>
        <v>#REF!</v>
      </c>
      <c r="F1353" s="106" t="e">
        <f>+D1353*E1353/100</f>
        <v>#REF!</v>
      </c>
      <c r="G1353" s="96"/>
      <c r="H1353" s="91"/>
    </row>
    <row r="1354" spans="2:8" ht="18" x14ac:dyDescent="0.25">
      <c r="B1354" s="87" t="s">
        <v>83</v>
      </c>
      <c r="C1354" s="87"/>
      <c r="D1354" s="110" t="e">
        <f>+'RES CUENTA'!#REF!</f>
        <v>#REF!</v>
      </c>
      <c r="E1354" s="111">
        <f>+'RES CUENTA'!N434</f>
        <v>0</v>
      </c>
      <c r="F1354" s="106" t="e">
        <f>+D1354</f>
        <v>#REF!</v>
      </c>
      <c r="G1354" s="91"/>
      <c r="H1354" s="91"/>
    </row>
    <row r="1355" spans="2:8" ht="18" x14ac:dyDescent="0.25">
      <c r="B1355" s="87" t="s">
        <v>84</v>
      </c>
      <c r="C1355" s="87"/>
      <c r="D1355" s="110" t="e">
        <f>+'RES CUENTA'!#REF!</f>
        <v>#REF!</v>
      </c>
      <c r="E1355" s="111">
        <f>+'RES CUENTA'!P433</f>
        <v>0</v>
      </c>
      <c r="F1355" s="106" t="e">
        <f>+D1355</f>
        <v>#REF!</v>
      </c>
      <c r="G1355" s="91"/>
      <c r="H1355" s="91"/>
    </row>
    <row r="1356" spans="2:8" ht="18" x14ac:dyDescent="0.25">
      <c r="B1356" s="88"/>
      <c r="C1356" s="87"/>
      <c r="D1356" s="87"/>
      <c r="F1356" s="107" t="e">
        <f>SUM(F1352:F1355)</f>
        <v>#REF!</v>
      </c>
      <c r="G1356" s="91"/>
      <c r="H1356" s="91"/>
    </row>
    <row r="1357" spans="2:8" ht="18" x14ac:dyDescent="0.25">
      <c r="B1357" s="88"/>
      <c r="C1357" s="87"/>
      <c r="D1357" s="87"/>
      <c r="F1357" s="93"/>
      <c r="G1357" s="91"/>
      <c r="H1357" s="92"/>
    </row>
    <row r="1358" spans="2:8" ht="18" x14ac:dyDescent="0.25">
      <c r="B1358" s="88"/>
      <c r="C1358" s="87"/>
      <c r="D1358" s="87"/>
      <c r="F1358" s="93"/>
      <c r="G1358" s="91"/>
      <c r="H1358" s="92"/>
    </row>
    <row r="1359" spans="2:8" ht="18" x14ac:dyDescent="0.25">
      <c r="B1359" s="87"/>
      <c r="C1359" s="87"/>
      <c r="D1359" s="87"/>
      <c r="E1359" s="87"/>
      <c r="F1359" s="94"/>
      <c r="G1359" s="92"/>
      <c r="H1359" s="92"/>
    </row>
    <row r="1360" spans="2:8" ht="18" x14ac:dyDescent="0.25">
      <c r="B1360" s="87"/>
      <c r="C1360" s="87"/>
      <c r="D1360" s="87"/>
      <c r="E1360" s="87"/>
      <c r="F1360" s="94"/>
      <c r="G1360" s="92"/>
      <c r="H1360" s="92"/>
    </row>
    <row r="1361" spans="2:8" ht="18" x14ac:dyDescent="0.25">
      <c r="B1361" s="87"/>
      <c r="C1361" s="87"/>
      <c r="D1361" s="87"/>
      <c r="E1361" s="87"/>
      <c r="F1361" s="94"/>
      <c r="G1361" s="92"/>
      <c r="H1361" s="92"/>
    </row>
    <row r="1362" spans="2:8" ht="18" x14ac:dyDescent="0.25">
      <c r="B1362" s="87" t="e">
        <f>+B1347</f>
        <v>#REF!</v>
      </c>
      <c r="C1362" s="87"/>
      <c r="D1362" s="87"/>
      <c r="E1362" s="87" t="e">
        <f>+B1347</f>
        <v>#REF!</v>
      </c>
      <c r="F1362" s="87"/>
      <c r="G1362" s="87"/>
      <c r="H1362" s="104"/>
    </row>
    <row r="1363" spans="2:8" ht="18" x14ac:dyDescent="0.25">
      <c r="B1363" s="88"/>
      <c r="C1363" s="87"/>
      <c r="D1363" s="87"/>
      <c r="F1363" s="87"/>
      <c r="G1363" s="104"/>
      <c r="H1363" s="95" t="str">
        <f>+H1348</f>
        <v>Unid. 36</v>
      </c>
    </row>
    <row r="1364" spans="2:8" ht="18" x14ac:dyDescent="0.25">
      <c r="B1364" s="87" t="str">
        <f>+$E$1</f>
        <v>URUGUAY 1025/27/29 CAP. FED.</v>
      </c>
      <c r="C1364" s="87"/>
      <c r="D1364" s="95" t="str">
        <f>+H1363</f>
        <v>Unid. 36</v>
      </c>
      <c r="E1364" s="87" t="str">
        <f>+$E$1</f>
        <v>URUGUAY 1025/27/29 CAP. FED.</v>
      </c>
      <c r="F1364" s="87"/>
      <c r="G1364" s="87"/>
      <c r="H1364" s="88"/>
    </row>
    <row r="1365" spans="2:8" ht="18" x14ac:dyDescent="0.25">
      <c r="B1365" s="88"/>
      <c r="C1365" s="88"/>
      <c r="D1365" s="88"/>
      <c r="F1365" s="87"/>
      <c r="G1365" s="87"/>
    </row>
    <row r="1366" spans="2:8" ht="18" x14ac:dyDescent="0.25">
      <c r="B1366" s="87"/>
      <c r="C1366" s="87"/>
      <c r="D1366" s="87"/>
      <c r="E1366" s="88"/>
      <c r="F1366" s="87"/>
      <c r="G1366" s="87"/>
      <c r="H1366" s="104"/>
    </row>
    <row r="1367" spans="2:8" ht="18" x14ac:dyDescent="0.25">
      <c r="B1367" s="87" t="e">
        <f>+$E$2</f>
        <v>#REF!</v>
      </c>
      <c r="C1367" s="87"/>
      <c r="D1367" s="87"/>
      <c r="E1367" s="87"/>
      <c r="F1367" s="98"/>
      <c r="G1367" s="88"/>
      <c r="H1367" s="87"/>
    </row>
    <row r="1368" spans="2:8" ht="18" x14ac:dyDescent="0.25">
      <c r="B1368" s="87" t="e">
        <f>+$E$3</f>
        <v>#REF!</v>
      </c>
      <c r="C1368" s="87"/>
      <c r="D1368" s="87"/>
      <c r="E1368" s="98"/>
      <c r="G1368" s="96"/>
      <c r="H1368" s="97"/>
    </row>
    <row r="1369" spans="2:8" ht="18" x14ac:dyDescent="0.25">
      <c r="B1369" s="88"/>
      <c r="C1369" s="87"/>
      <c r="D1369" s="87"/>
      <c r="E1369" s="87" t="s">
        <v>85</v>
      </c>
      <c r="F1369" s="109" t="e">
        <f>+F1352</f>
        <v>#REF!</v>
      </c>
      <c r="G1369" s="97"/>
      <c r="H1369" s="102">
        <f>+B1373</f>
        <v>46183</v>
      </c>
    </row>
    <row r="1370" spans="2:8" ht="18" x14ac:dyDescent="0.25">
      <c r="B1370" s="88"/>
      <c r="C1370" s="87"/>
      <c r="D1370" s="87"/>
      <c r="E1370" s="87" t="s">
        <v>193</v>
      </c>
      <c r="F1370" s="109" t="e">
        <f>+F1353</f>
        <v>#REF!</v>
      </c>
      <c r="H1370" s="87"/>
    </row>
    <row r="1371" spans="2:8" ht="18" x14ac:dyDescent="0.25">
      <c r="B1371" s="87"/>
      <c r="C1371" s="87"/>
      <c r="D1371" s="87"/>
      <c r="E1371" s="87" t="s">
        <v>86</v>
      </c>
      <c r="F1371" s="109" t="e">
        <f>+F1354</f>
        <v>#REF!</v>
      </c>
      <c r="G1371" s="87"/>
      <c r="H1371" s="87"/>
    </row>
    <row r="1372" spans="2:8" ht="18" x14ac:dyDescent="0.25">
      <c r="B1372" s="98"/>
      <c r="C1372" s="98"/>
      <c r="D1372" s="98"/>
      <c r="E1372" s="87" t="s">
        <v>87</v>
      </c>
      <c r="F1372" s="109" t="e">
        <f>+F1355</f>
        <v>#REF!</v>
      </c>
      <c r="G1372" s="87"/>
      <c r="H1372" s="87"/>
    </row>
    <row r="1373" spans="2:8" ht="18" x14ac:dyDescent="0.25">
      <c r="B1373" s="102">
        <f>+$G$34</f>
        <v>46183</v>
      </c>
      <c r="C1373" s="108" t="e">
        <f>+F1356</f>
        <v>#REF!</v>
      </c>
      <c r="D1373" s="87"/>
      <c r="E1373" s="87" t="s">
        <v>321</v>
      </c>
      <c r="F1373" s="109">
        <v>0</v>
      </c>
      <c r="G1373" s="87"/>
      <c r="H1373" s="87"/>
    </row>
    <row r="1374" spans="2:8" ht="18" x14ac:dyDescent="0.25">
      <c r="B1374" s="87"/>
      <c r="C1374" s="87"/>
      <c r="D1374" s="87"/>
      <c r="E1374" s="87" t="s">
        <v>88</v>
      </c>
      <c r="F1374" s="109" t="e">
        <f>+F1356</f>
        <v>#REF!</v>
      </c>
      <c r="G1374" s="87"/>
      <c r="H1374" s="87"/>
    </row>
    <row r="1375" spans="2:8" ht="18" x14ac:dyDescent="0.25">
      <c r="B1375" s="87"/>
      <c r="C1375" s="87"/>
      <c r="D1375" s="87"/>
      <c r="E1375" s="87"/>
      <c r="F1375" s="87"/>
      <c r="G1375" s="87"/>
      <c r="H1375" s="87"/>
    </row>
    <row r="1376" spans="2:8" ht="18" x14ac:dyDescent="0.25">
      <c r="B1376" s="87"/>
      <c r="C1376" s="87"/>
      <c r="D1376" s="87"/>
      <c r="E1376" s="105"/>
      <c r="F1376" s="87"/>
      <c r="G1376" s="87"/>
      <c r="H1376" s="87"/>
    </row>
    <row r="1377" spans="2:8" ht="18" x14ac:dyDescent="0.25">
      <c r="B1377" s="87"/>
      <c r="C1377" s="87"/>
      <c r="D1377" s="87"/>
      <c r="E1377" s="87"/>
      <c r="F1377" s="87"/>
      <c r="G1377" s="87"/>
      <c r="H1377" s="96"/>
    </row>
    <row r="1378" spans="2:8" ht="18" x14ac:dyDescent="0.25">
      <c r="E1378" s="87"/>
      <c r="G1378" s="96"/>
      <c r="H1378" s="87"/>
    </row>
    <row r="1380" spans="2:8" ht="18" x14ac:dyDescent="0.25">
      <c r="B1380" s="335"/>
      <c r="C1380" s="335"/>
      <c r="D1380" s="335"/>
      <c r="E1380" s="340">
        <f>+$B$1</f>
        <v>46143</v>
      </c>
      <c r="F1380" s="87"/>
      <c r="G1380" s="341">
        <f>+$D$1</f>
        <v>46183</v>
      </c>
      <c r="H1380" s="87"/>
    </row>
    <row r="1381" spans="2:8" ht="18" x14ac:dyDescent="0.25">
      <c r="B1381" s="86"/>
      <c r="C1381" s="86"/>
      <c r="D1381" s="103"/>
      <c r="E1381" s="340"/>
      <c r="F1381" s="87"/>
      <c r="G1381" s="341"/>
      <c r="H1381" s="87"/>
    </row>
    <row r="1382" spans="2:8" ht="18" x14ac:dyDescent="0.25">
      <c r="B1382" s="87"/>
      <c r="C1382" s="87"/>
      <c r="D1382" s="87"/>
      <c r="E1382" s="88"/>
      <c r="F1382" s="87"/>
      <c r="G1382" s="88"/>
      <c r="H1382" s="87"/>
    </row>
    <row r="1383" spans="2:8" ht="18" x14ac:dyDescent="0.25">
      <c r="B1383" s="87" t="e">
        <f>+#REF!</f>
        <v>#REF!</v>
      </c>
      <c r="C1383" s="87"/>
      <c r="D1383" s="87"/>
      <c r="E1383" s="88"/>
      <c r="F1383" s="87"/>
      <c r="G1383" s="88"/>
      <c r="H1383" s="87"/>
    </row>
    <row r="1384" spans="2:8" ht="18" x14ac:dyDescent="0.25">
      <c r="B1384" s="88"/>
      <c r="C1384" s="87"/>
      <c r="D1384" s="87"/>
      <c r="E1384" s="87" t="s">
        <v>81</v>
      </c>
      <c r="F1384" s="87"/>
      <c r="G1384" s="87"/>
      <c r="H1384" s="95" t="s">
        <v>120</v>
      </c>
    </row>
    <row r="1385" spans="2:8" ht="18" x14ac:dyDescent="0.25">
      <c r="B1385" s="87"/>
      <c r="C1385" s="87"/>
      <c r="D1385" s="87"/>
      <c r="E1385" s="88"/>
      <c r="F1385" s="88"/>
      <c r="G1385" s="87"/>
      <c r="H1385" s="88"/>
    </row>
    <row r="1386" spans="2:8" ht="18" x14ac:dyDescent="0.25">
      <c r="B1386" s="96"/>
      <c r="C1386" s="87"/>
      <c r="D1386" s="96"/>
      <c r="E1386" s="87"/>
      <c r="F1386" s="87"/>
      <c r="G1386" s="87"/>
      <c r="H1386" s="87"/>
    </row>
    <row r="1387" spans="2:8" ht="18" x14ac:dyDescent="0.25">
      <c r="B1387" s="96"/>
      <c r="C1387" s="87"/>
      <c r="D1387" s="96"/>
      <c r="E1387" s="87"/>
      <c r="F1387" s="87"/>
      <c r="G1387" s="87"/>
      <c r="H1387" s="87"/>
    </row>
    <row r="1388" spans="2:8" ht="18" x14ac:dyDescent="0.25">
      <c r="B1388" s="87" t="s">
        <v>82</v>
      </c>
      <c r="C1388" s="87"/>
      <c r="D1388" s="110">
        <f>+'RES CUENTA'!$H$26</f>
        <v>6751880</v>
      </c>
      <c r="E1388" s="111" t="e">
        <f>+'RES CUENTA'!#REF!</f>
        <v>#REF!</v>
      </c>
      <c r="F1388" s="106" t="e">
        <f>+D1388*E1388/100</f>
        <v>#REF!</v>
      </c>
      <c r="G1388" s="339"/>
      <c r="H1388" s="339"/>
    </row>
    <row r="1389" spans="2:8" ht="18" x14ac:dyDescent="0.25">
      <c r="B1389" s="87" t="s">
        <v>194</v>
      </c>
      <c r="C1389" s="87"/>
      <c r="D1389" s="110" t="e">
        <f>+'RES CUENTA'!#REF!</f>
        <v>#REF!</v>
      </c>
      <c r="E1389" s="111" t="e">
        <f>+'RES CUENTA'!#REF!</f>
        <v>#REF!</v>
      </c>
      <c r="F1389" s="106" t="e">
        <f>+D1389*E1389/100</f>
        <v>#REF!</v>
      </c>
      <c r="G1389" s="336"/>
      <c r="H1389" s="336"/>
    </row>
    <row r="1390" spans="2:8" ht="18" x14ac:dyDescent="0.25">
      <c r="B1390" s="87" t="s">
        <v>83</v>
      </c>
      <c r="C1390" s="87"/>
      <c r="D1390" s="110" t="e">
        <f>+'RES CUENTA'!#REF!</f>
        <v>#REF!</v>
      </c>
      <c r="E1390" s="111">
        <v>0</v>
      </c>
      <c r="F1390" s="106" t="e">
        <f>+D1390</f>
        <v>#REF!</v>
      </c>
      <c r="G1390" s="336"/>
      <c r="H1390" s="336"/>
    </row>
    <row r="1391" spans="2:8" ht="18" x14ac:dyDescent="0.25">
      <c r="B1391" s="87" t="s">
        <v>84</v>
      </c>
      <c r="C1391" s="87"/>
      <c r="D1391" s="110" t="e">
        <f>+'RES CUENTA'!#REF!</f>
        <v>#REF!</v>
      </c>
      <c r="E1391" s="111">
        <v>0</v>
      </c>
      <c r="F1391" s="106" t="e">
        <f>+D1391</f>
        <v>#REF!</v>
      </c>
      <c r="G1391" s="336"/>
      <c r="H1391" s="336"/>
    </row>
    <row r="1392" spans="2:8" ht="18" x14ac:dyDescent="0.25">
      <c r="B1392" s="88"/>
      <c r="C1392" s="87"/>
      <c r="D1392" s="87"/>
      <c r="E1392" s="94"/>
      <c r="F1392" s="107" t="e">
        <f>SUM(F1388:F1391)</f>
        <v>#REF!</v>
      </c>
      <c r="G1392" s="336"/>
      <c r="H1392" s="336"/>
    </row>
    <row r="1393" spans="2:8" ht="18" x14ac:dyDescent="0.25">
      <c r="B1393" s="88"/>
      <c r="C1393" s="87"/>
      <c r="D1393" s="87"/>
      <c r="E1393" s="94"/>
      <c r="F1393" s="107"/>
      <c r="G1393" s="91"/>
      <c r="H1393" s="91"/>
    </row>
    <row r="1394" spans="2:8" ht="18" x14ac:dyDescent="0.25">
      <c r="B1394" s="88"/>
      <c r="C1394" s="87"/>
      <c r="D1394" s="87"/>
      <c r="E1394" s="87"/>
      <c r="G1394" s="337"/>
      <c r="H1394" s="337"/>
    </row>
    <row r="1395" spans="2:8" ht="18" x14ac:dyDescent="0.25">
      <c r="B1395" s="87"/>
      <c r="C1395" s="87"/>
      <c r="D1395" s="87"/>
      <c r="E1395" s="87"/>
      <c r="F1395" s="93"/>
      <c r="G1395" s="92"/>
      <c r="H1395" s="92"/>
    </row>
    <row r="1396" spans="2:8" ht="18" x14ac:dyDescent="0.25">
      <c r="B1396" s="87"/>
      <c r="C1396" s="87"/>
      <c r="D1396" s="87"/>
      <c r="E1396" s="87"/>
      <c r="F1396" s="94"/>
      <c r="G1396" s="87"/>
      <c r="H1396" s="87"/>
    </row>
    <row r="1397" spans="2:8" ht="18" x14ac:dyDescent="0.25">
      <c r="B1397" s="87"/>
      <c r="C1397" s="87"/>
      <c r="D1397" s="87"/>
      <c r="E1397" s="87"/>
      <c r="F1397" s="94"/>
      <c r="G1397" s="87"/>
      <c r="H1397" s="87"/>
    </row>
    <row r="1398" spans="2:8" ht="18" x14ac:dyDescent="0.25">
      <c r="B1398" s="87" t="e">
        <f>+B1383</f>
        <v>#REF!</v>
      </c>
      <c r="C1398" s="338"/>
      <c r="D1398" s="338"/>
      <c r="E1398" s="87" t="e">
        <f>+B1398</f>
        <v>#REF!</v>
      </c>
      <c r="F1398" s="94"/>
      <c r="G1398" s="87"/>
      <c r="H1398" s="87"/>
    </row>
    <row r="1399" spans="2:8" ht="18" x14ac:dyDescent="0.25">
      <c r="C1399" s="87"/>
      <c r="D1399" s="87"/>
      <c r="F1399" s="338"/>
      <c r="G1399" s="338"/>
      <c r="H1399" s="338"/>
    </row>
    <row r="1400" spans="2:8" ht="18" x14ac:dyDescent="0.25">
      <c r="B1400" s="87" t="str">
        <f>+$E$1</f>
        <v>URUGUAY 1025/27/29 CAP. FED.</v>
      </c>
      <c r="C1400" s="87"/>
      <c r="D1400" s="95" t="str">
        <f>+H1384</f>
        <v>Unid. 37</v>
      </c>
      <c r="E1400" s="87" t="str">
        <f>+$E$1</f>
        <v>URUGUAY 1025/27/29 CAP. FED.</v>
      </c>
      <c r="F1400" s="87"/>
      <c r="G1400" s="87"/>
      <c r="H1400" s="95" t="str">
        <f>+D1400</f>
        <v>Unid. 37</v>
      </c>
    </row>
    <row r="1401" spans="2:8" ht="18" x14ac:dyDescent="0.25">
      <c r="H1401" s="88"/>
    </row>
    <row r="1402" spans="2:8" ht="18" x14ac:dyDescent="0.25">
      <c r="B1402" s="88"/>
      <c r="C1402" s="88"/>
      <c r="D1402" s="88"/>
      <c r="E1402" s="88"/>
      <c r="F1402" s="87"/>
      <c r="G1402" s="87"/>
    </row>
    <row r="1403" spans="2:8" ht="18" x14ac:dyDescent="0.25">
      <c r="B1403" s="87" t="e">
        <f>+$E$2</f>
        <v>#REF!</v>
      </c>
      <c r="C1403" s="87"/>
      <c r="D1403" s="87"/>
      <c r="E1403" s="87"/>
      <c r="F1403" s="87"/>
      <c r="G1403" s="88"/>
      <c r="H1403" s="104"/>
    </row>
    <row r="1404" spans="2:8" ht="18" x14ac:dyDescent="0.25">
      <c r="B1404" s="87" t="e">
        <f>+$E$3</f>
        <v>#REF!</v>
      </c>
      <c r="C1404" s="87"/>
      <c r="D1404" s="87"/>
      <c r="E1404" s="98"/>
      <c r="F1404" s="87"/>
      <c r="G1404" s="96"/>
      <c r="H1404" s="87"/>
    </row>
    <row r="1405" spans="2:8" ht="18" x14ac:dyDescent="0.25">
      <c r="C1405" s="87"/>
      <c r="D1405" s="87"/>
      <c r="E1405" s="87" t="s">
        <v>85</v>
      </c>
      <c r="F1405" s="109" t="e">
        <f>+F1388</f>
        <v>#REF!</v>
      </c>
      <c r="H1405" s="102">
        <f>+B1410</f>
        <v>46183</v>
      </c>
    </row>
    <row r="1406" spans="2:8" ht="18" x14ac:dyDescent="0.25">
      <c r="B1406" s="88"/>
      <c r="C1406" s="87"/>
      <c r="D1406" s="87"/>
      <c r="E1406" s="87" t="s">
        <v>193</v>
      </c>
      <c r="F1406" s="109" t="e">
        <f>+F1389</f>
        <v>#REF!</v>
      </c>
    </row>
    <row r="1407" spans="2:8" ht="18" x14ac:dyDescent="0.25">
      <c r="B1407" s="88"/>
      <c r="C1407" s="87"/>
      <c r="D1407" s="87"/>
      <c r="E1407" s="87" t="s">
        <v>86</v>
      </c>
      <c r="F1407" s="109" t="e">
        <f>+F1390</f>
        <v>#REF!</v>
      </c>
      <c r="G1407" s="87"/>
      <c r="H1407" s="87"/>
    </row>
    <row r="1408" spans="2:8" ht="18" x14ac:dyDescent="0.25">
      <c r="B1408" s="87"/>
      <c r="C1408" s="87"/>
      <c r="D1408" s="87"/>
      <c r="E1408" s="87" t="s">
        <v>87</v>
      </c>
      <c r="F1408" s="109" t="e">
        <f>+F1391</f>
        <v>#REF!</v>
      </c>
      <c r="G1408" s="87"/>
      <c r="H1408" s="87"/>
    </row>
    <row r="1409" spans="2:8" ht="18" x14ac:dyDescent="0.25">
      <c r="B1409" s="98"/>
      <c r="C1409" s="98"/>
      <c r="D1409" s="98"/>
      <c r="E1409" s="87" t="s">
        <v>321</v>
      </c>
      <c r="F1409" s="109">
        <v>0</v>
      </c>
      <c r="G1409" s="87"/>
      <c r="H1409" s="87"/>
    </row>
    <row r="1410" spans="2:8" ht="18" x14ac:dyDescent="0.25">
      <c r="B1410" s="102">
        <f>+$G$34</f>
        <v>46183</v>
      </c>
      <c r="C1410" s="108" t="e">
        <f>+F1392</f>
        <v>#REF!</v>
      </c>
      <c r="D1410" s="87"/>
      <c r="E1410" s="87" t="s">
        <v>88</v>
      </c>
      <c r="F1410" s="109" t="e">
        <f>+F1392</f>
        <v>#REF!</v>
      </c>
      <c r="G1410" s="87"/>
      <c r="H1410" s="87"/>
    </row>
    <row r="1411" spans="2:8" ht="18" x14ac:dyDescent="0.25">
      <c r="B1411" s="87"/>
      <c r="C1411" s="87"/>
      <c r="D1411" s="87"/>
      <c r="E1411" s="87"/>
      <c r="F1411" s="87"/>
      <c r="G1411" s="87"/>
      <c r="H1411" s="87"/>
    </row>
    <row r="1412" spans="2:8" ht="18" x14ac:dyDescent="0.25">
      <c r="B1412" s="87"/>
      <c r="C1412" s="87"/>
      <c r="D1412" s="87"/>
      <c r="E1412" s="87"/>
      <c r="F1412" s="87"/>
      <c r="G1412" s="339"/>
      <c r="H1412" s="339"/>
    </row>
    <row r="1413" spans="2:8" ht="18" x14ac:dyDescent="0.25">
      <c r="B1413" s="87"/>
      <c r="C1413" s="87"/>
      <c r="D1413" s="87"/>
      <c r="E1413" s="87"/>
      <c r="F1413" s="87"/>
      <c r="G1413" s="87"/>
      <c r="H1413" s="87"/>
    </row>
    <row r="1414" spans="2:8" ht="18" x14ac:dyDescent="0.25">
      <c r="B1414" s="87"/>
      <c r="C1414" s="87"/>
      <c r="D1414" s="87"/>
      <c r="E1414" s="87"/>
      <c r="F1414" s="87"/>
      <c r="G1414" s="87"/>
      <c r="H1414" s="87"/>
    </row>
    <row r="1415" spans="2:8" ht="18" x14ac:dyDescent="0.25">
      <c r="B1415" s="87"/>
      <c r="C1415" s="87"/>
      <c r="D1415" s="87"/>
      <c r="E1415" s="87"/>
      <c r="F1415" s="87"/>
      <c r="G1415" s="87"/>
      <c r="H1415" s="87"/>
    </row>
    <row r="1416" spans="2:8" ht="18" x14ac:dyDescent="0.25">
      <c r="B1416" s="87"/>
      <c r="C1416" s="87"/>
      <c r="D1416" s="87"/>
      <c r="E1416" s="87"/>
      <c r="F1416" s="87"/>
      <c r="H1416" s="87"/>
    </row>
    <row r="1417" spans="2:8" ht="18" x14ac:dyDescent="0.25">
      <c r="B1417" s="87"/>
      <c r="C1417" s="87"/>
      <c r="D1417" s="87"/>
      <c r="E1417" s="87"/>
      <c r="F1417" s="87"/>
      <c r="H1417" s="87"/>
    </row>
    <row r="1418" spans="2:8" ht="18" x14ac:dyDescent="0.25">
      <c r="B1418" s="335"/>
      <c r="C1418" s="335"/>
      <c r="D1418" s="335"/>
      <c r="E1418" s="87"/>
      <c r="F1418" s="87"/>
      <c r="H1418" s="87"/>
    </row>
    <row r="1419" spans="2:8" ht="18" x14ac:dyDescent="0.25">
      <c r="B1419" s="335"/>
      <c r="C1419" s="335"/>
      <c r="D1419" s="335"/>
      <c r="E1419" s="101">
        <f>+$B$1</f>
        <v>46143</v>
      </c>
      <c r="F1419" s="87"/>
      <c r="G1419" s="102">
        <f>+$D$1</f>
        <v>46183</v>
      </c>
      <c r="H1419" s="100"/>
    </row>
    <row r="1420" spans="2:8" ht="18" x14ac:dyDescent="0.25">
      <c r="B1420" s="86"/>
      <c r="C1420" s="86"/>
      <c r="D1420" s="103"/>
      <c r="E1420" s="101"/>
      <c r="F1420" s="87"/>
    </row>
    <row r="1421" spans="2:8" ht="18" x14ac:dyDescent="0.25">
      <c r="B1421" s="87" t="e">
        <f>+#REF!</f>
        <v>#REF!</v>
      </c>
      <c r="C1421" s="87"/>
      <c r="D1421" s="87"/>
      <c r="F1421" s="87"/>
    </row>
    <row r="1422" spans="2:8" ht="18" x14ac:dyDescent="0.25">
      <c r="C1422" s="87"/>
      <c r="D1422" s="87"/>
      <c r="E1422" s="87" t="str">
        <f>+$E$1</f>
        <v>URUGUAY 1025/27/29 CAP. FED.</v>
      </c>
      <c r="F1422" s="87"/>
      <c r="H1422" s="95" t="s">
        <v>121</v>
      </c>
    </row>
    <row r="1423" spans="2:8" ht="18" x14ac:dyDescent="0.25">
      <c r="B1423" s="88"/>
      <c r="C1423" s="87"/>
      <c r="D1423" s="87"/>
      <c r="F1423" s="87"/>
      <c r="G1423" s="88"/>
    </row>
    <row r="1424" spans="2:8" ht="18" x14ac:dyDescent="0.25">
      <c r="B1424" s="87"/>
      <c r="C1424" s="87"/>
      <c r="D1424" s="87"/>
      <c r="E1424" s="88"/>
      <c r="F1424" s="88"/>
      <c r="G1424" s="87"/>
      <c r="H1424" s="88"/>
    </row>
    <row r="1425" spans="2:8" ht="18" x14ac:dyDescent="0.25">
      <c r="B1425" s="96"/>
      <c r="C1425" s="87"/>
      <c r="D1425" s="96"/>
      <c r="E1425" s="87"/>
      <c r="F1425" s="87"/>
      <c r="G1425" s="87"/>
      <c r="H1425" s="87"/>
    </row>
    <row r="1426" spans="2:8" ht="18" x14ac:dyDescent="0.25">
      <c r="B1426" s="87" t="s">
        <v>82</v>
      </c>
      <c r="C1426" s="87"/>
      <c r="D1426" s="110">
        <f>+'RES CUENTA'!$H$26</f>
        <v>6751880</v>
      </c>
      <c r="E1426" s="111" t="e">
        <f>+'RES CUENTA'!#REF!</f>
        <v>#REF!</v>
      </c>
      <c r="F1426" s="106" t="e">
        <f>+D1426*E1426/100</f>
        <v>#REF!</v>
      </c>
      <c r="G1426" s="87"/>
      <c r="H1426" s="96"/>
    </row>
    <row r="1427" spans="2:8" ht="18" x14ac:dyDescent="0.25">
      <c r="B1427" s="87" t="s">
        <v>194</v>
      </c>
      <c r="C1427" s="87"/>
      <c r="D1427" s="110" t="e">
        <f>+'RES CUENTA'!#REF!</f>
        <v>#REF!</v>
      </c>
      <c r="E1427" s="111" t="e">
        <f>+'RES CUENTA'!#REF!</f>
        <v>#REF!</v>
      </c>
      <c r="F1427" s="106" t="e">
        <f>+D1427*E1427/100</f>
        <v>#REF!</v>
      </c>
      <c r="G1427" s="96"/>
      <c r="H1427" s="91"/>
    </row>
    <row r="1428" spans="2:8" ht="18" x14ac:dyDescent="0.25">
      <c r="B1428" s="87" t="s">
        <v>83</v>
      </c>
      <c r="C1428" s="87"/>
      <c r="D1428" s="110" t="e">
        <f>+'RES CUENTA'!#REF!</f>
        <v>#REF!</v>
      </c>
      <c r="E1428" s="111">
        <f>+'RES CUENTA'!N510</f>
        <v>0</v>
      </c>
      <c r="F1428" s="106" t="e">
        <f>+D1428</f>
        <v>#REF!</v>
      </c>
      <c r="G1428" s="91"/>
      <c r="H1428" s="91"/>
    </row>
    <row r="1429" spans="2:8" ht="18" x14ac:dyDescent="0.25">
      <c r="B1429" s="87" t="s">
        <v>84</v>
      </c>
      <c r="C1429" s="87"/>
      <c r="D1429" s="110" t="e">
        <f>+'RES CUENTA'!#REF!</f>
        <v>#REF!</v>
      </c>
      <c r="E1429" s="111">
        <f>+'RES CUENTA'!P509</f>
        <v>0</v>
      </c>
      <c r="F1429" s="106" t="e">
        <f>+D1429</f>
        <v>#REF!</v>
      </c>
      <c r="G1429" s="91"/>
      <c r="H1429" s="91"/>
    </row>
    <row r="1430" spans="2:8" ht="18" x14ac:dyDescent="0.25">
      <c r="B1430" s="88"/>
      <c r="C1430" s="87"/>
      <c r="D1430" s="87"/>
      <c r="F1430" s="107" t="e">
        <f>SUM(F1426:F1429)</f>
        <v>#REF!</v>
      </c>
      <c r="G1430" s="91"/>
      <c r="H1430" s="91"/>
    </row>
    <row r="1431" spans="2:8" ht="18" x14ac:dyDescent="0.25">
      <c r="B1431" s="88"/>
      <c r="C1431" s="87"/>
      <c r="D1431" s="87"/>
      <c r="F1431" s="107"/>
      <c r="G1431" s="91"/>
      <c r="H1431" s="91"/>
    </row>
    <row r="1432" spans="2:8" ht="18" x14ac:dyDescent="0.25">
      <c r="B1432" s="88"/>
      <c r="C1432" s="87"/>
      <c r="D1432" s="87"/>
      <c r="F1432" s="93"/>
      <c r="G1432" s="91"/>
      <c r="H1432" s="92"/>
    </row>
    <row r="1433" spans="2:8" ht="18" x14ac:dyDescent="0.25">
      <c r="B1433" s="87"/>
      <c r="C1433" s="87"/>
      <c r="D1433" s="87"/>
      <c r="E1433" s="87"/>
      <c r="F1433" s="94"/>
      <c r="G1433" s="92"/>
      <c r="H1433" s="92"/>
    </row>
    <row r="1434" spans="2:8" ht="18" x14ac:dyDescent="0.25">
      <c r="B1434" s="87"/>
      <c r="C1434" s="87"/>
      <c r="D1434" s="87"/>
      <c r="E1434" s="87"/>
      <c r="F1434" s="94"/>
      <c r="G1434" s="92"/>
      <c r="H1434" s="92"/>
    </row>
    <row r="1435" spans="2:8" ht="18" x14ac:dyDescent="0.25">
      <c r="B1435" s="87"/>
      <c r="C1435" s="87"/>
      <c r="D1435" s="87"/>
      <c r="E1435" s="87"/>
      <c r="F1435" s="94"/>
      <c r="G1435" s="92"/>
      <c r="H1435" s="87"/>
    </row>
    <row r="1436" spans="2:8" ht="18" x14ac:dyDescent="0.25">
      <c r="B1436" s="87" t="e">
        <f>+B1421</f>
        <v>#REF!</v>
      </c>
      <c r="C1436" s="87"/>
      <c r="D1436" s="87"/>
      <c r="E1436" s="87" t="e">
        <f>+B1421</f>
        <v>#REF!</v>
      </c>
      <c r="F1436" s="87"/>
      <c r="G1436" s="87"/>
      <c r="H1436" s="104"/>
    </row>
    <row r="1437" spans="2:8" ht="18" x14ac:dyDescent="0.25">
      <c r="B1437" s="88"/>
      <c r="C1437" s="87"/>
      <c r="D1437" s="87"/>
      <c r="F1437" s="87"/>
      <c r="G1437" s="104"/>
      <c r="H1437" s="95" t="str">
        <f>+H1422</f>
        <v>Unid. 38</v>
      </c>
    </row>
    <row r="1438" spans="2:8" ht="18" x14ac:dyDescent="0.25">
      <c r="B1438" s="87" t="str">
        <f>+$E$1</f>
        <v>URUGUAY 1025/27/29 CAP. FED.</v>
      </c>
      <c r="C1438" s="87"/>
      <c r="D1438" s="95" t="str">
        <f>+H1437</f>
        <v>Unid. 38</v>
      </c>
      <c r="E1438" s="87" t="str">
        <f>+$E$1</f>
        <v>URUGUAY 1025/27/29 CAP. FED.</v>
      </c>
      <c r="F1438" s="87"/>
      <c r="G1438" s="87"/>
      <c r="H1438" s="88"/>
    </row>
    <row r="1439" spans="2:8" ht="18" x14ac:dyDescent="0.25">
      <c r="B1439" s="88"/>
      <c r="C1439" s="88"/>
      <c r="D1439" s="88"/>
      <c r="F1439" s="87"/>
      <c r="G1439" s="87"/>
    </row>
    <row r="1440" spans="2:8" ht="18" x14ac:dyDescent="0.25">
      <c r="B1440" s="87"/>
      <c r="C1440" s="87"/>
      <c r="D1440" s="87"/>
      <c r="E1440" s="88"/>
      <c r="F1440" s="87"/>
      <c r="G1440" s="87"/>
      <c r="H1440" s="104"/>
    </row>
    <row r="1441" spans="2:8" ht="18" x14ac:dyDescent="0.25">
      <c r="B1441" s="87" t="e">
        <f>+$E$2</f>
        <v>#REF!</v>
      </c>
      <c r="C1441" s="87"/>
      <c r="D1441" s="87"/>
      <c r="E1441" s="87"/>
      <c r="F1441" s="98"/>
      <c r="G1441" s="88"/>
      <c r="H1441" s="87"/>
    </row>
    <row r="1442" spans="2:8" ht="18" x14ac:dyDescent="0.25">
      <c r="B1442" s="87" t="e">
        <f>+$E$3</f>
        <v>#REF!</v>
      </c>
      <c r="C1442" s="87"/>
      <c r="D1442" s="87"/>
      <c r="E1442" s="98"/>
      <c r="G1442" s="96"/>
      <c r="H1442" s="97"/>
    </row>
    <row r="1443" spans="2:8" ht="18" x14ac:dyDescent="0.25">
      <c r="B1443" s="88"/>
      <c r="C1443" s="87"/>
      <c r="D1443" s="87"/>
      <c r="E1443" s="87" t="s">
        <v>85</v>
      </c>
      <c r="F1443" s="109" t="e">
        <f>+F1426</f>
        <v>#REF!</v>
      </c>
      <c r="G1443" s="97"/>
      <c r="H1443" s="102">
        <f>+B1447</f>
        <v>46183</v>
      </c>
    </row>
    <row r="1444" spans="2:8" ht="18" x14ac:dyDescent="0.25">
      <c r="B1444" s="88"/>
      <c r="C1444" s="87"/>
      <c r="D1444" s="87"/>
      <c r="E1444" s="87" t="s">
        <v>193</v>
      </c>
      <c r="F1444" s="109" t="e">
        <f>+F1427</f>
        <v>#REF!</v>
      </c>
      <c r="H1444" s="87"/>
    </row>
    <row r="1445" spans="2:8" ht="18" x14ac:dyDescent="0.25">
      <c r="B1445" s="87"/>
      <c r="C1445" s="87"/>
      <c r="D1445" s="87"/>
      <c r="E1445" s="87" t="s">
        <v>86</v>
      </c>
      <c r="F1445" s="109" t="e">
        <f>+F1428</f>
        <v>#REF!</v>
      </c>
      <c r="G1445" s="87"/>
      <c r="H1445" s="87"/>
    </row>
    <row r="1446" spans="2:8" ht="18" x14ac:dyDescent="0.25">
      <c r="B1446" s="98"/>
      <c r="C1446" s="98"/>
      <c r="D1446" s="98"/>
      <c r="E1446" s="87" t="s">
        <v>87</v>
      </c>
      <c r="F1446" s="109" t="e">
        <f>+F1429</f>
        <v>#REF!</v>
      </c>
      <c r="G1446" s="87"/>
      <c r="H1446" s="87"/>
    </row>
    <row r="1447" spans="2:8" ht="18" x14ac:dyDescent="0.25">
      <c r="B1447" s="102">
        <f>+$G$34</f>
        <v>46183</v>
      </c>
      <c r="C1447" s="108" t="e">
        <f>+F1430</f>
        <v>#REF!</v>
      </c>
      <c r="D1447" s="87"/>
      <c r="E1447" s="87" t="s">
        <v>321</v>
      </c>
      <c r="F1447" s="109">
        <v>0</v>
      </c>
      <c r="G1447" s="87"/>
      <c r="H1447" s="87"/>
    </row>
    <row r="1448" spans="2:8" ht="18" x14ac:dyDescent="0.25">
      <c r="B1448" s="87"/>
      <c r="C1448" s="87"/>
      <c r="D1448" s="87"/>
      <c r="E1448" s="87" t="s">
        <v>88</v>
      </c>
      <c r="F1448" s="109" t="e">
        <f>+F1430</f>
        <v>#REF!</v>
      </c>
      <c r="G1448" s="87"/>
      <c r="H1448" s="87"/>
    </row>
    <row r="1449" spans="2:8" ht="18" x14ac:dyDescent="0.25">
      <c r="B1449" s="87"/>
      <c r="C1449" s="87"/>
      <c r="D1449" s="87"/>
      <c r="E1449" s="87"/>
      <c r="F1449" s="87"/>
      <c r="G1449" s="87"/>
      <c r="H1449" s="87"/>
    </row>
    <row r="1450" spans="2:8" ht="18" x14ac:dyDescent="0.25">
      <c r="B1450" s="87"/>
      <c r="C1450" s="87"/>
      <c r="D1450" s="87"/>
      <c r="E1450" s="105"/>
      <c r="F1450" s="87"/>
      <c r="G1450" s="87"/>
      <c r="H1450" s="87"/>
    </row>
    <row r="1451" spans="2:8" ht="18" x14ac:dyDescent="0.25">
      <c r="B1451" s="87"/>
      <c r="C1451" s="87"/>
      <c r="D1451" s="87"/>
      <c r="E1451" s="87"/>
      <c r="F1451" s="87"/>
      <c r="G1451" s="87"/>
      <c r="H1451" s="96"/>
    </row>
    <row r="1452" spans="2:8" ht="18" x14ac:dyDescent="0.25">
      <c r="E1452" s="87"/>
      <c r="G1452" s="96"/>
      <c r="H1452" s="87"/>
    </row>
    <row r="1454" spans="2:8" ht="18" x14ac:dyDescent="0.25">
      <c r="B1454" s="335"/>
      <c r="C1454" s="335"/>
      <c r="D1454" s="335"/>
      <c r="E1454" s="340">
        <f>+$B$1</f>
        <v>46143</v>
      </c>
      <c r="F1454" s="87"/>
      <c r="G1454" s="341">
        <f>+$D$1</f>
        <v>46183</v>
      </c>
      <c r="H1454" s="87"/>
    </row>
    <row r="1455" spans="2:8" ht="18" x14ac:dyDescent="0.25">
      <c r="B1455" s="86"/>
      <c r="C1455" s="86"/>
      <c r="D1455" s="103"/>
      <c r="E1455" s="340"/>
      <c r="F1455" s="87"/>
      <c r="G1455" s="341"/>
      <c r="H1455" s="87"/>
    </row>
    <row r="1456" spans="2:8" ht="18" x14ac:dyDescent="0.25">
      <c r="B1456" s="87"/>
      <c r="C1456" s="87"/>
      <c r="D1456" s="87"/>
      <c r="E1456" s="88"/>
      <c r="F1456" s="87"/>
      <c r="G1456" s="88"/>
      <c r="H1456" s="87"/>
    </row>
    <row r="1457" spans="2:8" ht="18" x14ac:dyDescent="0.25">
      <c r="B1457" s="87" t="e">
        <f>+#REF!</f>
        <v>#REF!</v>
      </c>
      <c r="C1457" s="87"/>
      <c r="D1457" s="87"/>
      <c r="E1457" s="88"/>
      <c r="F1457" s="87"/>
      <c r="G1457" s="88"/>
      <c r="H1457" s="87"/>
    </row>
    <row r="1458" spans="2:8" ht="18" x14ac:dyDescent="0.25">
      <c r="B1458" s="88"/>
      <c r="C1458" s="87"/>
      <c r="D1458" s="87"/>
      <c r="E1458" s="87" t="s">
        <v>81</v>
      </c>
      <c r="F1458" s="87"/>
      <c r="G1458" s="87"/>
      <c r="H1458" s="95" t="s">
        <v>122</v>
      </c>
    </row>
    <row r="1459" spans="2:8" ht="18" x14ac:dyDescent="0.25">
      <c r="B1459" s="87"/>
      <c r="C1459" s="87"/>
      <c r="D1459" s="87"/>
      <c r="E1459" s="88"/>
      <c r="F1459" s="88"/>
      <c r="G1459" s="87"/>
      <c r="H1459" s="88"/>
    </row>
    <row r="1460" spans="2:8" ht="18" x14ac:dyDescent="0.25">
      <c r="B1460" s="96"/>
      <c r="C1460" s="87"/>
      <c r="D1460" s="96"/>
      <c r="E1460" s="87"/>
      <c r="F1460" s="87"/>
      <c r="G1460" s="87"/>
      <c r="H1460" s="87"/>
    </row>
    <row r="1461" spans="2:8" ht="18" x14ac:dyDescent="0.25">
      <c r="B1461" s="96"/>
      <c r="C1461" s="87"/>
      <c r="D1461" s="96"/>
      <c r="E1461" s="87"/>
      <c r="F1461" s="87"/>
      <c r="G1461" s="87"/>
      <c r="H1461" s="87"/>
    </row>
    <row r="1462" spans="2:8" ht="18" x14ac:dyDescent="0.25">
      <c r="B1462" s="87" t="s">
        <v>82</v>
      </c>
      <c r="C1462" s="87"/>
      <c r="D1462" s="110">
        <f>+'RES CUENTA'!$H$26</f>
        <v>6751880</v>
      </c>
      <c r="E1462" s="111" t="e">
        <f>+'RES CUENTA'!#REF!</f>
        <v>#REF!</v>
      </c>
      <c r="F1462" s="106" t="e">
        <f>+D1462*E1462/100</f>
        <v>#REF!</v>
      </c>
      <c r="G1462" s="339"/>
      <c r="H1462" s="339"/>
    </row>
    <row r="1463" spans="2:8" ht="18" x14ac:dyDescent="0.25">
      <c r="B1463" s="87" t="s">
        <v>194</v>
      </c>
      <c r="C1463" s="87"/>
      <c r="D1463" s="110" t="e">
        <f>+'RES CUENTA'!#REF!</f>
        <v>#REF!</v>
      </c>
      <c r="E1463" s="111" t="e">
        <f>+'RES CUENTA'!#REF!</f>
        <v>#REF!</v>
      </c>
      <c r="F1463" s="106" t="e">
        <f>+D1463*E1463/100</f>
        <v>#REF!</v>
      </c>
      <c r="G1463" s="336"/>
      <c r="H1463" s="336"/>
    </row>
    <row r="1464" spans="2:8" ht="18" x14ac:dyDescent="0.25">
      <c r="B1464" s="87" t="s">
        <v>83</v>
      </c>
      <c r="C1464" s="87"/>
      <c r="D1464" s="110" t="e">
        <f>+'RES CUENTA'!#REF!</f>
        <v>#REF!</v>
      </c>
      <c r="E1464" s="111">
        <v>0</v>
      </c>
      <c r="F1464" s="106" t="e">
        <f>+D1464</f>
        <v>#REF!</v>
      </c>
      <c r="G1464" s="336"/>
      <c r="H1464" s="336"/>
    </row>
    <row r="1465" spans="2:8" ht="18" x14ac:dyDescent="0.25">
      <c r="B1465" s="87" t="s">
        <v>84</v>
      </c>
      <c r="C1465" s="87"/>
      <c r="D1465" s="110" t="e">
        <f>+'RES CUENTA'!#REF!</f>
        <v>#REF!</v>
      </c>
      <c r="E1465" s="111">
        <v>0</v>
      </c>
      <c r="F1465" s="106" t="e">
        <f>+D1465</f>
        <v>#REF!</v>
      </c>
      <c r="G1465" s="336"/>
      <c r="H1465" s="336"/>
    </row>
    <row r="1466" spans="2:8" ht="18" x14ac:dyDescent="0.25">
      <c r="B1466" s="88"/>
      <c r="C1466" s="87"/>
      <c r="D1466" s="87"/>
      <c r="E1466" s="94"/>
      <c r="F1466" s="107" t="e">
        <f>SUM(F1462:F1465)</f>
        <v>#REF!</v>
      </c>
      <c r="G1466" s="336"/>
      <c r="H1466" s="336"/>
    </row>
    <row r="1467" spans="2:8" ht="18" x14ac:dyDescent="0.25">
      <c r="B1467" s="88"/>
      <c r="C1467" s="87"/>
      <c r="D1467" s="87"/>
      <c r="E1467" s="94"/>
      <c r="F1467" s="107"/>
      <c r="G1467" s="91"/>
      <c r="H1467" s="91"/>
    </row>
    <row r="1468" spans="2:8" ht="18" x14ac:dyDescent="0.25">
      <c r="B1468" s="88"/>
      <c r="C1468" s="87"/>
      <c r="D1468" s="87"/>
      <c r="E1468" s="87"/>
      <c r="G1468" s="337"/>
      <c r="H1468" s="337"/>
    </row>
    <row r="1469" spans="2:8" ht="18" x14ac:dyDescent="0.25">
      <c r="B1469" s="87"/>
      <c r="C1469" s="87"/>
      <c r="D1469" s="87"/>
      <c r="E1469" s="87"/>
      <c r="F1469" s="93"/>
      <c r="G1469" s="92"/>
      <c r="H1469" s="92"/>
    </row>
    <row r="1470" spans="2:8" ht="18" x14ac:dyDescent="0.25">
      <c r="B1470" s="87"/>
      <c r="C1470" s="87"/>
      <c r="D1470" s="87"/>
      <c r="E1470" s="87"/>
      <c r="F1470" s="94"/>
      <c r="G1470" s="87"/>
      <c r="H1470" s="87"/>
    </row>
    <row r="1471" spans="2:8" ht="18" x14ac:dyDescent="0.25">
      <c r="B1471" s="87"/>
      <c r="C1471" s="87"/>
      <c r="D1471" s="87"/>
      <c r="E1471" s="87"/>
      <c r="F1471" s="94"/>
      <c r="G1471" s="87"/>
      <c r="H1471" s="87"/>
    </row>
    <row r="1472" spans="2:8" ht="18" x14ac:dyDescent="0.25">
      <c r="B1472" s="87" t="e">
        <f>+B1457</f>
        <v>#REF!</v>
      </c>
      <c r="C1472" s="338"/>
      <c r="D1472" s="338"/>
      <c r="E1472" s="87" t="e">
        <f>+B1472</f>
        <v>#REF!</v>
      </c>
      <c r="F1472" s="94"/>
      <c r="G1472" s="87"/>
      <c r="H1472" s="87"/>
    </row>
    <row r="1473" spans="2:8" ht="18" x14ac:dyDescent="0.25">
      <c r="C1473" s="87"/>
      <c r="D1473" s="87"/>
      <c r="F1473" s="338"/>
      <c r="G1473" s="338"/>
      <c r="H1473" s="338"/>
    </row>
    <row r="1474" spans="2:8" ht="18" x14ac:dyDescent="0.25">
      <c r="B1474" s="87" t="str">
        <f>+$E$1</f>
        <v>URUGUAY 1025/27/29 CAP. FED.</v>
      </c>
      <c r="C1474" s="87"/>
      <c r="D1474" s="95" t="str">
        <f>+H1458</f>
        <v>Unid. 39</v>
      </c>
      <c r="E1474" s="87" t="str">
        <f>+$E$1</f>
        <v>URUGUAY 1025/27/29 CAP. FED.</v>
      </c>
      <c r="F1474" s="87"/>
      <c r="G1474" s="87"/>
      <c r="H1474" s="95" t="str">
        <f>+D1474</f>
        <v>Unid. 39</v>
      </c>
    </row>
    <row r="1475" spans="2:8" ht="18" x14ac:dyDescent="0.25">
      <c r="H1475" s="88"/>
    </row>
    <row r="1476" spans="2:8" ht="18" x14ac:dyDescent="0.25">
      <c r="B1476" s="88"/>
      <c r="C1476" s="88"/>
      <c r="D1476" s="88"/>
      <c r="E1476" s="88"/>
      <c r="F1476" s="87"/>
      <c r="G1476" s="87"/>
    </row>
    <row r="1477" spans="2:8" ht="18" x14ac:dyDescent="0.25">
      <c r="B1477" s="87" t="e">
        <f>+$E$2</f>
        <v>#REF!</v>
      </c>
      <c r="C1477" s="87"/>
      <c r="D1477" s="87"/>
      <c r="E1477" s="87"/>
      <c r="F1477" s="87"/>
      <c r="G1477" s="88"/>
      <c r="H1477" s="104"/>
    </row>
    <row r="1478" spans="2:8" ht="18" x14ac:dyDescent="0.25">
      <c r="B1478" s="87" t="e">
        <f>+$E$3</f>
        <v>#REF!</v>
      </c>
      <c r="C1478" s="87"/>
      <c r="D1478" s="87"/>
      <c r="E1478" s="98"/>
      <c r="F1478" s="87"/>
      <c r="G1478" s="96"/>
      <c r="H1478" s="87"/>
    </row>
    <row r="1479" spans="2:8" ht="18" x14ac:dyDescent="0.25">
      <c r="C1479" s="87"/>
      <c r="D1479" s="87"/>
      <c r="E1479" s="87" t="s">
        <v>85</v>
      </c>
      <c r="F1479" s="109" t="e">
        <f>+F1462</f>
        <v>#REF!</v>
      </c>
      <c r="H1479" s="102">
        <f>+B1484</f>
        <v>46183</v>
      </c>
    </row>
    <row r="1480" spans="2:8" ht="18" x14ac:dyDescent="0.25">
      <c r="B1480" s="88"/>
      <c r="C1480" s="87"/>
      <c r="D1480" s="87"/>
      <c r="E1480" s="87" t="s">
        <v>193</v>
      </c>
      <c r="F1480" s="109" t="e">
        <f>+F1463</f>
        <v>#REF!</v>
      </c>
    </row>
    <row r="1481" spans="2:8" ht="18" x14ac:dyDescent="0.25">
      <c r="B1481" s="88"/>
      <c r="C1481" s="87"/>
      <c r="D1481" s="87"/>
      <c r="E1481" s="87" t="s">
        <v>86</v>
      </c>
      <c r="F1481" s="109" t="e">
        <f>+F1464</f>
        <v>#REF!</v>
      </c>
      <c r="G1481" s="87"/>
      <c r="H1481" s="87"/>
    </row>
    <row r="1482" spans="2:8" ht="18" x14ac:dyDescent="0.25">
      <c r="B1482" s="87"/>
      <c r="C1482" s="87"/>
      <c r="D1482" s="87"/>
      <c r="E1482" s="87" t="s">
        <v>87</v>
      </c>
      <c r="F1482" s="109" t="e">
        <f>+F1465</f>
        <v>#REF!</v>
      </c>
      <c r="G1482" s="87"/>
      <c r="H1482" s="87"/>
    </row>
    <row r="1483" spans="2:8" ht="18" x14ac:dyDescent="0.25">
      <c r="B1483" s="98"/>
      <c r="C1483" s="98"/>
      <c r="D1483" s="98"/>
      <c r="E1483" s="87" t="s">
        <v>321</v>
      </c>
      <c r="F1483" s="109">
        <v>0</v>
      </c>
      <c r="G1483" s="87"/>
      <c r="H1483" s="87"/>
    </row>
    <row r="1484" spans="2:8" ht="18" x14ac:dyDescent="0.25">
      <c r="B1484" s="102">
        <f>+$G$34</f>
        <v>46183</v>
      </c>
      <c r="C1484" s="108" t="e">
        <f>+F1466</f>
        <v>#REF!</v>
      </c>
      <c r="D1484" s="87"/>
      <c r="E1484" s="87" t="s">
        <v>88</v>
      </c>
      <c r="F1484" s="109" t="e">
        <f>+F1466</f>
        <v>#REF!</v>
      </c>
      <c r="G1484" s="87"/>
      <c r="H1484" s="87"/>
    </row>
    <row r="1485" spans="2:8" ht="18" x14ac:dyDescent="0.25">
      <c r="B1485" s="87"/>
      <c r="C1485" s="87"/>
      <c r="D1485" s="87"/>
      <c r="E1485" s="87"/>
      <c r="F1485" s="87"/>
      <c r="G1485" s="87"/>
      <c r="H1485" s="87"/>
    </row>
    <row r="1486" spans="2:8" ht="18" x14ac:dyDescent="0.25">
      <c r="B1486" s="87"/>
      <c r="C1486" s="87"/>
      <c r="D1486" s="87"/>
      <c r="E1486" s="87"/>
      <c r="F1486" s="87"/>
      <c r="G1486" s="339"/>
      <c r="H1486" s="339"/>
    </row>
    <row r="1487" spans="2:8" ht="18" x14ac:dyDescent="0.25">
      <c r="B1487" s="87"/>
      <c r="C1487" s="87"/>
      <c r="D1487" s="87"/>
      <c r="E1487" s="87"/>
      <c r="F1487" s="87"/>
      <c r="G1487" s="87"/>
      <c r="H1487" s="87"/>
    </row>
    <row r="1488" spans="2:8" ht="18" x14ac:dyDescent="0.25">
      <c r="B1488" s="87"/>
      <c r="C1488" s="87"/>
      <c r="D1488" s="87"/>
      <c r="E1488" s="87"/>
      <c r="F1488" s="87"/>
      <c r="G1488" s="87"/>
      <c r="H1488" s="87"/>
    </row>
    <row r="1489" spans="2:8" ht="18" x14ac:dyDescent="0.25">
      <c r="B1489" s="87"/>
      <c r="C1489" s="87"/>
      <c r="D1489" s="87"/>
      <c r="E1489" s="87"/>
      <c r="F1489" s="87"/>
      <c r="G1489" s="87"/>
      <c r="H1489" s="87"/>
    </row>
    <row r="1490" spans="2:8" ht="18" x14ac:dyDescent="0.25">
      <c r="B1490" s="87"/>
      <c r="C1490" s="87"/>
      <c r="D1490" s="87"/>
      <c r="E1490" s="87"/>
      <c r="F1490" s="87"/>
      <c r="H1490" s="87"/>
    </row>
    <row r="1491" spans="2:8" ht="18" x14ac:dyDescent="0.25">
      <c r="B1491" s="87"/>
      <c r="C1491" s="87"/>
      <c r="D1491" s="87"/>
      <c r="E1491" s="87"/>
      <c r="F1491" s="87"/>
      <c r="H1491" s="87"/>
    </row>
    <row r="1492" spans="2:8" ht="18" x14ac:dyDescent="0.25">
      <c r="B1492" s="335"/>
      <c r="C1492" s="335"/>
      <c r="D1492" s="335"/>
      <c r="E1492" s="87"/>
      <c r="F1492" s="87"/>
      <c r="H1492" s="87"/>
    </row>
    <row r="1493" spans="2:8" ht="18" x14ac:dyDescent="0.25">
      <c r="B1493" s="335"/>
      <c r="C1493" s="335"/>
      <c r="D1493" s="335"/>
      <c r="E1493" s="101">
        <f>+$B$1</f>
        <v>46143</v>
      </c>
      <c r="F1493" s="87"/>
      <c r="G1493" s="102">
        <f>+$D$1</f>
        <v>46183</v>
      </c>
      <c r="H1493" s="100"/>
    </row>
    <row r="1494" spans="2:8" ht="18" x14ac:dyDescent="0.25">
      <c r="B1494" s="86"/>
      <c r="C1494" s="86"/>
      <c r="D1494" s="103"/>
      <c r="E1494" s="101"/>
      <c r="F1494" s="87"/>
    </row>
    <row r="1495" spans="2:8" ht="18" x14ac:dyDescent="0.25">
      <c r="B1495" s="87" t="e">
        <f>+#REF!</f>
        <v>#REF!</v>
      </c>
      <c r="C1495" s="87"/>
      <c r="D1495" s="87"/>
      <c r="F1495" s="87"/>
    </row>
    <row r="1496" spans="2:8" ht="18" x14ac:dyDescent="0.25">
      <c r="C1496" s="87"/>
      <c r="D1496" s="87"/>
      <c r="E1496" s="87" t="str">
        <f>+$E$1</f>
        <v>URUGUAY 1025/27/29 CAP. FED.</v>
      </c>
      <c r="F1496" s="87"/>
      <c r="H1496" s="95" t="s">
        <v>123</v>
      </c>
    </row>
    <row r="1497" spans="2:8" ht="18" x14ac:dyDescent="0.25">
      <c r="B1497" s="88"/>
      <c r="C1497" s="87"/>
      <c r="D1497" s="87"/>
      <c r="F1497" s="87"/>
      <c r="G1497" s="88"/>
    </row>
    <row r="1498" spans="2:8" ht="18" x14ac:dyDescent="0.25">
      <c r="B1498" s="87"/>
      <c r="C1498" s="87"/>
      <c r="D1498" s="87"/>
      <c r="E1498" s="88"/>
      <c r="F1498" s="88"/>
      <c r="G1498" s="87"/>
      <c r="H1498" s="88"/>
    </row>
    <row r="1499" spans="2:8" ht="18" x14ac:dyDescent="0.25">
      <c r="B1499" s="96"/>
      <c r="C1499" s="87"/>
      <c r="D1499" s="96"/>
      <c r="E1499" s="87"/>
      <c r="F1499" s="87"/>
      <c r="G1499" s="87"/>
      <c r="H1499" s="87"/>
    </row>
    <row r="1500" spans="2:8" ht="18" x14ac:dyDescent="0.25">
      <c r="B1500" s="87" t="s">
        <v>82</v>
      </c>
      <c r="C1500" s="87"/>
      <c r="D1500" s="110">
        <f>+'RES CUENTA'!$H$26</f>
        <v>6751880</v>
      </c>
      <c r="E1500" s="111" t="e">
        <f>+'RES CUENTA'!#REF!</f>
        <v>#REF!</v>
      </c>
      <c r="F1500" s="106" t="e">
        <f>+D1500*E1500/100</f>
        <v>#REF!</v>
      </c>
      <c r="G1500" s="87"/>
      <c r="H1500" s="96"/>
    </row>
    <row r="1501" spans="2:8" ht="18" x14ac:dyDescent="0.25">
      <c r="B1501" s="87" t="s">
        <v>194</v>
      </c>
      <c r="C1501" s="87"/>
      <c r="D1501" s="110" t="e">
        <f>+'RES CUENTA'!#REF!</f>
        <v>#REF!</v>
      </c>
      <c r="E1501" s="111" t="e">
        <f>+'RES CUENTA'!#REF!</f>
        <v>#REF!</v>
      </c>
      <c r="F1501" s="106" t="e">
        <f>+D1501*E1501/100</f>
        <v>#REF!</v>
      </c>
      <c r="G1501" s="96"/>
      <c r="H1501" s="91"/>
    </row>
    <row r="1502" spans="2:8" ht="18" x14ac:dyDescent="0.25">
      <c r="B1502" s="87" t="s">
        <v>83</v>
      </c>
      <c r="C1502" s="87"/>
      <c r="D1502" s="110" t="e">
        <f>+'RES CUENTA'!#REF!</f>
        <v>#REF!</v>
      </c>
      <c r="E1502" s="111">
        <f>+'RES CUENTA'!N586</f>
        <v>0</v>
      </c>
      <c r="F1502" s="106" t="e">
        <f>+D1502</f>
        <v>#REF!</v>
      </c>
      <c r="G1502" s="91"/>
      <c r="H1502" s="91"/>
    </row>
    <row r="1503" spans="2:8" ht="18" x14ac:dyDescent="0.25">
      <c r="B1503" s="87" t="s">
        <v>84</v>
      </c>
      <c r="C1503" s="87"/>
      <c r="D1503" s="110" t="e">
        <f>+'RES CUENTA'!#REF!</f>
        <v>#REF!</v>
      </c>
      <c r="E1503" s="111">
        <f>+'RES CUENTA'!P585</f>
        <v>0</v>
      </c>
      <c r="F1503" s="106" t="e">
        <f>+D1503</f>
        <v>#REF!</v>
      </c>
      <c r="G1503" s="91"/>
      <c r="H1503" s="91"/>
    </row>
    <row r="1504" spans="2:8" ht="18" x14ac:dyDescent="0.25">
      <c r="B1504" s="88"/>
      <c r="C1504" s="87"/>
      <c r="D1504" s="87"/>
      <c r="F1504" s="107" t="e">
        <f>SUM(F1500:F1503)</f>
        <v>#REF!</v>
      </c>
      <c r="G1504" s="91"/>
      <c r="H1504" s="91"/>
    </row>
    <row r="1505" spans="2:8" ht="18" x14ac:dyDescent="0.25">
      <c r="B1505" s="88"/>
      <c r="C1505" s="87"/>
      <c r="D1505" s="87"/>
      <c r="F1505" s="93"/>
      <c r="G1505" s="91"/>
      <c r="H1505" s="92"/>
    </row>
    <row r="1506" spans="2:8" ht="18" x14ac:dyDescent="0.25">
      <c r="B1506" s="88"/>
      <c r="C1506" s="87"/>
      <c r="D1506" s="87"/>
      <c r="F1506" s="93"/>
      <c r="G1506" s="91"/>
      <c r="H1506" s="92"/>
    </row>
    <row r="1507" spans="2:8" ht="18" x14ac:dyDescent="0.25">
      <c r="B1507" s="87"/>
      <c r="C1507" s="87"/>
      <c r="D1507" s="87"/>
      <c r="E1507" s="87"/>
      <c r="F1507" s="94"/>
      <c r="G1507" s="92"/>
      <c r="H1507" s="92"/>
    </row>
    <row r="1508" spans="2:8" ht="18" x14ac:dyDescent="0.25">
      <c r="B1508" s="87"/>
      <c r="C1508" s="87"/>
      <c r="D1508" s="87"/>
      <c r="E1508" s="87"/>
      <c r="F1508" s="94"/>
      <c r="G1508" s="92"/>
      <c r="H1508" s="92"/>
    </row>
    <row r="1509" spans="2:8" ht="18" x14ac:dyDescent="0.25">
      <c r="B1509" s="87"/>
      <c r="C1509" s="87"/>
      <c r="D1509" s="87"/>
      <c r="E1509" s="87"/>
      <c r="F1509" s="94"/>
      <c r="G1509" s="92"/>
      <c r="H1509" s="87"/>
    </row>
    <row r="1510" spans="2:8" ht="18" x14ac:dyDescent="0.25">
      <c r="B1510" s="87" t="e">
        <f>+B1495</f>
        <v>#REF!</v>
      </c>
      <c r="C1510" s="87"/>
      <c r="D1510" s="87"/>
      <c r="E1510" s="87" t="e">
        <f>+B1495</f>
        <v>#REF!</v>
      </c>
      <c r="F1510" s="87"/>
      <c r="G1510" s="87"/>
      <c r="H1510" s="104"/>
    </row>
    <row r="1511" spans="2:8" ht="18" x14ac:dyDescent="0.25">
      <c r="B1511" s="88"/>
      <c r="C1511" s="87"/>
      <c r="D1511" s="87"/>
      <c r="F1511" s="87"/>
      <c r="G1511" s="104"/>
      <c r="H1511" s="95" t="str">
        <f>+H1496</f>
        <v>Unid. 40</v>
      </c>
    </row>
    <row r="1512" spans="2:8" ht="18" x14ac:dyDescent="0.25">
      <c r="B1512" s="87" t="str">
        <f>+$E$1</f>
        <v>URUGUAY 1025/27/29 CAP. FED.</v>
      </c>
      <c r="C1512" s="87"/>
      <c r="D1512" s="95" t="str">
        <f>+H1511</f>
        <v>Unid. 40</v>
      </c>
      <c r="E1512" s="87" t="str">
        <f>+$E$1</f>
        <v>URUGUAY 1025/27/29 CAP. FED.</v>
      </c>
      <c r="F1512" s="87"/>
      <c r="G1512" s="87"/>
      <c r="H1512" s="88"/>
    </row>
    <row r="1513" spans="2:8" ht="18" x14ac:dyDescent="0.25">
      <c r="B1513" s="88"/>
      <c r="C1513" s="88"/>
      <c r="D1513" s="88"/>
      <c r="F1513" s="87"/>
      <c r="G1513" s="87"/>
    </row>
    <row r="1514" spans="2:8" ht="18" x14ac:dyDescent="0.25">
      <c r="B1514" s="87"/>
      <c r="C1514" s="87"/>
      <c r="D1514" s="87"/>
      <c r="E1514" s="88"/>
      <c r="F1514" s="87"/>
      <c r="G1514" s="87"/>
      <c r="H1514" s="104"/>
    </row>
    <row r="1515" spans="2:8" ht="18" x14ac:dyDescent="0.25">
      <c r="B1515" s="87" t="e">
        <f>+$E$2</f>
        <v>#REF!</v>
      </c>
      <c r="C1515" s="87"/>
      <c r="D1515" s="87"/>
      <c r="E1515" s="87"/>
      <c r="F1515" s="98"/>
      <c r="G1515" s="88"/>
      <c r="H1515" s="87"/>
    </row>
    <row r="1516" spans="2:8" ht="18" x14ac:dyDescent="0.25">
      <c r="B1516" s="87" t="e">
        <f>+$E$3</f>
        <v>#REF!</v>
      </c>
      <c r="C1516" s="87"/>
      <c r="D1516" s="87"/>
      <c r="E1516" s="98"/>
      <c r="G1516" s="96"/>
      <c r="H1516" s="97"/>
    </row>
    <row r="1517" spans="2:8" ht="18" x14ac:dyDescent="0.25">
      <c r="B1517" s="88"/>
      <c r="C1517" s="87"/>
      <c r="D1517" s="87"/>
      <c r="E1517" s="87" t="s">
        <v>85</v>
      </c>
      <c r="F1517" s="109" t="e">
        <f>+F1500</f>
        <v>#REF!</v>
      </c>
      <c r="G1517" s="97"/>
      <c r="H1517" s="102">
        <f>+B1521</f>
        <v>46183</v>
      </c>
    </row>
    <row r="1518" spans="2:8" ht="18" x14ac:dyDescent="0.25">
      <c r="B1518" s="88"/>
      <c r="C1518" s="87"/>
      <c r="D1518" s="87"/>
      <c r="E1518" s="87" t="s">
        <v>193</v>
      </c>
      <c r="F1518" s="109" t="e">
        <f>+F1501</f>
        <v>#REF!</v>
      </c>
      <c r="H1518" s="87"/>
    </row>
    <row r="1519" spans="2:8" ht="18" x14ac:dyDescent="0.25">
      <c r="B1519" s="87"/>
      <c r="C1519" s="87"/>
      <c r="D1519" s="87"/>
      <c r="E1519" s="87" t="s">
        <v>86</v>
      </c>
      <c r="F1519" s="109" t="e">
        <f>+F1502</f>
        <v>#REF!</v>
      </c>
      <c r="G1519" s="87"/>
      <c r="H1519" s="87"/>
    </row>
    <row r="1520" spans="2:8" ht="18" x14ac:dyDescent="0.25">
      <c r="B1520" s="98"/>
      <c r="C1520" s="98"/>
      <c r="D1520" s="98"/>
      <c r="E1520" s="87" t="s">
        <v>87</v>
      </c>
      <c r="F1520" s="109" t="e">
        <f>+F1503</f>
        <v>#REF!</v>
      </c>
      <c r="G1520" s="87"/>
      <c r="H1520" s="87"/>
    </row>
    <row r="1521" spans="2:8" ht="18" x14ac:dyDescent="0.25">
      <c r="B1521" s="102">
        <f>+$G$34</f>
        <v>46183</v>
      </c>
      <c r="C1521" s="108" t="e">
        <f>+F1504</f>
        <v>#REF!</v>
      </c>
      <c r="D1521" s="87"/>
      <c r="E1521" s="87" t="s">
        <v>321</v>
      </c>
      <c r="F1521" s="109">
        <v>0</v>
      </c>
      <c r="G1521" s="87"/>
      <c r="H1521" s="87"/>
    </row>
    <row r="1522" spans="2:8" ht="18" x14ac:dyDescent="0.25">
      <c r="B1522" s="87"/>
      <c r="C1522" s="87"/>
      <c r="D1522" s="87"/>
      <c r="E1522" s="87" t="s">
        <v>88</v>
      </c>
      <c r="F1522" s="109" t="e">
        <f>+F1504</f>
        <v>#REF!</v>
      </c>
      <c r="G1522" s="87"/>
      <c r="H1522" s="87"/>
    </row>
    <row r="1523" spans="2:8" ht="18" x14ac:dyDescent="0.25">
      <c r="B1523" s="87"/>
      <c r="C1523" s="87"/>
      <c r="D1523" s="87"/>
      <c r="E1523" s="87"/>
      <c r="F1523" s="87"/>
      <c r="G1523" s="87"/>
      <c r="H1523" s="87"/>
    </row>
    <row r="1524" spans="2:8" ht="18" x14ac:dyDescent="0.25">
      <c r="B1524" s="87"/>
      <c r="C1524" s="87"/>
      <c r="D1524" s="87"/>
      <c r="E1524" s="105"/>
      <c r="F1524" s="87"/>
      <c r="G1524" s="87"/>
      <c r="H1524" s="87"/>
    </row>
    <row r="1525" spans="2:8" ht="18" x14ac:dyDescent="0.25">
      <c r="B1525" s="87"/>
      <c r="C1525" s="87"/>
      <c r="D1525" s="87"/>
      <c r="E1525" s="87"/>
      <c r="F1525" s="87"/>
      <c r="G1525" s="87"/>
      <c r="H1525" s="96"/>
    </row>
    <row r="1526" spans="2:8" ht="18" x14ac:dyDescent="0.25">
      <c r="E1526" s="87"/>
      <c r="G1526" s="96"/>
      <c r="H1526" s="87"/>
    </row>
    <row r="1528" spans="2:8" ht="18" x14ac:dyDescent="0.25">
      <c r="B1528" s="335"/>
      <c r="C1528" s="335"/>
      <c r="D1528" s="335"/>
      <c r="E1528" s="340">
        <f>+$B$1</f>
        <v>46143</v>
      </c>
      <c r="F1528" s="87"/>
      <c r="G1528" s="341">
        <f>+$D$1</f>
        <v>46183</v>
      </c>
      <c r="H1528" s="87"/>
    </row>
    <row r="1529" spans="2:8" ht="18" x14ac:dyDescent="0.25">
      <c r="B1529" s="86"/>
      <c r="C1529" s="86"/>
      <c r="D1529" s="103"/>
      <c r="E1529" s="340"/>
      <c r="F1529" s="87"/>
      <c r="G1529" s="341"/>
      <c r="H1529" s="87"/>
    </row>
    <row r="1530" spans="2:8" ht="18" x14ac:dyDescent="0.25">
      <c r="B1530" s="87"/>
      <c r="C1530" s="87"/>
      <c r="D1530" s="87"/>
      <c r="E1530" s="88"/>
      <c r="F1530" s="87"/>
      <c r="G1530" s="88"/>
      <c r="H1530" s="87"/>
    </row>
    <row r="1531" spans="2:8" ht="18" x14ac:dyDescent="0.25">
      <c r="B1531" s="87" t="e">
        <f>+#REF!</f>
        <v>#REF!</v>
      </c>
      <c r="C1531" s="87"/>
      <c r="D1531" s="87"/>
      <c r="E1531" s="88"/>
      <c r="F1531" s="87"/>
      <c r="G1531" s="88"/>
      <c r="H1531" s="87"/>
    </row>
    <row r="1532" spans="2:8" ht="18" x14ac:dyDescent="0.25">
      <c r="B1532" s="88"/>
      <c r="C1532" s="87"/>
      <c r="D1532" s="87"/>
      <c r="E1532" s="87" t="s">
        <v>81</v>
      </c>
      <c r="F1532" s="87"/>
      <c r="G1532" s="87"/>
      <c r="H1532" s="95" t="s">
        <v>124</v>
      </c>
    </row>
    <row r="1533" spans="2:8" ht="18" x14ac:dyDescent="0.25">
      <c r="B1533" s="87"/>
      <c r="C1533" s="87"/>
      <c r="D1533" s="87"/>
      <c r="E1533" s="88"/>
      <c r="F1533" s="88"/>
      <c r="G1533" s="87"/>
      <c r="H1533" s="88"/>
    </row>
    <row r="1534" spans="2:8" ht="18" x14ac:dyDescent="0.25">
      <c r="B1534" s="96"/>
      <c r="C1534" s="87"/>
      <c r="D1534" s="96"/>
      <c r="E1534" s="87"/>
      <c r="F1534" s="87"/>
      <c r="G1534" s="87"/>
      <c r="H1534" s="87"/>
    </row>
    <row r="1535" spans="2:8" ht="18" x14ac:dyDescent="0.25">
      <c r="B1535" s="96"/>
      <c r="C1535" s="87"/>
      <c r="D1535" s="96"/>
      <c r="E1535" s="87"/>
      <c r="F1535" s="87"/>
      <c r="G1535" s="87"/>
      <c r="H1535" s="87"/>
    </row>
    <row r="1536" spans="2:8" ht="18" x14ac:dyDescent="0.25">
      <c r="B1536" s="87" t="s">
        <v>82</v>
      </c>
      <c r="C1536" s="87"/>
      <c r="D1536" s="110">
        <f>+'RES CUENTA'!$H$26</f>
        <v>6751880</v>
      </c>
      <c r="E1536" s="111" t="e">
        <f>+'RES CUENTA'!#REF!</f>
        <v>#REF!</v>
      </c>
      <c r="F1536" s="106" t="e">
        <f>+D1536*E1536/100</f>
        <v>#REF!</v>
      </c>
      <c r="G1536" s="339"/>
      <c r="H1536" s="339"/>
    </row>
    <row r="1537" spans="2:8" ht="18" x14ac:dyDescent="0.25">
      <c r="B1537" s="87" t="s">
        <v>194</v>
      </c>
      <c r="C1537" s="87"/>
      <c r="D1537" s="110" t="e">
        <f>+'RES CUENTA'!#REF!</f>
        <v>#REF!</v>
      </c>
      <c r="E1537" s="111" t="e">
        <f>+'RES CUENTA'!#REF!</f>
        <v>#REF!</v>
      </c>
      <c r="F1537" s="106" t="e">
        <f>+D1537*E1537/100</f>
        <v>#REF!</v>
      </c>
      <c r="G1537" s="336"/>
      <c r="H1537" s="336"/>
    </row>
    <row r="1538" spans="2:8" ht="18" x14ac:dyDescent="0.25">
      <c r="B1538" s="87" t="s">
        <v>83</v>
      </c>
      <c r="C1538" s="87"/>
      <c r="D1538" s="110" t="e">
        <f>+'RES CUENTA'!#REF!</f>
        <v>#REF!</v>
      </c>
      <c r="E1538" s="111">
        <v>0</v>
      </c>
      <c r="F1538" s="106" t="e">
        <f>+D1538</f>
        <v>#REF!</v>
      </c>
      <c r="G1538" s="336"/>
      <c r="H1538" s="336"/>
    </row>
    <row r="1539" spans="2:8" ht="18" x14ac:dyDescent="0.25">
      <c r="B1539" s="87" t="s">
        <v>84</v>
      </c>
      <c r="C1539" s="87"/>
      <c r="D1539" s="110" t="e">
        <f>+'RES CUENTA'!#REF!</f>
        <v>#REF!</v>
      </c>
      <c r="E1539" s="111">
        <v>0</v>
      </c>
      <c r="F1539" s="106" t="e">
        <f>+D1539</f>
        <v>#REF!</v>
      </c>
      <c r="G1539" s="336"/>
      <c r="H1539" s="336"/>
    </row>
    <row r="1540" spans="2:8" ht="18" x14ac:dyDescent="0.25">
      <c r="B1540" s="88"/>
      <c r="C1540" s="87"/>
      <c r="D1540" s="87"/>
      <c r="E1540" s="94"/>
      <c r="F1540" s="107" t="e">
        <f>SUM(F1536:F1539)</f>
        <v>#REF!</v>
      </c>
      <c r="G1540" s="336"/>
      <c r="H1540" s="336"/>
    </row>
    <row r="1541" spans="2:8" ht="18" x14ac:dyDescent="0.25">
      <c r="B1541" s="88"/>
      <c r="C1541" s="87"/>
      <c r="D1541" s="87"/>
      <c r="E1541" s="94"/>
      <c r="F1541" s="107"/>
      <c r="G1541" s="91"/>
      <c r="H1541" s="91"/>
    </row>
    <row r="1542" spans="2:8" ht="18" x14ac:dyDescent="0.25">
      <c r="B1542" s="88"/>
      <c r="C1542" s="87"/>
      <c r="D1542" s="87"/>
      <c r="E1542" s="87"/>
      <c r="G1542" s="337"/>
      <c r="H1542" s="337"/>
    </row>
    <row r="1543" spans="2:8" ht="18" x14ac:dyDescent="0.25">
      <c r="B1543" s="87"/>
      <c r="C1543" s="87"/>
      <c r="D1543" s="87"/>
      <c r="E1543" s="87"/>
      <c r="F1543" s="93"/>
      <c r="G1543" s="92"/>
      <c r="H1543" s="92"/>
    </row>
    <row r="1544" spans="2:8" ht="18" x14ac:dyDescent="0.25">
      <c r="B1544" s="87"/>
      <c r="C1544" s="87"/>
      <c r="D1544" s="87"/>
      <c r="E1544" s="87"/>
      <c r="F1544" s="94"/>
      <c r="G1544" s="87"/>
      <c r="H1544" s="87"/>
    </row>
    <row r="1545" spans="2:8" ht="18" x14ac:dyDescent="0.25">
      <c r="B1545" s="87"/>
      <c r="C1545" s="87"/>
      <c r="D1545" s="87"/>
      <c r="E1545" s="87"/>
      <c r="F1545" s="94"/>
      <c r="G1545" s="87"/>
      <c r="H1545" s="87"/>
    </row>
    <row r="1546" spans="2:8" ht="18" x14ac:dyDescent="0.25">
      <c r="B1546" s="87" t="e">
        <f>+B1531</f>
        <v>#REF!</v>
      </c>
      <c r="C1546" s="338"/>
      <c r="D1546" s="338"/>
      <c r="E1546" s="87" t="e">
        <f>+B1546</f>
        <v>#REF!</v>
      </c>
      <c r="F1546" s="94"/>
      <c r="G1546" s="87"/>
      <c r="H1546" s="87"/>
    </row>
    <row r="1547" spans="2:8" ht="18" x14ac:dyDescent="0.25">
      <c r="C1547" s="87"/>
      <c r="D1547" s="87"/>
      <c r="F1547" s="338"/>
      <c r="G1547" s="338"/>
      <c r="H1547" s="338"/>
    </row>
    <row r="1548" spans="2:8" ht="18" x14ac:dyDescent="0.25">
      <c r="B1548" s="87" t="str">
        <f>+$E$1</f>
        <v>URUGUAY 1025/27/29 CAP. FED.</v>
      </c>
      <c r="C1548" s="87"/>
      <c r="D1548" s="95" t="str">
        <f>+H1532</f>
        <v>Unid. 41</v>
      </c>
      <c r="E1548" s="87" t="str">
        <f>+$E$1</f>
        <v>URUGUAY 1025/27/29 CAP. FED.</v>
      </c>
      <c r="F1548" s="87"/>
      <c r="G1548" s="87"/>
      <c r="H1548" s="95" t="str">
        <f>+D1548</f>
        <v>Unid. 41</v>
      </c>
    </row>
    <row r="1549" spans="2:8" ht="18" x14ac:dyDescent="0.25">
      <c r="H1549" s="88"/>
    </row>
    <row r="1550" spans="2:8" ht="18" x14ac:dyDescent="0.25">
      <c r="B1550" s="88"/>
      <c r="C1550" s="88"/>
      <c r="D1550" s="88"/>
      <c r="E1550" s="88"/>
      <c r="F1550" s="87"/>
      <c r="G1550" s="87"/>
    </row>
    <row r="1551" spans="2:8" ht="18" x14ac:dyDescent="0.25">
      <c r="B1551" s="87" t="e">
        <f>+$E$2</f>
        <v>#REF!</v>
      </c>
      <c r="C1551" s="87"/>
      <c r="D1551" s="87"/>
      <c r="E1551" s="87"/>
      <c r="F1551" s="87"/>
      <c r="G1551" s="88"/>
      <c r="H1551" s="104"/>
    </row>
    <row r="1552" spans="2:8" ht="18" x14ac:dyDescent="0.25">
      <c r="B1552" s="87" t="e">
        <f>+$E$3</f>
        <v>#REF!</v>
      </c>
      <c r="C1552" s="87"/>
      <c r="D1552" s="87"/>
      <c r="E1552" s="98"/>
      <c r="F1552" s="87"/>
      <c r="G1552" s="96"/>
      <c r="H1552" s="87"/>
    </row>
    <row r="1553" spans="2:8" ht="18" x14ac:dyDescent="0.25">
      <c r="C1553" s="87"/>
      <c r="D1553" s="87"/>
      <c r="E1553" s="87" t="s">
        <v>85</v>
      </c>
      <c r="F1553" s="109" t="e">
        <f>+F1536</f>
        <v>#REF!</v>
      </c>
      <c r="H1553" s="102">
        <f>+B1558</f>
        <v>46183</v>
      </c>
    </row>
    <row r="1554" spans="2:8" ht="18" x14ac:dyDescent="0.25">
      <c r="B1554" s="88"/>
      <c r="C1554" s="87"/>
      <c r="D1554" s="87"/>
      <c r="E1554" s="87" t="s">
        <v>193</v>
      </c>
      <c r="F1554" s="109" t="e">
        <f>+F1537</f>
        <v>#REF!</v>
      </c>
    </row>
    <row r="1555" spans="2:8" ht="18" x14ac:dyDescent="0.25">
      <c r="B1555" s="88"/>
      <c r="C1555" s="87"/>
      <c r="D1555" s="87"/>
      <c r="E1555" s="87" t="s">
        <v>86</v>
      </c>
      <c r="F1555" s="109" t="e">
        <f>+F1538</f>
        <v>#REF!</v>
      </c>
      <c r="G1555" s="87"/>
      <c r="H1555" s="87"/>
    </row>
    <row r="1556" spans="2:8" ht="18" x14ac:dyDescent="0.25">
      <c r="B1556" s="87"/>
      <c r="C1556" s="87"/>
      <c r="D1556" s="87"/>
      <c r="E1556" s="87" t="s">
        <v>87</v>
      </c>
      <c r="F1556" s="109" t="e">
        <f>+F1539</f>
        <v>#REF!</v>
      </c>
      <c r="G1556" s="87"/>
      <c r="H1556" s="87"/>
    </row>
    <row r="1557" spans="2:8" ht="18" x14ac:dyDescent="0.25">
      <c r="B1557" s="98"/>
      <c r="C1557" s="98"/>
      <c r="D1557" s="98"/>
      <c r="E1557" s="87" t="s">
        <v>321</v>
      </c>
      <c r="F1557" s="109">
        <v>0</v>
      </c>
      <c r="G1557" s="87"/>
      <c r="H1557" s="87"/>
    </row>
    <row r="1558" spans="2:8" ht="18" x14ac:dyDescent="0.25">
      <c r="B1558" s="102">
        <f>+$G$34</f>
        <v>46183</v>
      </c>
      <c r="C1558" s="108" t="e">
        <f>+F1540</f>
        <v>#REF!</v>
      </c>
      <c r="D1558" s="87"/>
      <c r="E1558" s="87" t="s">
        <v>88</v>
      </c>
      <c r="F1558" s="109" t="e">
        <f>+F1540</f>
        <v>#REF!</v>
      </c>
      <c r="G1558" s="87"/>
      <c r="H1558" s="87"/>
    </row>
    <row r="1559" spans="2:8" ht="18" x14ac:dyDescent="0.25">
      <c r="B1559" s="87"/>
      <c r="C1559" s="87"/>
      <c r="D1559" s="87"/>
      <c r="E1559" s="87"/>
      <c r="F1559" s="87"/>
      <c r="G1559" s="87"/>
      <c r="H1559" s="87"/>
    </row>
    <row r="1560" spans="2:8" ht="18" x14ac:dyDescent="0.25">
      <c r="B1560" s="87"/>
      <c r="C1560" s="87"/>
      <c r="D1560" s="87"/>
      <c r="E1560" s="87"/>
      <c r="F1560" s="87"/>
      <c r="G1560" s="339"/>
      <c r="H1560" s="339"/>
    </row>
    <row r="1561" spans="2:8" ht="18" x14ac:dyDescent="0.25">
      <c r="B1561" s="87"/>
      <c r="C1561" s="87"/>
      <c r="D1561" s="87"/>
      <c r="E1561" s="87"/>
      <c r="F1561" s="87"/>
      <c r="G1561" s="87"/>
      <c r="H1561" s="87"/>
    </row>
    <row r="1562" spans="2:8" ht="18" x14ac:dyDescent="0.25">
      <c r="B1562" s="87"/>
      <c r="C1562" s="87"/>
      <c r="D1562" s="87"/>
      <c r="E1562" s="87"/>
      <c r="F1562" s="87"/>
      <c r="G1562" s="87"/>
      <c r="H1562" s="87"/>
    </row>
    <row r="1563" spans="2:8" ht="18" x14ac:dyDescent="0.25">
      <c r="B1563" s="87"/>
      <c r="C1563" s="87"/>
      <c r="D1563" s="87"/>
      <c r="E1563" s="87"/>
      <c r="F1563" s="87"/>
      <c r="G1563" s="87"/>
      <c r="H1563" s="87"/>
    </row>
    <row r="1564" spans="2:8" ht="18" x14ac:dyDescent="0.25">
      <c r="B1564" s="87"/>
      <c r="C1564" s="87"/>
      <c r="D1564" s="87"/>
      <c r="E1564" s="87"/>
      <c r="F1564" s="87"/>
      <c r="H1564" s="87"/>
    </row>
    <row r="1565" spans="2:8" ht="18" x14ac:dyDescent="0.25">
      <c r="B1565" s="87"/>
      <c r="C1565" s="87"/>
      <c r="D1565" s="87"/>
      <c r="E1565" s="87"/>
      <c r="F1565" s="87"/>
      <c r="H1565" s="87"/>
    </row>
    <row r="1566" spans="2:8" ht="18" x14ac:dyDescent="0.25">
      <c r="B1566" s="335"/>
      <c r="C1566" s="335"/>
      <c r="D1566" s="335"/>
      <c r="E1566" s="87"/>
      <c r="F1566" s="87"/>
      <c r="H1566" s="87"/>
    </row>
    <row r="1567" spans="2:8" ht="18" x14ac:dyDescent="0.25">
      <c r="B1567" s="335"/>
      <c r="C1567" s="335"/>
      <c r="D1567" s="335"/>
      <c r="E1567" s="101">
        <f>+$B$1</f>
        <v>46143</v>
      </c>
      <c r="F1567" s="87"/>
      <c r="G1567" s="102">
        <f>+$D$1</f>
        <v>46183</v>
      </c>
      <c r="H1567" s="100"/>
    </row>
    <row r="1568" spans="2:8" ht="18" x14ac:dyDescent="0.25">
      <c r="B1568" s="86"/>
      <c r="C1568" s="86"/>
      <c r="D1568" s="103"/>
      <c r="E1568" s="101"/>
      <c r="F1568" s="87"/>
    </row>
    <row r="1569" spans="2:8" ht="18" x14ac:dyDescent="0.25">
      <c r="B1569" s="87" t="e">
        <f>+#REF!</f>
        <v>#REF!</v>
      </c>
      <c r="C1569" s="87"/>
      <c r="D1569" s="87"/>
      <c r="F1569" s="87"/>
    </row>
    <row r="1570" spans="2:8" ht="18" x14ac:dyDescent="0.25">
      <c r="C1570" s="87"/>
      <c r="D1570" s="87"/>
      <c r="E1570" s="87" t="str">
        <f>+$E$1</f>
        <v>URUGUAY 1025/27/29 CAP. FED.</v>
      </c>
      <c r="F1570" s="87"/>
      <c r="H1570" s="95" t="s">
        <v>125</v>
      </c>
    </row>
    <row r="1571" spans="2:8" ht="18" x14ac:dyDescent="0.25">
      <c r="B1571" s="88"/>
      <c r="C1571" s="87"/>
      <c r="D1571" s="87"/>
      <c r="F1571" s="87"/>
      <c r="G1571" s="88"/>
    </row>
    <row r="1572" spans="2:8" ht="18" x14ac:dyDescent="0.25">
      <c r="B1572" s="87"/>
      <c r="C1572" s="87"/>
      <c r="D1572" s="87"/>
      <c r="E1572" s="88"/>
      <c r="F1572" s="88"/>
      <c r="G1572" s="87"/>
      <c r="H1572" s="88"/>
    </row>
    <row r="1573" spans="2:8" ht="18" x14ac:dyDescent="0.25">
      <c r="B1573" s="96"/>
      <c r="C1573" s="87"/>
      <c r="D1573" s="96"/>
      <c r="E1573" s="87"/>
      <c r="F1573" s="87"/>
      <c r="G1573" s="87"/>
      <c r="H1573" s="87"/>
    </row>
    <row r="1574" spans="2:8" ht="18" x14ac:dyDescent="0.25">
      <c r="B1574" s="87" t="s">
        <v>82</v>
      </c>
      <c r="C1574" s="87"/>
      <c r="D1574" s="110">
        <f>+'RES CUENTA'!$H$26</f>
        <v>6751880</v>
      </c>
      <c r="E1574" s="111" t="e">
        <f>+'RES CUENTA'!#REF!</f>
        <v>#REF!</v>
      </c>
      <c r="F1574" s="106" t="e">
        <f>+D1574*E1574/100</f>
        <v>#REF!</v>
      </c>
      <c r="G1574" s="87"/>
      <c r="H1574" s="96"/>
    </row>
    <row r="1575" spans="2:8" ht="18" x14ac:dyDescent="0.25">
      <c r="B1575" s="87" t="s">
        <v>194</v>
      </c>
      <c r="C1575" s="87"/>
      <c r="D1575" s="110" t="e">
        <f>+'RES CUENTA'!#REF!</f>
        <v>#REF!</v>
      </c>
      <c r="E1575" s="111" t="e">
        <f>+'RES CUENTA'!#REF!</f>
        <v>#REF!</v>
      </c>
      <c r="F1575" s="106" t="e">
        <f>+D1575*E1575/100</f>
        <v>#REF!</v>
      </c>
      <c r="G1575" s="96"/>
      <c r="H1575" s="91"/>
    </row>
    <row r="1576" spans="2:8" ht="18" x14ac:dyDescent="0.25">
      <c r="B1576" s="87" t="s">
        <v>83</v>
      </c>
      <c r="C1576" s="87"/>
      <c r="D1576" s="110" t="e">
        <f>+'RES CUENTA'!#REF!</f>
        <v>#REF!</v>
      </c>
      <c r="E1576" s="111">
        <f>+'RES CUENTA'!N662</f>
        <v>0</v>
      </c>
      <c r="F1576" s="106" t="e">
        <f>+D1576</f>
        <v>#REF!</v>
      </c>
      <c r="G1576" s="91"/>
      <c r="H1576" s="91"/>
    </row>
    <row r="1577" spans="2:8" ht="18" x14ac:dyDescent="0.25">
      <c r="B1577" s="87" t="s">
        <v>84</v>
      </c>
      <c r="C1577" s="87"/>
      <c r="D1577" s="110" t="e">
        <f>+'RES CUENTA'!#REF!</f>
        <v>#REF!</v>
      </c>
      <c r="E1577" s="111">
        <f>+'RES CUENTA'!P661</f>
        <v>0</v>
      </c>
      <c r="F1577" s="106" t="e">
        <f>+D1577</f>
        <v>#REF!</v>
      </c>
      <c r="G1577" s="91"/>
      <c r="H1577" s="91"/>
    </row>
    <row r="1578" spans="2:8" ht="18" x14ac:dyDescent="0.25">
      <c r="B1578" s="88"/>
      <c r="C1578" s="87"/>
      <c r="D1578" s="87"/>
      <c r="F1578" s="107" t="e">
        <f>SUM(F1574:F1577)</f>
        <v>#REF!</v>
      </c>
      <c r="G1578" s="91"/>
      <c r="H1578" s="92"/>
    </row>
    <row r="1579" spans="2:8" ht="18" x14ac:dyDescent="0.25">
      <c r="B1579" s="88"/>
      <c r="C1579" s="87"/>
      <c r="D1579" s="87"/>
      <c r="F1579" s="107"/>
      <c r="G1579" s="91"/>
      <c r="H1579" s="92"/>
    </row>
    <row r="1580" spans="2:8" ht="18" x14ac:dyDescent="0.25">
      <c r="B1580" s="87"/>
      <c r="C1580" s="87"/>
      <c r="D1580" s="87"/>
      <c r="E1580" s="87"/>
      <c r="F1580" s="94"/>
      <c r="G1580" s="92"/>
      <c r="H1580" s="92"/>
    </row>
    <row r="1581" spans="2:8" ht="18" x14ac:dyDescent="0.25">
      <c r="B1581" s="87"/>
      <c r="C1581" s="87"/>
      <c r="D1581" s="87"/>
      <c r="E1581" s="87"/>
      <c r="F1581" s="94"/>
      <c r="G1581" s="92"/>
      <c r="H1581" s="92"/>
    </row>
    <row r="1582" spans="2:8" ht="18" x14ac:dyDescent="0.25">
      <c r="B1582" s="87"/>
      <c r="C1582" s="87"/>
      <c r="D1582" s="87"/>
      <c r="E1582" s="87"/>
      <c r="F1582" s="94"/>
      <c r="G1582" s="92"/>
      <c r="H1582" s="92"/>
    </row>
    <row r="1583" spans="2:8" ht="18" x14ac:dyDescent="0.25">
      <c r="B1583" s="87"/>
      <c r="C1583" s="87"/>
      <c r="D1583" s="87"/>
      <c r="E1583" s="87"/>
      <c r="F1583" s="94"/>
      <c r="G1583" s="92"/>
      <c r="H1583" s="87"/>
    </row>
    <row r="1584" spans="2:8" ht="18" x14ac:dyDescent="0.25">
      <c r="B1584" s="87" t="e">
        <f>+B1569</f>
        <v>#REF!</v>
      </c>
      <c r="C1584" s="87"/>
      <c r="D1584" s="87"/>
      <c r="E1584" s="87" t="e">
        <f>+B1569</f>
        <v>#REF!</v>
      </c>
      <c r="F1584" s="87"/>
      <c r="G1584" s="87"/>
      <c r="H1584" s="104"/>
    </row>
    <row r="1585" spans="2:8" ht="18" x14ac:dyDescent="0.25">
      <c r="B1585" s="88"/>
      <c r="C1585" s="87"/>
      <c r="D1585" s="87"/>
      <c r="F1585" s="87"/>
      <c r="G1585" s="104"/>
      <c r="H1585" s="95" t="str">
        <f>+H1570</f>
        <v>Unid. 42</v>
      </c>
    </row>
    <row r="1586" spans="2:8" ht="18" x14ac:dyDescent="0.25">
      <c r="B1586" s="87" t="str">
        <f>+$E$1</f>
        <v>URUGUAY 1025/27/29 CAP. FED.</v>
      </c>
      <c r="C1586" s="87"/>
      <c r="D1586" s="95" t="str">
        <f>+H1585</f>
        <v>Unid. 42</v>
      </c>
      <c r="E1586" s="87" t="str">
        <f>+$E$1</f>
        <v>URUGUAY 1025/27/29 CAP. FED.</v>
      </c>
      <c r="F1586" s="87"/>
      <c r="G1586" s="87"/>
      <c r="H1586" s="88"/>
    </row>
    <row r="1587" spans="2:8" ht="18" x14ac:dyDescent="0.25">
      <c r="B1587" s="88"/>
      <c r="C1587" s="88"/>
      <c r="D1587" s="88"/>
      <c r="F1587" s="87"/>
      <c r="G1587" s="87"/>
    </row>
    <row r="1588" spans="2:8" ht="18" x14ac:dyDescent="0.25">
      <c r="B1588" s="87"/>
      <c r="C1588" s="87"/>
      <c r="D1588" s="87"/>
      <c r="E1588" s="88"/>
      <c r="F1588" s="87"/>
      <c r="G1588" s="87"/>
      <c r="H1588" s="104"/>
    </row>
    <row r="1589" spans="2:8" ht="18" x14ac:dyDescent="0.25">
      <c r="B1589" s="87" t="e">
        <f>+$E$2</f>
        <v>#REF!</v>
      </c>
      <c r="C1589" s="87"/>
      <c r="D1589" s="87"/>
      <c r="E1589" s="87"/>
      <c r="F1589" s="98"/>
      <c r="G1589" s="88"/>
      <c r="H1589" s="87"/>
    </row>
    <row r="1590" spans="2:8" ht="18" x14ac:dyDescent="0.25">
      <c r="B1590" s="87" t="e">
        <f>+$E$3</f>
        <v>#REF!</v>
      </c>
      <c r="C1590" s="87"/>
      <c r="D1590" s="87"/>
      <c r="E1590" s="98"/>
      <c r="G1590" s="96"/>
      <c r="H1590" s="97"/>
    </row>
    <row r="1591" spans="2:8" ht="18" x14ac:dyDescent="0.25">
      <c r="B1591" s="88"/>
      <c r="C1591" s="87"/>
      <c r="D1591" s="87"/>
      <c r="E1591" s="87" t="s">
        <v>85</v>
      </c>
      <c r="F1591" s="109" t="e">
        <f>+F1574</f>
        <v>#REF!</v>
      </c>
      <c r="G1591" s="97"/>
      <c r="H1591" s="102">
        <f>+B1595</f>
        <v>46183</v>
      </c>
    </row>
    <row r="1592" spans="2:8" ht="18" x14ac:dyDescent="0.25">
      <c r="B1592" s="88"/>
      <c r="C1592" s="87"/>
      <c r="D1592" s="87"/>
      <c r="E1592" s="87" t="s">
        <v>193</v>
      </c>
      <c r="F1592" s="109" t="e">
        <f>+F1575</f>
        <v>#REF!</v>
      </c>
      <c r="H1592" s="87"/>
    </row>
    <row r="1593" spans="2:8" ht="18" x14ac:dyDescent="0.25">
      <c r="B1593" s="87"/>
      <c r="C1593" s="87"/>
      <c r="D1593" s="87"/>
      <c r="E1593" s="87" t="s">
        <v>86</v>
      </c>
      <c r="F1593" s="109" t="e">
        <f>+F1576</f>
        <v>#REF!</v>
      </c>
      <c r="G1593" s="87"/>
      <c r="H1593" s="87"/>
    </row>
    <row r="1594" spans="2:8" ht="18" x14ac:dyDescent="0.25">
      <c r="B1594" s="98"/>
      <c r="C1594" s="98"/>
      <c r="D1594" s="98"/>
      <c r="E1594" s="87" t="s">
        <v>87</v>
      </c>
      <c r="F1594" s="109" t="e">
        <f>+F1577</f>
        <v>#REF!</v>
      </c>
      <c r="G1594" s="87"/>
      <c r="H1594" s="87"/>
    </row>
    <row r="1595" spans="2:8" ht="18" x14ac:dyDescent="0.25">
      <c r="B1595" s="102">
        <f>+$G$34</f>
        <v>46183</v>
      </c>
      <c r="C1595" s="108" t="e">
        <f>+F1578</f>
        <v>#REF!</v>
      </c>
      <c r="D1595" s="87"/>
      <c r="E1595" s="87" t="s">
        <v>321</v>
      </c>
      <c r="F1595" s="109">
        <v>0</v>
      </c>
      <c r="G1595" s="87"/>
      <c r="H1595" s="87"/>
    </row>
    <row r="1596" spans="2:8" ht="18" x14ac:dyDescent="0.25">
      <c r="B1596" s="87"/>
      <c r="C1596" s="87"/>
      <c r="D1596" s="87"/>
      <c r="E1596" s="87" t="s">
        <v>88</v>
      </c>
      <c r="F1596" s="109" t="e">
        <f>+F1578</f>
        <v>#REF!</v>
      </c>
      <c r="G1596" s="87"/>
      <c r="H1596" s="87"/>
    </row>
    <row r="1597" spans="2:8" ht="18" x14ac:dyDescent="0.25">
      <c r="B1597" s="87"/>
      <c r="C1597" s="87"/>
      <c r="D1597" s="87"/>
      <c r="E1597" s="87"/>
      <c r="F1597" s="87"/>
      <c r="G1597" s="87"/>
      <c r="H1597" s="87"/>
    </row>
    <row r="1598" spans="2:8" ht="18" x14ac:dyDescent="0.25">
      <c r="B1598" s="87"/>
      <c r="C1598" s="87"/>
      <c r="D1598" s="87"/>
      <c r="E1598" s="105"/>
      <c r="F1598" s="87"/>
      <c r="G1598" s="87"/>
      <c r="H1598" s="87"/>
    </row>
    <row r="1599" spans="2:8" ht="18" x14ac:dyDescent="0.25">
      <c r="B1599" s="87"/>
      <c r="C1599" s="87"/>
      <c r="D1599" s="87"/>
      <c r="E1599" s="87"/>
      <c r="F1599" s="87"/>
      <c r="G1599" s="87"/>
      <c r="H1599" s="96"/>
    </row>
    <row r="1600" spans="2:8" ht="18" x14ac:dyDescent="0.25">
      <c r="E1600" s="87"/>
      <c r="G1600" s="96"/>
      <c r="H1600" s="87"/>
    </row>
    <row r="1603" spans="2:8" ht="18" x14ac:dyDescent="0.25">
      <c r="B1603" s="335"/>
      <c r="C1603" s="335"/>
      <c r="D1603" s="335"/>
      <c r="E1603" s="340">
        <f>+$B$1</f>
        <v>46143</v>
      </c>
      <c r="F1603" s="87"/>
      <c r="G1603" s="341">
        <f>+$D$1</f>
        <v>46183</v>
      </c>
      <c r="H1603" s="87"/>
    </row>
    <row r="1604" spans="2:8" ht="18" x14ac:dyDescent="0.25">
      <c r="B1604" s="86"/>
      <c r="C1604" s="86"/>
      <c r="D1604" s="103"/>
      <c r="E1604" s="340"/>
      <c r="F1604" s="87"/>
      <c r="G1604" s="341"/>
      <c r="H1604" s="87"/>
    </row>
    <row r="1605" spans="2:8" ht="18" x14ac:dyDescent="0.25">
      <c r="B1605" s="87"/>
      <c r="C1605" s="87"/>
      <c r="D1605" s="87"/>
      <c r="E1605" s="88"/>
      <c r="F1605" s="87"/>
      <c r="G1605" s="88"/>
      <c r="H1605" s="87"/>
    </row>
    <row r="1606" spans="2:8" ht="18" x14ac:dyDescent="0.25">
      <c r="B1606" s="87" t="e">
        <f>+#REF!</f>
        <v>#REF!</v>
      </c>
      <c r="C1606" s="87"/>
      <c r="D1606" s="87"/>
      <c r="E1606" s="88"/>
      <c r="F1606" s="87"/>
      <c r="G1606" s="88"/>
      <c r="H1606" s="87"/>
    </row>
    <row r="1607" spans="2:8" ht="18" x14ac:dyDescent="0.25">
      <c r="B1607" s="88"/>
      <c r="C1607" s="87"/>
      <c r="D1607" s="87"/>
      <c r="E1607" s="87" t="s">
        <v>81</v>
      </c>
      <c r="F1607" s="87"/>
      <c r="G1607" s="87"/>
      <c r="H1607" s="95" t="s">
        <v>126</v>
      </c>
    </row>
    <row r="1608" spans="2:8" ht="18" x14ac:dyDescent="0.25">
      <c r="B1608" s="87"/>
      <c r="C1608" s="87"/>
      <c r="D1608" s="87"/>
      <c r="E1608" s="88"/>
      <c r="F1608" s="88"/>
      <c r="G1608" s="87"/>
      <c r="H1608" s="88"/>
    </row>
    <row r="1609" spans="2:8" ht="18" x14ac:dyDescent="0.25">
      <c r="B1609" s="96"/>
      <c r="C1609" s="87"/>
      <c r="D1609" s="96"/>
      <c r="E1609" s="87"/>
      <c r="F1609" s="87"/>
      <c r="G1609" s="87"/>
      <c r="H1609" s="87"/>
    </row>
    <row r="1610" spans="2:8" ht="18" x14ac:dyDescent="0.25">
      <c r="B1610" s="96"/>
      <c r="C1610" s="87"/>
      <c r="D1610" s="96"/>
      <c r="E1610" s="87"/>
      <c r="F1610" s="87"/>
      <c r="G1610" s="87"/>
      <c r="H1610" s="87"/>
    </row>
    <row r="1611" spans="2:8" ht="18" x14ac:dyDescent="0.25">
      <c r="B1611" s="87" t="s">
        <v>82</v>
      </c>
      <c r="C1611" s="87"/>
      <c r="D1611" s="110">
        <f>+'RES CUENTA'!$H$26</f>
        <v>6751880</v>
      </c>
      <c r="E1611" s="111" t="e">
        <f>+'RES CUENTA'!#REF!</f>
        <v>#REF!</v>
      </c>
      <c r="F1611" s="106" t="e">
        <f>+D1611*E1611/100</f>
        <v>#REF!</v>
      </c>
      <c r="G1611" s="339"/>
      <c r="H1611" s="339"/>
    </row>
    <row r="1612" spans="2:8" ht="18" x14ac:dyDescent="0.25">
      <c r="B1612" s="87" t="s">
        <v>194</v>
      </c>
      <c r="C1612" s="87"/>
      <c r="D1612" s="110" t="e">
        <f>+'RES CUENTA'!#REF!</f>
        <v>#REF!</v>
      </c>
      <c r="E1612" s="111" t="e">
        <f>+'RES CUENTA'!#REF!</f>
        <v>#REF!</v>
      </c>
      <c r="F1612" s="106" t="e">
        <f>+D1612*E1612/100</f>
        <v>#REF!</v>
      </c>
      <c r="G1612" s="336"/>
      <c r="H1612" s="336"/>
    </row>
    <row r="1613" spans="2:8" ht="18" x14ac:dyDescent="0.25">
      <c r="B1613" s="87" t="s">
        <v>83</v>
      </c>
      <c r="C1613" s="87"/>
      <c r="D1613" s="110" t="e">
        <f>+'RES CUENTA'!#REF!</f>
        <v>#REF!</v>
      </c>
      <c r="E1613" s="111">
        <v>0</v>
      </c>
      <c r="F1613" s="106" t="e">
        <f>+D1613</f>
        <v>#REF!</v>
      </c>
      <c r="G1613" s="336"/>
      <c r="H1613" s="336"/>
    </row>
    <row r="1614" spans="2:8" ht="18" x14ac:dyDescent="0.25">
      <c r="B1614" s="87" t="s">
        <v>84</v>
      </c>
      <c r="C1614" s="87"/>
      <c r="D1614" s="110" t="e">
        <f>+'RES CUENTA'!#REF!</f>
        <v>#REF!</v>
      </c>
      <c r="E1614" s="111">
        <v>0</v>
      </c>
      <c r="F1614" s="106" t="e">
        <f>+D1614</f>
        <v>#REF!</v>
      </c>
      <c r="G1614" s="336"/>
      <c r="H1614" s="336"/>
    </row>
    <row r="1615" spans="2:8" ht="18" x14ac:dyDescent="0.25">
      <c r="B1615" s="88"/>
      <c r="C1615" s="87"/>
      <c r="D1615" s="87"/>
      <c r="E1615" s="94"/>
      <c r="F1615" s="107" t="e">
        <f>SUM(F1611:F1614)</f>
        <v>#REF!</v>
      </c>
      <c r="G1615" s="336"/>
      <c r="H1615" s="336"/>
    </row>
    <row r="1616" spans="2:8" ht="18" x14ac:dyDescent="0.25">
      <c r="B1616" s="88"/>
      <c r="C1616" s="87"/>
      <c r="D1616" s="87"/>
      <c r="E1616" s="87"/>
      <c r="G1616" s="337"/>
      <c r="H1616" s="337"/>
    </row>
    <row r="1617" spans="2:8" ht="18" x14ac:dyDescent="0.25">
      <c r="B1617" s="88"/>
      <c r="C1617" s="87"/>
      <c r="D1617" s="87"/>
      <c r="E1617" s="87"/>
      <c r="G1617" s="92"/>
      <c r="H1617" s="92"/>
    </row>
    <row r="1618" spans="2:8" ht="18" x14ac:dyDescent="0.25">
      <c r="B1618" s="87"/>
      <c r="C1618" s="87"/>
      <c r="D1618" s="87"/>
      <c r="E1618" s="87"/>
      <c r="F1618" s="93"/>
      <c r="G1618" s="92"/>
      <c r="H1618" s="92"/>
    </row>
    <row r="1619" spans="2:8" ht="18" x14ac:dyDescent="0.25">
      <c r="B1619" s="87"/>
      <c r="C1619" s="87"/>
      <c r="D1619" s="87"/>
      <c r="E1619" s="87"/>
      <c r="F1619" s="94"/>
      <c r="G1619" s="87"/>
      <c r="H1619" s="87"/>
    </row>
    <row r="1620" spans="2:8" ht="18" x14ac:dyDescent="0.25">
      <c r="B1620" s="87"/>
      <c r="C1620" s="87"/>
      <c r="D1620" s="87"/>
      <c r="E1620" s="87"/>
      <c r="F1620" s="94"/>
      <c r="G1620" s="87"/>
      <c r="H1620" s="87"/>
    </row>
    <row r="1621" spans="2:8" ht="18" x14ac:dyDescent="0.25">
      <c r="B1621" s="87" t="e">
        <f>+B1606</f>
        <v>#REF!</v>
      </c>
      <c r="C1621" s="338"/>
      <c r="D1621" s="338"/>
      <c r="E1621" s="87" t="e">
        <f>+B1621</f>
        <v>#REF!</v>
      </c>
      <c r="F1621" s="94"/>
      <c r="G1621" s="87"/>
      <c r="H1621" s="87"/>
    </row>
    <row r="1622" spans="2:8" ht="18" x14ac:dyDescent="0.25">
      <c r="C1622" s="87"/>
      <c r="D1622" s="87"/>
      <c r="F1622" s="338"/>
      <c r="G1622" s="338"/>
      <c r="H1622" s="338"/>
    </row>
    <row r="1623" spans="2:8" ht="18" x14ac:dyDescent="0.25">
      <c r="B1623" s="87" t="str">
        <f>+$E$1</f>
        <v>URUGUAY 1025/27/29 CAP. FED.</v>
      </c>
      <c r="C1623" s="87"/>
      <c r="D1623" s="95" t="str">
        <f>+H1607</f>
        <v>Unid. 43</v>
      </c>
      <c r="E1623" s="87" t="str">
        <f>+$E$1</f>
        <v>URUGUAY 1025/27/29 CAP. FED.</v>
      </c>
      <c r="F1623" s="87"/>
      <c r="G1623" s="87"/>
      <c r="H1623" s="95" t="str">
        <f>+D1623</f>
        <v>Unid. 43</v>
      </c>
    </row>
    <row r="1624" spans="2:8" ht="18" x14ac:dyDescent="0.25">
      <c r="H1624" s="88"/>
    </row>
    <row r="1625" spans="2:8" ht="18" x14ac:dyDescent="0.25">
      <c r="B1625" s="88"/>
      <c r="C1625" s="88"/>
      <c r="D1625" s="88"/>
      <c r="E1625" s="88"/>
      <c r="F1625" s="87"/>
      <c r="G1625" s="87"/>
    </row>
    <row r="1626" spans="2:8" ht="18" x14ac:dyDescent="0.25">
      <c r="B1626" s="87" t="e">
        <f>+$E$2</f>
        <v>#REF!</v>
      </c>
      <c r="C1626" s="87"/>
      <c r="D1626" s="87"/>
      <c r="E1626" s="87"/>
      <c r="F1626" s="87"/>
      <c r="G1626" s="88"/>
      <c r="H1626" s="104"/>
    </row>
    <row r="1627" spans="2:8" ht="18" x14ac:dyDescent="0.25">
      <c r="B1627" s="87" t="e">
        <f>+$E$3</f>
        <v>#REF!</v>
      </c>
      <c r="C1627" s="87"/>
      <c r="D1627" s="87"/>
      <c r="E1627" s="98"/>
      <c r="F1627" s="87"/>
      <c r="G1627" s="96"/>
      <c r="H1627" s="87"/>
    </row>
    <row r="1628" spans="2:8" ht="18" x14ac:dyDescent="0.25">
      <c r="C1628" s="87"/>
      <c r="D1628" s="87"/>
      <c r="E1628" s="87" t="s">
        <v>85</v>
      </c>
      <c r="F1628" s="109" t="e">
        <f>+F1611</f>
        <v>#REF!</v>
      </c>
      <c r="H1628" s="102">
        <f>+B1633</f>
        <v>46183</v>
      </c>
    </row>
    <row r="1629" spans="2:8" ht="18" x14ac:dyDescent="0.25">
      <c r="B1629" s="88"/>
      <c r="C1629" s="87"/>
      <c r="D1629" s="87"/>
      <c r="E1629" s="87" t="s">
        <v>193</v>
      </c>
      <c r="F1629" s="109" t="e">
        <f>+F1612</f>
        <v>#REF!</v>
      </c>
    </row>
    <row r="1630" spans="2:8" ht="18" x14ac:dyDescent="0.25">
      <c r="B1630" s="88"/>
      <c r="C1630" s="87"/>
      <c r="D1630" s="87"/>
      <c r="E1630" s="87" t="s">
        <v>86</v>
      </c>
      <c r="F1630" s="109" t="e">
        <f>+F1613</f>
        <v>#REF!</v>
      </c>
      <c r="G1630" s="87"/>
      <c r="H1630" s="87"/>
    </row>
    <row r="1631" spans="2:8" ht="18" x14ac:dyDescent="0.25">
      <c r="B1631" s="87"/>
      <c r="C1631" s="87"/>
      <c r="D1631" s="87"/>
      <c r="E1631" s="87" t="s">
        <v>87</v>
      </c>
      <c r="F1631" s="109" t="e">
        <f>+F1614</f>
        <v>#REF!</v>
      </c>
      <c r="G1631" s="87"/>
      <c r="H1631" s="87"/>
    </row>
    <row r="1632" spans="2:8" ht="18" x14ac:dyDescent="0.25">
      <c r="B1632" s="98"/>
      <c r="C1632" s="98"/>
      <c r="D1632" s="98"/>
      <c r="E1632" s="87" t="s">
        <v>321</v>
      </c>
      <c r="F1632" s="109">
        <v>0</v>
      </c>
      <c r="G1632" s="87"/>
      <c r="H1632" s="87"/>
    </row>
    <row r="1633" spans="2:8" ht="18" x14ac:dyDescent="0.25">
      <c r="B1633" s="102">
        <f>+$G$34</f>
        <v>46183</v>
      </c>
      <c r="C1633" s="108" t="e">
        <f>+F1615</f>
        <v>#REF!</v>
      </c>
      <c r="D1633" s="87"/>
      <c r="E1633" s="87" t="s">
        <v>88</v>
      </c>
      <c r="F1633" s="109" t="e">
        <f>+F1615</f>
        <v>#REF!</v>
      </c>
      <c r="G1633" s="87"/>
      <c r="H1633" s="87"/>
    </row>
    <row r="1634" spans="2:8" ht="18" x14ac:dyDescent="0.25">
      <c r="B1634" s="87"/>
      <c r="C1634" s="87"/>
      <c r="D1634" s="87"/>
      <c r="E1634" s="87"/>
      <c r="F1634" s="87"/>
      <c r="G1634" s="87"/>
      <c r="H1634" s="87"/>
    </row>
    <row r="1635" spans="2:8" ht="18" x14ac:dyDescent="0.25">
      <c r="B1635" s="87"/>
      <c r="C1635" s="87"/>
      <c r="D1635" s="87"/>
      <c r="E1635" s="87"/>
      <c r="F1635" s="87"/>
      <c r="G1635" s="339"/>
      <c r="H1635" s="339"/>
    </row>
    <row r="1636" spans="2:8" ht="18" x14ac:dyDescent="0.25">
      <c r="B1636" s="87"/>
      <c r="C1636" s="87"/>
      <c r="D1636" s="87"/>
      <c r="E1636" s="87"/>
      <c r="F1636" s="87"/>
      <c r="G1636" s="87"/>
      <c r="H1636" s="87"/>
    </row>
    <row r="1637" spans="2:8" ht="18" x14ac:dyDescent="0.25">
      <c r="B1637" s="87"/>
      <c r="C1637" s="87"/>
      <c r="D1637" s="87"/>
      <c r="E1637" s="87"/>
      <c r="F1637" s="87"/>
      <c r="G1637" s="87"/>
      <c r="H1637" s="87"/>
    </row>
    <row r="1638" spans="2:8" ht="18" x14ac:dyDescent="0.25">
      <c r="B1638" s="87"/>
      <c r="C1638" s="87"/>
      <c r="D1638" s="87"/>
      <c r="E1638" s="87"/>
      <c r="F1638" s="87"/>
      <c r="G1638" s="87"/>
      <c r="H1638" s="87"/>
    </row>
    <row r="1639" spans="2:8" ht="18" x14ac:dyDescent="0.25">
      <c r="B1639" s="87"/>
      <c r="C1639" s="87"/>
      <c r="D1639" s="87"/>
      <c r="E1639" s="87"/>
      <c r="F1639" s="87"/>
      <c r="H1639" s="87"/>
    </row>
    <row r="1640" spans="2:8" ht="18" x14ac:dyDescent="0.25">
      <c r="B1640" s="87"/>
      <c r="C1640" s="87"/>
      <c r="D1640" s="87"/>
      <c r="E1640" s="87"/>
      <c r="F1640" s="87"/>
      <c r="H1640" s="87"/>
    </row>
    <row r="1641" spans="2:8" ht="18" x14ac:dyDescent="0.25">
      <c r="B1641" s="335"/>
      <c r="C1641" s="335"/>
      <c r="D1641" s="335"/>
      <c r="E1641" s="87"/>
      <c r="F1641" s="87"/>
      <c r="H1641" s="87"/>
    </row>
    <row r="1642" spans="2:8" ht="18" x14ac:dyDescent="0.25">
      <c r="B1642" s="335"/>
      <c r="C1642" s="335"/>
      <c r="D1642" s="335"/>
      <c r="E1642" s="101">
        <f>+$B$1</f>
        <v>46143</v>
      </c>
      <c r="F1642" s="87"/>
      <c r="G1642" s="102">
        <f>+$D$1</f>
        <v>46183</v>
      </c>
      <c r="H1642" s="100"/>
    </row>
    <row r="1643" spans="2:8" ht="18" x14ac:dyDescent="0.25">
      <c r="B1643" s="86"/>
      <c r="C1643" s="86"/>
      <c r="D1643" s="103"/>
      <c r="E1643" s="101"/>
      <c r="F1643" s="87"/>
    </row>
    <row r="1644" spans="2:8" ht="18" x14ac:dyDescent="0.25">
      <c r="B1644" s="87" t="e">
        <f>+#REF!</f>
        <v>#REF!</v>
      </c>
      <c r="C1644" s="87"/>
      <c r="D1644" s="87"/>
      <c r="F1644" s="87"/>
    </row>
    <row r="1645" spans="2:8" ht="18" x14ac:dyDescent="0.25">
      <c r="C1645" s="87"/>
      <c r="D1645" s="87"/>
      <c r="E1645" s="87" t="str">
        <f>+$E$1</f>
        <v>URUGUAY 1025/27/29 CAP. FED.</v>
      </c>
      <c r="F1645" s="87"/>
      <c r="H1645" s="95" t="s">
        <v>127</v>
      </c>
    </row>
    <row r="1646" spans="2:8" ht="18" x14ac:dyDescent="0.25">
      <c r="B1646" s="88"/>
      <c r="C1646" s="87"/>
      <c r="D1646" s="87"/>
      <c r="F1646" s="87"/>
      <c r="G1646" s="88"/>
    </row>
    <row r="1647" spans="2:8" ht="18" x14ac:dyDescent="0.25">
      <c r="B1647" s="87"/>
      <c r="C1647" s="87"/>
      <c r="D1647" s="87"/>
      <c r="E1647" s="88"/>
      <c r="F1647" s="88"/>
      <c r="G1647" s="87"/>
      <c r="H1647" s="88"/>
    </row>
    <row r="1648" spans="2:8" ht="18" x14ac:dyDescent="0.25">
      <c r="B1648" s="96"/>
      <c r="C1648" s="87"/>
      <c r="D1648" s="96"/>
      <c r="E1648" s="87"/>
      <c r="F1648" s="87"/>
      <c r="G1648" s="87"/>
      <c r="H1648" s="87"/>
    </row>
    <row r="1649" spans="2:8" ht="18" x14ac:dyDescent="0.25">
      <c r="B1649" s="87" t="s">
        <v>82</v>
      </c>
      <c r="C1649" s="87"/>
      <c r="D1649" s="110">
        <f>+'RES CUENTA'!$H$26</f>
        <v>6751880</v>
      </c>
      <c r="E1649" s="111" t="e">
        <f>+'RES CUENTA'!#REF!</f>
        <v>#REF!</v>
      </c>
      <c r="F1649" s="106" t="e">
        <f>+D1649*E1649/100</f>
        <v>#REF!</v>
      </c>
      <c r="G1649" s="87"/>
      <c r="H1649" s="96"/>
    </row>
    <row r="1650" spans="2:8" ht="18" x14ac:dyDescent="0.25">
      <c r="B1650" s="87" t="s">
        <v>194</v>
      </c>
      <c r="C1650" s="87"/>
      <c r="D1650" s="110" t="e">
        <f>+'RES CUENTA'!#REF!</f>
        <v>#REF!</v>
      </c>
      <c r="E1650" s="111" t="e">
        <f>+'RES CUENTA'!#REF!</f>
        <v>#REF!</v>
      </c>
      <c r="F1650" s="106" t="e">
        <f>+D1650*E1650/100</f>
        <v>#REF!</v>
      </c>
      <c r="G1650" s="96"/>
      <c r="H1650" s="91"/>
    </row>
    <row r="1651" spans="2:8" ht="18" x14ac:dyDescent="0.25">
      <c r="B1651" s="87" t="s">
        <v>83</v>
      </c>
      <c r="C1651" s="87"/>
      <c r="D1651" s="110" t="e">
        <f>+'RES CUENTA'!#REF!</f>
        <v>#REF!</v>
      </c>
      <c r="E1651" s="111">
        <f>+'RES CUENTA'!N739</f>
        <v>0</v>
      </c>
      <c r="F1651" s="106" t="e">
        <f>+D1651</f>
        <v>#REF!</v>
      </c>
      <c r="G1651" s="91"/>
      <c r="H1651" s="91"/>
    </row>
    <row r="1652" spans="2:8" ht="18" x14ac:dyDescent="0.25">
      <c r="B1652" s="87" t="s">
        <v>84</v>
      </c>
      <c r="C1652" s="87"/>
      <c r="D1652" s="110" t="e">
        <f>+'RES CUENTA'!#REF!</f>
        <v>#REF!</v>
      </c>
      <c r="E1652" s="111">
        <f>+'RES CUENTA'!P738</f>
        <v>0</v>
      </c>
      <c r="F1652" s="106" t="e">
        <f>+D1652</f>
        <v>#REF!</v>
      </c>
      <c r="G1652" s="91"/>
      <c r="H1652" s="91"/>
    </row>
    <row r="1653" spans="2:8" ht="18" x14ac:dyDescent="0.25">
      <c r="B1653" s="88"/>
      <c r="C1653" s="87"/>
      <c r="D1653" s="87"/>
      <c r="F1653" s="107" t="e">
        <f>SUM(F1649:F1652)</f>
        <v>#REF!</v>
      </c>
      <c r="G1653" s="91"/>
      <c r="H1653" s="91"/>
    </row>
    <row r="1654" spans="2:8" ht="18" x14ac:dyDescent="0.25">
      <c r="B1654" s="88"/>
      <c r="C1654" s="87"/>
      <c r="D1654" s="87"/>
      <c r="F1654" s="93"/>
      <c r="G1654" s="91"/>
      <c r="H1654" s="92"/>
    </row>
    <row r="1655" spans="2:8" ht="18" x14ac:dyDescent="0.25">
      <c r="B1655" s="88"/>
      <c r="C1655" s="87"/>
      <c r="D1655" s="87"/>
      <c r="F1655" s="93"/>
      <c r="G1655" s="91"/>
      <c r="H1655" s="92"/>
    </row>
    <row r="1656" spans="2:8" ht="18" x14ac:dyDescent="0.25">
      <c r="B1656" s="87"/>
      <c r="C1656" s="87"/>
      <c r="D1656" s="87"/>
      <c r="E1656" s="87"/>
      <c r="F1656" s="94"/>
      <c r="G1656" s="92"/>
      <c r="H1656" s="92"/>
    </row>
    <row r="1657" spans="2:8" ht="18" x14ac:dyDescent="0.25">
      <c r="B1657" s="87"/>
      <c r="C1657" s="87"/>
      <c r="D1657" s="87"/>
      <c r="E1657" s="87"/>
      <c r="F1657" s="94"/>
      <c r="G1657" s="92"/>
      <c r="H1657" s="92"/>
    </row>
    <row r="1658" spans="2:8" ht="18" x14ac:dyDescent="0.25">
      <c r="B1658" s="87"/>
      <c r="C1658" s="87"/>
      <c r="D1658" s="87"/>
      <c r="E1658" s="87"/>
      <c r="F1658" s="94"/>
      <c r="G1658" s="92"/>
      <c r="H1658" s="92"/>
    </row>
    <row r="1659" spans="2:8" ht="18" x14ac:dyDescent="0.25">
      <c r="B1659" s="87" t="e">
        <f>+B1644</f>
        <v>#REF!</v>
      </c>
      <c r="C1659" s="87"/>
      <c r="D1659" s="87"/>
      <c r="E1659" s="87" t="e">
        <f>+B1644</f>
        <v>#REF!</v>
      </c>
      <c r="F1659" s="87"/>
      <c r="G1659" s="87"/>
      <c r="H1659" s="104"/>
    </row>
    <row r="1660" spans="2:8" ht="18" x14ac:dyDescent="0.25">
      <c r="B1660" s="88"/>
      <c r="C1660" s="87"/>
      <c r="D1660" s="87"/>
      <c r="F1660" s="87"/>
      <c r="G1660" s="104"/>
      <c r="H1660" s="95" t="str">
        <f>+H1645</f>
        <v>Unid. 44</v>
      </c>
    </row>
    <row r="1661" spans="2:8" ht="18" x14ac:dyDescent="0.25">
      <c r="B1661" s="87" t="str">
        <f>+$E$1</f>
        <v>URUGUAY 1025/27/29 CAP. FED.</v>
      </c>
      <c r="C1661" s="87"/>
      <c r="D1661" s="95" t="str">
        <f>+H1660</f>
        <v>Unid. 44</v>
      </c>
      <c r="E1661" s="87" t="str">
        <f>+$E$1</f>
        <v>URUGUAY 1025/27/29 CAP. FED.</v>
      </c>
      <c r="F1661" s="87"/>
      <c r="G1661" s="87"/>
      <c r="H1661" s="88"/>
    </row>
    <row r="1662" spans="2:8" ht="18" x14ac:dyDescent="0.25">
      <c r="B1662" s="88"/>
      <c r="C1662" s="88"/>
      <c r="D1662" s="88"/>
      <c r="F1662" s="87"/>
      <c r="G1662" s="87"/>
    </row>
    <row r="1663" spans="2:8" ht="18" x14ac:dyDescent="0.25">
      <c r="B1663" s="87"/>
      <c r="C1663" s="87"/>
      <c r="D1663" s="87"/>
      <c r="E1663" s="88"/>
      <c r="F1663" s="87"/>
      <c r="G1663" s="87"/>
      <c r="H1663" s="104"/>
    </row>
    <row r="1664" spans="2:8" ht="18" x14ac:dyDescent="0.25">
      <c r="B1664" s="87" t="e">
        <f>+$E$2</f>
        <v>#REF!</v>
      </c>
      <c r="C1664" s="87"/>
      <c r="D1664" s="87"/>
      <c r="E1664" s="87"/>
      <c r="F1664" s="98"/>
      <c r="G1664" s="88"/>
      <c r="H1664" s="87"/>
    </row>
    <row r="1665" spans="2:8" ht="18" x14ac:dyDescent="0.25">
      <c r="B1665" s="87" t="e">
        <f>+$E$3</f>
        <v>#REF!</v>
      </c>
      <c r="C1665" s="87"/>
      <c r="D1665" s="87"/>
      <c r="E1665" s="98"/>
      <c r="G1665" s="96"/>
      <c r="H1665" s="97"/>
    </row>
    <row r="1666" spans="2:8" ht="18" x14ac:dyDescent="0.25">
      <c r="B1666" s="88"/>
      <c r="C1666" s="87"/>
      <c r="D1666" s="87"/>
      <c r="E1666" s="87" t="s">
        <v>85</v>
      </c>
      <c r="F1666" s="109" t="e">
        <f>+F1649</f>
        <v>#REF!</v>
      </c>
      <c r="G1666" s="97"/>
      <c r="H1666" s="102">
        <f>+B1670</f>
        <v>46183</v>
      </c>
    </row>
    <row r="1667" spans="2:8" ht="18" x14ac:dyDescent="0.25">
      <c r="B1667" s="88"/>
      <c r="C1667" s="87"/>
      <c r="D1667" s="87"/>
      <c r="E1667" s="87" t="s">
        <v>193</v>
      </c>
      <c r="F1667" s="109" t="e">
        <f>+F1650</f>
        <v>#REF!</v>
      </c>
      <c r="H1667" s="87"/>
    </row>
    <row r="1668" spans="2:8" ht="18" x14ac:dyDescent="0.25">
      <c r="B1668" s="87"/>
      <c r="C1668" s="87"/>
      <c r="D1668" s="87"/>
      <c r="E1668" s="87" t="s">
        <v>86</v>
      </c>
      <c r="F1668" s="109" t="e">
        <f>+F1651</f>
        <v>#REF!</v>
      </c>
      <c r="G1668" s="87"/>
      <c r="H1668" s="87"/>
    </row>
    <row r="1669" spans="2:8" ht="18" x14ac:dyDescent="0.25">
      <c r="B1669" s="98"/>
      <c r="C1669" s="98"/>
      <c r="D1669" s="98"/>
      <c r="E1669" s="87" t="s">
        <v>87</v>
      </c>
      <c r="F1669" s="109" t="e">
        <f>+F1652</f>
        <v>#REF!</v>
      </c>
      <c r="G1669" s="87"/>
      <c r="H1669" s="87"/>
    </row>
    <row r="1670" spans="2:8" ht="18" x14ac:dyDescent="0.25">
      <c r="B1670" s="102">
        <f>+$G$34</f>
        <v>46183</v>
      </c>
      <c r="C1670" s="108" t="e">
        <f>+F1653</f>
        <v>#REF!</v>
      </c>
      <c r="D1670" s="87"/>
      <c r="E1670" s="87" t="s">
        <v>321</v>
      </c>
      <c r="F1670" s="109">
        <v>0</v>
      </c>
      <c r="G1670" s="87"/>
      <c r="H1670" s="87"/>
    </row>
    <row r="1671" spans="2:8" ht="18" x14ac:dyDescent="0.25">
      <c r="B1671" s="87"/>
      <c r="C1671" s="87"/>
      <c r="D1671" s="87"/>
      <c r="E1671" s="87" t="s">
        <v>88</v>
      </c>
      <c r="F1671" s="109" t="e">
        <f>+F1653</f>
        <v>#REF!</v>
      </c>
      <c r="H1671" s="87"/>
    </row>
    <row r="1672" spans="2:8" ht="18" x14ac:dyDescent="0.25">
      <c r="B1672" s="87"/>
      <c r="C1672" s="87"/>
      <c r="D1672" s="87"/>
      <c r="E1672" s="87"/>
      <c r="F1672" s="87"/>
      <c r="G1672" s="87"/>
      <c r="H1672" s="87"/>
    </row>
    <row r="1673" spans="2:8" ht="18" x14ac:dyDescent="0.25">
      <c r="B1673" s="87"/>
      <c r="C1673" s="87"/>
      <c r="D1673" s="87"/>
      <c r="E1673" s="105"/>
      <c r="F1673" s="87"/>
      <c r="G1673" s="87"/>
      <c r="H1673" s="87"/>
    </row>
    <row r="1674" spans="2:8" ht="18" x14ac:dyDescent="0.25">
      <c r="B1674" s="87"/>
      <c r="C1674" s="87"/>
      <c r="D1674" s="87"/>
      <c r="E1674" s="87"/>
      <c r="F1674" s="87"/>
      <c r="G1674" s="87"/>
      <c r="H1674" s="96"/>
    </row>
    <row r="1675" spans="2:8" ht="18" x14ac:dyDescent="0.25">
      <c r="E1675" s="87"/>
      <c r="G1675" s="96"/>
      <c r="H1675" s="87"/>
    </row>
    <row r="1677" spans="2:8" ht="18" x14ac:dyDescent="0.25">
      <c r="B1677" s="335"/>
      <c r="C1677" s="335"/>
      <c r="D1677" s="335"/>
      <c r="E1677" s="340">
        <f>+$B$1</f>
        <v>46143</v>
      </c>
      <c r="F1677" s="87"/>
      <c r="G1677" s="341">
        <f>+$D$1</f>
        <v>46183</v>
      </c>
      <c r="H1677" s="87"/>
    </row>
    <row r="1678" spans="2:8" ht="18" x14ac:dyDescent="0.25">
      <c r="B1678" s="86"/>
      <c r="C1678" s="86"/>
      <c r="D1678" s="103"/>
      <c r="E1678" s="340"/>
      <c r="F1678" s="87"/>
      <c r="G1678" s="341"/>
      <c r="H1678" s="87"/>
    </row>
    <row r="1679" spans="2:8" ht="18" x14ac:dyDescent="0.25">
      <c r="B1679" s="87"/>
      <c r="C1679" s="87"/>
      <c r="D1679" s="87"/>
      <c r="E1679" s="88"/>
      <c r="F1679" s="87"/>
      <c r="G1679" s="88"/>
      <c r="H1679" s="87"/>
    </row>
    <row r="1680" spans="2:8" ht="18" x14ac:dyDescent="0.25">
      <c r="B1680" s="87" t="e">
        <f>+#REF!</f>
        <v>#REF!</v>
      </c>
      <c r="C1680" s="87"/>
      <c r="D1680" s="87"/>
      <c r="E1680" s="88"/>
      <c r="F1680" s="87"/>
      <c r="G1680" s="88"/>
      <c r="H1680" s="87"/>
    </row>
    <row r="1681" spans="2:8" ht="18" x14ac:dyDescent="0.25">
      <c r="B1681" s="88"/>
      <c r="C1681" s="87"/>
      <c r="D1681" s="87"/>
      <c r="E1681" s="87" t="s">
        <v>81</v>
      </c>
      <c r="F1681" s="87"/>
      <c r="G1681" s="87"/>
      <c r="H1681" s="95" t="s">
        <v>128</v>
      </c>
    </row>
    <row r="1682" spans="2:8" ht="18" x14ac:dyDescent="0.25">
      <c r="B1682" s="87"/>
      <c r="C1682" s="87"/>
      <c r="D1682" s="87"/>
      <c r="E1682" s="88"/>
      <c r="F1682" s="88"/>
      <c r="G1682" s="87"/>
      <c r="H1682" s="88"/>
    </row>
    <row r="1683" spans="2:8" ht="18" x14ac:dyDescent="0.25">
      <c r="B1683" s="96"/>
      <c r="C1683" s="87"/>
      <c r="D1683" s="96"/>
      <c r="E1683" s="87"/>
      <c r="F1683" s="87"/>
      <c r="G1683" s="87"/>
      <c r="H1683" s="87"/>
    </row>
    <row r="1684" spans="2:8" ht="18" x14ac:dyDescent="0.25">
      <c r="B1684" s="96"/>
      <c r="C1684" s="87"/>
      <c r="D1684" s="96"/>
      <c r="E1684" s="87"/>
      <c r="F1684" s="87"/>
      <c r="G1684" s="87"/>
      <c r="H1684" s="87"/>
    </row>
    <row r="1685" spans="2:8" ht="18" x14ac:dyDescent="0.25">
      <c r="B1685" s="87" t="s">
        <v>82</v>
      </c>
      <c r="C1685" s="87"/>
      <c r="D1685" s="110">
        <f>+'RES CUENTA'!$H$26</f>
        <v>6751880</v>
      </c>
      <c r="E1685" s="111" t="e">
        <f>+'RES CUENTA'!#REF!</f>
        <v>#REF!</v>
      </c>
      <c r="F1685" s="106" t="e">
        <f>+D1685*E1685/100</f>
        <v>#REF!</v>
      </c>
      <c r="G1685" s="339"/>
      <c r="H1685" s="339"/>
    </row>
    <row r="1686" spans="2:8" ht="18" x14ac:dyDescent="0.25">
      <c r="B1686" s="87" t="s">
        <v>194</v>
      </c>
      <c r="C1686" s="87"/>
      <c r="D1686" s="110" t="e">
        <f>+'RES CUENTA'!#REF!</f>
        <v>#REF!</v>
      </c>
      <c r="E1686" s="111" t="e">
        <f>+'RES CUENTA'!#REF!</f>
        <v>#REF!</v>
      </c>
      <c r="F1686" s="106" t="e">
        <f>+D1686*E1686/100</f>
        <v>#REF!</v>
      </c>
      <c r="G1686" s="336"/>
      <c r="H1686" s="336"/>
    </row>
    <row r="1687" spans="2:8" ht="18" x14ac:dyDescent="0.25">
      <c r="B1687" s="87" t="s">
        <v>83</v>
      </c>
      <c r="C1687" s="87"/>
      <c r="D1687" s="110" t="e">
        <f>+'RES CUENTA'!#REF!</f>
        <v>#REF!</v>
      </c>
      <c r="E1687" s="111">
        <v>0</v>
      </c>
      <c r="F1687" s="106" t="e">
        <f>+D1687</f>
        <v>#REF!</v>
      </c>
      <c r="G1687" s="336"/>
      <c r="H1687" s="336"/>
    </row>
    <row r="1688" spans="2:8" ht="18" x14ac:dyDescent="0.25">
      <c r="B1688" s="87" t="s">
        <v>84</v>
      </c>
      <c r="C1688" s="87"/>
      <c r="D1688" s="110" t="e">
        <f>+'RES CUENTA'!#REF!</f>
        <v>#REF!</v>
      </c>
      <c r="E1688" s="111">
        <v>0</v>
      </c>
      <c r="F1688" s="106" t="e">
        <f>+D1688</f>
        <v>#REF!</v>
      </c>
      <c r="G1688" s="336"/>
      <c r="H1688" s="336"/>
    </row>
    <row r="1689" spans="2:8" ht="18" x14ac:dyDescent="0.25">
      <c r="B1689" s="88"/>
      <c r="C1689" s="87"/>
      <c r="D1689" s="87"/>
      <c r="E1689" s="94"/>
      <c r="F1689" s="107" t="e">
        <f>SUM(F1685:F1688)</f>
        <v>#REF!</v>
      </c>
      <c r="G1689" s="336"/>
      <c r="H1689" s="336"/>
    </row>
    <row r="1690" spans="2:8" ht="18" x14ac:dyDescent="0.25">
      <c r="B1690" s="88"/>
      <c r="C1690" s="87"/>
      <c r="D1690" s="87"/>
      <c r="E1690" s="94"/>
      <c r="F1690" s="107"/>
      <c r="G1690" s="91"/>
      <c r="H1690" s="91"/>
    </row>
    <row r="1691" spans="2:8" ht="18" x14ac:dyDescent="0.25">
      <c r="B1691" s="88"/>
      <c r="C1691" s="87"/>
      <c r="D1691" s="87"/>
      <c r="E1691" s="87"/>
      <c r="G1691" s="337"/>
      <c r="H1691" s="337"/>
    </row>
    <row r="1692" spans="2:8" ht="18" x14ac:dyDescent="0.25">
      <c r="B1692" s="87"/>
      <c r="C1692" s="87"/>
      <c r="D1692" s="87"/>
      <c r="E1692" s="87"/>
      <c r="F1692" s="93"/>
      <c r="G1692" s="92"/>
      <c r="H1692" s="92"/>
    </row>
    <row r="1693" spans="2:8" ht="18" x14ac:dyDescent="0.25">
      <c r="B1693" s="87"/>
      <c r="C1693" s="87"/>
      <c r="D1693" s="87"/>
      <c r="E1693" s="87"/>
      <c r="F1693" s="94"/>
      <c r="G1693" s="87"/>
      <c r="H1693" s="87"/>
    </row>
    <row r="1694" spans="2:8" ht="18" x14ac:dyDescent="0.25">
      <c r="B1694" s="87"/>
      <c r="C1694" s="87"/>
      <c r="D1694" s="87"/>
      <c r="E1694" s="87"/>
      <c r="F1694" s="94"/>
      <c r="G1694" s="87"/>
      <c r="H1694" s="87"/>
    </row>
    <row r="1695" spans="2:8" ht="18" x14ac:dyDescent="0.25">
      <c r="B1695" s="87" t="e">
        <f>+B1680</f>
        <v>#REF!</v>
      </c>
      <c r="C1695" s="338"/>
      <c r="D1695" s="338"/>
      <c r="E1695" s="87" t="e">
        <f>+B1695</f>
        <v>#REF!</v>
      </c>
      <c r="F1695" s="94"/>
      <c r="G1695" s="87"/>
      <c r="H1695" s="87"/>
    </row>
    <row r="1696" spans="2:8" ht="18" x14ac:dyDescent="0.25">
      <c r="C1696" s="87"/>
      <c r="D1696" s="87"/>
      <c r="F1696" s="338"/>
      <c r="G1696" s="338"/>
      <c r="H1696" s="338"/>
    </row>
    <row r="1697" spans="2:8" ht="18" x14ac:dyDescent="0.25">
      <c r="B1697" s="87" t="str">
        <f>+$E$1</f>
        <v>URUGUAY 1025/27/29 CAP. FED.</v>
      </c>
      <c r="C1697" s="87"/>
      <c r="D1697" s="95" t="str">
        <f>+H1681</f>
        <v>Unid. 45</v>
      </c>
      <c r="E1697" s="87" t="str">
        <f>+$E$1</f>
        <v>URUGUAY 1025/27/29 CAP. FED.</v>
      </c>
      <c r="F1697" s="87"/>
      <c r="G1697" s="87"/>
      <c r="H1697" s="95" t="str">
        <f>+D1697</f>
        <v>Unid. 45</v>
      </c>
    </row>
    <row r="1698" spans="2:8" ht="18" x14ac:dyDescent="0.25">
      <c r="H1698" s="88"/>
    </row>
    <row r="1699" spans="2:8" ht="18" x14ac:dyDescent="0.25">
      <c r="B1699" s="88"/>
      <c r="C1699" s="88"/>
      <c r="D1699" s="88"/>
      <c r="E1699" s="88"/>
      <c r="F1699" s="87"/>
      <c r="G1699" s="87"/>
    </row>
    <row r="1700" spans="2:8" ht="18" x14ac:dyDescent="0.25">
      <c r="B1700" s="87" t="e">
        <f>+$E$2</f>
        <v>#REF!</v>
      </c>
      <c r="C1700" s="87"/>
      <c r="D1700" s="87"/>
      <c r="E1700" s="87"/>
      <c r="F1700" s="87"/>
      <c r="G1700" s="88"/>
      <c r="H1700" s="104"/>
    </row>
    <row r="1701" spans="2:8" ht="18" x14ac:dyDescent="0.25">
      <c r="B1701" s="87" t="e">
        <f>+$E$3</f>
        <v>#REF!</v>
      </c>
      <c r="C1701" s="87"/>
      <c r="D1701" s="87"/>
      <c r="E1701" s="98"/>
      <c r="F1701" s="87"/>
      <c r="G1701" s="96"/>
      <c r="H1701" s="87"/>
    </row>
    <row r="1702" spans="2:8" ht="18" x14ac:dyDescent="0.25">
      <c r="C1702" s="87"/>
      <c r="D1702" s="87"/>
      <c r="E1702" s="87" t="s">
        <v>85</v>
      </c>
      <c r="F1702" s="109" t="e">
        <f>+F1685</f>
        <v>#REF!</v>
      </c>
      <c r="H1702" s="102">
        <f>+B1707</f>
        <v>46183</v>
      </c>
    </row>
    <row r="1703" spans="2:8" ht="18" x14ac:dyDescent="0.25">
      <c r="B1703" s="88"/>
      <c r="C1703" s="87"/>
      <c r="D1703" s="87"/>
      <c r="E1703" s="87" t="s">
        <v>193</v>
      </c>
      <c r="F1703" s="109" t="e">
        <f>+F1686</f>
        <v>#REF!</v>
      </c>
    </row>
    <row r="1704" spans="2:8" ht="18" x14ac:dyDescent="0.25">
      <c r="B1704" s="88"/>
      <c r="C1704" s="87"/>
      <c r="D1704" s="87"/>
      <c r="E1704" s="87" t="s">
        <v>86</v>
      </c>
      <c r="F1704" s="109" t="e">
        <f>+F1687</f>
        <v>#REF!</v>
      </c>
      <c r="G1704" s="87"/>
      <c r="H1704" s="87"/>
    </row>
    <row r="1705" spans="2:8" ht="18" x14ac:dyDescent="0.25">
      <c r="B1705" s="87"/>
      <c r="C1705" s="87"/>
      <c r="D1705" s="87"/>
      <c r="E1705" s="87" t="s">
        <v>87</v>
      </c>
      <c r="F1705" s="109" t="e">
        <f>+F1688</f>
        <v>#REF!</v>
      </c>
      <c r="G1705" s="87"/>
      <c r="H1705" s="87"/>
    </row>
    <row r="1706" spans="2:8" ht="18" x14ac:dyDescent="0.25">
      <c r="B1706" s="98"/>
      <c r="C1706" s="98"/>
      <c r="D1706" s="98"/>
      <c r="E1706" s="87" t="s">
        <v>321</v>
      </c>
      <c r="F1706" s="109">
        <v>0</v>
      </c>
      <c r="G1706" s="87"/>
      <c r="H1706" s="87"/>
    </row>
    <row r="1707" spans="2:8" ht="18" x14ac:dyDescent="0.25">
      <c r="B1707" s="102">
        <f>+$G$34</f>
        <v>46183</v>
      </c>
      <c r="C1707" s="108" t="e">
        <f>+F1689</f>
        <v>#REF!</v>
      </c>
      <c r="D1707" s="87"/>
      <c r="E1707" s="87" t="s">
        <v>88</v>
      </c>
      <c r="F1707" s="109" t="e">
        <f>+F1689</f>
        <v>#REF!</v>
      </c>
      <c r="G1707" s="87"/>
      <c r="H1707" s="87"/>
    </row>
    <row r="1708" spans="2:8" ht="18" x14ac:dyDescent="0.25">
      <c r="B1708" s="87"/>
      <c r="C1708" s="87"/>
      <c r="D1708" s="87"/>
      <c r="E1708" s="87"/>
      <c r="F1708" s="87"/>
      <c r="G1708" s="87"/>
      <c r="H1708" s="87"/>
    </row>
    <row r="1709" spans="2:8" ht="18" x14ac:dyDescent="0.25">
      <c r="B1709" s="87"/>
      <c r="C1709" s="87"/>
      <c r="D1709" s="87"/>
      <c r="E1709" s="87"/>
      <c r="F1709" s="87"/>
      <c r="G1709" s="339"/>
      <c r="H1709" s="339"/>
    </row>
    <row r="1710" spans="2:8" ht="18" x14ac:dyDescent="0.25">
      <c r="B1710" s="87"/>
      <c r="C1710" s="87"/>
      <c r="D1710" s="87"/>
      <c r="E1710" s="87"/>
      <c r="F1710" s="87"/>
      <c r="G1710" s="87"/>
      <c r="H1710" s="87"/>
    </row>
    <row r="1711" spans="2:8" ht="18" x14ac:dyDescent="0.25">
      <c r="B1711" s="87"/>
      <c r="C1711" s="87"/>
      <c r="D1711" s="87"/>
      <c r="E1711" s="87"/>
      <c r="F1711" s="87"/>
      <c r="G1711" s="87"/>
      <c r="H1711" s="87"/>
    </row>
    <row r="1712" spans="2:8" ht="18" x14ac:dyDescent="0.25">
      <c r="B1712" s="87"/>
      <c r="C1712" s="87"/>
      <c r="D1712" s="87"/>
      <c r="E1712" s="87"/>
      <c r="F1712" s="87"/>
      <c r="G1712" s="87"/>
      <c r="H1712" s="87"/>
    </row>
    <row r="1713" spans="2:8" ht="18" x14ac:dyDescent="0.25">
      <c r="B1713" s="87"/>
      <c r="C1713" s="87"/>
      <c r="D1713" s="87"/>
      <c r="E1713" s="87"/>
      <c r="F1713" s="87"/>
      <c r="G1713" s="87"/>
      <c r="H1713" s="87"/>
    </row>
    <row r="1714" spans="2:8" ht="18" x14ac:dyDescent="0.25">
      <c r="B1714" s="87"/>
      <c r="C1714" s="87"/>
      <c r="D1714" s="87"/>
      <c r="E1714" s="87"/>
      <c r="F1714" s="87"/>
      <c r="H1714" s="87"/>
    </row>
    <row r="1715" spans="2:8" ht="18" x14ac:dyDescent="0.25">
      <c r="B1715" s="335"/>
      <c r="C1715" s="335"/>
      <c r="D1715" s="335"/>
      <c r="E1715" s="87"/>
      <c r="F1715" s="87"/>
      <c r="H1715" s="87"/>
    </row>
    <row r="1716" spans="2:8" ht="18" x14ac:dyDescent="0.25">
      <c r="B1716" s="335"/>
      <c r="C1716" s="335"/>
      <c r="D1716" s="335"/>
      <c r="E1716" s="101">
        <f>+$B$1</f>
        <v>46143</v>
      </c>
      <c r="F1716" s="87"/>
      <c r="G1716" s="102">
        <f>+$D$1</f>
        <v>46183</v>
      </c>
      <c r="H1716" s="100"/>
    </row>
    <row r="1717" spans="2:8" ht="18" x14ac:dyDescent="0.25">
      <c r="B1717" s="86"/>
      <c r="C1717" s="86"/>
      <c r="D1717" s="103"/>
      <c r="E1717" s="101"/>
      <c r="F1717" s="87"/>
    </row>
    <row r="1718" spans="2:8" ht="18" x14ac:dyDescent="0.25">
      <c r="B1718" s="87" t="e">
        <f>+#REF!</f>
        <v>#REF!</v>
      </c>
      <c r="C1718" s="87"/>
      <c r="D1718" s="87"/>
      <c r="F1718" s="87"/>
    </row>
    <row r="1719" spans="2:8" ht="18" x14ac:dyDescent="0.25">
      <c r="C1719" s="87"/>
      <c r="D1719" s="87"/>
      <c r="E1719" s="87" t="str">
        <f>+$E$1</f>
        <v>URUGUAY 1025/27/29 CAP. FED.</v>
      </c>
      <c r="F1719" s="87"/>
      <c r="H1719" s="95" t="s">
        <v>129</v>
      </c>
    </row>
    <row r="1720" spans="2:8" ht="18" x14ac:dyDescent="0.25">
      <c r="B1720" s="88"/>
      <c r="C1720" s="87"/>
      <c r="D1720" s="87"/>
      <c r="F1720" s="87"/>
      <c r="G1720" s="88"/>
    </row>
    <row r="1721" spans="2:8" ht="18" x14ac:dyDescent="0.25">
      <c r="B1721" s="87"/>
      <c r="C1721" s="87"/>
      <c r="D1721" s="87"/>
      <c r="E1721" s="88"/>
      <c r="F1721" s="88"/>
      <c r="G1721" s="87"/>
      <c r="H1721" s="88"/>
    </row>
    <row r="1722" spans="2:8" ht="18" x14ac:dyDescent="0.25">
      <c r="B1722" s="96"/>
      <c r="C1722" s="87"/>
      <c r="D1722" s="96"/>
      <c r="E1722" s="87"/>
      <c r="F1722" s="87"/>
      <c r="G1722" s="87"/>
      <c r="H1722" s="87"/>
    </row>
    <row r="1723" spans="2:8" ht="18" x14ac:dyDescent="0.25">
      <c r="B1723" s="87" t="s">
        <v>82</v>
      </c>
      <c r="C1723" s="87"/>
      <c r="D1723" s="110">
        <f>+'RES CUENTA'!$H$26</f>
        <v>6751880</v>
      </c>
      <c r="E1723" s="111" t="e">
        <f>+'RES CUENTA'!#REF!</f>
        <v>#REF!</v>
      </c>
      <c r="F1723" s="106" t="e">
        <f>+D1723*E1723/100</f>
        <v>#REF!</v>
      </c>
      <c r="G1723" s="87"/>
      <c r="H1723" s="96"/>
    </row>
    <row r="1724" spans="2:8" ht="18" x14ac:dyDescent="0.25">
      <c r="B1724" s="87" t="s">
        <v>194</v>
      </c>
      <c r="C1724" s="87"/>
      <c r="D1724" s="110" t="e">
        <f>+'RES CUENTA'!#REF!</f>
        <v>#REF!</v>
      </c>
      <c r="E1724" s="111" t="e">
        <f>+'RES CUENTA'!#REF!</f>
        <v>#REF!</v>
      </c>
      <c r="F1724" s="106" t="e">
        <f>+D1724*E1724/100</f>
        <v>#REF!</v>
      </c>
      <c r="G1724" s="96"/>
      <c r="H1724" s="91"/>
    </row>
    <row r="1725" spans="2:8" ht="18" x14ac:dyDescent="0.25">
      <c r="B1725" s="87" t="s">
        <v>83</v>
      </c>
      <c r="C1725" s="87"/>
      <c r="D1725" s="110" t="e">
        <f>+'RES CUENTA'!#REF!</f>
        <v>#REF!</v>
      </c>
      <c r="E1725" s="111">
        <f>+'RES CUENTA'!N815</f>
        <v>0</v>
      </c>
      <c r="F1725" s="106" t="e">
        <f>+D1725</f>
        <v>#REF!</v>
      </c>
      <c r="G1725" s="91"/>
      <c r="H1725" s="91"/>
    </row>
    <row r="1726" spans="2:8" ht="18" x14ac:dyDescent="0.25">
      <c r="B1726" s="87" t="s">
        <v>84</v>
      </c>
      <c r="C1726" s="87"/>
      <c r="D1726" s="110" t="e">
        <f>+'RES CUENTA'!#REF!</f>
        <v>#REF!</v>
      </c>
      <c r="E1726" s="111">
        <f>+'RES CUENTA'!P814</f>
        <v>0</v>
      </c>
      <c r="F1726" s="106" t="e">
        <f>+D1726</f>
        <v>#REF!</v>
      </c>
      <c r="G1726" s="91"/>
      <c r="H1726" s="91"/>
    </row>
    <row r="1727" spans="2:8" ht="18" x14ac:dyDescent="0.25">
      <c r="B1727" s="88"/>
      <c r="C1727" s="87"/>
      <c r="D1727" s="87"/>
      <c r="F1727" s="107" t="e">
        <f>SUM(F1723:F1726)</f>
        <v>#REF!</v>
      </c>
      <c r="G1727" s="91"/>
      <c r="H1727" s="91"/>
    </row>
    <row r="1728" spans="2:8" ht="18" x14ac:dyDescent="0.25">
      <c r="B1728" s="88"/>
      <c r="C1728" s="87"/>
      <c r="D1728" s="87"/>
      <c r="F1728" s="107"/>
      <c r="G1728" s="91"/>
      <c r="H1728" s="91"/>
    </row>
    <row r="1729" spans="2:8" ht="18" x14ac:dyDescent="0.25">
      <c r="B1729" s="87"/>
      <c r="C1729" s="87"/>
      <c r="D1729" s="87"/>
      <c r="E1729" s="87"/>
      <c r="F1729" s="94"/>
      <c r="G1729" s="92"/>
      <c r="H1729" s="92"/>
    </row>
    <row r="1730" spans="2:8" ht="18" x14ac:dyDescent="0.25">
      <c r="B1730" s="87"/>
      <c r="C1730" s="87"/>
      <c r="D1730" s="87"/>
      <c r="E1730" s="87"/>
      <c r="F1730" s="94"/>
      <c r="G1730" s="92"/>
      <c r="H1730" s="92"/>
    </row>
    <row r="1731" spans="2:8" ht="18" x14ac:dyDescent="0.25">
      <c r="B1731" s="87"/>
      <c r="C1731" s="87"/>
      <c r="D1731" s="87"/>
      <c r="E1731" s="87"/>
      <c r="F1731" s="94"/>
      <c r="G1731" s="92"/>
      <c r="H1731" s="92"/>
    </row>
    <row r="1732" spans="2:8" ht="18" x14ac:dyDescent="0.25">
      <c r="B1732" s="87"/>
      <c r="C1732" s="87"/>
      <c r="D1732" s="87"/>
      <c r="E1732" s="87"/>
      <c r="F1732" s="94"/>
      <c r="G1732" s="92"/>
      <c r="H1732" s="87"/>
    </row>
    <row r="1733" spans="2:8" ht="18" x14ac:dyDescent="0.25">
      <c r="B1733" s="87" t="e">
        <f>+B1718</f>
        <v>#REF!</v>
      </c>
      <c r="C1733" s="87"/>
      <c r="D1733" s="87"/>
      <c r="E1733" s="87" t="e">
        <f>+B1718</f>
        <v>#REF!</v>
      </c>
      <c r="F1733" s="87"/>
      <c r="G1733" s="87"/>
      <c r="H1733" s="104"/>
    </row>
    <row r="1734" spans="2:8" ht="18" x14ac:dyDescent="0.25">
      <c r="B1734" s="88"/>
      <c r="C1734" s="87"/>
      <c r="D1734" s="87"/>
      <c r="F1734" s="87"/>
      <c r="G1734" s="104"/>
      <c r="H1734" s="95" t="str">
        <f>+H1719</f>
        <v>Unid. 46</v>
      </c>
    </row>
    <row r="1735" spans="2:8" ht="18" x14ac:dyDescent="0.25">
      <c r="B1735" s="87" t="str">
        <f>+$E$1</f>
        <v>URUGUAY 1025/27/29 CAP. FED.</v>
      </c>
      <c r="C1735" s="87"/>
      <c r="D1735" s="95" t="str">
        <f>+H1734</f>
        <v>Unid. 46</v>
      </c>
      <c r="E1735" s="87" t="str">
        <f>+$E$1</f>
        <v>URUGUAY 1025/27/29 CAP. FED.</v>
      </c>
      <c r="F1735" s="87"/>
      <c r="G1735" s="87"/>
      <c r="H1735" s="88"/>
    </row>
    <row r="1736" spans="2:8" ht="18" x14ac:dyDescent="0.25">
      <c r="B1736" s="88"/>
      <c r="C1736" s="88"/>
      <c r="D1736" s="88"/>
      <c r="F1736" s="87"/>
      <c r="G1736" s="87"/>
    </row>
    <row r="1737" spans="2:8" ht="18" x14ac:dyDescent="0.25">
      <c r="B1737" s="87"/>
      <c r="C1737" s="87"/>
      <c r="D1737" s="87"/>
      <c r="E1737" s="88"/>
      <c r="F1737" s="87"/>
      <c r="G1737" s="87"/>
      <c r="H1737" s="104"/>
    </row>
    <row r="1738" spans="2:8" ht="18" x14ac:dyDescent="0.25">
      <c r="B1738" s="87" t="e">
        <f>+$E$2</f>
        <v>#REF!</v>
      </c>
      <c r="C1738" s="87"/>
      <c r="D1738" s="87"/>
      <c r="E1738" s="87"/>
      <c r="F1738" s="98"/>
      <c r="G1738" s="88"/>
      <c r="H1738" s="87"/>
    </row>
    <row r="1739" spans="2:8" ht="18" x14ac:dyDescent="0.25">
      <c r="B1739" s="87" t="e">
        <f>+$E$3</f>
        <v>#REF!</v>
      </c>
      <c r="C1739" s="87"/>
      <c r="D1739" s="87"/>
      <c r="E1739" s="98"/>
      <c r="G1739" s="96"/>
      <c r="H1739" s="97"/>
    </row>
    <row r="1740" spans="2:8" ht="18" x14ac:dyDescent="0.25">
      <c r="B1740" s="88"/>
      <c r="C1740" s="87"/>
      <c r="D1740" s="87"/>
      <c r="E1740" s="87" t="s">
        <v>85</v>
      </c>
      <c r="F1740" s="109" t="e">
        <f>+F1723</f>
        <v>#REF!</v>
      </c>
      <c r="G1740" s="97"/>
      <c r="H1740" s="102">
        <f>+B1744</f>
        <v>46183</v>
      </c>
    </row>
    <row r="1741" spans="2:8" ht="18" x14ac:dyDescent="0.25">
      <c r="B1741" s="88"/>
      <c r="C1741" s="87"/>
      <c r="D1741" s="87"/>
      <c r="E1741" s="87" t="s">
        <v>193</v>
      </c>
      <c r="F1741" s="109" t="e">
        <f>+F1724</f>
        <v>#REF!</v>
      </c>
      <c r="H1741" s="87"/>
    </row>
    <row r="1742" spans="2:8" ht="18" x14ac:dyDescent="0.25">
      <c r="B1742" s="87"/>
      <c r="C1742" s="87"/>
      <c r="D1742" s="87"/>
      <c r="E1742" s="87" t="s">
        <v>86</v>
      </c>
      <c r="F1742" s="109" t="e">
        <f>+F1725</f>
        <v>#REF!</v>
      </c>
      <c r="G1742" s="87"/>
      <c r="H1742" s="87"/>
    </row>
    <row r="1743" spans="2:8" ht="18" x14ac:dyDescent="0.25">
      <c r="B1743" s="98"/>
      <c r="C1743" s="98"/>
      <c r="D1743" s="98"/>
      <c r="E1743" s="87" t="s">
        <v>87</v>
      </c>
      <c r="F1743" s="109" t="e">
        <f>+F1726</f>
        <v>#REF!</v>
      </c>
      <c r="G1743" s="87"/>
      <c r="H1743" s="87"/>
    </row>
    <row r="1744" spans="2:8" ht="18" x14ac:dyDescent="0.25">
      <c r="B1744" s="102">
        <f>+$G$34</f>
        <v>46183</v>
      </c>
      <c r="C1744" s="108" t="e">
        <f>+F1727</f>
        <v>#REF!</v>
      </c>
      <c r="D1744" s="87"/>
      <c r="E1744" s="87" t="s">
        <v>321</v>
      </c>
      <c r="F1744" s="109">
        <v>0</v>
      </c>
      <c r="G1744" s="87"/>
      <c r="H1744" s="87"/>
    </row>
    <row r="1745" spans="2:8" ht="18" x14ac:dyDescent="0.25">
      <c r="B1745" s="87"/>
      <c r="C1745" s="87"/>
      <c r="D1745" s="87"/>
      <c r="E1745" s="87" t="s">
        <v>88</v>
      </c>
      <c r="F1745" s="109" t="e">
        <f>+F1727</f>
        <v>#REF!</v>
      </c>
      <c r="G1745" s="87"/>
      <c r="H1745" s="87"/>
    </row>
    <row r="1746" spans="2:8" ht="18" x14ac:dyDescent="0.25">
      <c r="B1746" s="87"/>
      <c r="C1746" s="87"/>
      <c r="D1746" s="87"/>
      <c r="E1746" s="87"/>
      <c r="F1746" s="87"/>
      <c r="G1746" s="87"/>
      <c r="H1746" s="87"/>
    </row>
    <row r="1747" spans="2:8" ht="18" x14ac:dyDescent="0.25">
      <c r="B1747" s="87"/>
      <c r="C1747" s="87"/>
      <c r="D1747" s="87"/>
      <c r="E1747" s="105"/>
      <c r="F1747" s="87"/>
      <c r="G1747" s="87"/>
      <c r="H1747" s="87"/>
    </row>
    <row r="1748" spans="2:8" ht="18" x14ac:dyDescent="0.25">
      <c r="B1748" s="87"/>
      <c r="C1748" s="87"/>
      <c r="D1748" s="87"/>
      <c r="E1748" s="87"/>
      <c r="F1748" s="87"/>
      <c r="G1748" s="87"/>
      <c r="H1748" s="96"/>
    </row>
    <row r="1749" spans="2:8" ht="18" x14ac:dyDescent="0.25">
      <c r="E1749" s="87"/>
      <c r="G1749" s="96"/>
      <c r="H1749" s="87"/>
    </row>
    <row r="1751" spans="2:8" ht="18" x14ac:dyDescent="0.25">
      <c r="B1751" s="335"/>
      <c r="C1751" s="335"/>
      <c r="D1751" s="335"/>
      <c r="E1751" s="340">
        <f>+$B$1</f>
        <v>46143</v>
      </c>
      <c r="F1751" s="87"/>
      <c r="G1751" s="341">
        <f>+$D$1</f>
        <v>46183</v>
      </c>
      <c r="H1751" s="87"/>
    </row>
    <row r="1752" spans="2:8" ht="18" x14ac:dyDescent="0.25">
      <c r="B1752" s="86"/>
      <c r="C1752" s="86"/>
      <c r="D1752" s="103"/>
      <c r="E1752" s="340"/>
      <c r="F1752" s="87"/>
      <c r="G1752" s="341"/>
      <c r="H1752" s="87"/>
    </row>
    <row r="1753" spans="2:8" ht="18" x14ac:dyDescent="0.25">
      <c r="B1753" s="87"/>
      <c r="C1753" s="87"/>
      <c r="D1753" s="87"/>
      <c r="E1753" s="88"/>
      <c r="F1753" s="87"/>
      <c r="G1753" s="88"/>
      <c r="H1753" s="87"/>
    </row>
    <row r="1754" spans="2:8" ht="18" x14ac:dyDescent="0.25">
      <c r="B1754" s="87" t="e">
        <f>+#REF!</f>
        <v>#REF!</v>
      </c>
      <c r="C1754" s="87"/>
      <c r="D1754" s="87"/>
      <c r="E1754" s="88"/>
      <c r="F1754" s="87"/>
      <c r="G1754" s="88"/>
      <c r="H1754" s="87"/>
    </row>
    <row r="1755" spans="2:8" ht="18" x14ac:dyDescent="0.25">
      <c r="B1755" s="88"/>
      <c r="C1755" s="87"/>
      <c r="D1755" s="87"/>
      <c r="E1755" s="87" t="s">
        <v>81</v>
      </c>
      <c r="F1755" s="87"/>
      <c r="G1755" s="87"/>
      <c r="H1755" s="95" t="s">
        <v>130</v>
      </c>
    </row>
    <row r="1756" spans="2:8" ht="18" x14ac:dyDescent="0.25">
      <c r="B1756" s="87"/>
      <c r="C1756" s="87"/>
      <c r="D1756" s="87"/>
      <c r="E1756" s="88"/>
      <c r="F1756" s="88"/>
      <c r="G1756" s="87"/>
      <c r="H1756" s="88"/>
    </row>
    <row r="1757" spans="2:8" ht="18" x14ac:dyDescent="0.25">
      <c r="B1757" s="96"/>
      <c r="C1757" s="87"/>
      <c r="D1757" s="96"/>
      <c r="E1757" s="87"/>
      <c r="F1757" s="87"/>
      <c r="G1757" s="87"/>
      <c r="H1757" s="87"/>
    </row>
    <row r="1758" spans="2:8" ht="18" x14ac:dyDescent="0.25">
      <c r="B1758" s="96"/>
      <c r="C1758" s="87"/>
      <c r="D1758" s="96"/>
      <c r="E1758" s="87"/>
      <c r="F1758" s="87"/>
      <c r="G1758" s="87"/>
      <c r="H1758" s="87"/>
    </row>
    <row r="1759" spans="2:8" ht="18" x14ac:dyDescent="0.25">
      <c r="B1759" s="87" t="s">
        <v>82</v>
      </c>
      <c r="C1759" s="87"/>
      <c r="D1759" s="110">
        <f>+'RES CUENTA'!$H$26</f>
        <v>6751880</v>
      </c>
      <c r="E1759" s="111" t="e">
        <f>+'RES CUENTA'!#REF!</f>
        <v>#REF!</v>
      </c>
      <c r="F1759" s="106" t="e">
        <f>+D1759*E1759/100</f>
        <v>#REF!</v>
      </c>
      <c r="G1759" s="339"/>
      <c r="H1759" s="339"/>
    </row>
    <row r="1760" spans="2:8" ht="18" x14ac:dyDescent="0.25">
      <c r="B1760" s="87" t="s">
        <v>194</v>
      </c>
      <c r="C1760" s="87"/>
      <c r="D1760" s="110" t="e">
        <f>+'RES CUENTA'!#REF!</f>
        <v>#REF!</v>
      </c>
      <c r="E1760" s="111" t="e">
        <f>+'RES CUENTA'!#REF!</f>
        <v>#REF!</v>
      </c>
      <c r="F1760" s="106" t="e">
        <f>+D1760*E1760/100</f>
        <v>#REF!</v>
      </c>
      <c r="G1760" s="336"/>
      <c r="H1760" s="336"/>
    </row>
    <row r="1761" spans="2:8" ht="18" x14ac:dyDescent="0.25">
      <c r="B1761" s="87" t="s">
        <v>83</v>
      </c>
      <c r="C1761" s="87"/>
      <c r="D1761" s="110" t="e">
        <f>+'RES CUENTA'!#REF!</f>
        <v>#REF!</v>
      </c>
      <c r="E1761" s="111">
        <v>0</v>
      </c>
      <c r="F1761" s="106" t="e">
        <f>+D1761</f>
        <v>#REF!</v>
      </c>
      <c r="G1761" s="336"/>
      <c r="H1761" s="336"/>
    </row>
    <row r="1762" spans="2:8" ht="18" x14ac:dyDescent="0.25">
      <c r="B1762" s="87" t="s">
        <v>84</v>
      </c>
      <c r="C1762" s="87"/>
      <c r="D1762" s="110" t="e">
        <f>+'RES CUENTA'!#REF!</f>
        <v>#REF!</v>
      </c>
      <c r="E1762" s="111">
        <v>0</v>
      </c>
      <c r="F1762" s="106" t="e">
        <f>+D1762</f>
        <v>#REF!</v>
      </c>
      <c r="G1762" s="336"/>
      <c r="H1762" s="336"/>
    </row>
    <row r="1763" spans="2:8" ht="18" x14ac:dyDescent="0.25">
      <c r="B1763" s="88"/>
      <c r="C1763" s="87"/>
      <c r="D1763" s="87"/>
      <c r="E1763" s="94"/>
      <c r="F1763" s="107" t="e">
        <f>SUM(F1759:F1762)</f>
        <v>#REF!</v>
      </c>
      <c r="G1763" s="336"/>
      <c r="H1763" s="336"/>
    </row>
    <row r="1764" spans="2:8" ht="18" x14ac:dyDescent="0.25">
      <c r="B1764" s="88"/>
      <c r="C1764" s="87"/>
      <c r="D1764" s="87"/>
      <c r="E1764" s="94"/>
      <c r="F1764" s="107"/>
      <c r="G1764" s="91"/>
      <c r="H1764" s="91"/>
    </row>
    <row r="1765" spans="2:8" ht="18" x14ac:dyDescent="0.25">
      <c r="B1765" s="88"/>
      <c r="C1765" s="87"/>
      <c r="D1765" s="87"/>
      <c r="E1765" s="87"/>
      <c r="G1765" s="337"/>
      <c r="H1765" s="337"/>
    </row>
    <row r="1766" spans="2:8" ht="18" x14ac:dyDescent="0.25">
      <c r="B1766" s="87"/>
      <c r="C1766" s="87"/>
      <c r="D1766" s="87"/>
      <c r="E1766" s="87"/>
      <c r="F1766" s="93"/>
      <c r="G1766" s="92"/>
      <c r="H1766" s="92"/>
    </row>
    <row r="1767" spans="2:8" ht="18" x14ac:dyDescent="0.25">
      <c r="B1767" s="87"/>
      <c r="C1767" s="87"/>
      <c r="D1767" s="87"/>
      <c r="E1767" s="87"/>
      <c r="F1767" s="94"/>
      <c r="G1767" s="87"/>
      <c r="H1767" s="87"/>
    </row>
    <row r="1768" spans="2:8" ht="18" x14ac:dyDescent="0.25">
      <c r="B1768" s="87"/>
      <c r="C1768" s="87"/>
      <c r="D1768" s="87"/>
      <c r="E1768" s="87"/>
      <c r="F1768" s="94"/>
      <c r="G1768" s="87"/>
      <c r="H1768" s="87"/>
    </row>
    <row r="1769" spans="2:8" ht="18" x14ac:dyDescent="0.25">
      <c r="B1769" s="87" t="e">
        <f>+B1754</f>
        <v>#REF!</v>
      </c>
      <c r="C1769" s="338"/>
      <c r="D1769" s="338"/>
      <c r="E1769" s="87" t="e">
        <f>+B1769</f>
        <v>#REF!</v>
      </c>
      <c r="F1769" s="94"/>
      <c r="G1769" s="87"/>
      <c r="H1769" s="87"/>
    </row>
    <row r="1770" spans="2:8" ht="18" x14ac:dyDescent="0.25">
      <c r="C1770" s="87"/>
      <c r="D1770" s="87"/>
      <c r="F1770" s="338"/>
      <c r="G1770" s="338"/>
      <c r="H1770" s="338"/>
    </row>
    <row r="1771" spans="2:8" ht="18" x14ac:dyDescent="0.25">
      <c r="B1771" s="87" t="str">
        <f>+$E$1</f>
        <v>URUGUAY 1025/27/29 CAP. FED.</v>
      </c>
      <c r="C1771" s="87"/>
      <c r="D1771" s="95" t="str">
        <f>+H1755</f>
        <v>Unid. 47</v>
      </c>
      <c r="E1771" s="87" t="str">
        <f>+$E$1</f>
        <v>URUGUAY 1025/27/29 CAP. FED.</v>
      </c>
      <c r="F1771" s="87"/>
      <c r="G1771" s="87"/>
      <c r="H1771" s="95" t="str">
        <f>+D1771</f>
        <v>Unid. 47</v>
      </c>
    </row>
    <row r="1772" spans="2:8" ht="18" x14ac:dyDescent="0.25">
      <c r="H1772" s="88"/>
    </row>
    <row r="1773" spans="2:8" ht="18" x14ac:dyDescent="0.25">
      <c r="B1773" s="88"/>
      <c r="C1773" s="88"/>
      <c r="D1773" s="88"/>
      <c r="E1773" s="88"/>
      <c r="F1773" s="87"/>
      <c r="G1773" s="87"/>
    </row>
    <row r="1774" spans="2:8" ht="18" x14ac:dyDescent="0.25">
      <c r="B1774" s="87" t="e">
        <f>+$E$2</f>
        <v>#REF!</v>
      </c>
      <c r="C1774" s="87"/>
      <c r="D1774" s="87"/>
      <c r="E1774" s="87"/>
      <c r="F1774" s="87"/>
      <c r="G1774" s="88"/>
      <c r="H1774" s="104"/>
    </row>
    <row r="1775" spans="2:8" ht="18" x14ac:dyDescent="0.25">
      <c r="B1775" s="87" t="e">
        <f>+$E$3</f>
        <v>#REF!</v>
      </c>
      <c r="C1775" s="87"/>
      <c r="D1775" s="87"/>
      <c r="E1775" s="98"/>
      <c r="F1775" s="87"/>
      <c r="G1775" s="96"/>
      <c r="H1775" s="87"/>
    </row>
    <row r="1776" spans="2:8" ht="18" x14ac:dyDescent="0.25">
      <c r="C1776" s="87"/>
      <c r="D1776" s="87"/>
      <c r="E1776" s="87" t="s">
        <v>85</v>
      </c>
      <c r="F1776" s="109" t="e">
        <f>+F1759</f>
        <v>#REF!</v>
      </c>
      <c r="H1776" s="102">
        <f>+B1781</f>
        <v>46183</v>
      </c>
    </row>
    <row r="1777" spans="2:8" ht="18" x14ac:dyDescent="0.25">
      <c r="B1777" s="88"/>
      <c r="C1777" s="87"/>
      <c r="D1777" s="87"/>
      <c r="E1777" s="87" t="s">
        <v>193</v>
      </c>
      <c r="F1777" s="109" t="e">
        <f>+F1760</f>
        <v>#REF!</v>
      </c>
    </row>
    <row r="1778" spans="2:8" ht="18" x14ac:dyDescent="0.25">
      <c r="B1778" s="88"/>
      <c r="C1778" s="87"/>
      <c r="D1778" s="87"/>
      <c r="E1778" s="87" t="s">
        <v>86</v>
      </c>
      <c r="F1778" s="109" t="e">
        <f>+F1761</f>
        <v>#REF!</v>
      </c>
      <c r="G1778" s="87"/>
      <c r="H1778" s="87"/>
    </row>
    <row r="1779" spans="2:8" ht="18" x14ac:dyDescent="0.25">
      <c r="B1779" s="87"/>
      <c r="C1779" s="87"/>
      <c r="D1779" s="87"/>
      <c r="E1779" s="87" t="s">
        <v>87</v>
      </c>
      <c r="F1779" s="109" t="e">
        <f>+F1762</f>
        <v>#REF!</v>
      </c>
      <c r="G1779" s="87"/>
      <c r="H1779" s="87"/>
    </row>
    <row r="1780" spans="2:8" ht="18" x14ac:dyDescent="0.25">
      <c r="B1780" s="98"/>
      <c r="C1780" s="98"/>
      <c r="D1780" s="98"/>
      <c r="E1780" s="87" t="s">
        <v>321</v>
      </c>
      <c r="F1780" s="109">
        <v>0</v>
      </c>
      <c r="G1780" s="87"/>
      <c r="H1780" s="87"/>
    </row>
    <row r="1781" spans="2:8" ht="18" x14ac:dyDescent="0.25">
      <c r="B1781" s="102">
        <f>+$G$34</f>
        <v>46183</v>
      </c>
      <c r="C1781" s="108" t="e">
        <f>+F1763</f>
        <v>#REF!</v>
      </c>
      <c r="D1781" s="87"/>
      <c r="E1781" s="87" t="s">
        <v>88</v>
      </c>
      <c r="F1781" s="109" t="e">
        <f>+F1763</f>
        <v>#REF!</v>
      </c>
      <c r="G1781" s="87"/>
      <c r="H1781" s="87"/>
    </row>
    <row r="1782" spans="2:8" ht="18" x14ac:dyDescent="0.25">
      <c r="B1782" s="87"/>
      <c r="C1782" s="87"/>
      <c r="D1782" s="87"/>
      <c r="E1782" s="87"/>
      <c r="F1782" s="87"/>
      <c r="G1782" s="87"/>
      <c r="H1782" s="87"/>
    </row>
    <row r="1783" spans="2:8" ht="18" x14ac:dyDescent="0.25">
      <c r="B1783" s="87"/>
      <c r="C1783" s="87"/>
      <c r="D1783" s="87"/>
      <c r="E1783" s="87"/>
      <c r="F1783" s="87"/>
      <c r="G1783" s="339"/>
      <c r="H1783" s="339"/>
    </row>
    <row r="1784" spans="2:8" ht="18" x14ac:dyDescent="0.25">
      <c r="B1784" s="87"/>
      <c r="C1784" s="87"/>
      <c r="D1784" s="87"/>
      <c r="E1784" s="87"/>
      <c r="F1784" s="87"/>
      <c r="G1784" s="87"/>
      <c r="H1784" s="87"/>
    </row>
    <row r="1785" spans="2:8" ht="18" x14ac:dyDescent="0.25">
      <c r="B1785" s="87"/>
      <c r="C1785" s="87"/>
      <c r="D1785" s="87"/>
      <c r="E1785" s="87"/>
      <c r="F1785" s="87"/>
      <c r="G1785" s="87"/>
      <c r="H1785" s="87"/>
    </row>
    <row r="1786" spans="2:8" ht="18" x14ac:dyDescent="0.25">
      <c r="B1786" s="87"/>
      <c r="C1786" s="87"/>
      <c r="D1786" s="87"/>
      <c r="E1786" s="87"/>
      <c r="F1786" s="87"/>
      <c r="G1786" s="87"/>
      <c r="H1786" s="87"/>
    </row>
    <row r="1787" spans="2:8" ht="18" x14ac:dyDescent="0.25">
      <c r="B1787" s="87"/>
      <c r="C1787" s="87"/>
      <c r="D1787" s="87"/>
      <c r="E1787" s="87"/>
      <c r="F1787" s="87"/>
      <c r="H1787" s="87"/>
    </row>
    <row r="1788" spans="2:8" ht="18" x14ac:dyDescent="0.25">
      <c r="B1788" s="87"/>
      <c r="C1788" s="87"/>
      <c r="D1788" s="87"/>
      <c r="E1788" s="87"/>
      <c r="F1788" s="87"/>
      <c r="H1788" s="87"/>
    </row>
    <row r="1789" spans="2:8" ht="18" x14ac:dyDescent="0.25">
      <c r="B1789" s="335"/>
      <c r="C1789" s="335"/>
      <c r="D1789" s="335"/>
      <c r="E1789" s="87"/>
      <c r="F1789" s="87"/>
      <c r="H1789" s="87"/>
    </row>
    <row r="1790" spans="2:8" ht="18" x14ac:dyDescent="0.25">
      <c r="B1790" s="335"/>
      <c r="C1790" s="335"/>
      <c r="D1790" s="335"/>
      <c r="E1790" s="101">
        <f>+$B$1</f>
        <v>46143</v>
      </c>
      <c r="F1790" s="87"/>
      <c r="G1790" s="102">
        <f>+$D$1</f>
        <v>46183</v>
      </c>
      <c r="H1790" s="100"/>
    </row>
    <row r="1791" spans="2:8" ht="18" x14ac:dyDescent="0.25">
      <c r="B1791" s="86"/>
      <c r="C1791" s="86"/>
      <c r="D1791" s="103"/>
      <c r="E1791" s="101"/>
      <c r="F1791" s="87"/>
    </row>
    <row r="1792" spans="2:8" ht="18" x14ac:dyDescent="0.25">
      <c r="B1792" s="87" t="e">
        <f>+#REF!</f>
        <v>#REF!</v>
      </c>
      <c r="C1792" s="87"/>
      <c r="D1792" s="87"/>
      <c r="F1792" s="87"/>
    </row>
    <row r="1793" spans="2:8" ht="18" x14ac:dyDescent="0.25">
      <c r="C1793" s="87"/>
      <c r="D1793" s="87"/>
      <c r="E1793" s="87" t="str">
        <f>+$E$1</f>
        <v>URUGUAY 1025/27/29 CAP. FED.</v>
      </c>
      <c r="F1793" s="87"/>
      <c r="H1793" s="95" t="s">
        <v>131</v>
      </c>
    </row>
    <row r="1794" spans="2:8" ht="18" x14ac:dyDescent="0.25">
      <c r="B1794" s="88"/>
      <c r="C1794" s="87"/>
      <c r="D1794" s="87"/>
      <c r="F1794" s="87"/>
      <c r="G1794" s="88"/>
    </row>
    <row r="1795" spans="2:8" ht="18" x14ac:dyDescent="0.25">
      <c r="B1795" s="87"/>
      <c r="C1795" s="87"/>
      <c r="D1795" s="87"/>
      <c r="E1795" s="88"/>
      <c r="F1795" s="88"/>
      <c r="G1795" s="87"/>
      <c r="H1795" s="88"/>
    </row>
    <row r="1796" spans="2:8" ht="18" x14ac:dyDescent="0.25">
      <c r="B1796" s="96"/>
      <c r="C1796" s="87"/>
      <c r="D1796" s="96"/>
      <c r="E1796" s="87"/>
      <c r="F1796" s="87"/>
      <c r="G1796" s="87"/>
      <c r="H1796" s="87"/>
    </row>
    <row r="1797" spans="2:8" ht="18" x14ac:dyDescent="0.25">
      <c r="B1797" s="87" t="s">
        <v>82</v>
      </c>
      <c r="C1797" s="87"/>
      <c r="D1797" s="110">
        <f>+'RES CUENTA'!$H$26</f>
        <v>6751880</v>
      </c>
      <c r="E1797" s="111" t="e">
        <f>+'RES CUENTA'!#REF!</f>
        <v>#REF!</v>
      </c>
      <c r="F1797" s="106" t="e">
        <f>+D1797*E1797/100</f>
        <v>#REF!</v>
      </c>
      <c r="G1797" s="87"/>
      <c r="H1797" s="96"/>
    </row>
    <row r="1798" spans="2:8" ht="18" x14ac:dyDescent="0.25">
      <c r="B1798" s="87" t="s">
        <v>194</v>
      </c>
      <c r="C1798" s="87"/>
      <c r="D1798" s="110" t="e">
        <f>+'RES CUENTA'!#REF!</f>
        <v>#REF!</v>
      </c>
      <c r="E1798" s="111" t="e">
        <f>+'RES CUENTA'!#REF!</f>
        <v>#REF!</v>
      </c>
      <c r="F1798" s="106" t="e">
        <f>+D1798*E1798/100</f>
        <v>#REF!</v>
      </c>
      <c r="G1798" s="96"/>
      <c r="H1798" s="91"/>
    </row>
    <row r="1799" spans="2:8" ht="18" x14ac:dyDescent="0.25">
      <c r="B1799" s="87" t="s">
        <v>83</v>
      </c>
      <c r="C1799" s="87"/>
      <c r="D1799" s="110" t="e">
        <f>+'RES CUENTA'!#REF!</f>
        <v>#REF!</v>
      </c>
      <c r="E1799" s="111">
        <f>+'RES CUENTA'!N891</f>
        <v>0</v>
      </c>
      <c r="F1799" s="106" t="e">
        <f>+D1799</f>
        <v>#REF!</v>
      </c>
      <c r="G1799" s="91"/>
      <c r="H1799" s="91"/>
    </row>
    <row r="1800" spans="2:8" ht="18" x14ac:dyDescent="0.25">
      <c r="B1800" s="87" t="s">
        <v>84</v>
      </c>
      <c r="C1800" s="87"/>
      <c r="D1800" s="110" t="e">
        <f>+'RES CUENTA'!#REF!</f>
        <v>#REF!</v>
      </c>
      <c r="E1800" s="111">
        <f>+'RES CUENTA'!P890</f>
        <v>0</v>
      </c>
      <c r="F1800" s="106" t="e">
        <f>+D1800</f>
        <v>#REF!</v>
      </c>
      <c r="G1800" s="91"/>
      <c r="H1800" s="91"/>
    </row>
    <row r="1801" spans="2:8" ht="18" x14ac:dyDescent="0.25">
      <c r="B1801" s="88"/>
      <c r="C1801" s="87"/>
      <c r="D1801" s="87"/>
      <c r="F1801" s="107" t="e">
        <f>SUM(F1797:F1800)</f>
        <v>#REF!</v>
      </c>
      <c r="G1801" s="91"/>
      <c r="H1801" s="91"/>
    </row>
    <row r="1802" spans="2:8" ht="18" x14ac:dyDescent="0.25">
      <c r="B1802" s="88"/>
      <c r="C1802" s="87"/>
      <c r="D1802" s="87"/>
      <c r="F1802" s="107"/>
      <c r="G1802" s="91"/>
      <c r="H1802" s="91"/>
    </row>
    <row r="1803" spans="2:8" ht="18" x14ac:dyDescent="0.25">
      <c r="B1803" s="88"/>
      <c r="C1803" s="87"/>
      <c r="D1803" s="87"/>
      <c r="F1803" s="93"/>
      <c r="G1803" s="91"/>
      <c r="H1803" s="92"/>
    </row>
    <row r="1804" spans="2:8" ht="18" x14ac:dyDescent="0.25">
      <c r="B1804" s="87"/>
      <c r="C1804" s="87"/>
      <c r="D1804" s="87"/>
      <c r="E1804" s="87"/>
      <c r="F1804" s="94"/>
      <c r="G1804" s="92"/>
      <c r="H1804" s="92"/>
    </row>
    <row r="1805" spans="2:8" ht="18" x14ac:dyDescent="0.25">
      <c r="B1805" s="87"/>
      <c r="C1805" s="87"/>
      <c r="D1805" s="87"/>
      <c r="E1805" s="87"/>
      <c r="F1805" s="94"/>
      <c r="G1805" s="92"/>
      <c r="H1805" s="92"/>
    </row>
    <row r="1806" spans="2:8" ht="18" x14ac:dyDescent="0.25">
      <c r="B1806" s="87"/>
      <c r="C1806" s="87"/>
      <c r="D1806" s="87"/>
      <c r="E1806" s="87"/>
      <c r="F1806" s="94"/>
      <c r="G1806" s="92"/>
      <c r="H1806" s="87"/>
    </row>
    <row r="1807" spans="2:8" ht="18" x14ac:dyDescent="0.25">
      <c r="B1807" s="87" t="e">
        <f>+B1792</f>
        <v>#REF!</v>
      </c>
      <c r="C1807" s="87"/>
      <c r="D1807" s="87"/>
      <c r="E1807" s="87" t="e">
        <f>+B1792</f>
        <v>#REF!</v>
      </c>
      <c r="F1807" s="87"/>
      <c r="G1807" s="87"/>
      <c r="H1807" s="104"/>
    </row>
    <row r="1808" spans="2:8" ht="18" x14ac:dyDescent="0.25">
      <c r="B1808" s="88"/>
      <c r="C1808" s="87"/>
      <c r="D1808" s="87"/>
      <c r="F1808" s="87"/>
      <c r="G1808" s="104"/>
      <c r="H1808" s="95" t="str">
        <f>+H1793</f>
        <v>Unid. 48</v>
      </c>
    </row>
    <row r="1809" spans="2:8" ht="18" x14ac:dyDescent="0.25">
      <c r="B1809" s="87" t="str">
        <f>+$E$1</f>
        <v>URUGUAY 1025/27/29 CAP. FED.</v>
      </c>
      <c r="C1809" s="87"/>
      <c r="D1809" s="95" t="str">
        <f>+H1808</f>
        <v>Unid. 48</v>
      </c>
      <c r="E1809" s="87" t="str">
        <f>+$E$1</f>
        <v>URUGUAY 1025/27/29 CAP. FED.</v>
      </c>
      <c r="F1809" s="87"/>
      <c r="G1809" s="87"/>
      <c r="H1809" s="88"/>
    </row>
    <row r="1810" spans="2:8" ht="18" x14ac:dyDescent="0.25">
      <c r="B1810" s="88"/>
      <c r="C1810" s="88"/>
      <c r="D1810" s="88"/>
      <c r="F1810" s="87"/>
      <c r="G1810" s="87"/>
    </row>
    <row r="1811" spans="2:8" ht="18" x14ac:dyDescent="0.25">
      <c r="B1811" s="87"/>
      <c r="C1811" s="87"/>
      <c r="D1811" s="87"/>
      <c r="E1811" s="88"/>
      <c r="F1811" s="87"/>
      <c r="G1811" s="87"/>
      <c r="H1811" s="104"/>
    </row>
    <row r="1812" spans="2:8" ht="18" x14ac:dyDescent="0.25">
      <c r="B1812" s="87" t="e">
        <f>+$E$2</f>
        <v>#REF!</v>
      </c>
      <c r="C1812" s="87"/>
      <c r="D1812" s="87"/>
      <c r="E1812" s="87"/>
      <c r="F1812" s="98"/>
      <c r="G1812" s="88"/>
      <c r="H1812" s="87"/>
    </row>
    <row r="1813" spans="2:8" ht="18" x14ac:dyDescent="0.25">
      <c r="B1813" s="87" t="e">
        <f>+$E$3</f>
        <v>#REF!</v>
      </c>
      <c r="C1813" s="87"/>
      <c r="D1813" s="87"/>
      <c r="E1813" s="98"/>
      <c r="G1813" s="96"/>
      <c r="H1813" s="97"/>
    </row>
    <row r="1814" spans="2:8" ht="18" x14ac:dyDescent="0.25">
      <c r="B1814" s="88"/>
      <c r="C1814" s="87"/>
      <c r="D1814" s="87"/>
      <c r="E1814" s="87" t="s">
        <v>85</v>
      </c>
      <c r="F1814" s="109" t="e">
        <f>+F1797</f>
        <v>#REF!</v>
      </c>
      <c r="G1814" s="97"/>
      <c r="H1814" s="102">
        <f>+B1818</f>
        <v>46183</v>
      </c>
    </row>
    <row r="1815" spans="2:8" ht="18" x14ac:dyDescent="0.25">
      <c r="B1815" s="88"/>
      <c r="C1815" s="87"/>
      <c r="D1815" s="87"/>
      <c r="E1815" s="87" t="s">
        <v>193</v>
      </c>
      <c r="F1815" s="109" t="e">
        <f>+F1798</f>
        <v>#REF!</v>
      </c>
      <c r="H1815" s="87"/>
    </row>
    <row r="1816" spans="2:8" ht="18" x14ac:dyDescent="0.25">
      <c r="B1816" s="87"/>
      <c r="C1816" s="87"/>
      <c r="D1816" s="87"/>
      <c r="E1816" s="87" t="s">
        <v>86</v>
      </c>
      <c r="F1816" s="109" t="e">
        <f>+F1799</f>
        <v>#REF!</v>
      </c>
      <c r="G1816" s="87"/>
      <c r="H1816" s="87"/>
    </row>
    <row r="1817" spans="2:8" ht="18" x14ac:dyDescent="0.25">
      <c r="B1817" s="98"/>
      <c r="C1817" s="98"/>
      <c r="D1817" s="98"/>
      <c r="E1817" s="87" t="s">
        <v>87</v>
      </c>
      <c r="F1817" s="109" t="e">
        <f>+F1800</f>
        <v>#REF!</v>
      </c>
      <c r="G1817" s="87"/>
      <c r="H1817" s="87"/>
    </row>
    <row r="1818" spans="2:8" ht="18" x14ac:dyDescent="0.25">
      <c r="B1818" s="102">
        <f>+$G$34</f>
        <v>46183</v>
      </c>
      <c r="C1818" s="108" t="e">
        <f>+F1801</f>
        <v>#REF!</v>
      </c>
      <c r="D1818" s="87"/>
      <c r="E1818" s="87" t="s">
        <v>321</v>
      </c>
      <c r="F1818" s="109">
        <v>0</v>
      </c>
      <c r="G1818" s="87"/>
      <c r="H1818" s="87"/>
    </row>
    <row r="1819" spans="2:8" ht="18" x14ac:dyDescent="0.25">
      <c r="B1819" s="87"/>
      <c r="C1819" s="87"/>
      <c r="D1819" s="87"/>
      <c r="E1819" s="87" t="s">
        <v>88</v>
      </c>
      <c r="F1819" s="109" t="e">
        <f>+F1801</f>
        <v>#REF!</v>
      </c>
      <c r="G1819" s="87"/>
      <c r="H1819" s="87"/>
    </row>
    <row r="1820" spans="2:8" ht="18" x14ac:dyDescent="0.25">
      <c r="B1820" s="87"/>
      <c r="C1820" s="87"/>
      <c r="D1820" s="87"/>
      <c r="E1820" s="87"/>
      <c r="F1820" s="87"/>
      <c r="G1820" s="87"/>
      <c r="H1820" s="87"/>
    </row>
    <row r="1821" spans="2:8" ht="18" x14ac:dyDescent="0.25">
      <c r="B1821" s="87"/>
      <c r="C1821" s="87"/>
      <c r="D1821" s="87"/>
      <c r="E1821" s="105"/>
      <c r="F1821" s="87"/>
      <c r="G1821" s="87"/>
      <c r="H1821" s="87"/>
    </row>
    <row r="1822" spans="2:8" ht="18" x14ac:dyDescent="0.25">
      <c r="B1822" s="87"/>
      <c r="C1822" s="87"/>
      <c r="D1822" s="87"/>
      <c r="E1822" s="87"/>
      <c r="F1822" s="87"/>
      <c r="G1822" s="87"/>
      <c r="H1822" s="96"/>
    </row>
    <row r="1823" spans="2:8" ht="18" x14ac:dyDescent="0.25">
      <c r="E1823" s="87"/>
      <c r="G1823" s="96"/>
      <c r="H1823" s="87"/>
    </row>
    <row r="1825" spans="2:8" ht="18" x14ac:dyDescent="0.25">
      <c r="B1825" s="335"/>
      <c r="C1825" s="335"/>
      <c r="D1825" s="335"/>
      <c r="E1825" s="340">
        <f>+$B$1</f>
        <v>46143</v>
      </c>
      <c r="F1825" s="87"/>
      <c r="G1825" s="341">
        <f>+$D$1</f>
        <v>46183</v>
      </c>
      <c r="H1825" s="87"/>
    </row>
    <row r="1826" spans="2:8" ht="18" x14ac:dyDescent="0.25">
      <c r="B1826" s="86"/>
      <c r="C1826" s="86"/>
      <c r="D1826" s="103"/>
      <c r="E1826" s="340"/>
      <c r="F1826" s="87"/>
      <c r="G1826" s="341"/>
      <c r="H1826" s="87"/>
    </row>
    <row r="1827" spans="2:8" ht="18" x14ac:dyDescent="0.25">
      <c r="B1827" s="87"/>
      <c r="C1827" s="87"/>
      <c r="D1827" s="87"/>
      <c r="E1827" s="88"/>
      <c r="F1827" s="87"/>
      <c r="G1827" s="88"/>
      <c r="H1827" s="87"/>
    </row>
    <row r="1828" spans="2:8" ht="18" x14ac:dyDescent="0.25">
      <c r="B1828" s="87" t="e">
        <f>+#REF!</f>
        <v>#REF!</v>
      </c>
      <c r="C1828" s="87"/>
      <c r="D1828" s="87"/>
      <c r="E1828" s="88"/>
      <c r="F1828" s="87"/>
      <c r="G1828" s="88"/>
      <c r="H1828" s="87"/>
    </row>
    <row r="1829" spans="2:8" ht="18" x14ac:dyDescent="0.25">
      <c r="B1829" s="88"/>
      <c r="C1829" s="87"/>
      <c r="D1829" s="87"/>
      <c r="E1829" s="87" t="s">
        <v>81</v>
      </c>
      <c r="F1829" s="87"/>
      <c r="G1829" s="87"/>
      <c r="H1829" s="95" t="s">
        <v>132</v>
      </c>
    </row>
    <row r="1830" spans="2:8" ht="18" x14ac:dyDescent="0.25">
      <c r="B1830" s="87"/>
      <c r="C1830" s="87"/>
      <c r="D1830" s="87"/>
      <c r="E1830" s="88"/>
      <c r="F1830" s="88"/>
      <c r="G1830" s="87"/>
      <c r="H1830" s="88"/>
    </row>
    <row r="1831" spans="2:8" ht="18" x14ac:dyDescent="0.25">
      <c r="B1831" s="96"/>
      <c r="C1831" s="87"/>
      <c r="D1831" s="96"/>
      <c r="E1831" s="87"/>
      <c r="F1831" s="87"/>
      <c r="G1831" s="87"/>
      <c r="H1831" s="87"/>
    </row>
    <row r="1832" spans="2:8" ht="18" x14ac:dyDescent="0.25">
      <c r="B1832" s="96"/>
      <c r="C1832" s="87"/>
      <c r="D1832" s="96"/>
      <c r="E1832" s="87"/>
      <c r="F1832" s="87"/>
      <c r="G1832" s="87"/>
      <c r="H1832" s="87"/>
    </row>
    <row r="1833" spans="2:8" ht="18" x14ac:dyDescent="0.25">
      <c r="B1833" s="87" t="s">
        <v>82</v>
      </c>
      <c r="C1833" s="87"/>
      <c r="D1833" s="110">
        <f>+'RES CUENTA'!$H$26</f>
        <v>6751880</v>
      </c>
      <c r="E1833" s="111" t="e">
        <f>+'RES CUENTA'!#REF!</f>
        <v>#REF!</v>
      </c>
      <c r="F1833" s="106" t="e">
        <f>+D1833*E1833/100</f>
        <v>#REF!</v>
      </c>
      <c r="G1833" s="339"/>
      <c r="H1833" s="339"/>
    </row>
    <row r="1834" spans="2:8" ht="18" x14ac:dyDescent="0.25">
      <c r="B1834" s="87" t="s">
        <v>194</v>
      </c>
      <c r="C1834" s="87"/>
      <c r="D1834" s="110" t="e">
        <f>+'RES CUENTA'!#REF!</f>
        <v>#REF!</v>
      </c>
      <c r="E1834" s="111" t="e">
        <f>+'RES CUENTA'!#REF!</f>
        <v>#REF!</v>
      </c>
      <c r="F1834" s="106" t="e">
        <f>+D1834*E1834/100</f>
        <v>#REF!</v>
      </c>
      <c r="G1834" s="336"/>
      <c r="H1834" s="336"/>
    </row>
    <row r="1835" spans="2:8" ht="18" x14ac:dyDescent="0.25">
      <c r="B1835" s="87" t="s">
        <v>83</v>
      </c>
      <c r="C1835" s="87"/>
      <c r="D1835" s="110" t="e">
        <f>+'RES CUENTA'!#REF!</f>
        <v>#REF!</v>
      </c>
      <c r="E1835" s="111">
        <v>0</v>
      </c>
      <c r="F1835" s="106" t="e">
        <f>+D1835</f>
        <v>#REF!</v>
      </c>
      <c r="G1835" s="336"/>
      <c r="H1835" s="336"/>
    </row>
    <row r="1836" spans="2:8" ht="18" x14ac:dyDescent="0.25">
      <c r="B1836" s="87" t="s">
        <v>84</v>
      </c>
      <c r="C1836" s="87"/>
      <c r="D1836" s="110" t="e">
        <f>+'RES CUENTA'!#REF!</f>
        <v>#REF!</v>
      </c>
      <c r="E1836" s="111">
        <v>0</v>
      </c>
      <c r="F1836" s="106" t="e">
        <f>+D1836</f>
        <v>#REF!</v>
      </c>
      <c r="G1836" s="336"/>
      <c r="H1836" s="336"/>
    </row>
    <row r="1837" spans="2:8" ht="18" x14ac:dyDescent="0.25">
      <c r="B1837" s="88"/>
      <c r="C1837" s="87"/>
      <c r="D1837" s="87"/>
      <c r="E1837" s="94"/>
      <c r="F1837" s="107" t="e">
        <f>SUM(F1833:F1836)</f>
        <v>#REF!</v>
      </c>
      <c r="G1837" s="336"/>
      <c r="H1837" s="336"/>
    </row>
    <row r="1838" spans="2:8" ht="18" x14ac:dyDescent="0.25">
      <c r="B1838" s="88"/>
      <c r="C1838" s="87"/>
      <c r="D1838" s="87"/>
      <c r="E1838" s="94"/>
      <c r="F1838" s="107"/>
      <c r="G1838" s="91"/>
      <c r="H1838" s="91"/>
    </row>
    <row r="1839" spans="2:8" ht="18" x14ac:dyDescent="0.25">
      <c r="B1839" s="88"/>
      <c r="C1839" s="87"/>
      <c r="D1839" s="87"/>
      <c r="E1839" s="87"/>
      <c r="G1839" s="337"/>
      <c r="H1839" s="337"/>
    </row>
    <row r="1840" spans="2:8" ht="18" x14ac:dyDescent="0.25">
      <c r="B1840" s="87"/>
      <c r="C1840" s="87"/>
      <c r="D1840" s="87"/>
      <c r="E1840" s="87"/>
      <c r="F1840" s="93"/>
      <c r="G1840" s="92"/>
      <c r="H1840" s="92"/>
    </row>
    <row r="1841" spans="2:8" ht="18" x14ac:dyDescent="0.25">
      <c r="B1841" s="87"/>
      <c r="C1841" s="87"/>
      <c r="D1841" s="87"/>
      <c r="E1841" s="87"/>
      <c r="F1841" s="94"/>
      <c r="G1841" s="87"/>
      <c r="H1841" s="87"/>
    </row>
    <row r="1842" spans="2:8" ht="18" x14ac:dyDescent="0.25">
      <c r="B1842" s="87"/>
      <c r="C1842" s="87"/>
      <c r="D1842" s="87"/>
      <c r="E1842" s="87"/>
      <c r="F1842" s="94"/>
      <c r="G1842" s="87"/>
      <c r="H1842" s="87"/>
    </row>
    <row r="1843" spans="2:8" ht="18" x14ac:dyDescent="0.25">
      <c r="B1843" s="87" t="e">
        <f>+B1828</f>
        <v>#REF!</v>
      </c>
      <c r="C1843" s="338"/>
      <c r="D1843" s="338"/>
      <c r="E1843" s="87" t="e">
        <f>+B1843</f>
        <v>#REF!</v>
      </c>
      <c r="F1843" s="94"/>
      <c r="G1843" s="87"/>
      <c r="H1843" s="87"/>
    </row>
    <row r="1844" spans="2:8" ht="18" x14ac:dyDescent="0.25">
      <c r="C1844" s="87"/>
      <c r="D1844" s="87"/>
      <c r="F1844" s="338"/>
      <c r="G1844" s="338"/>
      <c r="H1844" s="338"/>
    </row>
    <row r="1845" spans="2:8" ht="18" x14ac:dyDescent="0.25">
      <c r="B1845" s="87" t="str">
        <f>+$E$1</f>
        <v>URUGUAY 1025/27/29 CAP. FED.</v>
      </c>
      <c r="C1845" s="87"/>
      <c r="D1845" s="95" t="str">
        <f>+H1829</f>
        <v>Unid. 49</v>
      </c>
      <c r="E1845" s="87" t="str">
        <f>+$E$1</f>
        <v>URUGUAY 1025/27/29 CAP. FED.</v>
      </c>
      <c r="F1845" s="87"/>
      <c r="G1845" s="87"/>
      <c r="H1845" s="95" t="str">
        <f>+D1845</f>
        <v>Unid. 49</v>
      </c>
    </row>
    <row r="1846" spans="2:8" ht="18" x14ac:dyDescent="0.25">
      <c r="H1846" s="88"/>
    </row>
    <row r="1847" spans="2:8" ht="18" x14ac:dyDescent="0.25">
      <c r="B1847" s="88"/>
      <c r="C1847" s="88"/>
      <c r="D1847" s="88"/>
      <c r="E1847" s="88"/>
      <c r="F1847" s="87"/>
      <c r="G1847" s="87"/>
    </row>
    <row r="1848" spans="2:8" ht="18" x14ac:dyDescent="0.25">
      <c r="B1848" s="87" t="e">
        <f>+$E$2</f>
        <v>#REF!</v>
      </c>
      <c r="C1848" s="87"/>
      <c r="D1848" s="87"/>
      <c r="E1848" s="87"/>
      <c r="F1848" s="87"/>
      <c r="G1848" s="88"/>
      <c r="H1848" s="104"/>
    </row>
    <row r="1849" spans="2:8" ht="18" x14ac:dyDescent="0.25">
      <c r="B1849" s="87" t="e">
        <f>+$E$3</f>
        <v>#REF!</v>
      </c>
      <c r="C1849" s="87"/>
      <c r="D1849" s="87"/>
      <c r="E1849" s="98"/>
      <c r="F1849" s="87"/>
      <c r="G1849" s="96"/>
      <c r="H1849" s="87"/>
    </row>
    <row r="1850" spans="2:8" ht="18" x14ac:dyDescent="0.25">
      <c r="C1850" s="87"/>
      <c r="D1850" s="87"/>
      <c r="E1850" s="87" t="s">
        <v>85</v>
      </c>
      <c r="F1850" s="109" t="e">
        <f>+F1833</f>
        <v>#REF!</v>
      </c>
      <c r="H1850" s="102">
        <f>+B1855</f>
        <v>46183</v>
      </c>
    </row>
    <row r="1851" spans="2:8" ht="18" x14ac:dyDescent="0.25">
      <c r="B1851" s="88"/>
      <c r="C1851" s="87"/>
      <c r="D1851" s="87"/>
      <c r="E1851" s="87" t="s">
        <v>193</v>
      </c>
      <c r="F1851" s="109" t="e">
        <f>+F1834</f>
        <v>#REF!</v>
      </c>
    </row>
    <row r="1852" spans="2:8" ht="18" x14ac:dyDescent="0.25">
      <c r="B1852" s="88"/>
      <c r="C1852" s="87"/>
      <c r="D1852" s="87"/>
      <c r="E1852" s="87" t="s">
        <v>86</v>
      </c>
      <c r="F1852" s="109" t="e">
        <f>+F1835</f>
        <v>#REF!</v>
      </c>
      <c r="G1852" s="87"/>
      <c r="H1852" s="87"/>
    </row>
    <row r="1853" spans="2:8" ht="18" x14ac:dyDescent="0.25">
      <c r="B1853" s="87"/>
      <c r="C1853" s="87"/>
      <c r="D1853" s="87"/>
      <c r="E1853" s="87" t="s">
        <v>87</v>
      </c>
      <c r="F1853" s="109" t="e">
        <f>+F1836</f>
        <v>#REF!</v>
      </c>
      <c r="G1853" s="87"/>
      <c r="H1853" s="87"/>
    </row>
    <row r="1854" spans="2:8" ht="18" x14ac:dyDescent="0.25">
      <c r="B1854" s="98"/>
      <c r="C1854" s="98"/>
      <c r="D1854" s="98"/>
      <c r="E1854" s="87" t="s">
        <v>321</v>
      </c>
      <c r="F1854" s="109" t="e">
        <f>+F1874</f>
        <v>#REF!</v>
      </c>
      <c r="G1854" s="87"/>
      <c r="H1854" s="87"/>
    </row>
    <row r="1855" spans="2:8" ht="18" x14ac:dyDescent="0.25">
      <c r="B1855" s="102">
        <f>+$G$34</f>
        <v>46183</v>
      </c>
      <c r="C1855" s="108" t="e">
        <f>+F1837</f>
        <v>#REF!</v>
      </c>
      <c r="D1855" s="87"/>
      <c r="E1855" s="87" t="s">
        <v>88</v>
      </c>
      <c r="F1855" s="109" t="e">
        <f>+F1837</f>
        <v>#REF!</v>
      </c>
      <c r="G1855" s="87"/>
      <c r="H1855" s="87"/>
    </row>
    <row r="1856" spans="2:8" ht="18" x14ac:dyDescent="0.25">
      <c r="B1856" s="87"/>
      <c r="C1856" s="87"/>
      <c r="D1856" s="87"/>
      <c r="F1856" s="87"/>
      <c r="G1856" s="87"/>
      <c r="H1856" s="87"/>
    </row>
    <row r="1857" spans="2:8" ht="18" x14ac:dyDescent="0.25">
      <c r="B1857" s="87"/>
      <c r="C1857" s="87"/>
      <c r="D1857" s="87"/>
      <c r="F1857" s="87"/>
      <c r="G1857" s="87"/>
      <c r="H1857" s="87"/>
    </row>
    <row r="1858" spans="2:8" ht="18" x14ac:dyDescent="0.25">
      <c r="B1858" s="87"/>
      <c r="C1858" s="87"/>
      <c r="D1858" s="87"/>
      <c r="E1858" s="87"/>
      <c r="F1858" s="87"/>
      <c r="G1858" s="87"/>
      <c r="H1858" s="87"/>
    </row>
    <row r="1859" spans="2:8" ht="18" x14ac:dyDescent="0.25">
      <c r="B1859" s="87"/>
      <c r="C1859" s="87"/>
      <c r="D1859" s="87"/>
      <c r="E1859" s="87"/>
      <c r="F1859" s="87"/>
      <c r="G1859" s="339"/>
      <c r="H1859" s="339"/>
    </row>
    <row r="1860" spans="2:8" ht="18" x14ac:dyDescent="0.25">
      <c r="B1860" s="87"/>
      <c r="C1860" s="87"/>
      <c r="D1860" s="87"/>
      <c r="E1860" s="87"/>
      <c r="F1860" s="87"/>
      <c r="G1860" s="96"/>
      <c r="H1860" s="96"/>
    </row>
    <row r="1861" spans="2:8" ht="18" x14ac:dyDescent="0.25">
      <c r="B1861" s="87"/>
      <c r="C1861" s="87"/>
      <c r="D1861" s="87"/>
      <c r="E1861" s="87"/>
      <c r="F1861" s="87"/>
      <c r="G1861" s="87"/>
      <c r="H1861" s="87"/>
    </row>
    <row r="1862" spans="2:8" ht="18" x14ac:dyDescent="0.25">
      <c r="B1862" s="87"/>
      <c r="C1862" s="87"/>
      <c r="D1862" s="87"/>
      <c r="E1862" s="87"/>
      <c r="F1862" s="87"/>
      <c r="G1862" s="87"/>
      <c r="H1862" s="87"/>
    </row>
    <row r="1863" spans="2:8" ht="18" x14ac:dyDescent="0.25">
      <c r="B1863" s="87"/>
      <c r="C1863" s="87"/>
      <c r="D1863" s="87"/>
      <c r="E1863" s="87"/>
      <c r="F1863" s="87"/>
      <c r="H1863" s="87"/>
    </row>
    <row r="1864" spans="2:8" ht="18" x14ac:dyDescent="0.25">
      <c r="B1864" s="335"/>
      <c r="C1864" s="335"/>
      <c r="D1864" s="335"/>
      <c r="E1864" s="101">
        <f>+$B$1</f>
        <v>46143</v>
      </c>
      <c r="F1864" s="87"/>
      <c r="G1864" s="102">
        <f>+$D$1</f>
        <v>46183</v>
      </c>
      <c r="H1864" s="100"/>
    </row>
    <row r="1865" spans="2:8" ht="18" x14ac:dyDescent="0.25">
      <c r="B1865" s="86"/>
      <c r="C1865" s="86"/>
      <c r="D1865" s="103"/>
      <c r="E1865" s="101"/>
      <c r="F1865" s="87"/>
    </row>
    <row r="1866" spans="2:8" ht="18" x14ac:dyDescent="0.25">
      <c r="B1866" s="87" t="e">
        <f>+#REF!</f>
        <v>#REF!</v>
      </c>
      <c r="C1866" s="87"/>
      <c r="D1866" s="87"/>
      <c r="F1866" s="87"/>
    </row>
    <row r="1867" spans="2:8" ht="18" x14ac:dyDescent="0.25">
      <c r="C1867" s="87"/>
      <c r="D1867" s="87"/>
      <c r="E1867" s="87" t="str">
        <f>+$E$1</f>
        <v>URUGUAY 1025/27/29 CAP. FED.</v>
      </c>
      <c r="F1867" s="87"/>
      <c r="H1867" s="95" t="s">
        <v>133</v>
      </c>
    </row>
    <row r="1868" spans="2:8" ht="18" x14ac:dyDescent="0.25">
      <c r="B1868" s="88"/>
      <c r="C1868" s="87"/>
      <c r="D1868" s="87"/>
      <c r="F1868" s="87"/>
      <c r="G1868" s="88"/>
    </row>
    <row r="1869" spans="2:8" ht="18" x14ac:dyDescent="0.25">
      <c r="B1869" s="87"/>
      <c r="C1869" s="87"/>
      <c r="D1869" s="87"/>
      <c r="E1869" s="88"/>
      <c r="F1869" s="88"/>
      <c r="G1869" s="87"/>
      <c r="H1869" s="88"/>
    </row>
    <row r="1870" spans="2:8" ht="18" x14ac:dyDescent="0.25">
      <c r="B1870" s="96"/>
      <c r="C1870" s="87"/>
      <c r="D1870" s="96"/>
      <c r="E1870" s="87"/>
      <c r="F1870" s="87"/>
      <c r="G1870" s="87"/>
      <c r="H1870" s="87"/>
    </row>
    <row r="1871" spans="2:8" ht="18" x14ac:dyDescent="0.25">
      <c r="B1871" s="87" t="s">
        <v>82</v>
      </c>
      <c r="C1871" s="87"/>
      <c r="D1871" s="110">
        <f>+'RES CUENTA'!$H$26</f>
        <v>6751880</v>
      </c>
      <c r="E1871" s="111" t="e">
        <f>+'RES CUENTA'!#REF!</f>
        <v>#REF!</v>
      </c>
      <c r="F1871" s="106" t="e">
        <f>+D1871*E1871/100</f>
        <v>#REF!</v>
      </c>
      <c r="G1871" s="87"/>
      <c r="H1871" s="96"/>
    </row>
    <row r="1872" spans="2:8" ht="18" x14ac:dyDescent="0.25">
      <c r="B1872" s="87" t="s">
        <v>194</v>
      </c>
      <c r="C1872" s="87"/>
      <c r="D1872" s="110" t="e">
        <f>+'RES CUENTA'!#REF!</f>
        <v>#REF!</v>
      </c>
      <c r="E1872" s="111" t="e">
        <f>+'RES CUENTA'!#REF!</f>
        <v>#REF!</v>
      </c>
      <c r="F1872" s="106" t="e">
        <f>+D1872*E1872/100</f>
        <v>#REF!</v>
      </c>
      <c r="G1872" s="96"/>
      <c r="H1872" s="91"/>
    </row>
    <row r="1873" spans="2:8" ht="18" x14ac:dyDescent="0.25">
      <c r="B1873" s="87" t="s">
        <v>83</v>
      </c>
      <c r="C1873" s="87"/>
      <c r="D1873" s="110" t="e">
        <f>-'RES CUENTA'!#REF!</f>
        <v>#REF!</v>
      </c>
      <c r="E1873" s="111">
        <f>+'RES CUENTA'!N967</f>
        <v>0</v>
      </c>
      <c r="F1873" s="106" t="e">
        <f>+D1873</f>
        <v>#REF!</v>
      </c>
      <c r="G1873" s="91"/>
      <c r="H1873" s="91"/>
    </row>
    <row r="1874" spans="2:8" ht="18" x14ac:dyDescent="0.25">
      <c r="B1874" s="87" t="s">
        <v>84</v>
      </c>
      <c r="C1874" s="87"/>
      <c r="D1874" s="110" t="e">
        <f>+'RES CUENTA'!#REF!</f>
        <v>#REF!</v>
      </c>
      <c r="E1874" s="111">
        <f>+'RES CUENTA'!P966</f>
        <v>0</v>
      </c>
      <c r="F1874" s="106" t="e">
        <f>+D1874</f>
        <v>#REF!</v>
      </c>
      <c r="G1874" s="91"/>
      <c r="H1874" s="91"/>
    </row>
    <row r="1875" spans="2:8" ht="18" x14ac:dyDescent="0.25">
      <c r="B1875" s="88"/>
      <c r="C1875" s="87"/>
      <c r="D1875" s="87"/>
      <c r="F1875" s="107" t="e">
        <f>SUM(F1871:F1874)</f>
        <v>#REF!</v>
      </c>
      <c r="G1875" s="91"/>
      <c r="H1875" s="91"/>
    </row>
    <row r="1876" spans="2:8" ht="18" x14ac:dyDescent="0.25">
      <c r="B1876" s="88"/>
      <c r="C1876" s="87"/>
      <c r="D1876" s="87"/>
      <c r="F1876" s="107"/>
      <c r="G1876" s="91"/>
      <c r="H1876" s="91"/>
    </row>
    <row r="1877" spans="2:8" ht="18" x14ac:dyDescent="0.25">
      <c r="B1877" s="88"/>
      <c r="C1877" s="87"/>
      <c r="D1877" s="87"/>
      <c r="F1877" s="93"/>
      <c r="G1877" s="91"/>
      <c r="H1877" s="92"/>
    </row>
    <row r="1878" spans="2:8" ht="18" x14ac:dyDescent="0.25">
      <c r="B1878" s="87"/>
      <c r="C1878" s="87"/>
      <c r="D1878" s="87"/>
      <c r="E1878" s="87"/>
      <c r="F1878" s="94"/>
      <c r="G1878" s="92"/>
      <c r="H1878" s="92"/>
    </row>
    <row r="1879" spans="2:8" ht="18" x14ac:dyDescent="0.25">
      <c r="B1879" s="87"/>
      <c r="C1879" s="87"/>
      <c r="D1879" s="87"/>
      <c r="E1879" s="87"/>
      <c r="F1879" s="94"/>
      <c r="G1879" s="92"/>
      <c r="H1879" s="92"/>
    </row>
    <row r="1880" spans="2:8" ht="18" x14ac:dyDescent="0.25">
      <c r="B1880" s="87"/>
      <c r="C1880" s="87"/>
      <c r="D1880" s="87"/>
      <c r="E1880" s="87"/>
      <c r="F1880" s="94"/>
      <c r="G1880" s="92"/>
      <c r="H1880" s="87"/>
    </row>
    <row r="1881" spans="2:8" ht="18" x14ac:dyDescent="0.25">
      <c r="B1881" s="87" t="e">
        <f>+B1866</f>
        <v>#REF!</v>
      </c>
      <c r="C1881" s="87"/>
      <c r="D1881" s="87"/>
      <c r="E1881" s="87" t="e">
        <f>+B1866</f>
        <v>#REF!</v>
      </c>
      <c r="F1881" s="87"/>
      <c r="G1881" s="87"/>
      <c r="H1881" s="104"/>
    </row>
    <row r="1882" spans="2:8" ht="18" x14ac:dyDescent="0.25">
      <c r="B1882" s="88"/>
      <c r="C1882" s="87"/>
      <c r="D1882" s="87"/>
      <c r="F1882" s="87"/>
      <c r="G1882" s="104"/>
      <c r="H1882" s="95" t="str">
        <f>+H1867</f>
        <v>Unid. 50</v>
      </c>
    </row>
    <row r="1883" spans="2:8" ht="18" x14ac:dyDescent="0.25">
      <c r="B1883" s="87" t="str">
        <f>+$E$1</f>
        <v>URUGUAY 1025/27/29 CAP. FED.</v>
      </c>
      <c r="C1883" s="87"/>
      <c r="D1883" s="95" t="str">
        <f>+H1882</f>
        <v>Unid. 50</v>
      </c>
      <c r="E1883" s="87" t="str">
        <f>+$E$1</f>
        <v>URUGUAY 1025/27/29 CAP. FED.</v>
      </c>
      <c r="F1883" s="87"/>
      <c r="G1883" s="87"/>
      <c r="H1883" s="88"/>
    </row>
    <row r="1884" spans="2:8" ht="18" x14ac:dyDescent="0.25">
      <c r="B1884" s="88"/>
      <c r="C1884" s="88"/>
      <c r="D1884" s="88"/>
      <c r="F1884" s="87"/>
      <c r="G1884" s="87"/>
    </row>
    <row r="1885" spans="2:8" ht="18" x14ac:dyDescent="0.25">
      <c r="B1885" s="87"/>
      <c r="C1885" s="87"/>
      <c r="D1885" s="87"/>
      <c r="E1885" s="88"/>
      <c r="F1885" s="87"/>
      <c r="G1885" s="87"/>
      <c r="H1885" s="104"/>
    </row>
    <row r="1886" spans="2:8" ht="18" x14ac:dyDescent="0.25">
      <c r="B1886" s="87" t="e">
        <f>+$E$2</f>
        <v>#REF!</v>
      </c>
      <c r="C1886" s="87"/>
      <c r="D1886" s="87"/>
      <c r="E1886" s="87"/>
      <c r="F1886" s="98"/>
      <c r="G1886" s="88"/>
      <c r="H1886" s="87"/>
    </row>
    <row r="1887" spans="2:8" ht="18" x14ac:dyDescent="0.25">
      <c r="B1887" s="87" t="e">
        <f>+$E$3</f>
        <v>#REF!</v>
      </c>
      <c r="C1887" s="87"/>
      <c r="D1887" s="87"/>
      <c r="E1887" s="98"/>
      <c r="G1887" s="96"/>
      <c r="H1887" s="97"/>
    </row>
    <row r="1888" spans="2:8" ht="18" x14ac:dyDescent="0.25">
      <c r="B1888" s="88"/>
      <c r="C1888" s="87"/>
      <c r="D1888" s="87"/>
      <c r="E1888" s="87" t="s">
        <v>85</v>
      </c>
      <c r="F1888" s="109" t="e">
        <f>+F1871</f>
        <v>#REF!</v>
      </c>
      <c r="G1888" s="97"/>
      <c r="H1888" s="102">
        <f>+B1892</f>
        <v>46183</v>
      </c>
    </row>
    <row r="1889" spans="2:8" ht="18" x14ac:dyDescent="0.25">
      <c r="B1889" s="88"/>
      <c r="C1889" s="87"/>
      <c r="D1889" s="87"/>
      <c r="E1889" s="87" t="s">
        <v>193</v>
      </c>
      <c r="F1889" s="109" t="e">
        <f>+F1872</f>
        <v>#REF!</v>
      </c>
      <c r="H1889" s="87"/>
    </row>
    <row r="1890" spans="2:8" ht="18" x14ac:dyDescent="0.25">
      <c r="B1890" s="87"/>
      <c r="C1890" s="87"/>
      <c r="D1890" s="87"/>
      <c r="E1890" s="87" t="s">
        <v>86</v>
      </c>
      <c r="F1890" s="109" t="e">
        <f>+F1873</f>
        <v>#REF!</v>
      </c>
      <c r="G1890" s="87"/>
      <c r="H1890" s="87"/>
    </row>
    <row r="1891" spans="2:8" ht="18" x14ac:dyDescent="0.25">
      <c r="B1891" s="98"/>
      <c r="C1891" s="98"/>
      <c r="D1891" s="98"/>
      <c r="E1891" s="87" t="s">
        <v>87</v>
      </c>
      <c r="F1891" s="109" t="e">
        <f>+F1874</f>
        <v>#REF!</v>
      </c>
      <c r="G1891" s="87"/>
      <c r="H1891" s="87"/>
    </row>
    <row r="1892" spans="2:8" ht="18" x14ac:dyDescent="0.25">
      <c r="B1892" s="102">
        <f>+$G$34</f>
        <v>46183</v>
      </c>
      <c r="C1892" s="108" t="e">
        <f>+F1875</f>
        <v>#REF!</v>
      </c>
      <c r="D1892" s="87"/>
      <c r="E1892" s="87" t="s">
        <v>321</v>
      </c>
      <c r="F1892" s="109">
        <v>0</v>
      </c>
      <c r="G1892" s="87"/>
      <c r="H1892" s="87"/>
    </row>
    <row r="1893" spans="2:8" ht="18" x14ac:dyDescent="0.25">
      <c r="B1893" s="87"/>
      <c r="C1893" s="87"/>
      <c r="D1893" s="87"/>
      <c r="E1893" s="87" t="s">
        <v>88</v>
      </c>
      <c r="F1893" s="109" t="e">
        <f>+F1875</f>
        <v>#REF!</v>
      </c>
      <c r="G1893" s="87"/>
      <c r="H1893" s="87"/>
    </row>
    <row r="1894" spans="2:8" ht="18" x14ac:dyDescent="0.25">
      <c r="B1894" s="87"/>
      <c r="C1894" s="87"/>
      <c r="D1894" s="87"/>
      <c r="E1894" s="87"/>
      <c r="F1894" s="87"/>
      <c r="G1894" s="87"/>
      <c r="H1894" s="87"/>
    </row>
    <row r="1895" spans="2:8" ht="18" x14ac:dyDescent="0.25">
      <c r="B1895" s="87"/>
      <c r="C1895" s="87"/>
      <c r="D1895" s="87"/>
      <c r="E1895" s="105"/>
      <c r="F1895" s="87"/>
      <c r="G1895" s="87"/>
      <c r="H1895" s="87"/>
    </row>
    <row r="1896" spans="2:8" ht="18" x14ac:dyDescent="0.25">
      <c r="B1896" s="87"/>
      <c r="C1896" s="87"/>
      <c r="D1896" s="87"/>
      <c r="E1896" s="87"/>
      <c r="F1896" s="87"/>
      <c r="G1896" s="87"/>
      <c r="H1896" s="96"/>
    </row>
    <row r="1897" spans="2:8" ht="18" x14ac:dyDescent="0.25">
      <c r="E1897" s="87"/>
      <c r="G1897" s="96"/>
      <c r="H1897" s="87"/>
    </row>
    <row r="1899" spans="2:8" ht="18" x14ac:dyDescent="0.25">
      <c r="B1899" s="335"/>
      <c r="C1899" s="335"/>
      <c r="D1899" s="335"/>
      <c r="E1899" s="340">
        <f>+$B$1</f>
        <v>46143</v>
      </c>
      <c r="F1899" s="87"/>
      <c r="G1899" s="341">
        <f>+$D$1</f>
        <v>46183</v>
      </c>
      <c r="H1899" s="87"/>
    </row>
    <row r="1900" spans="2:8" ht="18" x14ac:dyDescent="0.25">
      <c r="B1900" s="86"/>
      <c r="C1900" s="86"/>
      <c r="D1900" s="103"/>
      <c r="E1900" s="340"/>
      <c r="F1900" s="87"/>
      <c r="G1900" s="341"/>
      <c r="H1900" s="87"/>
    </row>
    <row r="1901" spans="2:8" ht="18" x14ac:dyDescent="0.25">
      <c r="B1901" s="87"/>
      <c r="C1901" s="87"/>
      <c r="D1901" s="87"/>
      <c r="E1901" s="88"/>
      <c r="F1901" s="87"/>
      <c r="G1901" s="88"/>
      <c r="H1901" s="87"/>
    </row>
    <row r="1902" spans="2:8" ht="18" x14ac:dyDescent="0.25">
      <c r="B1902" s="87" t="e">
        <f>+#REF!</f>
        <v>#REF!</v>
      </c>
      <c r="C1902" s="87"/>
      <c r="D1902" s="87"/>
      <c r="E1902" s="88"/>
      <c r="F1902" s="87"/>
      <c r="G1902" s="88"/>
      <c r="H1902" s="87"/>
    </row>
    <row r="1903" spans="2:8" ht="18" x14ac:dyDescent="0.25">
      <c r="B1903" s="88"/>
      <c r="C1903" s="87"/>
      <c r="D1903" s="87"/>
      <c r="E1903" s="87" t="s">
        <v>81</v>
      </c>
      <c r="F1903" s="87"/>
      <c r="G1903" s="87"/>
      <c r="H1903" s="95" t="s">
        <v>134</v>
      </c>
    </row>
    <row r="1904" spans="2:8" ht="18" x14ac:dyDescent="0.25">
      <c r="B1904" s="87"/>
      <c r="C1904" s="87"/>
      <c r="D1904" s="87"/>
      <c r="E1904" s="88"/>
      <c r="F1904" s="88"/>
      <c r="G1904" s="87"/>
      <c r="H1904" s="88"/>
    </row>
    <row r="1905" spans="2:8" ht="18" x14ac:dyDescent="0.25">
      <c r="B1905" s="96"/>
      <c r="C1905" s="87"/>
      <c r="D1905" s="96"/>
      <c r="E1905" s="87"/>
      <c r="F1905" s="87"/>
      <c r="G1905" s="87"/>
      <c r="H1905" s="87"/>
    </row>
    <row r="1906" spans="2:8" ht="18" x14ac:dyDescent="0.25">
      <c r="B1906" s="96"/>
      <c r="C1906" s="87"/>
      <c r="D1906" s="96"/>
      <c r="E1906" s="87"/>
      <c r="F1906" s="87"/>
      <c r="G1906" s="87"/>
      <c r="H1906" s="87"/>
    </row>
    <row r="1907" spans="2:8" ht="18" x14ac:dyDescent="0.25">
      <c r="B1907" s="87" t="s">
        <v>82</v>
      </c>
      <c r="C1907" s="87"/>
      <c r="D1907" s="110">
        <f>+'RES CUENTA'!$H$26</f>
        <v>6751880</v>
      </c>
      <c r="E1907" s="111" t="e">
        <f>+'RES CUENTA'!#REF!</f>
        <v>#REF!</v>
      </c>
      <c r="F1907" s="106" t="e">
        <f>+D1907*E1907/100</f>
        <v>#REF!</v>
      </c>
      <c r="G1907" s="339"/>
      <c r="H1907" s="339"/>
    </row>
    <row r="1908" spans="2:8" ht="18" x14ac:dyDescent="0.25">
      <c r="B1908" s="87" t="s">
        <v>194</v>
      </c>
      <c r="C1908" s="87"/>
      <c r="D1908" s="110" t="e">
        <f>+'RES CUENTA'!#REF!</f>
        <v>#REF!</v>
      </c>
      <c r="E1908" s="111" t="e">
        <f>+'RES CUENTA'!#REF!</f>
        <v>#REF!</v>
      </c>
      <c r="F1908" s="106" t="e">
        <f>+D1908*E1908/100</f>
        <v>#REF!</v>
      </c>
      <c r="G1908" s="336"/>
      <c r="H1908" s="336"/>
    </row>
    <row r="1909" spans="2:8" ht="18" x14ac:dyDescent="0.25">
      <c r="B1909" s="87" t="s">
        <v>83</v>
      </c>
      <c r="C1909" s="87"/>
      <c r="D1909" s="110" t="e">
        <f>+'RES CUENTA'!#REF!</f>
        <v>#REF!</v>
      </c>
      <c r="E1909" s="111">
        <v>0</v>
      </c>
      <c r="F1909" s="106" t="e">
        <f>+D1909</f>
        <v>#REF!</v>
      </c>
      <c r="G1909" s="336"/>
      <c r="H1909" s="336"/>
    </row>
    <row r="1910" spans="2:8" ht="18" x14ac:dyDescent="0.25">
      <c r="B1910" s="87" t="s">
        <v>84</v>
      </c>
      <c r="C1910" s="87"/>
      <c r="D1910" s="110" t="e">
        <f>+'RES CUENTA'!#REF!</f>
        <v>#REF!</v>
      </c>
      <c r="E1910" s="111">
        <v>0</v>
      </c>
      <c r="F1910" s="106" t="e">
        <f>+D1910</f>
        <v>#REF!</v>
      </c>
      <c r="G1910" s="336"/>
      <c r="H1910" s="336"/>
    </row>
    <row r="1911" spans="2:8" ht="18" x14ac:dyDescent="0.25">
      <c r="B1911" s="88"/>
      <c r="C1911" s="87"/>
      <c r="D1911" s="87"/>
      <c r="E1911" s="94"/>
      <c r="F1911" s="107" t="e">
        <f>SUM(F1907:F1910)</f>
        <v>#REF!</v>
      </c>
      <c r="G1911" s="336"/>
      <c r="H1911" s="336"/>
    </row>
    <row r="1912" spans="2:8" ht="18" x14ac:dyDescent="0.25">
      <c r="B1912" s="88"/>
      <c r="C1912" s="87"/>
      <c r="D1912" s="87"/>
      <c r="E1912" s="94"/>
      <c r="F1912" s="107"/>
      <c r="G1912" s="91"/>
      <c r="H1912" s="91"/>
    </row>
    <row r="1913" spans="2:8" ht="18" x14ac:dyDescent="0.25">
      <c r="B1913" s="88"/>
      <c r="C1913" s="87"/>
      <c r="D1913" s="87"/>
      <c r="E1913" s="87"/>
      <c r="G1913" s="337"/>
      <c r="H1913" s="337"/>
    </row>
    <row r="1914" spans="2:8" ht="18" x14ac:dyDescent="0.25">
      <c r="B1914" s="87"/>
      <c r="C1914" s="87"/>
      <c r="D1914" s="87"/>
      <c r="E1914" s="87"/>
      <c r="F1914" s="93"/>
      <c r="G1914" s="92"/>
      <c r="H1914" s="92"/>
    </row>
    <row r="1915" spans="2:8" ht="18" x14ac:dyDescent="0.25">
      <c r="B1915" s="87"/>
      <c r="C1915" s="87"/>
      <c r="D1915" s="87"/>
      <c r="E1915" s="87"/>
      <c r="F1915" s="94"/>
      <c r="G1915" s="87"/>
      <c r="H1915" s="87"/>
    </row>
    <row r="1916" spans="2:8" ht="18" x14ac:dyDescent="0.25">
      <c r="B1916" s="87"/>
      <c r="C1916" s="87"/>
      <c r="D1916" s="87"/>
      <c r="E1916" s="87"/>
      <c r="F1916" s="94"/>
      <c r="G1916" s="87"/>
      <c r="H1916" s="87"/>
    </row>
    <row r="1917" spans="2:8" ht="18" x14ac:dyDescent="0.25">
      <c r="B1917" s="87" t="e">
        <f>+B1902</f>
        <v>#REF!</v>
      </c>
      <c r="C1917" s="338"/>
      <c r="D1917" s="338"/>
      <c r="E1917" s="87" t="e">
        <f>+B1917</f>
        <v>#REF!</v>
      </c>
      <c r="F1917" s="94"/>
      <c r="G1917" s="87"/>
      <c r="H1917" s="87"/>
    </row>
    <row r="1918" spans="2:8" ht="18" x14ac:dyDescent="0.25">
      <c r="C1918" s="87"/>
      <c r="D1918" s="87"/>
      <c r="F1918" s="338"/>
      <c r="G1918" s="338"/>
      <c r="H1918" s="338"/>
    </row>
    <row r="1919" spans="2:8" ht="18" x14ac:dyDescent="0.25">
      <c r="B1919" s="87" t="str">
        <f>+$E$1</f>
        <v>URUGUAY 1025/27/29 CAP. FED.</v>
      </c>
      <c r="C1919" s="87"/>
      <c r="D1919" s="95" t="str">
        <f>+H1903</f>
        <v>Unid. 51</v>
      </c>
      <c r="E1919" s="87" t="str">
        <f>+$E$1</f>
        <v>URUGUAY 1025/27/29 CAP. FED.</v>
      </c>
      <c r="F1919" s="87"/>
      <c r="G1919" s="87"/>
      <c r="H1919" s="95" t="str">
        <f>+D1919</f>
        <v>Unid. 51</v>
      </c>
    </row>
    <row r="1920" spans="2:8" ht="18" x14ac:dyDescent="0.25">
      <c r="H1920" s="88"/>
    </row>
    <row r="1921" spans="2:8" ht="18" x14ac:dyDescent="0.25">
      <c r="B1921" s="88"/>
      <c r="C1921" s="88"/>
      <c r="D1921" s="88"/>
      <c r="E1921" s="88"/>
      <c r="F1921" s="87"/>
      <c r="G1921" s="87"/>
    </row>
    <row r="1922" spans="2:8" ht="18" x14ac:dyDescent="0.25">
      <c r="B1922" s="87" t="e">
        <f>+$E$2</f>
        <v>#REF!</v>
      </c>
      <c r="C1922" s="87"/>
      <c r="D1922" s="87"/>
      <c r="E1922" s="87"/>
      <c r="F1922" s="87"/>
      <c r="G1922" s="88"/>
      <c r="H1922" s="104"/>
    </row>
    <row r="1923" spans="2:8" ht="18" x14ac:dyDescent="0.25">
      <c r="B1923" s="87" t="e">
        <f>+$E$3</f>
        <v>#REF!</v>
      </c>
      <c r="C1923" s="87"/>
      <c r="D1923" s="87"/>
      <c r="E1923" s="98"/>
      <c r="F1923" s="87"/>
      <c r="G1923" s="96"/>
      <c r="H1923" s="87"/>
    </row>
    <row r="1924" spans="2:8" ht="18" x14ac:dyDescent="0.25">
      <c r="C1924" s="87"/>
      <c r="D1924" s="87"/>
      <c r="E1924" s="87" t="s">
        <v>85</v>
      </c>
      <c r="F1924" s="109" t="e">
        <f>+F1907</f>
        <v>#REF!</v>
      </c>
      <c r="H1924" s="102">
        <f>+B1929</f>
        <v>46183</v>
      </c>
    </row>
    <row r="1925" spans="2:8" ht="18" x14ac:dyDescent="0.25">
      <c r="B1925" s="88"/>
      <c r="C1925" s="87"/>
      <c r="D1925" s="87"/>
      <c r="E1925" s="87" t="s">
        <v>193</v>
      </c>
      <c r="F1925" s="109" t="e">
        <f>+F1908</f>
        <v>#REF!</v>
      </c>
    </row>
    <row r="1926" spans="2:8" ht="18" x14ac:dyDescent="0.25">
      <c r="B1926" s="88"/>
      <c r="C1926" s="87"/>
      <c r="D1926" s="87"/>
      <c r="E1926" s="87" t="s">
        <v>86</v>
      </c>
      <c r="F1926" s="109" t="e">
        <f>+F1909</f>
        <v>#REF!</v>
      </c>
      <c r="G1926" s="87"/>
      <c r="H1926" s="87"/>
    </row>
    <row r="1927" spans="2:8" ht="18" x14ac:dyDescent="0.25">
      <c r="B1927" s="87"/>
      <c r="C1927" s="87"/>
      <c r="D1927" s="87"/>
      <c r="E1927" s="87" t="s">
        <v>87</v>
      </c>
      <c r="F1927" s="109" t="e">
        <f>+F1910</f>
        <v>#REF!</v>
      </c>
      <c r="G1927" s="87"/>
      <c r="H1927" s="87"/>
    </row>
    <row r="1928" spans="2:8" ht="18" x14ac:dyDescent="0.25">
      <c r="B1928" s="98"/>
      <c r="C1928" s="98"/>
      <c r="D1928" s="98"/>
      <c r="E1928" s="87" t="s">
        <v>321</v>
      </c>
      <c r="F1928" s="109">
        <v>0</v>
      </c>
      <c r="G1928" s="87"/>
      <c r="H1928" s="87"/>
    </row>
    <row r="1929" spans="2:8" ht="18" x14ac:dyDescent="0.25">
      <c r="B1929" s="102">
        <f>+$G$34</f>
        <v>46183</v>
      </c>
      <c r="C1929" s="108" t="e">
        <f>+F1911</f>
        <v>#REF!</v>
      </c>
      <c r="D1929" s="87"/>
      <c r="E1929" s="87" t="s">
        <v>88</v>
      </c>
      <c r="F1929" s="109" t="e">
        <f>+F1911</f>
        <v>#REF!</v>
      </c>
      <c r="G1929" s="87"/>
      <c r="H1929" s="87"/>
    </row>
    <row r="1930" spans="2:8" ht="18" x14ac:dyDescent="0.25">
      <c r="B1930" s="87"/>
      <c r="C1930" s="87"/>
      <c r="D1930" s="87"/>
      <c r="E1930" s="87"/>
      <c r="F1930" s="87"/>
      <c r="G1930" s="87"/>
      <c r="H1930" s="87"/>
    </row>
    <row r="1931" spans="2:8" ht="18" x14ac:dyDescent="0.25">
      <c r="B1931" s="87"/>
      <c r="C1931" s="87"/>
      <c r="D1931" s="87"/>
      <c r="E1931" s="87"/>
      <c r="F1931" s="87"/>
      <c r="G1931" s="339"/>
      <c r="H1931" s="339"/>
    </row>
    <row r="1932" spans="2:8" ht="18" x14ac:dyDescent="0.25">
      <c r="B1932" s="87"/>
      <c r="C1932" s="87"/>
      <c r="D1932" s="87"/>
      <c r="E1932" s="87"/>
      <c r="F1932" s="87"/>
      <c r="G1932" s="87"/>
      <c r="H1932" s="87"/>
    </row>
    <row r="1933" spans="2:8" ht="18" x14ac:dyDescent="0.25">
      <c r="B1933" s="87"/>
      <c r="C1933" s="87"/>
      <c r="D1933" s="87"/>
      <c r="E1933" s="87"/>
      <c r="F1933" s="87"/>
      <c r="G1933" s="87"/>
      <c r="H1933" s="87"/>
    </row>
    <row r="1934" spans="2:8" ht="18" x14ac:dyDescent="0.25">
      <c r="B1934" s="87"/>
      <c r="C1934" s="87"/>
      <c r="D1934" s="87"/>
      <c r="E1934" s="87"/>
      <c r="F1934" s="87"/>
      <c r="G1934" s="87"/>
      <c r="H1934" s="87"/>
    </row>
    <row r="1935" spans="2:8" ht="18" x14ac:dyDescent="0.25">
      <c r="B1935" s="87"/>
      <c r="C1935" s="87"/>
      <c r="D1935" s="87"/>
      <c r="E1935" s="87"/>
      <c r="F1935" s="87"/>
      <c r="G1935" s="87"/>
      <c r="H1935" s="87"/>
    </row>
    <row r="1936" spans="2:8" ht="18" x14ac:dyDescent="0.25">
      <c r="B1936" s="87"/>
      <c r="C1936" s="87"/>
      <c r="D1936" s="87"/>
      <c r="E1936" s="87"/>
      <c r="F1936" s="87"/>
      <c r="H1936" s="87"/>
    </row>
    <row r="1937" spans="2:8" ht="18" x14ac:dyDescent="0.25">
      <c r="B1937" s="335"/>
      <c r="C1937" s="335"/>
      <c r="D1937" s="335"/>
      <c r="E1937" s="87"/>
      <c r="F1937" s="87"/>
      <c r="H1937" s="87"/>
    </row>
    <row r="1938" spans="2:8" ht="18" x14ac:dyDescent="0.25">
      <c r="B1938" s="335"/>
      <c r="C1938" s="335"/>
      <c r="D1938" s="335"/>
      <c r="E1938" s="101">
        <f>+$B$1</f>
        <v>46143</v>
      </c>
      <c r="F1938" s="87"/>
      <c r="G1938" s="102">
        <f>+$D$1</f>
        <v>46183</v>
      </c>
      <c r="H1938" s="100"/>
    </row>
    <row r="1939" spans="2:8" ht="18" x14ac:dyDescent="0.25">
      <c r="B1939" s="86"/>
      <c r="C1939" s="86"/>
      <c r="D1939" s="103"/>
      <c r="E1939" s="101"/>
      <c r="F1939" s="87"/>
    </row>
    <row r="1940" spans="2:8" ht="18" x14ac:dyDescent="0.25">
      <c r="B1940" s="87" t="e">
        <f>+#REF!</f>
        <v>#REF!</v>
      </c>
      <c r="C1940" s="87"/>
      <c r="D1940" s="87"/>
      <c r="F1940" s="87"/>
    </row>
    <row r="1941" spans="2:8" ht="18" x14ac:dyDescent="0.25">
      <c r="C1941" s="87"/>
      <c r="D1941" s="87"/>
      <c r="E1941" s="87" t="str">
        <f>+$E$1</f>
        <v>URUGUAY 1025/27/29 CAP. FED.</v>
      </c>
      <c r="F1941" s="87"/>
      <c r="H1941" s="95" t="s">
        <v>135</v>
      </c>
    </row>
    <row r="1942" spans="2:8" ht="18" x14ac:dyDescent="0.25">
      <c r="B1942" s="88"/>
      <c r="C1942" s="87"/>
      <c r="D1942" s="87"/>
      <c r="F1942" s="87"/>
      <c r="G1942" s="88"/>
    </row>
    <row r="1943" spans="2:8" ht="18" x14ac:dyDescent="0.25">
      <c r="B1943" s="87"/>
      <c r="C1943" s="87"/>
      <c r="D1943" s="87"/>
      <c r="E1943" s="88"/>
      <c r="F1943" s="88"/>
      <c r="G1943" s="87"/>
      <c r="H1943" s="88"/>
    </row>
    <row r="1944" spans="2:8" ht="18" x14ac:dyDescent="0.25">
      <c r="B1944" s="96"/>
      <c r="C1944" s="87"/>
      <c r="D1944" s="96"/>
      <c r="E1944" s="87"/>
      <c r="F1944" s="87"/>
      <c r="G1944" s="87"/>
      <c r="H1944" s="87"/>
    </row>
    <row r="1945" spans="2:8" ht="18" x14ac:dyDescent="0.25">
      <c r="B1945" s="87" t="s">
        <v>82</v>
      </c>
      <c r="C1945" s="87"/>
      <c r="D1945" s="110">
        <f>+'RES CUENTA'!$H$26</f>
        <v>6751880</v>
      </c>
      <c r="E1945" s="111" t="e">
        <f>+'RES CUENTA'!#REF!</f>
        <v>#REF!</v>
      </c>
      <c r="F1945" s="106" t="e">
        <f>+D1945*E1945/100</f>
        <v>#REF!</v>
      </c>
      <c r="G1945" s="87"/>
      <c r="H1945" s="96"/>
    </row>
    <row r="1946" spans="2:8" ht="18" x14ac:dyDescent="0.25">
      <c r="B1946" s="87" t="s">
        <v>194</v>
      </c>
      <c r="C1946" s="87"/>
      <c r="D1946" s="110" t="e">
        <f>+'RES CUENTA'!#REF!</f>
        <v>#REF!</v>
      </c>
      <c r="E1946" s="111" t="e">
        <f>+'RES CUENTA'!#REF!</f>
        <v>#REF!</v>
      </c>
      <c r="F1946" s="106" t="e">
        <f>+D1946*E1946/100</f>
        <v>#REF!</v>
      </c>
      <c r="G1946" s="96"/>
      <c r="H1946" s="91"/>
    </row>
    <row r="1947" spans="2:8" ht="18" x14ac:dyDescent="0.25">
      <c r="B1947" s="87" t="s">
        <v>83</v>
      </c>
      <c r="C1947" s="87"/>
      <c r="D1947" s="110" t="e">
        <f>+'RES CUENTA'!#REF!</f>
        <v>#REF!</v>
      </c>
      <c r="E1947" s="111">
        <f>+'RES CUENTA'!N1043</f>
        <v>0</v>
      </c>
      <c r="F1947" s="106" t="e">
        <f>+D1947</f>
        <v>#REF!</v>
      </c>
      <c r="G1947" s="91"/>
      <c r="H1947" s="91"/>
    </row>
    <row r="1948" spans="2:8" ht="18" x14ac:dyDescent="0.25">
      <c r="B1948" s="87" t="s">
        <v>84</v>
      </c>
      <c r="C1948" s="87"/>
      <c r="D1948" s="110" t="e">
        <f>+'RES CUENTA'!#REF!</f>
        <v>#REF!</v>
      </c>
      <c r="E1948" s="111">
        <f>+'RES CUENTA'!P1042</f>
        <v>0</v>
      </c>
      <c r="F1948" s="106" t="e">
        <f>+D1948</f>
        <v>#REF!</v>
      </c>
      <c r="G1948" s="91"/>
      <c r="H1948" s="91"/>
    </row>
    <row r="1949" spans="2:8" ht="18" x14ac:dyDescent="0.25">
      <c r="B1949" s="88"/>
      <c r="C1949" s="87"/>
      <c r="D1949" s="87"/>
      <c r="F1949" s="107" t="e">
        <f>SUM(F1945:F1948)</f>
        <v>#REF!</v>
      </c>
      <c r="G1949" s="91"/>
      <c r="H1949" s="91"/>
    </row>
    <row r="1950" spans="2:8" ht="18" x14ac:dyDescent="0.25">
      <c r="B1950" s="88"/>
      <c r="C1950" s="87"/>
      <c r="D1950" s="87"/>
      <c r="F1950" s="107"/>
      <c r="G1950" s="91"/>
      <c r="H1950" s="91"/>
    </row>
    <row r="1951" spans="2:8" ht="18" x14ac:dyDescent="0.25">
      <c r="B1951" s="88"/>
      <c r="C1951" s="87"/>
      <c r="D1951" s="87"/>
      <c r="F1951" s="93"/>
      <c r="G1951" s="91"/>
      <c r="H1951" s="92"/>
    </row>
    <row r="1952" spans="2:8" ht="18" x14ac:dyDescent="0.25">
      <c r="B1952" s="87"/>
      <c r="C1952" s="87"/>
      <c r="D1952" s="87"/>
      <c r="E1952" s="87"/>
      <c r="F1952" s="94"/>
      <c r="G1952" s="92"/>
      <c r="H1952" s="92"/>
    </row>
    <row r="1953" spans="2:8" ht="18" x14ac:dyDescent="0.25">
      <c r="B1953" s="87"/>
      <c r="C1953" s="87"/>
      <c r="D1953" s="87"/>
      <c r="E1953" s="87"/>
      <c r="F1953" s="94"/>
      <c r="G1953" s="92"/>
      <c r="H1953" s="92"/>
    </row>
    <row r="1954" spans="2:8" ht="18" x14ac:dyDescent="0.25">
      <c r="B1954" s="87"/>
      <c r="C1954" s="87"/>
      <c r="D1954" s="87"/>
      <c r="E1954" s="87"/>
      <c r="F1954" s="94"/>
      <c r="G1954" s="92"/>
      <c r="H1954" s="87"/>
    </row>
    <row r="1955" spans="2:8" ht="18" x14ac:dyDescent="0.25">
      <c r="B1955" s="87" t="e">
        <f>+B1940</f>
        <v>#REF!</v>
      </c>
      <c r="C1955" s="87"/>
      <c r="D1955" s="87"/>
      <c r="E1955" s="87" t="e">
        <f>+B1940</f>
        <v>#REF!</v>
      </c>
      <c r="F1955" s="87"/>
      <c r="G1955" s="87"/>
      <c r="H1955" s="104"/>
    </row>
    <row r="1956" spans="2:8" ht="18" x14ac:dyDescent="0.25">
      <c r="B1956" s="88"/>
      <c r="C1956" s="87"/>
      <c r="D1956" s="87"/>
      <c r="F1956" s="87"/>
      <c r="G1956" s="104"/>
      <c r="H1956" s="95" t="str">
        <f>+H1941</f>
        <v>Unid. 52</v>
      </c>
    </row>
    <row r="1957" spans="2:8" ht="18" x14ac:dyDescent="0.25">
      <c r="B1957" s="87" t="str">
        <f>+$E$1</f>
        <v>URUGUAY 1025/27/29 CAP. FED.</v>
      </c>
      <c r="C1957" s="87"/>
      <c r="D1957" s="95" t="str">
        <f>+H1956</f>
        <v>Unid. 52</v>
      </c>
      <c r="E1957" s="87" t="str">
        <f>+$E$1</f>
        <v>URUGUAY 1025/27/29 CAP. FED.</v>
      </c>
      <c r="F1957" s="87"/>
      <c r="G1957" s="87"/>
      <c r="H1957" s="88"/>
    </row>
    <row r="1958" spans="2:8" ht="18" x14ac:dyDescent="0.25">
      <c r="B1958" s="88"/>
      <c r="C1958" s="88"/>
      <c r="D1958" s="88"/>
      <c r="F1958" s="87"/>
      <c r="G1958" s="87"/>
    </row>
    <row r="1959" spans="2:8" ht="18" x14ac:dyDescent="0.25">
      <c r="B1959" s="87"/>
      <c r="C1959" s="87"/>
      <c r="D1959" s="87"/>
      <c r="E1959" s="88"/>
      <c r="F1959" s="87"/>
      <c r="G1959" s="87"/>
      <c r="H1959" s="104"/>
    </row>
    <row r="1960" spans="2:8" ht="18" x14ac:dyDescent="0.25">
      <c r="B1960" s="87" t="e">
        <f>+$E$2</f>
        <v>#REF!</v>
      </c>
      <c r="C1960" s="87"/>
      <c r="D1960" s="87"/>
      <c r="E1960" s="87"/>
      <c r="F1960" s="98"/>
      <c r="G1960" s="88"/>
      <c r="H1960" s="87"/>
    </row>
    <row r="1961" spans="2:8" ht="18" x14ac:dyDescent="0.25">
      <c r="B1961" s="87" t="e">
        <f>+$E$3</f>
        <v>#REF!</v>
      </c>
      <c r="C1961" s="87"/>
      <c r="D1961" s="87"/>
      <c r="E1961" s="98"/>
      <c r="G1961" s="96"/>
      <c r="H1961" s="97"/>
    </row>
    <row r="1962" spans="2:8" ht="18" x14ac:dyDescent="0.25">
      <c r="B1962" s="88"/>
      <c r="C1962" s="87"/>
      <c r="D1962" s="87"/>
      <c r="E1962" s="87" t="s">
        <v>85</v>
      </c>
      <c r="F1962" s="109" t="e">
        <f>+F1945</f>
        <v>#REF!</v>
      </c>
      <c r="G1962" s="97"/>
      <c r="H1962" s="102">
        <f>+B1966</f>
        <v>46183</v>
      </c>
    </row>
    <row r="1963" spans="2:8" ht="18" x14ac:dyDescent="0.25">
      <c r="B1963" s="88"/>
      <c r="C1963" s="87"/>
      <c r="D1963" s="87"/>
      <c r="E1963" s="87" t="s">
        <v>193</v>
      </c>
      <c r="F1963" s="109" t="e">
        <f>+F1946</f>
        <v>#REF!</v>
      </c>
      <c r="H1963" s="87"/>
    </row>
    <row r="1964" spans="2:8" ht="18" x14ac:dyDescent="0.25">
      <c r="B1964" s="87"/>
      <c r="C1964" s="87"/>
      <c r="D1964" s="87"/>
      <c r="E1964" s="87" t="s">
        <v>86</v>
      </c>
      <c r="F1964" s="109" t="e">
        <f>+F1947</f>
        <v>#REF!</v>
      </c>
      <c r="G1964" s="87"/>
      <c r="H1964" s="87"/>
    </row>
    <row r="1965" spans="2:8" ht="18" x14ac:dyDescent="0.25">
      <c r="B1965" s="98"/>
      <c r="C1965" s="98"/>
      <c r="D1965" s="98"/>
      <c r="E1965" s="87" t="s">
        <v>87</v>
      </c>
      <c r="F1965" s="109" t="e">
        <f>+F1948</f>
        <v>#REF!</v>
      </c>
      <c r="G1965" s="87"/>
      <c r="H1965" s="87"/>
    </row>
    <row r="1966" spans="2:8" ht="18" x14ac:dyDescent="0.25">
      <c r="B1966" s="102">
        <f>+$G$34</f>
        <v>46183</v>
      </c>
      <c r="C1966" s="108" t="e">
        <f>+F1949</f>
        <v>#REF!</v>
      </c>
      <c r="D1966" s="87"/>
      <c r="E1966" s="87" t="s">
        <v>321</v>
      </c>
      <c r="F1966" s="109">
        <v>0</v>
      </c>
      <c r="G1966" s="87"/>
      <c r="H1966" s="87"/>
    </row>
    <row r="1967" spans="2:8" ht="18" x14ac:dyDescent="0.25">
      <c r="B1967" s="87"/>
      <c r="C1967" s="87"/>
      <c r="D1967" s="87"/>
      <c r="E1967" s="87" t="s">
        <v>88</v>
      </c>
      <c r="F1967" s="109" t="e">
        <f>+F1949</f>
        <v>#REF!</v>
      </c>
      <c r="G1967" s="87"/>
      <c r="H1967" s="87"/>
    </row>
    <row r="1968" spans="2:8" ht="18" x14ac:dyDescent="0.25">
      <c r="B1968" s="87"/>
      <c r="C1968" s="87"/>
      <c r="D1968" s="87"/>
      <c r="E1968" s="87"/>
      <c r="F1968" s="87"/>
      <c r="G1968" s="87"/>
      <c r="H1968" s="87"/>
    </row>
    <row r="1969" spans="2:8" ht="18" x14ac:dyDescent="0.25">
      <c r="B1969" s="87"/>
      <c r="C1969" s="87"/>
      <c r="D1969" s="87"/>
      <c r="E1969" s="105"/>
      <c r="F1969" s="87"/>
      <c r="G1969" s="87"/>
      <c r="H1969" s="87"/>
    </row>
    <row r="1970" spans="2:8" ht="18" x14ac:dyDescent="0.25">
      <c r="B1970" s="87"/>
      <c r="C1970" s="87"/>
      <c r="D1970" s="87"/>
      <c r="E1970" s="87"/>
      <c r="F1970" s="87"/>
      <c r="G1970" s="87"/>
      <c r="H1970" s="96"/>
    </row>
    <row r="1971" spans="2:8" ht="18" x14ac:dyDescent="0.25">
      <c r="E1971" s="87"/>
      <c r="G1971" s="96"/>
      <c r="H1971" s="87"/>
    </row>
    <row r="1973" spans="2:8" ht="18" x14ac:dyDescent="0.25">
      <c r="B1973" s="335"/>
      <c r="C1973" s="335"/>
      <c r="D1973" s="335"/>
      <c r="E1973" s="340">
        <f>+$B$1</f>
        <v>46143</v>
      </c>
      <c r="F1973" s="87"/>
      <c r="G1973" s="341">
        <f>+$D$1</f>
        <v>46183</v>
      </c>
      <c r="H1973" s="87"/>
    </row>
    <row r="1974" spans="2:8" ht="18" x14ac:dyDescent="0.25">
      <c r="B1974" s="86"/>
      <c r="C1974" s="86"/>
      <c r="D1974" s="103"/>
      <c r="E1974" s="340"/>
      <c r="F1974" s="87"/>
      <c r="G1974" s="341"/>
      <c r="H1974" s="87"/>
    </row>
    <row r="1975" spans="2:8" ht="18" x14ac:dyDescent="0.25">
      <c r="B1975" s="87"/>
      <c r="C1975" s="87"/>
      <c r="D1975" s="87"/>
      <c r="E1975" s="88"/>
      <c r="F1975" s="87"/>
      <c r="G1975" s="88"/>
      <c r="H1975" s="87"/>
    </row>
    <row r="1976" spans="2:8" ht="18" x14ac:dyDescent="0.25">
      <c r="B1976" s="87" t="e">
        <f>+#REF!</f>
        <v>#REF!</v>
      </c>
      <c r="C1976" s="87"/>
      <c r="D1976" s="87"/>
      <c r="E1976" s="88"/>
      <c r="F1976" s="87"/>
      <c r="G1976" s="88"/>
      <c r="H1976" s="87"/>
    </row>
    <row r="1977" spans="2:8" ht="18" x14ac:dyDescent="0.25">
      <c r="B1977" s="88"/>
      <c r="C1977" s="87"/>
      <c r="D1977" s="87"/>
      <c r="E1977" s="87" t="s">
        <v>81</v>
      </c>
      <c r="F1977" s="87"/>
      <c r="G1977" s="87"/>
      <c r="H1977" s="95" t="s">
        <v>136</v>
      </c>
    </row>
    <row r="1978" spans="2:8" ht="18" x14ac:dyDescent="0.25">
      <c r="B1978" s="87"/>
      <c r="C1978" s="87"/>
      <c r="D1978" s="87"/>
      <c r="E1978" s="88"/>
      <c r="F1978" s="88"/>
      <c r="G1978" s="87"/>
      <c r="H1978" s="88"/>
    </row>
    <row r="1979" spans="2:8" ht="18" x14ac:dyDescent="0.25">
      <c r="B1979" s="96"/>
      <c r="C1979" s="87"/>
      <c r="D1979" s="96"/>
      <c r="E1979" s="87"/>
      <c r="F1979" s="87"/>
      <c r="G1979" s="87"/>
      <c r="H1979" s="87"/>
    </row>
    <row r="1980" spans="2:8" ht="18" x14ac:dyDescent="0.25">
      <c r="B1980" s="96"/>
      <c r="C1980" s="87"/>
      <c r="D1980" s="96"/>
      <c r="E1980" s="87"/>
      <c r="F1980" s="87"/>
      <c r="G1980" s="87"/>
      <c r="H1980" s="87"/>
    </row>
    <row r="1981" spans="2:8" ht="18" x14ac:dyDescent="0.25">
      <c r="B1981" s="87" t="s">
        <v>82</v>
      </c>
      <c r="C1981" s="87"/>
      <c r="D1981" s="110">
        <f>+'RES CUENTA'!$H$26</f>
        <v>6751880</v>
      </c>
      <c r="E1981" s="111" t="e">
        <f>+'RES CUENTA'!#REF!</f>
        <v>#REF!</v>
      </c>
      <c r="F1981" s="106" t="e">
        <f>+D1981*E1981/100</f>
        <v>#REF!</v>
      </c>
      <c r="G1981" s="339"/>
      <c r="H1981" s="339"/>
    </row>
    <row r="1982" spans="2:8" ht="18" x14ac:dyDescent="0.25">
      <c r="B1982" s="87" t="s">
        <v>194</v>
      </c>
      <c r="C1982" s="87"/>
      <c r="D1982" s="110" t="e">
        <f>+'RES CUENTA'!#REF!</f>
        <v>#REF!</v>
      </c>
      <c r="E1982" s="111" t="e">
        <f>+'RES CUENTA'!#REF!</f>
        <v>#REF!</v>
      </c>
      <c r="F1982" s="106" t="e">
        <f>+D1982*E1982/100</f>
        <v>#REF!</v>
      </c>
      <c r="G1982" s="336"/>
      <c r="H1982" s="336"/>
    </row>
    <row r="1983" spans="2:8" ht="18" x14ac:dyDescent="0.25">
      <c r="B1983" s="87" t="s">
        <v>83</v>
      </c>
      <c r="C1983" s="87"/>
      <c r="D1983" s="110" t="e">
        <f>+'RES CUENTA'!#REF!</f>
        <v>#REF!</v>
      </c>
      <c r="E1983" s="111">
        <v>0</v>
      </c>
      <c r="F1983" s="106" t="e">
        <f>+D1983</f>
        <v>#REF!</v>
      </c>
      <c r="G1983" s="336"/>
      <c r="H1983" s="336"/>
    </row>
    <row r="1984" spans="2:8" ht="18" x14ac:dyDescent="0.25">
      <c r="B1984" s="87" t="s">
        <v>84</v>
      </c>
      <c r="C1984" s="87"/>
      <c r="D1984" s="110" t="e">
        <f>+'RES CUENTA'!#REF!</f>
        <v>#REF!</v>
      </c>
      <c r="E1984" s="111">
        <v>0</v>
      </c>
      <c r="F1984" s="106" t="e">
        <f>+D1984</f>
        <v>#REF!</v>
      </c>
      <c r="G1984" s="336"/>
      <c r="H1984" s="336"/>
    </row>
    <row r="1985" spans="2:8" ht="18" x14ac:dyDescent="0.25">
      <c r="B1985" s="88"/>
      <c r="C1985" s="87"/>
      <c r="D1985" s="87"/>
      <c r="E1985" s="94"/>
      <c r="F1985" s="107" t="e">
        <f>SUM(F1981:F1984)</f>
        <v>#REF!</v>
      </c>
      <c r="G1985" s="336"/>
      <c r="H1985" s="336"/>
    </row>
    <row r="1986" spans="2:8" ht="18" x14ac:dyDescent="0.25">
      <c r="B1986" s="88"/>
      <c r="C1986" s="87"/>
      <c r="D1986" s="87"/>
      <c r="E1986" s="94"/>
      <c r="F1986" s="107"/>
      <c r="G1986" s="91"/>
      <c r="H1986" s="91"/>
    </row>
    <row r="1987" spans="2:8" ht="18" x14ac:dyDescent="0.25">
      <c r="B1987" s="88"/>
      <c r="C1987" s="87"/>
      <c r="D1987" s="87"/>
      <c r="E1987" s="87"/>
      <c r="G1987" s="337"/>
      <c r="H1987" s="337"/>
    </row>
    <row r="1988" spans="2:8" ht="18" x14ac:dyDescent="0.25">
      <c r="B1988" s="87"/>
      <c r="C1988" s="87"/>
      <c r="D1988" s="87"/>
      <c r="E1988" s="87"/>
      <c r="F1988" s="93"/>
      <c r="G1988" s="92"/>
      <c r="H1988" s="92"/>
    </row>
    <row r="1989" spans="2:8" ht="18" x14ac:dyDescent="0.25">
      <c r="B1989" s="87"/>
      <c r="C1989" s="87"/>
      <c r="D1989" s="87"/>
      <c r="E1989" s="87"/>
      <c r="F1989" s="94"/>
      <c r="G1989" s="87"/>
      <c r="H1989" s="87"/>
    </row>
    <row r="1990" spans="2:8" ht="18" x14ac:dyDescent="0.25">
      <c r="B1990" s="87"/>
      <c r="C1990" s="87"/>
      <c r="D1990" s="87"/>
      <c r="E1990" s="87"/>
      <c r="F1990" s="94"/>
      <c r="G1990" s="87"/>
      <c r="H1990" s="87"/>
    </row>
    <row r="1991" spans="2:8" ht="18" x14ac:dyDescent="0.25">
      <c r="B1991" s="87" t="e">
        <f>+B1976</f>
        <v>#REF!</v>
      </c>
      <c r="C1991" s="338"/>
      <c r="D1991" s="338"/>
      <c r="E1991" s="87" t="e">
        <f>+B1991</f>
        <v>#REF!</v>
      </c>
      <c r="F1991" s="94"/>
      <c r="G1991" s="87"/>
      <c r="H1991" s="87"/>
    </row>
    <row r="1992" spans="2:8" ht="18" x14ac:dyDescent="0.25">
      <c r="C1992" s="87"/>
      <c r="D1992" s="87"/>
      <c r="F1992" s="338"/>
      <c r="G1992" s="338"/>
      <c r="H1992" s="338"/>
    </row>
    <row r="1993" spans="2:8" ht="18" x14ac:dyDescent="0.25">
      <c r="B1993" s="87" t="str">
        <f>+$E$1</f>
        <v>URUGUAY 1025/27/29 CAP. FED.</v>
      </c>
      <c r="C1993" s="87"/>
      <c r="D1993" s="95" t="str">
        <f>+H1977</f>
        <v>Unid. 53</v>
      </c>
      <c r="E1993" s="87" t="str">
        <f>+$E$1</f>
        <v>URUGUAY 1025/27/29 CAP. FED.</v>
      </c>
      <c r="F1993" s="87"/>
      <c r="G1993" s="87"/>
      <c r="H1993" s="95" t="str">
        <f>+D1993</f>
        <v>Unid. 53</v>
      </c>
    </row>
    <row r="1994" spans="2:8" ht="18" x14ac:dyDescent="0.25">
      <c r="H1994" s="88"/>
    </row>
    <row r="1995" spans="2:8" ht="18" x14ac:dyDescent="0.25">
      <c r="B1995" s="88"/>
      <c r="C1995" s="88"/>
      <c r="D1995" s="88"/>
      <c r="E1995" s="88"/>
      <c r="F1995" s="87"/>
      <c r="G1995" s="87"/>
    </row>
    <row r="1996" spans="2:8" ht="18" x14ac:dyDescent="0.25">
      <c r="B1996" s="87" t="e">
        <f>+$E$2</f>
        <v>#REF!</v>
      </c>
      <c r="C1996" s="87"/>
      <c r="D1996" s="87"/>
      <c r="E1996" s="87"/>
      <c r="F1996" s="87"/>
      <c r="G1996" s="88"/>
      <c r="H1996" s="104"/>
    </row>
    <row r="1997" spans="2:8" ht="18" x14ac:dyDescent="0.25">
      <c r="B1997" s="87" t="e">
        <f>+$E$3</f>
        <v>#REF!</v>
      </c>
      <c r="C1997" s="87"/>
      <c r="D1997" s="87"/>
      <c r="E1997" s="98"/>
      <c r="F1997" s="87"/>
      <c r="G1997" s="96"/>
      <c r="H1997" s="87"/>
    </row>
    <row r="1998" spans="2:8" ht="18" x14ac:dyDescent="0.25">
      <c r="C1998" s="87"/>
      <c r="D1998" s="87"/>
      <c r="E1998" s="87" t="s">
        <v>85</v>
      </c>
      <c r="F1998" s="109" t="e">
        <f>+F1981</f>
        <v>#REF!</v>
      </c>
      <c r="H1998" s="102">
        <f>+B2003</f>
        <v>46183</v>
      </c>
    </row>
    <row r="1999" spans="2:8" ht="18" x14ac:dyDescent="0.25">
      <c r="B1999" s="88"/>
      <c r="C1999" s="87"/>
      <c r="D1999" s="87"/>
      <c r="E1999" s="87" t="s">
        <v>193</v>
      </c>
      <c r="F1999" s="109" t="e">
        <f>+F1982</f>
        <v>#REF!</v>
      </c>
    </row>
    <row r="2000" spans="2:8" ht="18" x14ac:dyDescent="0.25">
      <c r="B2000" s="88"/>
      <c r="C2000" s="87"/>
      <c r="D2000" s="87"/>
      <c r="E2000" s="87" t="s">
        <v>86</v>
      </c>
      <c r="F2000" s="109" t="e">
        <f>+F1983</f>
        <v>#REF!</v>
      </c>
      <c r="G2000" s="87"/>
      <c r="H2000" s="87"/>
    </row>
    <row r="2001" spans="2:8" ht="18" x14ac:dyDescent="0.25">
      <c r="B2001" s="87"/>
      <c r="C2001" s="87"/>
      <c r="D2001" s="87"/>
      <c r="E2001" s="87" t="s">
        <v>87</v>
      </c>
      <c r="F2001" s="109" t="e">
        <f>+F1984</f>
        <v>#REF!</v>
      </c>
      <c r="G2001" s="87"/>
      <c r="H2001" s="87"/>
    </row>
    <row r="2002" spans="2:8" ht="18" x14ac:dyDescent="0.25">
      <c r="B2002" s="98"/>
      <c r="C2002" s="98"/>
      <c r="D2002" s="98"/>
      <c r="E2002" s="87" t="s">
        <v>321</v>
      </c>
      <c r="F2002" s="109">
        <v>0</v>
      </c>
      <c r="G2002" s="87"/>
      <c r="H2002" s="87"/>
    </row>
    <row r="2003" spans="2:8" ht="18" x14ac:dyDescent="0.25">
      <c r="B2003" s="102">
        <f>+$G$34</f>
        <v>46183</v>
      </c>
      <c r="C2003" s="108" t="e">
        <f>+F1985</f>
        <v>#REF!</v>
      </c>
      <c r="D2003" s="87"/>
      <c r="E2003" s="87" t="s">
        <v>88</v>
      </c>
      <c r="F2003" s="109" t="e">
        <f>+F1985</f>
        <v>#REF!</v>
      </c>
      <c r="G2003" s="87"/>
      <c r="H2003" s="87"/>
    </row>
    <row r="2004" spans="2:8" ht="18" x14ac:dyDescent="0.25">
      <c r="B2004" s="87"/>
      <c r="C2004" s="87"/>
      <c r="D2004" s="87"/>
      <c r="E2004" s="87"/>
      <c r="F2004" s="87"/>
      <c r="G2004" s="87"/>
      <c r="H2004" s="87"/>
    </row>
    <row r="2005" spans="2:8" ht="18" x14ac:dyDescent="0.25">
      <c r="B2005" s="87"/>
      <c r="C2005" s="87"/>
      <c r="D2005" s="87"/>
      <c r="E2005" s="87"/>
      <c r="F2005" s="87"/>
      <c r="G2005" s="339"/>
      <c r="H2005" s="339"/>
    </row>
    <row r="2006" spans="2:8" ht="18" x14ac:dyDescent="0.25">
      <c r="B2006" s="87"/>
      <c r="C2006" s="87"/>
      <c r="D2006" s="87"/>
      <c r="E2006" s="87"/>
      <c r="F2006" s="87"/>
      <c r="G2006" s="87"/>
      <c r="H2006" s="87"/>
    </row>
    <row r="2007" spans="2:8" ht="18" x14ac:dyDescent="0.25">
      <c r="B2007" s="87"/>
      <c r="C2007" s="87"/>
      <c r="D2007" s="87"/>
      <c r="E2007" s="87"/>
      <c r="F2007" s="87"/>
      <c r="G2007" s="87"/>
      <c r="H2007" s="87"/>
    </row>
    <row r="2008" spans="2:8" ht="18" x14ac:dyDescent="0.25">
      <c r="B2008" s="87"/>
      <c r="C2008" s="87"/>
      <c r="D2008" s="87"/>
      <c r="E2008" s="87"/>
      <c r="F2008" s="87"/>
      <c r="G2008" s="87"/>
      <c r="H2008" s="87"/>
    </row>
    <row r="2009" spans="2:8" ht="18" x14ac:dyDescent="0.25">
      <c r="B2009" s="87"/>
      <c r="C2009" s="87"/>
      <c r="D2009" s="87"/>
      <c r="E2009" s="87"/>
      <c r="F2009" s="87"/>
      <c r="G2009" s="87"/>
      <c r="H2009" s="87"/>
    </row>
    <row r="2010" spans="2:8" ht="18" x14ac:dyDescent="0.25">
      <c r="B2010" s="87"/>
      <c r="C2010" s="87"/>
      <c r="D2010" s="87"/>
      <c r="E2010" s="87"/>
      <c r="F2010" s="87"/>
      <c r="H2010" s="87"/>
    </row>
    <row r="2011" spans="2:8" ht="18" x14ac:dyDescent="0.25">
      <c r="B2011" s="335"/>
      <c r="C2011" s="335"/>
      <c r="D2011" s="335"/>
      <c r="E2011" s="87"/>
      <c r="F2011" s="87"/>
      <c r="H2011" s="87"/>
    </row>
    <row r="2012" spans="2:8" ht="18" x14ac:dyDescent="0.25">
      <c r="B2012" s="335"/>
      <c r="C2012" s="335"/>
      <c r="D2012" s="335"/>
      <c r="E2012" s="101">
        <f>+$B$1</f>
        <v>46143</v>
      </c>
      <c r="F2012" s="87"/>
      <c r="G2012" s="102">
        <f>+$D$1</f>
        <v>46183</v>
      </c>
      <c r="H2012" s="100"/>
    </row>
    <row r="2013" spans="2:8" ht="18" x14ac:dyDescent="0.25">
      <c r="B2013" s="86"/>
      <c r="C2013" s="86"/>
      <c r="D2013" s="103"/>
      <c r="E2013" s="101"/>
      <c r="F2013" s="87"/>
    </row>
    <row r="2014" spans="2:8" ht="18" x14ac:dyDescent="0.25">
      <c r="B2014" s="87" t="e">
        <f>+#REF!</f>
        <v>#REF!</v>
      </c>
      <c r="C2014" s="87"/>
      <c r="D2014" s="87"/>
      <c r="F2014" s="87"/>
    </row>
    <row r="2015" spans="2:8" ht="18" x14ac:dyDescent="0.25">
      <c r="C2015" s="87"/>
      <c r="D2015" s="87"/>
      <c r="E2015" s="87" t="str">
        <f>+$E$1</f>
        <v>URUGUAY 1025/27/29 CAP. FED.</v>
      </c>
      <c r="F2015" s="87"/>
      <c r="H2015" s="95" t="s">
        <v>137</v>
      </c>
    </row>
    <row r="2016" spans="2:8" ht="18" x14ac:dyDescent="0.25">
      <c r="B2016" s="88"/>
      <c r="C2016" s="87"/>
      <c r="D2016" s="87"/>
      <c r="F2016" s="87"/>
      <c r="G2016" s="88"/>
    </row>
    <row r="2017" spans="2:8" ht="18" x14ac:dyDescent="0.25">
      <c r="B2017" s="87"/>
      <c r="C2017" s="87"/>
      <c r="D2017" s="87"/>
      <c r="E2017" s="88"/>
      <c r="F2017" s="88"/>
      <c r="G2017" s="87"/>
      <c r="H2017" s="88"/>
    </row>
    <row r="2018" spans="2:8" ht="18" x14ac:dyDescent="0.25">
      <c r="B2018" s="96"/>
      <c r="C2018" s="87"/>
      <c r="D2018" s="96"/>
      <c r="E2018" s="87"/>
      <c r="F2018" s="87"/>
      <c r="G2018" s="87"/>
      <c r="H2018" s="87"/>
    </row>
    <row r="2019" spans="2:8" ht="18" x14ac:dyDescent="0.25">
      <c r="B2019" s="87" t="s">
        <v>82</v>
      </c>
      <c r="C2019" s="87"/>
      <c r="D2019" s="110">
        <f>+'RES CUENTA'!$H$26</f>
        <v>6751880</v>
      </c>
      <c r="E2019" s="111" t="e">
        <f>+'RES CUENTA'!#REF!</f>
        <v>#REF!</v>
      </c>
      <c r="F2019" s="106" t="e">
        <f>+D2019*E2019/100</f>
        <v>#REF!</v>
      </c>
      <c r="G2019" s="87"/>
      <c r="H2019" s="96"/>
    </row>
    <row r="2020" spans="2:8" ht="18" x14ac:dyDescent="0.25">
      <c r="B2020" s="87" t="s">
        <v>194</v>
      </c>
      <c r="C2020" s="87"/>
      <c r="D2020" s="110" t="e">
        <f>+'RES CUENTA'!#REF!</f>
        <v>#REF!</v>
      </c>
      <c r="E2020" s="111" t="e">
        <f>+'RES CUENTA'!#REF!</f>
        <v>#REF!</v>
      </c>
      <c r="F2020" s="106" t="e">
        <f>+D2020*E2020/100</f>
        <v>#REF!</v>
      </c>
      <c r="G2020" s="96"/>
      <c r="H2020" s="91"/>
    </row>
    <row r="2021" spans="2:8" ht="18" x14ac:dyDescent="0.25">
      <c r="B2021" s="87" t="s">
        <v>83</v>
      </c>
      <c r="C2021" s="87"/>
      <c r="D2021" s="110" t="e">
        <f>+'RES CUENTA'!#REF!</f>
        <v>#REF!</v>
      </c>
      <c r="E2021" s="111">
        <f>+'RES CUENTA'!N1119</f>
        <v>0</v>
      </c>
      <c r="F2021" s="106" t="e">
        <f>+D2021</f>
        <v>#REF!</v>
      </c>
      <c r="G2021" s="91"/>
      <c r="H2021" s="91"/>
    </row>
    <row r="2022" spans="2:8" ht="18" x14ac:dyDescent="0.25">
      <c r="B2022" s="87" t="s">
        <v>84</v>
      </c>
      <c r="C2022" s="87"/>
      <c r="D2022" s="110" t="e">
        <f>+'RES CUENTA'!#REF!</f>
        <v>#REF!</v>
      </c>
      <c r="E2022" s="111">
        <f>+'RES CUENTA'!P1118</f>
        <v>0</v>
      </c>
      <c r="F2022" s="106" t="e">
        <f>+D2022</f>
        <v>#REF!</v>
      </c>
      <c r="G2022" s="91"/>
      <c r="H2022" s="91"/>
    </row>
    <row r="2023" spans="2:8" ht="18" x14ac:dyDescent="0.25">
      <c r="B2023" s="88"/>
      <c r="C2023" s="87"/>
      <c r="D2023" s="87"/>
      <c r="F2023" s="107" t="e">
        <f>SUM(F2019:F2022)</f>
        <v>#REF!</v>
      </c>
      <c r="G2023" s="91"/>
      <c r="H2023" s="91"/>
    </row>
    <row r="2024" spans="2:8" ht="18" x14ac:dyDescent="0.25">
      <c r="B2024" s="88"/>
      <c r="C2024" s="87"/>
      <c r="D2024" s="87"/>
      <c r="F2024" s="107"/>
      <c r="G2024" s="91"/>
      <c r="H2024" s="91"/>
    </row>
    <row r="2025" spans="2:8" ht="18" x14ac:dyDescent="0.25">
      <c r="B2025" s="88"/>
      <c r="C2025" s="87"/>
      <c r="D2025" s="87"/>
      <c r="F2025" s="93"/>
      <c r="G2025" s="91"/>
      <c r="H2025" s="92"/>
    </row>
    <row r="2026" spans="2:8" ht="18" x14ac:dyDescent="0.25">
      <c r="B2026" s="87"/>
      <c r="C2026" s="87"/>
      <c r="D2026" s="87"/>
      <c r="E2026" s="87"/>
      <c r="F2026" s="94"/>
      <c r="G2026" s="92"/>
      <c r="H2026" s="92"/>
    </row>
    <row r="2027" spans="2:8" ht="18" x14ac:dyDescent="0.25">
      <c r="B2027" s="87"/>
      <c r="C2027" s="87"/>
      <c r="D2027" s="87"/>
      <c r="E2027" s="87"/>
      <c r="F2027" s="94"/>
      <c r="G2027" s="92"/>
      <c r="H2027" s="92"/>
    </row>
    <row r="2028" spans="2:8" ht="18" x14ac:dyDescent="0.25">
      <c r="B2028" s="87"/>
      <c r="C2028" s="87"/>
      <c r="D2028" s="87"/>
      <c r="E2028" s="87"/>
      <c r="F2028" s="94"/>
      <c r="G2028" s="92"/>
      <c r="H2028" s="87"/>
    </row>
    <row r="2029" spans="2:8" ht="18" x14ac:dyDescent="0.25">
      <c r="B2029" s="87" t="e">
        <f>+B2014</f>
        <v>#REF!</v>
      </c>
      <c r="C2029" s="87"/>
      <c r="D2029" s="87"/>
      <c r="E2029" s="87" t="e">
        <f>+B2014</f>
        <v>#REF!</v>
      </c>
      <c r="F2029" s="87"/>
      <c r="G2029" s="87"/>
      <c r="H2029" s="104"/>
    </row>
    <row r="2030" spans="2:8" ht="18" x14ac:dyDescent="0.25">
      <c r="B2030" s="88"/>
      <c r="C2030" s="87"/>
      <c r="D2030" s="87"/>
      <c r="F2030" s="87"/>
      <c r="G2030" s="104"/>
      <c r="H2030" s="95" t="str">
        <f>+H2015</f>
        <v>Unid. 54</v>
      </c>
    </row>
    <row r="2031" spans="2:8" ht="18" x14ac:dyDescent="0.25">
      <c r="B2031" s="87" t="str">
        <f>+$E$1</f>
        <v>URUGUAY 1025/27/29 CAP. FED.</v>
      </c>
      <c r="C2031" s="87"/>
      <c r="D2031" s="95" t="str">
        <f>+H2030</f>
        <v>Unid. 54</v>
      </c>
      <c r="E2031" s="87" t="str">
        <f>+$E$1</f>
        <v>URUGUAY 1025/27/29 CAP. FED.</v>
      </c>
      <c r="F2031" s="87"/>
      <c r="G2031" s="87"/>
      <c r="H2031" s="88"/>
    </row>
    <row r="2032" spans="2:8" ht="18" x14ac:dyDescent="0.25">
      <c r="B2032" s="88"/>
      <c r="C2032" s="88"/>
      <c r="D2032" s="88"/>
      <c r="F2032" s="87"/>
      <c r="G2032" s="87"/>
    </row>
    <row r="2033" spans="2:8" ht="18" x14ac:dyDescent="0.25">
      <c r="B2033" s="87"/>
      <c r="C2033" s="87"/>
      <c r="D2033" s="87"/>
      <c r="E2033" s="88"/>
      <c r="F2033" s="87"/>
      <c r="G2033" s="87"/>
      <c r="H2033" s="104"/>
    </row>
    <row r="2034" spans="2:8" ht="18" x14ac:dyDescent="0.25">
      <c r="B2034" s="87" t="e">
        <f>+$E$2</f>
        <v>#REF!</v>
      </c>
      <c r="C2034" s="87"/>
      <c r="D2034" s="87"/>
      <c r="E2034" s="87"/>
      <c r="F2034" s="98"/>
      <c r="G2034" s="88"/>
      <c r="H2034" s="87"/>
    </row>
    <row r="2035" spans="2:8" ht="18" x14ac:dyDescent="0.25">
      <c r="B2035" s="87" t="e">
        <f>+$E$3</f>
        <v>#REF!</v>
      </c>
      <c r="C2035" s="87"/>
      <c r="D2035" s="87"/>
      <c r="E2035" s="98"/>
      <c r="G2035" s="96"/>
      <c r="H2035" s="97"/>
    </row>
    <row r="2036" spans="2:8" ht="18" x14ac:dyDescent="0.25">
      <c r="B2036" s="88"/>
      <c r="C2036" s="87"/>
      <c r="D2036" s="87"/>
      <c r="E2036" s="87" t="s">
        <v>85</v>
      </c>
      <c r="F2036" s="109" t="e">
        <f>+F2019</f>
        <v>#REF!</v>
      </c>
      <c r="G2036" s="97"/>
      <c r="H2036" s="102">
        <f>+B2040</f>
        <v>46183</v>
      </c>
    </row>
    <row r="2037" spans="2:8" ht="18" x14ac:dyDescent="0.25">
      <c r="B2037" s="88"/>
      <c r="C2037" s="87"/>
      <c r="D2037" s="87"/>
      <c r="E2037" s="87" t="s">
        <v>193</v>
      </c>
      <c r="F2037" s="109" t="e">
        <f>+F2020</f>
        <v>#REF!</v>
      </c>
      <c r="H2037" s="87"/>
    </row>
    <row r="2038" spans="2:8" ht="18" x14ac:dyDescent="0.25">
      <c r="B2038" s="87"/>
      <c r="C2038" s="87"/>
      <c r="D2038" s="87"/>
      <c r="E2038" s="87" t="s">
        <v>86</v>
      </c>
      <c r="F2038" s="109" t="e">
        <f>+F2021</f>
        <v>#REF!</v>
      </c>
      <c r="G2038" s="87"/>
      <c r="H2038" s="87"/>
    </row>
    <row r="2039" spans="2:8" ht="18" x14ac:dyDescent="0.25">
      <c r="B2039" s="98"/>
      <c r="C2039" s="98"/>
      <c r="D2039" s="98"/>
      <c r="E2039" s="87" t="s">
        <v>87</v>
      </c>
      <c r="F2039" s="109" t="e">
        <f>+F2022</f>
        <v>#REF!</v>
      </c>
      <c r="G2039" s="87"/>
      <c r="H2039" s="87"/>
    </row>
    <row r="2040" spans="2:8" ht="18" x14ac:dyDescent="0.25">
      <c r="B2040" s="102">
        <f>+$G$34</f>
        <v>46183</v>
      </c>
      <c r="C2040" s="108" t="e">
        <f>+F2023</f>
        <v>#REF!</v>
      </c>
      <c r="D2040" s="87"/>
      <c r="E2040" s="87" t="s">
        <v>321</v>
      </c>
      <c r="F2040" s="109">
        <v>0</v>
      </c>
      <c r="G2040" s="87"/>
      <c r="H2040" s="87"/>
    </row>
    <row r="2041" spans="2:8" ht="18" x14ac:dyDescent="0.25">
      <c r="B2041" s="87"/>
      <c r="C2041" s="87"/>
      <c r="D2041" s="87"/>
      <c r="E2041" s="87" t="s">
        <v>88</v>
      </c>
      <c r="F2041" s="109" t="e">
        <f>+F2023</f>
        <v>#REF!</v>
      </c>
      <c r="G2041" s="87"/>
      <c r="H2041" s="87"/>
    </row>
    <row r="2042" spans="2:8" ht="18" x14ac:dyDescent="0.25">
      <c r="B2042" s="87"/>
      <c r="C2042" s="87"/>
      <c r="D2042" s="87"/>
      <c r="E2042" s="87"/>
      <c r="F2042" s="87"/>
      <c r="G2042" s="87"/>
      <c r="H2042" s="87"/>
    </row>
    <row r="2043" spans="2:8" ht="18" x14ac:dyDescent="0.25">
      <c r="B2043" s="87"/>
      <c r="C2043" s="87"/>
      <c r="D2043" s="87"/>
      <c r="E2043" s="105"/>
      <c r="F2043" s="87"/>
      <c r="G2043" s="87"/>
      <c r="H2043" s="87"/>
    </row>
    <row r="2044" spans="2:8" ht="18" x14ac:dyDescent="0.25">
      <c r="B2044" s="87"/>
      <c r="C2044" s="87"/>
      <c r="D2044" s="87"/>
      <c r="E2044" s="87"/>
      <c r="F2044" s="87"/>
      <c r="G2044" s="87"/>
      <c r="H2044" s="96"/>
    </row>
    <row r="2045" spans="2:8" ht="18" x14ac:dyDescent="0.25">
      <c r="E2045" s="87"/>
      <c r="G2045" s="96"/>
      <c r="H2045" s="87"/>
    </row>
    <row r="2047" spans="2:8" ht="18" x14ac:dyDescent="0.25">
      <c r="B2047" s="335"/>
      <c r="C2047" s="335"/>
      <c r="D2047" s="335"/>
      <c r="E2047" s="340">
        <f>+$B$1</f>
        <v>46143</v>
      </c>
      <c r="F2047" s="87"/>
      <c r="G2047" s="341">
        <f>+$D$1</f>
        <v>46183</v>
      </c>
      <c r="H2047" s="87"/>
    </row>
    <row r="2048" spans="2:8" ht="18" x14ac:dyDescent="0.25">
      <c r="B2048" s="86"/>
      <c r="C2048" s="86"/>
      <c r="D2048" s="103"/>
      <c r="E2048" s="340"/>
      <c r="F2048" s="87"/>
      <c r="G2048" s="341"/>
      <c r="H2048" s="87"/>
    </row>
    <row r="2049" spans="2:8" ht="18" x14ac:dyDescent="0.25">
      <c r="B2049" s="87"/>
      <c r="C2049" s="87"/>
      <c r="D2049" s="87"/>
      <c r="E2049" s="88"/>
      <c r="F2049" s="87"/>
      <c r="G2049" s="88"/>
      <c r="H2049" s="87"/>
    </row>
    <row r="2050" spans="2:8" ht="18" x14ac:dyDescent="0.25">
      <c r="B2050" s="87" t="e">
        <f>+#REF!</f>
        <v>#REF!</v>
      </c>
      <c r="C2050" s="87"/>
      <c r="D2050" s="87"/>
      <c r="E2050" s="88"/>
      <c r="F2050" s="87"/>
      <c r="G2050" s="88"/>
      <c r="H2050" s="87"/>
    </row>
    <row r="2051" spans="2:8" ht="18" x14ac:dyDescent="0.25">
      <c r="B2051" s="88"/>
      <c r="C2051" s="87"/>
      <c r="D2051" s="87"/>
      <c r="E2051" s="87" t="s">
        <v>81</v>
      </c>
      <c r="F2051" s="87"/>
      <c r="G2051" s="87"/>
      <c r="H2051" s="95" t="s">
        <v>138</v>
      </c>
    </row>
    <row r="2052" spans="2:8" ht="18" x14ac:dyDescent="0.25">
      <c r="B2052" s="87"/>
      <c r="C2052" s="87"/>
      <c r="D2052" s="87"/>
      <c r="E2052" s="88"/>
      <c r="F2052" s="88"/>
      <c r="G2052" s="87"/>
      <c r="H2052" s="88"/>
    </row>
    <row r="2053" spans="2:8" ht="18" x14ac:dyDescent="0.25">
      <c r="B2053" s="96"/>
      <c r="C2053" s="87"/>
      <c r="D2053" s="96"/>
      <c r="E2053" s="87"/>
      <c r="F2053" s="87"/>
      <c r="G2053" s="87"/>
      <c r="H2053" s="87"/>
    </row>
    <row r="2054" spans="2:8" ht="18" x14ac:dyDescent="0.25">
      <c r="B2054" s="96"/>
      <c r="C2054" s="87"/>
      <c r="D2054" s="96"/>
      <c r="E2054" s="87"/>
      <c r="F2054" s="87"/>
      <c r="G2054" s="87"/>
      <c r="H2054" s="87"/>
    </row>
    <row r="2055" spans="2:8" ht="18" x14ac:dyDescent="0.25">
      <c r="B2055" s="87" t="s">
        <v>82</v>
      </c>
      <c r="C2055" s="87"/>
      <c r="D2055" s="110">
        <f>+'RES CUENTA'!$H$26</f>
        <v>6751880</v>
      </c>
      <c r="E2055" s="111" t="e">
        <f>+'RES CUENTA'!#REF!</f>
        <v>#REF!</v>
      </c>
      <c r="F2055" s="106" t="e">
        <f>+D2055*E2055/100</f>
        <v>#REF!</v>
      </c>
      <c r="G2055" s="339"/>
      <c r="H2055" s="339"/>
    </row>
    <row r="2056" spans="2:8" ht="18" x14ac:dyDescent="0.25">
      <c r="B2056" s="87" t="s">
        <v>194</v>
      </c>
      <c r="C2056" s="87"/>
      <c r="D2056" s="110" t="e">
        <f>+'RES CUENTA'!#REF!</f>
        <v>#REF!</v>
      </c>
      <c r="E2056" s="111" t="e">
        <f>+'RES CUENTA'!#REF!</f>
        <v>#REF!</v>
      </c>
      <c r="F2056" s="106" t="e">
        <f>+D2056*E2056/100</f>
        <v>#REF!</v>
      </c>
      <c r="G2056" s="336"/>
      <c r="H2056" s="336"/>
    </row>
    <row r="2057" spans="2:8" ht="18" x14ac:dyDescent="0.25">
      <c r="B2057" s="87" t="s">
        <v>83</v>
      </c>
      <c r="C2057" s="87"/>
      <c r="D2057" s="110" t="e">
        <f>+'RES CUENTA'!#REF!</f>
        <v>#REF!</v>
      </c>
      <c r="E2057" s="111">
        <v>0</v>
      </c>
      <c r="F2057" s="106" t="e">
        <f>+D2057</f>
        <v>#REF!</v>
      </c>
      <c r="G2057" s="336"/>
      <c r="H2057" s="336"/>
    </row>
    <row r="2058" spans="2:8" ht="18" x14ac:dyDescent="0.25">
      <c r="B2058" s="87" t="s">
        <v>84</v>
      </c>
      <c r="C2058" s="87"/>
      <c r="D2058" s="110" t="e">
        <f>+'RES CUENTA'!#REF!</f>
        <v>#REF!</v>
      </c>
      <c r="E2058" s="111">
        <v>0</v>
      </c>
      <c r="F2058" s="106" t="e">
        <f>+D2058</f>
        <v>#REF!</v>
      </c>
      <c r="G2058" s="336"/>
      <c r="H2058" s="336"/>
    </row>
    <row r="2059" spans="2:8" ht="18" x14ac:dyDescent="0.25">
      <c r="B2059" s="88"/>
      <c r="C2059" s="87"/>
      <c r="D2059" s="87"/>
      <c r="E2059" s="94"/>
      <c r="F2059" s="107" t="e">
        <f>SUM(F2055:F2058)</f>
        <v>#REF!</v>
      </c>
      <c r="G2059" s="336"/>
      <c r="H2059" s="336"/>
    </row>
    <row r="2060" spans="2:8" ht="18" x14ac:dyDescent="0.25">
      <c r="B2060" s="88"/>
      <c r="C2060" s="87"/>
      <c r="D2060" s="87"/>
      <c r="E2060" s="94"/>
      <c r="F2060" s="107"/>
      <c r="G2060" s="91"/>
      <c r="H2060" s="91"/>
    </row>
    <row r="2061" spans="2:8" ht="18" x14ac:dyDescent="0.25">
      <c r="B2061" s="88"/>
      <c r="C2061" s="87"/>
      <c r="D2061" s="87"/>
      <c r="E2061" s="87"/>
      <c r="G2061" s="337"/>
      <c r="H2061" s="337"/>
    </row>
    <row r="2062" spans="2:8" ht="18" x14ac:dyDescent="0.25">
      <c r="B2062" s="87"/>
      <c r="C2062" s="87"/>
      <c r="D2062" s="87"/>
      <c r="E2062" s="87"/>
      <c r="F2062" s="93"/>
      <c r="G2062" s="92"/>
      <c r="H2062" s="92"/>
    </row>
    <row r="2063" spans="2:8" ht="18" x14ac:dyDescent="0.25">
      <c r="B2063" s="87"/>
      <c r="C2063" s="87"/>
      <c r="D2063" s="87"/>
      <c r="E2063" s="87"/>
      <c r="F2063" s="94"/>
      <c r="G2063" s="87"/>
      <c r="H2063" s="87"/>
    </row>
    <row r="2064" spans="2:8" ht="18" x14ac:dyDescent="0.25">
      <c r="B2064" s="87"/>
      <c r="C2064" s="87"/>
      <c r="D2064" s="87"/>
      <c r="E2064" s="87"/>
      <c r="F2064" s="94"/>
      <c r="G2064" s="87"/>
      <c r="H2064" s="87"/>
    </row>
    <row r="2065" spans="2:8" ht="18" x14ac:dyDescent="0.25">
      <c r="B2065" s="87" t="e">
        <f>+B2050</f>
        <v>#REF!</v>
      </c>
      <c r="C2065" s="338"/>
      <c r="D2065" s="338"/>
      <c r="E2065" s="87" t="e">
        <f>+B2065</f>
        <v>#REF!</v>
      </c>
      <c r="F2065" s="94"/>
      <c r="G2065" s="87"/>
      <c r="H2065" s="87"/>
    </row>
    <row r="2066" spans="2:8" ht="18" x14ac:dyDescent="0.25">
      <c r="C2066" s="87"/>
      <c r="D2066" s="87"/>
      <c r="F2066" s="338"/>
      <c r="G2066" s="338"/>
      <c r="H2066" s="338"/>
    </row>
    <row r="2067" spans="2:8" ht="18" x14ac:dyDescent="0.25">
      <c r="B2067" s="87" t="str">
        <f>+$E$1</f>
        <v>URUGUAY 1025/27/29 CAP. FED.</v>
      </c>
      <c r="C2067" s="87"/>
      <c r="D2067" s="95" t="str">
        <f>+H2051</f>
        <v>Unid. 55</v>
      </c>
      <c r="E2067" s="87" t="str">
        <f>+$E$1</f>
        <v>URUGUAY 1025/27/29 CAP. FED.</v>
      </c>
      <c r="F2067" s="87"/>
      <c r="G2067" s="87"/>
      <c r="H2067" s="95" t="str">
        <f>+D2067</f>
        <v>Unid. 55</v>
      </c>
    </row>
    <row r="2068" spans="2:8" ht="18" x14ac:dyDescent="0.25">
      <c r="H2068" s="88"/>
    </row>
    <row r="2069" spans="2:8" ht="18" x14ac:dyDescent="0.25">
      <c r="B2069" s="88"/>
      <c r="C2069" s="88"/>
      <c r="D2069" s="88"/>
      <c r="E2069" s="88"/>
      <c r="F2069" s="87"/>
      <c r="G2069" s="87"/>
    </row>
    <row r="2070" spans="2:8" ht="18" x14ac:dyDescent="0.25">
      <c r="B2070" s="87" t="e">
        <f>+$E$2</f>
        <v>#REF!</v>
      </c>
      <c r="C2070" s="87"/>
      <c r="D2070" s="87"/>
      <c r="E2070" s="87"/>
      <c r="F2070" s="87"/>
      <c r="G2070" s="88"/>
      <c r="H2070" s="104"/>
    </row>
    <row r="2071" spans="2:8" ht="18" x14ac:dyDescent="0.25">
      <c r="B2071" s="87" t="e">
        <f>+$E$3</f>
        <v>#REF!</v>
      </c>
      <c r="C2071" s="87"/>
      <c r="D2071" s="87"/>
      <c r="E2071" s="98"/>
      <c r="F2071" s="87"/>
      <c r="G2071" s="96"/>
      <c r="H2071" s="87"/>
    </row>
    <row r="2072" spans="2:8" ht="18" x14ac:dyDescent="0.25">
      <c r="C2072" s="87"/>
      <c r="D2072" s="87"/>
      <c r="E2072" s="87" t="s">
        <v>85</v>
      </c>
      <c r="F2072" s="109" t="e">
        <f>+F2055</f>
        <v>#REF!</v>
      </c>
      <c r="H2072" s="102">
        <f>+B2077</f>
        <v>46183</v>
      </c>
    </row>
    <row r="2073" spans="2:8" ht="18" x14ac:dyDescent="0.25">
      <c r="B2073" s="88"/>
      <c r="C2073" s="87"/>
      <c r="D2073" s="87"/>
      <c r="E2073" s="87" t="s">
        <v>193</v>
      </c>
      <c r="F2073" s="109" t="e">
        <f>+F2056</f>
        <v>#REF!</v>
      </c>
    </row>
    <row r="2074" spans="2:8" ht="18" x14ac:dyDescent="0.25">
      <c r="B2074" s="88"/>
      <c r="C2074" s="87"/>
      <c r="D2074" s="87"/>
      <c r="E2074" s="87" t="s">
        <v>86</v>
      </c>
      <c r="F2074" s="109" t="e">
        <f>+F2057</f>
        <v>#REF!</v>
      </c>
      <c r="G2074" s="87"/>
      <c r="H2074" s="87"/>
    </row>
    <row r="2075" spans="2:8" ht="18" x14ac:dyDescent="0.25">
      <c r="B2075" s="87"/>
      <c r="C2075" s="87"/>
      <c r="D2075" s="87"/>
      <c r="E2075" s="87" t="s">
        <v>87</v>
      </c>
      <c r="F2075" s="109" t="e">
        <f>+F2058</f>
        <v>#REF!</v>
      </c>
      <c r="G2075" s="87"/>
      <c r="H2075" s="87"/>
    </row>
    <row r="2076" spans="2:8" ht="18" x14ac:dyDescent="0.25">
      <c r="B2076" s="98"/>
      <c r="C2076" s="98"/>
      <c r="D2076" s="98"/>
      <c r="E2076" s="87" t="s">
        <v>321</v>
      </c>
      <c r="F2076" s="109">
        <v>0</v>
      </c>
      <c r="G2076" s="87"/>
      <c r="H2076" s="87"/>
    </row>
    <row r="2077" spans="2:8" ht="18" x14ac:dyDescent="0.25">
      <c r="B2077" s="102">
        <f>+$G$34</f>
        <v>46183</v>
      </c>
      <c r="C2077" s="108" t="e">
        <f>+F2059</f>
        <v>#REF!</v>
      </c>
      <c r="D2077" s="87"/>
      <c r="E2077" s="87" t="s">
        <v>88</v>
      </c>
      <c r="F2077" s="109" t="e">
        <f>+F2059</f>
        <v>#REF!</v>
      </c>
      <c r="G2077" s="87"/>
      <c r="H2077" s="87"/>
    </row>
    <row r="2078" spans="2:8" ht="18" x14ac:dyDescent="0.25">
      <c r="B2078" s="87"/>
      <c r="C2078" s="87"/>
      <c r="D2078" s="87"/>
      <c r="E2078" s="87"/>
      <c r="F2078" s="87"/>
      <c r="G2078" s="87"/>
      <c r="H2078" s="87"/>
    </row>
    <row r="2079" spans="2:8" ht="18" x14ac:dyDescent="0.25">
      <c r="B2079" s="87"/>
      <c r="C2079" s="87"/>
      <c r="D2079" s="87"/>
      <c r="E2079" s="87"/>
      <c r="F2079" s="87"/>
      <c r="G2079" s="339"/>
      <c r="H2079" s="339"/>
    </row>
    <row r="2080" spans="2:8" ht="18" x14ac:dyDescent="0.25">
      <c r="B2080" s="87"/>
      <c r="C2080" s="87"/>
      <c r="D2080" s="87"/>
      <c r="E2080" s="87"/>
      <c r="F2080" s="87"/>
      <c r="G2080" s="87"/>
      <c r="H2080" s="87"/>
    </row>
    <row r="2081" spans="2:8" ht="18" x14ac:dyDescent="0.25">
      <c r="B2081" s="87"/>
      <c r="C2081" s="87"/>
      <c r="D2081" s="87"/>
      <c r="E2081" s="87"/>
      <c r="F2081" s="87"/>
      <c r="G2081" s="87"/>
      <c r="H2081" s="87"/>
    </row>
    <row r="2082" spans="2:8" ht="18" x14ac:dyDescent="0.25">
      <c r="B2082" s="87"/>
      <c r="C2082" s="87"/>
      <c r="D2082" s="87"/>
      <c r="E2082" s="87"/>
      <c r="F2082" s="87"/>
      <c r="G2082" s="87"/>
      <c r="H2082" s="87"/>
    </row>
    <row r="2083" spans="2:8" ht="18" x14ac:dyDescent="0.25">
      <c r="B2083" s="87"/>
      <c r="C2083" s="87"/>
      <c r="D2083" s="87"/>
      <c r="E2083" s="87"/>
      <c r="F2083" s="87"/>
      <c r="G2083" s="87"/>
      <c r="H2083" s="87"/>
    </row>
    <row r="2084" spans="2:8" ht="18" x14ac:dyDescent="0.25">
      <c r="B2084" s="87"/>
      <c r="C2084" s="87"/>
      <c r="D2084" s="87"/>
      <c r="E2084" s="87"/>
      <c r="F2084" s="87"/>
      <c r="H2084" s="87"/>
    </row>
    <row r="2085" spans="2:8" ht="18" x14ac:dyDescent="0.25">
      <c r="B2085" s="335"/>
      <c r="C2085" s="335"/>
      <c r="D2085" s="335"/>
      <c r="E2085" s="87"/>
      <c r="F2085" s="87"/>
      <c r="H2085" s="87"/>
    </row>
    <row r="2086" spans="2:8" ht="18" x14ac:dyDescent="0.25">
      <c r="B2086" s="335"/>
      <c r="C2086" s="335"/>
      <c r="D2086" s="335"/>
      <c r="E2086" s="101">
        <f>+$B$1</f>
        <v>46143</v>
      </c>
      <c r="F2086" s="87"/>
      <c r="G2086" s="102">
        <f>+$D$1</f>
        <v>46183</v>
      </c>
      <c r="H2086" s="100"/>
    </row>
    <row r="2087" spans="2:8" ht="18" x14ac:dyDescent="0.25">
      <c r="B2087" s="86"/>
      <c r="C2087" s="86"/>
      <c r="D2087" s="103"/>
      <c r="E2087" s="101"/>
      <c r="F2087" s="87"/>
    </row>
    <row r="2088" spans="2:8" ht="18" x14ac:dyDescent="0.25">
      <c r="B2088" s="87" t="e">
        <f>+#REF!</f>
        <v>#REF!</v>
      </c>
      <c r="C2088" s="87"/>
      <c r="D2088" s="87"/>
      <c r="F2088" s="87"/>
    </row>
    <row r="2089" spans="2:8" ht="18" x14ac:dyDescent="0.25">
      <c r="C2089" s="87"/>
      <c r="D2089" s="87"/>
      <c r="E2089" s="87" t="str">
        <f>+$E$1</f>
        <v>URUGUAY 1025/27/29 CAP. FED.</v>
      </c>
      <c r="F2089" s="87"/>
      <c r="H2089" s="95" t="s">
        <v>139</v>
      </c>
    </row>
    <row r="2090" spans="2:8" ht="18" x14ac:dyDescent="0.25">
      <c r="B2090" s="88"/>
      <c r="C2090" s="87"/>
      <c r="D2090" s="87"/>
      <c r="F2090" s="87"/>
      <c r="G2090" s="88"/>
    </row>
    <row r="2091" spans="2:8" ht="18" x14ac:dyDescent="0.25">
      <c r="B2091" s="87"/>
      <c r="C2091" s="87"/>
      <c r="D2091" s="87"/>
      <c r="E2091" s="88"/>
      <c r="F2091" s="88"/>
      <c r="G2091" s="87"/>
      <c r="H2091" s="88"/>
    </row>
    <row r="2092" spans="2:8" ht="18" x14ac:dyDescent="0.25">
      <c r="B2092" s="96"/>
      <c r="C2092" s="87"/>
      <c r="D2092" s="96"/>
      <c r="E2092" s="87"/>
      <c r="F2092" s="87"/>
      <c r="G2092" s="87"/>
      <c r="H2092" s="87"/>
    </row>
    <row r="2093" spans="2:8" ht="18" x14ac:dyDescent="0.25">
      <c r="B2093" s="87" t="s">
        <v>82</v>
      </c>
      <c r="C2093" s="87"/>
      <c r="D2093" s="110">
        <f>+'RES CUENTA'!$H$26</f>
        <v>6751880</v>
      </c>
      <c r="E2093" s="111" t="e">
        <f>+'RES CUENTA'!#REF!</f>
        <v>#REF!</v>
      </c>
      <c r="F2093" s="106" t="e">
        <f>+D2093*E2093/100</f>
        <v>#REF!</v>
      </c>
      <c r="G2093" s="87"/>
      <c r="H2093" s="96"/>
    </row>
    <row r="2094" spans="2:8" ht="18" x14ac:dyDescent="0.25">
      <c r="B2094" s="87" t="s">
        <v>194</v>
      </c>
      <c r="C2094" s="87"/>
      <c r="D2094" s="110" t="e">
        <f>+'RES CUENTA'!#REF!</f>
        <v>#REF!</v>
      </c>
      <c r="E2094" s="111" t="e">
        <f>+'RES CUENTA'!#REF!</f>
        <v>#REF!</v>
      </c>
      <c r="F2094" s="106" t="e">
        <f>+D2094*E2094/100</f>
        <v>#REF!</v>
      </c>
      <c r="G2094" s="96"/>
      <c r="H2094" s="91"/>
    </row>
    <row r="2095" spans="2:8" ht="18" x14ac:dyDescent="0.25">
      <c r="B2095" s="87" t="s">
        <v>83</v>
      </c>
      <c r="C2095" s="87"/>
      <c r="D2095" s="110" t="e">
        <f>+'RES CUENTA'!#REF!</f>
        <v>#REF!</v>
      </c>
      <c r="E2095" s="111">
        <f>+'RES CUENTA'!N1195</f>
        <v>0</v>
      </c>
      <c r="F2095" s="106" t="e">
        <f>+D2095</f>
        <v>#REF!</v>
      </c>
      <c r="G2095" s="91"/>
      <c r="H2095" s="91"/>
    </row>
    <row r="2096" spans="2:8" ht="18" x14ac:dyDescent="0.25">
      <c r="B2096" s="87" t="s">
        <v>84</v>
      </c>
      <c r="C2096" s="87"/>
      <c r="D2096" s="110" t="e">
        <f>+'RES CUENTA'!#REF!</f>
        <v>#REF!</v>
      </c>
      <c r="E2096" s="111">
        <f>+'RES CUENTA'!P1194</f>
        <v>0</v>
      </c>
      <c r="F2096" s="106" t="e">
        <f>+D2096</f>
        <v>#REF!</v>
      </c>
      <c r="G2096" s="91"/>
      <c r="H2096" s="91"/>
    </row>
    <row r="2097" spans="2:8" ht="18" x14ac:dyDescent="0.25">
      <c r="B2097" s="88"/>
      <c r="C2097" s="87"/>
      <c r="D2097" s="87"/>
      <c r="F2097" s="107" t="e">
        <f>SUM(F2093:F2096)</f>
        <v>#REF!</v>
      </c>
      <c r="G2097" s="91"/>
      <c r="H2097" s="91"/>
    </row>
    <row r="2098" spans="2:8" ht="18" x14ac:dyDescent="0.25">
      <c r="B2098" s="88"/>
      <c r="C2098" s="87"/>
      <c r="D2098" s="87"/>
      <c r="F2098" s="93"/>
      <c r="G2098" s="91"/>
      <c r="H2098" s="92"/>
    </row>
    <row r="2099" spans="2:8" ht="18" x14ac:dyDescent="0.25">
      <c r="B2099" s="88"/>
      <c r="C2099" s="87"/>
      <c r="D2099" s="87"/>
      <c r="F2099" s="93"/>
      <c r="G2099" s="91"/>
      <c r="H2099" s="92"/>
    </row>
    <row r="2100" spans="2:8" ht="18" x14ac:dyDescent="0.25">
      <c r="B2100" s="87"/>
      <c r="C2100" s="87"/>
      <c r="D2100" s="87"/>
      <c r="E2100" s="87"/>
      <c r="F2100" s="94"/>
      <c r="G2100" s="92"/>
      <c r="H2100" s="92"/>
    </row>
    <row r="2101" spans="2:8" ht="18" x14ac:dyDescent="0.25">
      <c r="B2101" s="87"/>
      <c r="C2101" s="87"/>
      <c r="D2101" s="87"/>
      <c r="E2101" s="87"/>
      <c r="F2101" s="94"/>
      <c r="G2101" s="92"/>
      <c r="H2101" s="92"/>
    </row>
    <row r="2102" spans="2:8" ht="18" x14ac:dyDescent="0.25">
      <c r="B2102" s="87"/>
      <c r="C2102" s="87"/>
      <c r="D2102" s="87"/>
      <c r="E2102" s="87"/>
      <c r="F2102" s="94"/>
      <c r="G2102" s="92"/>
      <c r="H2102" s="87"/>
    </row>
    <row r="2103" spans="2:8" ht="18" x14ac:dyDescent="0.25">
      <c r="B2103" s="87" t="e">
        <f>+B2088</f>
        <v>#REF!</v>
      </c>
      <c r="C2103" s="87"/>
      <c r="D2103" s="87"/>
      <c r="E2103" s="87" t="e">
        <f>+B2088</f>
        <v>#REF!</v>
      </c>
      <c r="F2103" s="87"/>
      <c r="G2103" s="87"/>
      <c r="H2103" s="104"/>
    </row>
    <row r="2104" spans="2:8" ht="18" x14ac:dyDescent="0.25">
      <c r="B2104" s="88"/>
      <c r="C2104" s="87"/>
      <c r="D2104" s="87"/>
      <c r="F2104" s="87"/>
      <c r="G2104" s="104"/>
      <c r="H2104" s="95" t="str">
        <f>+H2089</f>
        <v>Unid. 56</v>
      </c>
    </row>
    <row r="2105" spans="2:8" ht="18" x14ac:dyDescent="0.25">
      <c r="B2105" s="87" t="str">
        <f>+$E$1</f>
        <v>URUGUAY 1025/27/29 CAP. FED.</v>
      </c>
      <c r="C2105" s="87"/>
      <c r="D2105" s="95" t="str">
        <f>+H2104</f>
        <v>Unid. 56</v>
      </c>
      <c r="E2105" s="87" t="str">
        <f>+$E$1</f>
        <v>URUGUAY 1025/27/29 CAP. FED.</v>
      </c>
      <c r="F2105" s="87"/>
      <c r="G2105" s="87"/>
      <c r="H2105" s="88"/>
    </row>
    <row r="2106" spans="2:8" ht="18" x14ac:dyDescent="0.25">
      <c r="B2106" s="88"/>
      <c r="C2106" s="88"/>
      <c r="D2106" s="88"/>
      <c r="F2106" s="87"/>
      <c r="G2106" s="87"/>
    </row>
    <row r="2107" spans="2:8" ht="18" x14ac:dyDescent="0.25">
      <c r="B2107" s="87"/>
      <c r="C2107" s="87"/>
      <c r="D2107" s="87"/>
      <c r="E2107" s="88"/>
      <c r="F2107" s="87"/>
      <c r="G2107" s="87"/>
      <c r="H2107" s="104"/>
    </row>
    <row r="2108" spans="2:8" ht="18" x14ac:dyDescent="0.25">
      <c r="B2108" s="87" t="e">
        <f>+$E$2</f>
        <v>#REF!</v>
      </c>
      <c r="C2108" s="87"/>
      <c r="D2108" s="87"/>
      <c r="E2108" s="87"/>
      <c r="F2108" s="98"/>
      <c r="G2108" s="88"/>
      <c r="H2108" s="87"/>
    </row>
    <row r="2109" spans="2:8" ht="18" x14ac:dyDescent="0.25">
      <c r="B2109" s="87" t="e">
        <f>+$E$3</f>
        <v>#REF!</v>
      </c>
      <c r="C2109" s="87"/>
      <c r="D2109" s="87"/>
      <c r="E2109" s="98"/>
      <c r="G2109" s="96"/>
      <c r="H2109" s="97"/>
    </row>
    <row r="2110" spans="2:8" ht="18" x14ac:dyDescent="0.25">
      <c r="B2110" s="88"/>
      <c r="C2110" s="87"/>
      <c r="D2110" s="87"/>
      <c r="E2110" s="87" t="s">
        <v>85</v>
      </c>
      <c r="F2110" s="109" t="e">
        <f>+F2093</f>
        <v>#REF!</v>
      </c>
      <c r="G2110" s="97"/>
      <c r="H2110" s="102">
        <f>+B2114</f>
        <v>46183</v>
      </c>
    </row>
    <row r="2111" spans="2:8" ht="18" x14ac:dyDescent="0.25">
      <c r="B2111" s="88"/>
      <c r="C2111" s="87"/>
      <c r="D2111" s="87"/>
      <c r="E2111" s="87" t="s">
        <v>193</v>
      </c>
      <c r="F2111" s="109" t="e">
        <f>+F2094</f>
        <v>#REF!</v>
      </c>
      <c r="H2111" s="87"/>
    </row>
    <row r="2112" spans="2:8" ht="18" x14ac:dyDescent="0.25">
      <c r="B2112" s="87"/>
      <c r="C2112" s="87"/>
      <c r="D2112" s="87"/>
      <c r="E2112" s="87" t="s">
        <v>86</v>
      </c>
      <c r="F2112" s="109" t="e">
        <f>+F2095</f>
        <v>#REF!</v>
      </c>
      <c r="G2112" s="87"/>
      <c r="H2112" s="87"/>
    </row>
    <row r="2113" spans="2:8" ht="18" x14ac:dyDescent="0.25">
      <c r="B2113" s="98"/>
      <c r="C2113" s="98"/>
      <c r="D2113" s="98"/>
      <c r="E2113" s="87" t="s">
        <v>87</v>
      </c>
      <c r="F2113" s="109" t="e">
        <f>+F2096</f>
        <v>#REF!</v>
      </c>
      <c r="G2113" s="87"/>
      <c r="H2113" s="87"/>
    </row>
    <row r="2114" spans="2:8" ht="18" x14ac:dyDescent="0.25">
      <c r="B2114" s="102">
        <f>+$G$34</f>
        <v>46183</v>
      </c>
      <c r="C2114" s="108" t="e">
        <f>+F2097</f>
        <v>#REF!</v>
      </c>
      <c r="D2114" s="87"/>
      <c r="E2114" s="87" t="s">
        <v>321</v>
      </c>
      <c r="F2114" s="109">
        <v>0</v>
      </c>
      <c r="G2114" s="87"/>
      <c r="H2114" s="87"/>
    </row>
    <row r="2115" spans="2:8" ht="18" x14ac:dyDescent="0.25">
      <c r="B2115" s="87"/>
      <c r="C2115" s="87"/>
      <c r="D2115" s="87"/>
      <c r="E2115" s="87" t="s">
        <v>88</v>
      </c>
      <c r="F2115" s="109" t="e">
        <f>+F2097</f>
        <v>#REF!</v>
      </c>
      <c r="G2115" s="87"/>
      <c r="H2115" s="87"/>
    </row>
    <row r="2116" spans="2:8" ht="18" x14ac:dyDescent="0.25">
      <c r="B2116" s="87"/>
      <c r="C2116" s="87"/>
      <c r="D2116" s="87"/>
      <c r="E2116" s="87"/>
      <c r="F2116" s="87"/>
      <c r="G2116" s="87"/>
      <c r="H2116" s="87"/>
    </row>
    <row r="2117" spans="2:8" ht="18" x14ac:dyDescent="0.25">
      <c r="B2117" s="87"/>
      <c r="C2117" s="87"/>
      <c r="D2117" s="87"/>
      <c r="E2117" s="105"/>
      <c r="F2117" s="87"/>
      <c r="G2117" s="87"/>
      <c r="H2117" s="87"/>
    </row>
    <row r="2118" spans="2:8" ht="18" x14ac:dyDescent="0.25">
      <c r="B2118" s="87"/>
      <c r="C2118" s="87"/>
      <c r="D2118" s="87"/>
      <c r="E2118" s="87"/>
      <c r="F2118" s="87"/>
      <c r="G2118" s="87"/>
      <c r="H2118" s="96"/>
    </row>
    <row r="2119" spans="2:8" ht="18" x14ac:dyDescent="0.25">
      <c r="E2119" s="87"/>
      <c r="G2119" s="96"/>
      <c r="H2119" s="87"/>
    </row>
    <row r="2121" spans="2:8" ht="18" x14ac:dyDescent="0.25">
      <c r="B2121" s="335"/>
      <c r="C2121" s="335"/>
      <c r="D2121" s="335"/>
      <c r="E2121" s="340">
        <f>+$B$1</f>
        <v>46143</v>
      </c>
      <c r="F2121" s="87"/>
      <c r="G2121" s="341">
        <f>+$D$1</f>
        <v>46183</v>
      </c>
      <c r="H2121" s="87"/>
    </row>
    <row r="2122" spans="2:8" ht="18" x14ac:dyDescent="0.25">
      <c r="B2122" s="86"/>
      <c r="C2122" s="86"/>
      <c r="D2122" s="103"/>
      <c r="E2122" s="340"/>
      <c r="F2122" s="87"/>
      <c r="G2122" s="341"/>
      <c r="H2122" s="87"/>
    </row>
    <row r="2123" spans="2:8" ht="18" x14ac:dyDescent="0.25">
      <c r="B2123" s="87"/>
      <c r="C2123" s="87"/>
      <c r="D2123" s="87"/>
      <c r="E2123" s="88"/>
      <c r="F2123" s="87"/>
      <c r="G2123" s="88"/>
      <c r="H2123" s="87"/>
    </row>
    <row r="2124" spans="2:8" ht="18" x14ac:dyDescent="0.25">
      <c r="B2124" s="87" t="e">
        <f>+#REF!</f>
        <v>#REF!</v>
      </c>
      <c r="C2124" s="87"/>
      <c r="D2124" s="87"/>
      <c r="E2124" s="88"/>
      <c r="F2124" s="87"/>
      <c r="G2124" s="88"/>
      <c r="H2124" s="87"/>
    </row>
    <row r="2125" spans="2:8" ht="18" x14ac:dyDescent="0.25">
      <c r="B2125" s="88"/>
      <c r="C2125" s="87"/>
      <c r="D2125" s="87"/>
      <c r="E2125" s="87" t="s">
        <v>81</v>
      </c>
      <c r="F2125" s="87"/>
      <c r="G2125" s="87"/>
      <c r="H2125" s="95" t="s">
        <v>140</v>
      </c>
    </row>
    <row r="2126" spans="2:8" ht="18" x14ac:dyDescent="0.25">
      <c r="B2126" s="87"/>
      <c r="C2126" s="87"/>
      <c r="D2126" s="87"/>
      <c r="E2126" s="88"/>
      <c r="F2126" s="88"/>
      <c r="G2126" s="87"/>
      <c r="H2126" s="88"/>
    </row>
    <row r="2127" spans="2:8" ht="18" x14ac:dyDescent="0.25">
      <c r="B2127" s="96"/>
      <c r="C2127" s="87"/>
      <c r="D2127" s="96"/>
      <c r="E2127" s="87"/>
      <c r="F2127" s="87"/>
      <c r="G2127" s="87"/>
      <c r="H2127" s="87"/>
    </row>
    <row r="2128" spans="2:8" ht="18" x14ac:dyDescent="0.25">
      <c r="B2128" s="96"/>
      <c r="C2128" s="87"/>
      <c r="D2128" s="96"/>
      <c r="E2128" s="87"/>
      <c r="F2128" s="87"/>
      <c r="G2128" s="87"/>
      <c r="H2128" s="87"/>
    </row>
    <row r="2129" spans="2:8" ht="18" x14ac:dyDescent="0.25">
      <c r="B2129" s="87" t="s">
        <v>82</v>
      </c>
      <c r="C2129" s="87"/>
      <c r="D2129" s="110">
        <f>+'RES CUENTA'!$H$26</f>
        <v>6751880</v>
      </c>
      <c r="E2129" s="111" t="e">
        <f>+'RES CUENTA'!#REF!</f>
        <v>#REF!</v>
      </c>
      <c r="F2129" s="106" t="e">
        <f>+D2129*E2129/100</f>
        <v>#REF!</v>
      </c>
      <c r="G2129" s="339"/>
      <c r="H2129" s="339"/>
    </row>
    <row r="2130" spans="2:8" ht="18" x14ac:dyDescent="0.25">
      <c r="B2130" s="87" t="s">
        <v>194</v>
      </c>
      <c r="C2130" s="87"/>
      <c r="D2130" s="110" t="e">
        <f>+'RES CUENTA'!#REF!</f>
        <v>#REF!</v>
      </c>
      <c r="E2130" s="111" t="e">
        <f>+'RES CUENTA'!#REF!</f>
        <v>#REF!</v>
      </c>
      <c r="F2130" s="106" t="e">
        <f>+D2130*E2130/100</f>
        <v>#REF!</v>
      </c>
      <c r="G2130" s="336"/>
      <c r="H2130" s="336"/>
    </row>
    <row r="2131" spans="2:8" ht="18" x14ac:dyDescent="0.25">
      <c r="B2131" s="87" t="s">
        <v>83</v>
      </c>
      <c r="C2131" s="87"/>
      <c r="D2131" s="110" t="e">
        <f>+'RES CUENTA'!#REF!</f>
        <v>#REF!</v>
      </c>
      <c r="E2131" s="111">
        <v>0</v>
      </c>
      <c r="F2131" s="106" t="e">
        <f>+D2131</f>
        <v>#REF!</v>
      </c>
      <c r="G2131" s="336"/>
      <c r="H2131" s="336"/>
    </row>
    <row r="2132" spans="2:8" ht="18" x14ac:dyDescent="0.25">
      <c r="B2132" s="87" t="s">
        <v>84</v>
      </c>
      <c r="C2132" s="87"/>
      <c r="D2132" s="110" t="e">
        <f>+'RES CUENTA'!#REF!</f>
        <v>#REF!</v>
      </c>
      <c r="E2132" s="111">
        <v>0</v>
      </c>
      <c r="F2132" s="106" t="e">
        <f>+D2132</f>
        <v>#REF!</v>
      </c>
      <c r="G2132" s="336"/>
      <c r="H2132" s="336"/>
    </row>
    <row r="2133" spans="2:8" ht="18" x14ac:dyDescent="0.25">
      <c r="B2133" s="88"/>
      <c r="C2133" s="87"/>
      <c r="D2133" s="87"/>
      <c r="E2133" s="94"/>
      <c r="F2133" s="107" t="e">
        <f>SUM(F2129:F2132)</f>
        <v>#REF!</v>
      </c>
      <c r="G2133" s="336"/>
      <c r="H2133" s="336"/>
    </row>
    <row r="2134" spans="2:8" ht="18" x14ac:dyDescent="0.25">
      <c r="B2134" s="88"/>
      <c r="C2134" s="87"/>
      <c r="D2134" s="87"/>
      <c r="E2134" s="94"/>
      <c r="F2134" s="107"/>
      <c r="G2134" s="91"/>
      <c r="H2134" s="91"/>
    </row>
    <row r="2135" spans="2:8" ht="18" x14ac:dyDescent="0.25">
      <c r="B2135" s="88"/>
      <c r="C2135" s="87"/>
      <c r="D2135" s="87"/>
      <c r="E2135" s="87"/>
      <c r="G2135" s="337"/>
      <c r="H2135" s="337"/>
    </row>
    <row r="2136" spans="2:8" ht="18" x14ac:dyDescent="0.25">
      <c r="B2136" s="87"/>
      <c r="C2136" s="87"/>
      <c r="D2136" s="87"/>
      <c r="E2136" s="87"/>
      <c r="F2136" s="93"/>
      <c r="G2136" s="92"/>
      <c r="H2136" s="92"/>
    </row>
    <row r="2137" spans="2:8" ht="18" x14ac:dyDescent="0.25">
      <c r="B2137" s="87"/>
      <c r="C2137" s="87"/>
      <c r="D2137" s="87"/>
      <c r="E2137" s="87"/>
      <c r="F2137" s="94"/>
      <c r="G2137" s="87"/>
      <c r="H2137" s="87"/>
    </row>
    <row r="2138" spans="2:8" ht="18" x14ac:dyDescent="0.25">
      <c r="B2138" s="87"/>
      <c r="C2138" s="87"/>
      <c r="D2138" s="87"/>
      <c r="E2138" s="87"/>
      <c r="F2138" s="94"/>
      <c r="G2138" s="87"/>
      <c r="H2138" s="87"/>
    </row>
    <row r="2139" spans="2:8" ht="18" x14ac:dyDescent="0.25">
      <c r="B2139" s="87" t="e">
        <f>+B2124</f>
        <v>#REF!</v>
      </c>
      <c r="C2139" s="338"/>
      <c r="D2139" s="338"/>
      <c r="E2139" s="87" t="e">
        <f>+B2139</f>
        <v>#REF!</v>
      </c>
      <c r="F2139" s="94"/>
      <c r="G2139" s="87"/>
      <c r="H2139" s="87"/>
    </row>
    <row r="2140" spans="2:8" ht="18" x14ac:dyDescent="0.25">
      <c r="C2140" s="87"/>
      <c r="D2140" s="87"/>
      <c r="F2140" s="338"/>
      <c r="G2140" s="338"/>
      <c r="H2140" s="338"/>
    </row>
    <row r="2141" spans="2:8" ht="18" x14ac:dyDescent="0.25">
      <c r="B2141" s="87" t="str">
        <f>+$E$1</f>
        <v>URUGUAY 1025/27/29 CAP. FED.</v>
      </c>
      <c r="C2141" s="87"/>
      <c r="D2141" s="95" t="str">
        <f>+H2125</f>
        <v>Unid. 57</v>
      </c>
      <c r="E2141" s="87" t="str">
        <f>+$E$1</f>
        <v>URUGUAY 1025/27/29 CAP. FED.</v>
      </c>
      <c r="F2141" s="87"/>
      <c r="G2141" s="87"/>
      <c r="H2141" s="95" t="str">
        <f>+D2141</f>
        <v>Unid. 57</v>
      </c>
    </row>
    <row r="2142" spans="2:8" ht="18" x14ac:dyDescent="0.25">
      <c r="H2142" s="88"/>
    </row>
    <row r="2143" spans="2:8" ht="18" x14ac:dyDescent="0.25">
      <c r="B2143" s="88"/>
      <c r="C2143" s="88"/>
      <c r="D2143" s="88"/>
      <c r="E2143" s="88"/>
      <c r="F2143" s="87"/>
      <c r="G2143" s="87"/>
    </row>
    <row r="2144" spans="2:8" ht="18" x14ac:dyDescent="0.25">
      <c r="B2144" s="87" t="e">
        <f>+$E$2</f>
        <v>#REF!</v>
      </c>
      <c r="C2144" s="87"/>
      <c r="D2144" s="87"/>
      <c r="E2144" s="87"/>
      <c r="F2144" s="87"/>
      <c r="G2144" s="88"/>
      <c r="H2144" s="104"/>
    </row>
    <row r="2145" spans="2:8" ht="18" x14ac:dyDescent="0.25">
      <c r="B2145" s="87" t="e">
        <f>+$E$3</f>
        <v>#REF!</v>
      </c>
      <c r="C2145" s="87"/>
      <c r="D2145" s="87"/>
      <c r="E2145" s="98"/>
      <c r="F2145" s="87"/>
      <c r="G2145" s="96"/>
      <c r="H2145" s="87"/>
    </row>
    <row r="2146" spans="2:8" ht="18" x14ac:dyDescent="0.25">
      <c r="C2146" s="87"/>
      <c r="D2146" s="87"/>
      <c r="E2146" s="87" t="s">
        <v>85</v>
      </c>
      <c r="F2146" s="109" t="e">
        <f>+F2129</f>
        <v>#REF!</v>
      </c>
      <c r="H2146" s="102">
        <f>+B2151</f>
        <v>46183</v>
      </c>
    </row>
    <row r="2147" spans="2:8" ht="18" x14ac:dyDescent="0.25">
      <c r="B2147" s="88"/>
      <c r="C2147" s="87"/>
      <c r="D2147" s="87"/>
      <c r="E2147" s="87" t="s">
        <v>193</v>
      </c>
      <c r="F2147" s="109" t="e">
        <f>+F2130</f>
        <v>#REF!</v>
      </c>
    </row>
    <row r="2148" spans="2:8" ht="18" x14ac:dyDescent="0.25">
      <c r="B2148" s="88"/>
      <c r="C2148" s="87"/>
      <c r="D2148" s="87"/>
      <c r="E2148" s="87" t="s">
        <v>86</v>
      </c>
      <c r="F2148" s="109" t="e">
        <f>+F2131</f>
        <v>#REF!</v>
      </c>
      <c r="G2148" s="87"/>
      <c r="H2148" s="87"/>
    </row>
    <row r="2149" spans="2:8" ht="18" x14ac:dyDescent="0.25">
      <c r="B2149" s="87"/>
      <c r="C2149" s="87"/>
      <c r="D2149" s="87"/>
      <c r="E2149" s="87" t="s">
        <v>87</v>
      </c>
      <c r="F2149" s="109" t="e">
        <f>+F2132</f>
        <v>#REF!</v>
      </c>
      <c r="G2149" s="87"/>
      <c r="H2149" s="87"/>
    </row>
    <row r="2150" spans="2:8" ht="18" x14ac:dyDescent="0.25">
      <c r="B2150" s="98"/>
      <c r="C2150" s="98"/>
      <c r="D2150" s="98"/>
      <c r="E2150" s="87" t="s">
        <v>321</v>
      </c>
      <c r="F2150" s="109">
        <v>0</v>
      </c>
      <c r="G2150" s="87"/>
      <c r="H2150" s="87"/>
    </row>
    <row r="2151" spans="2:8" ht="18" x14ac:dyDescent="0.25">
      <c r="B2151" s="102">
        <f>+$G$34</f>
        <v>46183</v>
      </c>
      <c r="C2151" s="108" t="e">
        <f>+F2133</f>
        <v>#REF!</v>
      </c>
      <c r="D2151" s="87"/>
      <c r="E2151" s="87" t="s">
        <v>88</v>
      </c>
      <c r="F2151" s="109" t="e">
        <f>+F2133</f>
        <v>#REF!</v>
      </c>
      <c r="G2151" s="87"/>
      <c r="H2151" s="87"/>
    </row>
    <row r="2152" spans="2:8" ht="18" x14ac:dyDescent="0.25">
      <c r="B2152" s="87"/>
      <c r="C2152" s="87"/>
      <c r="D2152" s="87"/>
      <c r="E2152" s="87"/>
      <c r="F2152" s="87"/>
      <c r="G2152" s="87"/>
      <c r="H2152" s="87"/>
    </row>
    <row r="2153" spans="2:8" ht="18" x14ac:dyDescent="0.25">
      <c r="B2153" s="87"/>
      <c r="C2153" s="87"/>
      <c r="D2153" s="87"/>
      <c r="E2153" s="87"/>
      <c r="F2153" s="87"/>
      <c r="G2153" s="339"/>
      <c r="H2153" s="339"/>
    </row>
    <row r="2154" spans="2:8" ht="18" x14ac:dyDescent="0.25">
      <c r="B2154" s="87"/>
      <c r="C2154" s="87"/>
      <c r="D2154" s="87"/>
      <c r="E2154" s="87"/>
      <c r="F2154" s="87"/>
      <c r="G2154" s="87"/>
      <c r="H2154" s="87"/>
    </row>
    <row r="2155" spans="2:8" ht="18" x14ac:dyDescent="0.25">
      <c r="B2155" s="87"/>
      <c r="C2155" s="87"/>
      <c r="D2155" s="87"/>
      <c r="E2155" s="87"/>
      <c r="F2155" s="87"/>
      <c r="G2155" s="87"/>
      <c r="H2155" s="87"/>
    </row>
    <row r="2156" spans="2:8" ht="18" x14ac:dyDescent="0.25">
      <c r="B2156" s="87"/>
      <c r="C2156" s="87"/>
      <c r="D2156" s="87"/>
      <c r="E2156" s="87"/>
      <c r="F2156" s="87"/>
      <c r="G2156" s="87"/>
      <c r="H2156" s="87"/>
    </row>
    <row r="2157" spans="2:8" ht="18" x14ac:dyDescent="0.25">
      <c r="B2157" s="87"/>
      <c r="C2157" s="87"/>
      <c r="D2157" s="87"/>
      <c r="E2157" s="87"/>
      <c r="F2157" s="87"/>
      <c r="G2157" s="87"/>
      <c r="H2157" s="87"/>
    </row>
    <row r="2158" spans="2:8" ht="18" x14ac:dyDescent="0.25">
      <c r="B2158" s="87"/>
      <c r="C2158" s="87"/>
      <c r="D2158" s="87"/>
      <c r="E2158" s="87"/>
      <c r="F2158" s="87"/>
      <c r="H2158" s="87"/>
    </row>
    <row r="2159" spans="2:8" ht="18" x14ac:dyDescent="0.25">
      <c r="B2159" s="335"/>
      <c r="C2159" s="335"/>
      <c r="D2159" s="335"/>
      <c r="E2159" s="87"/>
      <c r="F2159" s="87"/>
      <c r="H2159" s="87"/>
    </row>
    <row r="2160" spans="2:8" ht="18" x14ac:dyDescent="0.25">
      <c r="B2160" s="335"/>
      <c r="C2160" s="335"/>
      <c r="D2160" s="335"/>
      <c r="E2160" s="101">
        <f>+$B$1</f>
        <v>46143</v>
      </c>
      <c r="F2160" s="87"/>
      <c r="G2160" s="102">
        <f>+$D$1</f>
        <v>46183</v>
      </c>
      <c r="H2160" s="100"/>
    </row>
    <row r="2161" spans="2:8" ht="18" x14ac:dyDescent="0.25">
      <c r="B2161" s="86"/>
      <c r="C2161" s="86"/>
      <c r="D2161" s="103"/>
      <c r="E2161" s="101"/>
      <c r="F2161" s="87"/>
    </row>
    <row r="2162" spans="2:8" ht="18" x14ac:dyDescent="0.25">
      <c r="B2162" s="87" t="e">
        <f>+#REF!</f>
        <v>#REF!</v>
      </c>
      <c r="C2162" s="87"/>
      <c r="D2162" s="87"/>
      <c r="F2162" s="87"/>
    </row>
    <row r="2163" spans="2:8" ht="18" x14ac:dyDescent="0.25">
      <c r="C2163" s="87"/>
      <c r="D2163" s="87"/>
      <c r="E2163" s="87" t="str">
        <f>+$E$1</f>
        <v>URUGUAY 1025/27/29 CAP. FED.</v>
      </c>
      <c r="F2163" s="87"/>
      <c r="H2163" s="95" t="s">
        <v>141</v>
      </c>
    </row>
    <row r="2164" spans="2:8" ht="18" x14ac:dyDescent="0.25">
      <c r="B2164" s="88"/>
      <c r="C2164" s="87"/>
      <c r="D2164" s="87"/>
      <c r="F2164" s="87"/>
      <c r="G2164" s="88"/>
    </row>
    <row r="2165" spans="2:8" ht="18" x14ac:dyDescent="0.25">
      <c r="B2165" s="87"/>
      <c r="C2165" s="87"/>
      <c r="D2165" s="87"/>
      <c r="E2165" s="88"/>
      <c r="F2165" s="88"/>
      <c r="G2165" s="87"/>
      <c r="H2165" s="88"/>
    </row>
    <row r="2166" spans="2:8" ht="18" x14ac:dyDescent="0.25">
      <c r="B2166" s="96"/>
      <c r="C2166" s="87"/>
      <c r="D2166" s="96"/>
      <c r="E2166" s="87"/>
      <c r="F2166" s="87"/>
      <c r="G2166" s="87"/>
      <c r="H2166" s="87"/>
    </row>
    <row r="2167" spans="2:8" ht="18" x14ac:dyDescent="0.25">
      <c r="B2167" s="87" t="s">
        <v>82</v>
      </c>
      <c r="C2167" s="87"/>
      <c r="D2167" s="110">
        <f>+'RES CUENTA'!$H$26</f>
        <v>6751880</v>
      </c>
      <c r="E2167" s="111" t="e">
        <f>+'RES CUENTA'!#REF!</f>
        <v>#REF!</v>
      </c>
      <c r="F2167" s="106" t="e">
        <f>+D2167*E2167/100</f>
        <v>#REF!</v>
      </c>
      <c r="G2167" s="87"/>
      <c r="H2167" s="96"/>
    </row>
    <row r="2168" spans="2:8" ht="18" x14ac:dyDescent="0.25">
      <c r="B2168" s="87" t="s">
        <v>194</v>
      </c>
      <c r="C2168" s="87"/>
      <c r="D2168" s="110" t="e">
        <f>+'RES CUENTA'!#REF!</f>
        <v>#REF!</v>
      </c>
      <c r="E2168" s="111" t="e">
        <f>+'RES CUENTA'!#REF!</f>
        <v>#REF!</v>
      </c>
      <c r="F2168" s="106" t="e">
        <f>+D2168*E2168/100</f>
        <v>#REF!</v>
      </c>
      <c r="G2168" s="96"/>
      <c r="H2168" s="91"/>
    </row>
    <row r="2169" spans="2:8" ht="18" x14ac:dyDescent="0.25">
      <c r="B2169" s="87" t="s">
        <v>83</v>
      </c>
      <c r="C2169" s="87"/>
      <c r="D2169" s="110" t="e">
        <f>+'RES CUENTA'!#REF!</f>
        <v>#REF!</v>
      </c>
      <c r="E2169" s="111">
        <f>+'RES CUENTA'!N1271</f>
        <v>0</v>
      </c>
      <c r="F2169" s="106" t="e">
        <f>+D2169</f>
        <v>#REF!</v>
      </c>
      <c r="G2169" s="91"/>
      <c r="H2169" s="91"/>
    </row>
    <row r="2170" spans="2:8" ht="18" x14ac:dyDescent="0.25">
      <c r="B2170" s="87" t="s">
        <v>84</v>
      </c>
      <c r="C2170" s="87"/>
      <c r="D2170" s="110" t="e">
        <f>+'RES CUENTA'!#REF!</f>
        <v>#REF!</v>
      </c>
      <c r="E2170" s="111">
        <f>+'RES CUENTA'!P1270</f>
        <v>0</v>
      </c>
      <c r="F2170" s="106" t="e">
        <f>+D2170</f>
        <v>#REF!</v>
      </c>
      <c r="G2170" s="91"/>
      <c r="H2170" s="91"/>
    </row>
    <row r="2171" spans="2:8" ht="18" x14ac:dyDescent="0.25">
      <c r="B2171" s="88"/>
      <c r="C2171" s="87"/>
      <c r="D2171" s="87"/>
      <c r="F2171" s="107" t="e">
        <f>SUM(F2167:F2170)</f>
        <v>#REF!</v>
      </c>
      <c r="G2171" s="91"/>
      <c r="H2171" s="91"/>
    </row>
    <row r="2172" spans="2:8" ht="18" x14ac:dyDescent="0.25">
      <c r="B2172" s="88"/>
      <c r="C2172" s="87"/>
      <c r="D2172" s="87"/>
      <c r="F2172" s="93"/>
      <c r="G2172" s="91"/>
      <c r="H2172" s="92"/>
    </row>
    <row r="2173" spans="2:8" ht="18" x14ac:dyDescent="0.25">
      <c r="B2173" s="87"/>
      <c r="C2173" s="87"/>
      <c r="D2173" s="87"/>
      <c r="E2173" s="87"/>
      <c r="F2173" s="94"/>
      <c r="G2173" s="92"/>
      <c r="H2173" s="92"/>
    </row>
    <row r="2174" spans="2:8" ht="18" x14ac:dyDescent="0.25">
      <c r="B2174" s="87"/>
      <c r="C2174" s="87"/>
      <c r="D2174" s="87"/>
      <c r="E2174" s="87"/>
      <c r="F2174" s="94"/>
      <c r="G2174" s="92"/>
      <c r="H2174" s="92"/>
    </row>
    <row r="2175" spans="2:8" ht="18" x14ac:dyDescent="0.25">
      <c r="B2175" s="87"/>
      <c r="C2175" s="87"/>
      <c r="D2175" s="87"/>
      <c r="E2175" s="87"/>
      <c r="F2175" s="94"/>
      <c r="G2175" s="92"/>
      <c r="H2175" s="92"/>
    </row>
    <row r="2176" spans="2:8" ht="18" x14ac:dyDescent="0.25">
      <c r="B2176" s="87"/>
      <c r="C2176" s="87"/>
      <c r="D2176" s="87"/>
      <c r="E2176" s="87"/>
      <c r="F2176" s="94"/>
      <c r="G2176" s="92"/>
      <c r="H2176" s="87"/>
    </row>
    <row r="2177" spans="2:8" ht="18" x14ac:dyDescent="0.25">
      <c r="B2177" s="87" t="e">
        <f>+B2162</f>
        <v>#REF!</v>
      </c>
      <c r="C2177" s="87"/>
      <c r="D2177" s="87"/>
      <c r="E2177" s="87" t="e">
        <f>+B2162</f>
        <v>#REF!</v>
      </c>
      <c r="F2177" s="87"/>
      <c r="G2177" s="87"/>
      <c r="H2177" s="104"/>
    </row>
    <row r="2178" spans="2:8" ht="18" x14ac:dyDescent="0.25">
      <c r="B2178" s="88"/>
      <c r="C2178" s="87"/>
      <c r="D2178" s="87"/>
      <c r="F2178" s="87"/>
      <c r="G2178" s="104"/>
      <c r="H2178" s="95" t="str">
        <f>+H2163</f>
        <v>Unid. 58</v>
      </c>
    </row>
    <row r="2179" spans="2:8" ht="18" x14ac:dyDescent="0.25">
      <c r="B2179" s="87" t="str">
        <f>+$E$1</f>
        <v>URUGUAY 1025/27/29 CAP. FED.</v>
      </c>
      <c r="C2179" s="87"/>
      <c r="D2179" s="95" t="str">
        <f>+H2178</f>
        <v>Unid. 58</v>
      </c>
      <c r="E2179" s="87" t="str">
        <f>+$E$1</f>
        <v>URUGUAY 1025/27/29 CAP. FED.</v>
      </c>
      <c r="F2179" s="87"/>
      <c r="G2179" s="87"/>
      <c r="H2179" s="88"/>
    </row>
    <row r="2180" spans="2:8" ht="18" x14ac:dyDescent="0.25">
      <c r="B2180" s="88"/>
      <c r="C2180" s="88"/>
      <c r="D2180" s="88"/>
      <c r="F2180" s="87"/>
      <c r="G2180" s="87"/>
    </row>
    <row r="2181" spans="2:8" ht="18" x14ac:dyDescent="0.25">
      <c r="B2181" s="87"/>
      <c r="C2181" s="87"/>
      <c r="D2181" s="87"/>
      <c r="E2181" s="88"/>
      <c r="F2181" s="87"/>
      <c r="G2181" s="87"/>
      <c r="H2181" s="104"/>
    </row>
    <row r="2182" spans="2:8" ht="18" x14ac:dyDescent="0.25">
      <c r="B2182" s="87" t="e">
        <f>+$E$2</f>
        <v>#REF!</v>
      </c>
      <c r="C2182" s="87"/>
      <c r="D2182" s="87"/>
      <c r="E2182" s="87"/>
      <c r="F2182" s="98"/>
      <c r="G2182" s="88"/>
      <c r="H2182" s="87"/>
    </row>
    <row r="2183" spans="2:8" ht="18" x14ac:dyDescent="0.25">
      <c r="B2183" s="87" t="e">
        <f>+$E$3</f>
        <v>#REF!</v>
      </c>
      <c r="C2183" s="87"/>
      <c r="D2183" s="87"/>
      <c r="E2183" s="98"/>
      <c r="G2183" s="96"/>
      <c r="H2183" s="97"/>
    </row>
    <row r="2184" spans="2:8" ht="18" x14ac:dyDescent="0.25">
      <c r="B2184" s="88"/>
      <c r="C2184" s="87"/>
      <c r="D2184" s="87"/>
      <c r="E2184" s="87" t="s">
        <v>85</v>
      </c>
      <c r="F2184" s="109" t="e">
        <f>+F2167</f>
        <v>#REF!</v>
      </c>
      <c r="G2184" s="97"/>
      <c r="H2184" s="102">
        <f>+B2188</f>
        <v>46183</v>
      </c>
    </row>
    <row r="2185" spans="2:8" ht="18" x14ac:dyDescent="0.25">
      <c r="B2185" s="88"/>
      <c r="C2185" s="87"/>
      <c r="D2185" s="87"/>
      <c r="E2185" s="87" t="s">
        <v>193</v>
      </c>
      <c r="F2185" s="109" t="e">
        <f>+F2168</f>
        <v>#REF!</v>
      </c>
      <c r="H2185" s="87"/>
    </row>
    <row r="2186" spans="2:8" ht="18" x14ac:dyDescent="0.25">
      <c r="B2186" s="87"/>
      <c r="C2186" s="87"/>
      <c r="D2186" s="87"/>
      <c r="E2186" s="87" t="s">
        <v>86</v>
      </c>
      <c r="F2186" s="109" t="e">
        <f>+F2169</f>
        <v>#REF!</v>
      </c>
      <c r="G2186" s="87"/>
      <c r="H2186" s="87"/>
    </row>
    <row r="2187" spans="2:8" ht="18" x14ac:dyDescent="0.25">
      <c r="B2187" s="98"/>
      <c r="C2187" s="98"/>
      <c r="D2187" s="98"/>
      <c r="E2187" s="87" t="s">
        <v>87</v>
      </c>
      <c r="F2187" s="109" t="e">
        <f>+F2170</f>
        <v>#REF!</v>
      </c>
      <c r="G2187" s="87"/>
      <c r="H2187" s="87"/>
    </row>
    <row r="2188" spans="2:8" ht="18" x14ac:dyDescent="0.25">
      <c r="B2188" s="102">
        <f>+$G$34</f>
        <v>46183</v>
      </c>
      <c r="C2188" s="108" t="e">
        <f>+F2171</f>
        <v>#REF!</v>
      </c>
      <c r="D2188" s="87"/>
      <c r="E2188" s="87" t="s">
        <v>321</v>
      </c>
      <c r="F2188" s="109">
        <v>0</v>
      </c>
      <c r="G2188" s="87"/>
      <c r="H2188" s="87"/>
    </row>
    <row r="2189" spans="2:8" ht="18" x14ac:dyDescent="0.25">
      <c r="B2189" s="87"/>
      <c r="C2189" s="87"/>
      <c r="D2189" s="87"/>
      <c r="E2189" s="87" t="s">
        <v>88</v>
      </c>
      <c r="F2189" s="109" t="e">
        <f>+F2171</f>
        <v>#REF!</v>
      </c>
      <c r="G2189" s="87"/>
      <c r="H2189" s="87"/>
    </row>
    <row r="2190" spans="2:8" ht="18" x14ac:dyDescent="0.25">
      <c r="B2190" s="87"/>
      <c r="C2190" s="87"/>
      <c r="D2190" s="87"/>
      <c r="E2190" s="87"/>
      <c r="F2190" s="87"/>
      <c r="G2190" s="87"/>
      <c r="H2190" s="87"/>
    </row>
    <row r="2191" spans="2:8" ht="18" x14ac:dyDescent="0.25">
      <c r="B2191" s="87"/>
      <c r="C2191" s="87"/>
      <c r="D2191" s="87"/>
      <c r="E2191" s="105"/>
      <c r="F2191" s="87"/>
      <c r="G2191" s="87"/>
      <c r="H2191" s="87"/>
    </row>
    <row r="2192" spans="2:8" ht="18" x14ac:dyDescent="0.25">
      <c r="B2192" s="87"/>
      <c r="C2192" s="87"/>
      <c r="D2192" s="87"/>
      <c r="E2192" s="87"/>
      <c r="F2192" s="87"/>
      <c r="G2192" s="87"/>
      <c r="H2192" s="96"/>
    </row>
    <row r="2193" spans="2:8" ht="18" x14ac:dyDescent="0.25">
      <c r="E2193" s="87"/>
      <c r="G2193" s="96"/>
      <c r="H2193" s="87"/>
    </row>
    <row r="2195" spans="2:8" ht="18" x14ac:dyDescent="0.25">
      <c r="B2195" s="335"/>
      <c r="C2195" s="335"/>
      <c r="D2195" s="335"/>
      <c r="E2195" s="340">
        <f>+$B$1</f>
        <v>46143</v>
      </c>
      <c r="F2195" s="87"/>
      <c r="G2195" s="341">
        <f>+$D$1</f>
        <v>46183</v>
      </c>
      <c r="H2195" s="87"/>
    </row>
    <row r="2196" spans="2:8" ht="18" x14ac:dyDescent="0.25">
      <c r="B2196" s="86"/>
      <c r="C2196" s="86"/>
      <c r="D2196" s="103"/>
      <c r="E2196" s="340"/>
      <c r="F2196" s="87"/>
      <c r="G2196" s="341"/>
      <c r="H2196" s="87"/>
    </row>
    <row r="2197" spans="2:8" ht="18" x14ac:dyDescent="0.25">
      <c r="B2197" s="87"/>
      <c r="C2197" s="87"/>
      <c r="D2197" s="87"/>
      <c r="E2197" s="88"/>
      <c r="F2197" s="87"/>
      <c r="G2197" s="88"/>
      <c r="H2197" s="87"/>
    </row>
    <row r="2198" spans="2:8" ht="18" x14ac:dyDescent="0.25">
      <c r="B2198" s="87" t="e">
        <f>+#REF!</f>
        <v>#REF!</v>
      </c>
      <c r="C2198" s="87"/>
      <c r="D2198" s="87"/>
      <c r="E2198" s="88"/>
      <c r="F2198" s="87"/>
      <c r="G2198" s="88"/>
      <c r="H2198" s="87"/>
    </row>
    <row r="2199" spans="2:8" ht="18" x14ac:dyDescent="0.25">
      <c r="B2199" s="88"/>
      <c r="C2199" s="87"/>
      <c r="D2199" s="87"/>
      <c r="E2199" s="87" t="s">
        <v>81</v>
      </c>
      <c r="F2199" s="87"/>
      <c r="G2199" s="87"/>
      <c r="H2199" s="95" t="s">
        <v>142</v>
      </c>
    </row>
    <row r="2200" spans="2:8" ht="18" x14ac:dyDescent="0.25">
      <c r="B2200" s="87"/>
      <c r="C2200" s="87"/>
      <c r="D2200" s="87"/>
      <c r="E2200" s="88"/>
      <c r="F2200" s="88"/>
      <c r="G2200" s="87"/>
      <c r="H2200" s="88"/>
    </row>
    <row r="2201" spans="2:8" ht="18" x14ac:dyDescent="0.25">
      <c r="B2201" s="96"/>
      <c r="C2201" s="87"/>
      <c r="D2201" s="96"/>
      <c r="E2201" s="87"/>
      <c r="F2201" s="87"/>
      <c r="G2201" s="87"/>
      <c r="H2201" s="87"/>
    </row>
    <row r="2202" spans="2:8" ht="18" x14ac:dyDescent="0.25">
      <c r="B2202" s="96"/>
      <c r="C2202" s="87"/>
      <c r="D2202" s="96"/>
      <c r="E2202" s="87"/>
      <c r="F2202" s="87"/>
      <c r="G2202" s="87"/>
      <c r="H2202" s="87"/>
    </row>
    <row r="2203" spans="2:8" ht="18" x14ac:dyDescent="0.25">
      <c r="B2203" s="87" t="s">
        <v>82</v>
      </c>
      <c r="C2203" s="87"/>
      <c r="D2203" s="110">
        <f>+'RES CUENTA'!$H$26</f>
        <v>6751880</v>
      </c>
      <c r="E2203" s="111" t="e">
        <f>+'RES CUENTA'!#REF!</f>
        <v>#REF!</v>
      </c>
      <c r="F2203" s="106" t="e">
        <f>+D2203*E2203/100</f>
        <v>#REF!</v>
      </c>
      <c r="G2203" s="339"/>
      <c r="H2203" s="339"/>
    </row>
    <row r="2204" spans="2:8" ht="18" x14ac:dyDescent="0.25">
      <c r="B2204" s="87" t="s">
        <v>194</v>
      </c>
      <c r="C2204" s="87"/>
      <c r="D2204" s="110" t="e">
        <f>+'RES CUENTA'!#REF!</f>
        <v>#REF!</v>
      </c>
      <c r="E2204" s="111" t="e">
        <f>+'RES CUENTA'!#REF!</f>
        <v>#REF!</v>
      </c>
      <c r="F2204" s="106" t="e">
        <f>+D2204*E2204/100</f>
        <v>#REF!</v>
      </c>
      <c r="G2204" s="336"/>
      <c r="H2204" s="336"/>
    </row>
    <row r="2205" spans="2:8" ht="18" x14ac:dyDescent="0.25">
      <c r="B2205" s="87" t="s">
        <v>83</v>
      </c>
      <c r="C2205" s="87"/>
      <c r="D2205" s="110" t="e">
        <f>+'RES CUENTA'!#REF!</f>
        <v>#REF!</v>
      </c>
      <c r="E2205" s="111">
        <v>0</v>
      </c>
      <c r="F2205" s="106" t="e">
        <f>+D2205</f>
        <v>#REF!</v>
      </c>
      <c r="G2205" s="336"/>
      <c r="H2205" s="336"/>
    </row>
    <row r="2206" spans="2:8" ht="18" x14ac:dyDescent="0.25">
      <c r="B2206" s="87" t="s">
        <v>84</v>
      </c>
      <c r="C2206" s="87"/>
      <c r="D2206" s="110" t="e">
        <f>+'RES CUENTA'!#REF!</f>
        <v>#REF!</v>
      </c>
      <c r="E2206" s="111">
        <v>0</v>
      </c>
      <c r="F2206" s="106" t="e">
        <f>+D2206</f>
        <v>#REF!</v>
      </c>
      <c r="G2206" s="336"/>
      <c r="H2206" s="336"/>
    </row>
    <row r="2207" spans="2:8" ht="18" x14ac:dyDescent="0.25">
      <c r="B2207" s="88"/>
      <c r="C2207" s="87"/>
      <c r="D2207" s="87"/>
      <c r="E2207" s="94"/>
      <c r="F2207" s="107" t="e">
        <f>SUM(F2203:F2206)</f>
        <v>#REF!</v>
      </c>
      <c r="G2207" s="336"/>
      <c r="H2207" s="336"/>
    </row>
    <row r="2208" spans="2:8" ht="18" x14ac:dyDescent="0.25">
      <c r="B2208" s="88"/>
      <c r="C2208" s="87"/>
      <c r="D2208" s="87"/>
      <c r="E2208" s="94"/>
      <c r="F2208" s="107"/>
      <c r="G2208" s="91"/>
      <c r="H2208" s="91"/>
    </row>
    <row r="2209" spans="2:8" ht="18" x14ac:dyDescent="0.25">
      <c r="B2209" s="88"/>
      <c r="C2209" s="87"/>
      <c r="D2209" s="87"/>
      <c r="E2209" s="87"/>
      <c r="G2209" s="337"/>
      <c r="H2209" s="337"/>
    </row>
    <row r="2210" spans="2:8" ht="18" x14ac:dyDescent="0.25">
      <c r="B2210" s="87"/>
      <c r="C2210" s="87"/>
      <c r="D2210" s="87"/>
      <c r="E2210" s="87"/>
      <c r="F2210" s="93"/>
      <c r="G2210" s="92"/>
      <c r="H2210" s="92"/>
    </row>
    <row r="2211" spans="2:8" ht="18" x14ac:dyDescent="0.25">
      <c r="B2211" s="87"/>
      <c r="C2211" s="87"/>
      <c r="D2211" s="87"/>
      <c r="E2211" s="87"/>
      <c r="F2211" s="94"/>
      <c r="G2211" s="87"/>
      <c r="H2211" s="87"/>
    </row>
    <row r="2212" spans="2:8" ht="18" x14ac:dyDescent="0.25">
      <c r="B2212" s="87"/>
      <c r="C2212" s="87"/>
      <c r="D2212" s="87"/>
      <c r="E2212" s="87"/>
      <c r="F2212" s="94"/>
      <c r="G2212" s="87"/>
      <c r="H2212" s="87"/>
    </row>
    <row r="2213" spans="2:8" ht="18" x14ac:dyDescent="0.25">
      <c r="B2213" s="87" t="e">
        <f>+B2198</f>
        <v>#REF!</v>
      </c>
      <c r="C2213" s="338"/>
      <c r="D2213" s="338"/>
      <c r="E2213" s="87" t="e">
        <f>+B2213</f>
        <v>#REF!</v>
      </c>
      <c r="F2213" s="94"/>
      <c r="G2213" s="87"/>
      <c r="H2213" s="87"/>
    </row>
    <row r="2214" spans="2:8" ht="18" x14ac:dyDescent="0.25">
      <c r="C2214" s="87"/>
      <c r="D2214" s="87"/>
      <c r="F2214" s="338"/>
      <c r="G2214" s="338"/>
      <c r="H2214" s="338"/>
    </row>
    <row r="2215" spans="2:8" ht="18" x14ac:dyDescent="0.25">
      <c r="B2215" s="87" t="str">
        <f>+$E$1</f>
        <v>URUGUAY 1025/27/29 CAP. FED.</v>
      </c>
      <c r="C2215" s="87"/>
      <c r="D2215" s="95" t="str">
        <f>+H2199</f>
        <v>Unid. 59</v>
      </c>
      <c r="E2215" s="87" t="str">
        <f>+$E$1</f>
        <v>URUGUAY 1025/27/29 CAP. FED.</v>
      </c>
      <c r="F2215" s="87"/>
      <c r="G2215" s="87"/>
      <c r="H2215" s="95" t="str">
        <f>+D2215</f>
        <v>Unid. 59</v>
      </c>
    </row>
    <row r="2216" spans="2:8" ht="18" x14ac:dyDescent="0.25">
      <c r="H2216" s="88"/>
    </row>
    <row r="2217" spans="2:8" ht="18" x14ac:dyDescent="0.25">
      <c r="B2217" s="88"/>
      <c r="C2217" s="88"/>
      <c r="D2217" s="88"/>
      <c r="E2217" s="88"/>
      <c r="F2217" s="87"/>
      <c r="G2217" s="87"/>
    </row>
    <row r="2218" spans="2:8" ht="18" x14ac:dyDescent="0.25">
      <c r="B2218" s="87" t="e">
        <f>+$E$2</f>
        <v>#REF!</v>
      </c>
      <c r="C2218" s="87"/>
      <c r="D2218" s="87"/>
      <c r="E2218" s="87"/>
      <c r="F2218" s="87"/>
      <c r="G2218" s="88"/>
      <c r="H2218" s="104"/>
    </row>
    <row r="2219" spans="2:8" ht="18" x14ac:dyDescent="0.25">
      <c r="B2219" s="87" t="e">
        <f>+$E$3</f>
        <v>#REF!</v>
      </c>
      <c r="C2219" s="87"/>
      <c r="D2219" s="87"/>
      <c r="E2219" s="98"/>
      <c r="F2219" s="87"/>
      <c r="G2219" s="96"/>
      <c r="H2219" s="87"/>
    </row>
    <row r="2220" spans="2:8" ht="18" x14ac:dyDescent="0.25">
      <c r="C2220" s="87"/>
      <c r="D2220" s="87"/>
      <c r="E2220" s="87" t="s">
        <v>85</v>
      </c>
      <c r="F2220" s="109" t="e">
        <f>+F2203</f>
        <v>#REF!</v>
      </c>
      <c r="H2220" s="102">
        <f>+B2225</f>
        <v>46183</v>
      </c>
    </row>
    <row r="2221" spans="2:8" ht="18" x14ac:dyDescent="0.25">
      <c r="B2221" s="88"/>
      <c r="C2221" s="87"/>
      <c r="D2221" s="87"/>
      <c r="E2221" s="87" t="s">
        <v>193</v>
      </c>
      <c r="F2221" s="109" t="e">
        <f>+F2204</f>
        <v>#REF!</v>
      </c>
    </row>
    <row r="2222" spans="2:8" ht="18" x14ac:dyDescent="0.25">
      <c r="B2222" s="88"/>
      <c r="C2222" s="87"/>
      <c r="D2222" s="87"/>
      <c r="E2222" s="87" t="s">
        <v>86</v>
      </c>
      <c r="F2222" s="109" t="e">
        <f>+F2205</f>
        <v>#REF!</v>
      </c>
      <c r="G2222" s="87"/>
      <c r="H2222" s="87"/>
    </row>
    <row r="2223" spans="2:8" ht="18" x14ac:dyDescent="0.25">
      <c r="B2223" s="87"/>
      <c r="C2223" s="87"/>
      <c r="D2223" s="87"/>
      <c r="E2223" s="87" t="s">
        <v>87</v>
      </c>
      <c r="F2223" s="109" t="e">
        <f>+F2206</f>
        <v>#REF!</v>
      </c>
      <c r="G2223" s="87"/>
      <c r="H2223" s="87"/>
    </row>
    <row r="2224" spans="2:8" ht="18" x14ac:dyDescent="0.25">
      <c r="B2224" s="98"/>
      <c r="C2224" s="98"/>
      <c r="D2224" s="98"/>
      <c r="E2224" s="87" t="s">
        <v>321</v>
      </c>
      <c r="F2224" s="109">
        <v>0</v>
      </c>
      <c r="G2224" s="87"/>
      <c r="H2224" s="87"/>
    </row>
    <row r="2225" spans="2:8" ht="18" x14ac:dyDescent="0.25">
      <c r="B2225" s="102">
        <f>+$G$34</f>
        <v>46183</v>
      </c>
      <c r="C2225" s="108" t="e">
        <f>+F2207</f>
        <v>#REF!</v>
      </c>
      <c r="D2225" s="87"/>
      <c r="E2225" s="87" t="s">
        <v>88</v>
      </c>
      <c r="F2225" s="109" t="e">
        <f>+F2207</f>
        <v>#REF!</v>
      </c>
      <c r="G2225" s="87"/>
      <c r="H2225" s="87"/>
    </row>
    <row r="2226" spans="2:8" ht="18" x14ac:dyDescent="0.25">
      <c r="B2226" s="87"/>
      <c r="C2226" s="87"/>
      <c r="D2226" s="87"/>
      <c r="E2226" s="87"/>
      <c r="F2226" s="87"/>
      <c r="G2226" s="87"/>
      <c r="H2226" s="87"/>
    </row>
    <row r="2227" spans="2:8" ht="18" x14ac:dyDescent="0.25">
      <c r="B2227" s="87"/>
      <c r="C2227" s="87"/>
      <c r="D2227" s="87"/>
      <c r="E2227" s="87"/>
      <c r="F2227" s="87"/>
      <c r="G2227" s="339"/>
      <c r="H2227" s="339"/>
    </row>
    <row r="2228" spans="2:8" ht="18" x14ac:dyDescent="0.25">
      <c r="B2228" s="87"/>
      <c r="C2228" s="87"/>
      <c r="D2228" s="87"/>
      <c r="E2228" s="87"/>
      <c r="F2228" s="87"/>
      <c r="G2228" s="87"/>
      <c r="H2228" s="87"/>
    </row>
    <row r="2229" spans="2:8" ht="18" x14ac:dyDescent="0.25">
      <c r="B2229" s="87"/>
      <c r="C2229" s="87"/>
      <c r="D2229" s="87"/>
      <c r="E2229" s="87"/>
      <c r="F2229" s="87"/>
      <c r="G2229" s="87"/>
      <c r="H2229" s="87"/>
    </row>
    <row r="2230" spans="2:8" ht="18" x14ac:dyDescent="0.25">
      <c r="B2230" s="87"/>
      <c r="C2230" s="87"/>
      <c r="D2230" s="87"/>
      <c r="E2230" s="87"/>
      <c r="F2230" s="87"/>
      <c r="G2230" s="87"/>
      <c r="H2230" s="87"/>
    </row>
    <row r="2231" spans="2:8" ht="18" x14ac:dyDescent="0.25">
      <c r="B2231" s="87"/>
      <c r="C2231" s="87"/>
      <c r="D2231" s="87"/>
      <c r="E2231" s="87"/>
      <c r="F2231" s="87"/>
      <c r="G2231" s="87"/>
      <c r="H2231" s="87"/>
    </row>
    <row r="2232" spans="2:8" ht="18" x14ac:dyDescent="0.25">
      <c r="B2232" s="87"/>
      <c r="C2232" s="87"/>
      <c r="D2232" s="87"/>
      <c r="E2232" s="87"/>
      <c r="F2232" s="87"/>
      <c r="H2232" s="87"/>
    </row>
    <row r="2233" spans="2:8" ht="18" x14ac:dyDescent="0.25">
      <c r="B2233" s="335"/>
      <c r="C2233" s="335"/>
      <c r="D2233" s="335"/>
      <c r="E2233" s="87"/>
      <c r="F2233" s="87"/>
      <c r="H2233" s="87"/>
    </row>
    <row r="2234" spans="2:8" ht="18" x14ac:dyDescent="0.25">
      <c r="B2234" s="335"/>
      <c r="C2234" s="335"/>
      <c r="D2234" s="335"/>
      <c r="E2234" s="101">
        <f>+$B$1</f>
        <v>46143</v>
      </c>
      <c r="F2234" s="87"/>
      <c r="G2234" s="102">
        <f>+$D$1</f>
        <v>46183</v>
      </c>
      <c r="H2234" s="100"/>
    </row>
    <row r="2235" spans="2:8" ht="18" x14ac:dyDescent="0.25">
      <c r="B2235" s="86"/>
      <c r="C2235" s="86"/>
      <c r="D2235" s="103"/>
      <c r="E2235" s="101"/>
      <c r="F2235" s="87"/>
    </row>
    <row r="2236" spans="2:8" ht="18" x14ac:dyDescent="0.25">
      <c r="B2236" s="87" t="e">
        <f>+#REF!</f>
        <v>#REF!</v>
      </c>
      <c r="C2236" s="87"/>
      <c r="D2236" s="87"/>
      <c r="F2236" s="87"/>
    </row>
    <row r="2237" spans="2:8" ht="18" x14ac:dyDescent="0.25">
      <c r="C2237" s="87"/>
      <c r="D2237" s="87"/>
      <c r="E2237" s="87" t="str">
        <f>+$E$1</f>
        <v>URUGUAY 1025/27/29 CAP. FED.</v>
      </c>
      <c r="F2237" s="87"/>
      <c r="H2237" s="95" t="s">
        <v>143</v>
      </c>
    </row>
    <row r="2238" spans="2:8" ht="18" x14ac:dyDescent="0.25">
      <c r="B2238" s="88"/>
      <c r="C2238" s="87"/>
      <c r="D2238" s="87"/>
      <c r="F2238" s="87"/>
      <c r="G2238" s="88"/>
    </row>
    <row r="2239" spans="2:8" ht="18" x14ac:dyDescent="0.25">
      <c r="B2239" s="87"/>
      <c r="C2239" s="87"/>
      <c r="D2239" s="87"/>
      <c r="E2239" s="88"/>
      <c r="F2239" s="88"/>
      <c r="G2239" s="87"/>
      <c r="H2239" s="88"/>
    </row>
    <row r="2240" spans="2:8" ht="18" x14ac:dyDescent="0.25">
      <c r="B2240" s="96"/>
      <c r="C2240" s="87"/>
      <c r="D2240" s="96"/>
      <c r="E2240" s="87"/>
      <c r="F2240" s="87"/>
      <c r="G2240" s="87"/>
      <c r="H2240" s="87"/>
    </row>
    <row r="2241" spans="2:8" ht="18" x14ac:dyDescent="0.25">
      <c r="B2241" s="87" t="s">
        <v>82</v>
      </c>
      <c r="C2241" s="87"/>
      <c r="D2241" s="110">
        <f>+'RES CUENTA'!$H$26</f>
        <v>6751880</v>
      </c>
      <c r="E2241" s="111" t="e">
        <f>+'RES CUENTA'!#REF!</f>
        <v>#REF!</v>
      </c>
      <c r="F2241" s="106" t="e">
        <f>+D2241*E2241/100</f>
        <v>#REF!</v>
      </c>
      <c r="G2241" s="87"/>
      <c r="H2241" s="96"/>
    </row>
    <row r="2242" spans="2:8" ht="18" x14ac:dyDescent="0.25">
      <c r="B2242" s="87" t="s">
        <v>194</v>
      </c>
      <c r="C2242" s="87"/>
      <c r="D2242" s="110" t="e">
        <f>+'RES CUENTA'!#REF!</f>
        <v>#REF!</v>
      </c>
      <c r="E2242" s="111" t="e">
        <f>+'RES CUENTA'!#REF!</f>
        <v>#REF!</v>
      </c>
      <c r="F2242" s="106" t="e">
        <f>+D2242*E2242/100</f>
        <v>#REF!</v>
      </c>
      <c r="G2242" s="96"/>
      <c r="H2242" s="91"/>
    </row>
    <row r="2243" spans="2:8" ht="18" x14ac:dyDescent="0.25">
      <c r="B2243" s="87" t="s">
        <v>83</v>
      </c>
      <c r="C2243" s="87"/>
      <c r="D2243" s="110" t="e">
        <f>+'RES CUENTA'!#REF!</f>
        <v>#REF!</v>
      </c>
      <c r="E2243" s="111">
        <f>+'RES CUENTA'!N1347</f>
        <v>0</v>
      </c>
      <c r="F2243" s="106" t="e">
        <f>+D2243</f>
        <v>#REF!</v>
      </c>
      <c r="G2243" s="91"/>
      <c r="H2243" s="91"/>
    </row>
    <row r="2244" spans="2:8" ht="18" x14ac:dyDescent="0.25">
      <c r="B2244" s="87" t="s">
        <v>84</v>
      </c>
      <c r="C2244" s="87"/>
      <c r="D2244" s="110" t="e">
        <f>+'RES CUENTA'!#REF!</f>
        <v>#REF!</v>
      </c>
      <c r="E2244" s="111">
        <f>+'RES CUENTA'!P1346</f>
        <v>0</v>
      </c>
      <c r="F2244" s="106" t="e">
        <f>+D2244</f>
        <v>#REF!</v>
      </c>
      <c r="G2244" s="91"/>
      <c r="H2244" s="91"/>
    </row>
    <row r="2245" spans="2:8" ht="18" x14ac:dyDescent="0.25">
      <c r="B2245" s="88"/>
      <c r="C2245" s="87"/>
      <c r="D2245" s="87"/>
      <c r="F2245" s="107" t="e">
        <f>SUM(F2241:F2244)</f>
        <v>#REF!</v>
      </c>
      <c r="G2245" s="91"/>
      <c r="H2245" s="91"/>
    </row>
    <row r="2246" spans="2:8" ht="18" x14ac:dyDescent="0.25">
      <c r="B2246" s="88"/>
      <c r="C2246" s="87"/>
      <c r="D2246" s="87"/>
      <c r="F2246" s="107"/>
      <c r="G2246" s="91"/>
      <c r="H2246" s="91"/>
    </row>
    <row r="2247" spans="2:8" ht="18" x14ac:dyDescent="0.25">
      <c r="B2247" s="88"/>
      <c r="C2247" s="87"/>
      <c r="D2247" s="87"/>
      <c r="F2247" s="93"/>
      <c r="G2247" s="91"/>
      <c r="H2247" s="92"/>
    </row>
    <row r="2248" spans="2:8" ht="18" x14ac:dyDescent="0.25">
      <c r="B2248" s="87"/>
      <c r="C2248" s="87"/>
      <c r="D2248" s="87"/>
      <c r="E2248" s="87"/>
      <c r="F2248" s="94"/>
      <c r="G2248" s="92"/>
      <c r="H2248" s="92"/>
    </row>
    <row r="2249" spans="2:8" ht="18" x14ac:dyDescent="0.25">
      <c r="B2249" s="87"/>
      <c r="C2249" s="87"/>
      <c r="D2249" s="87"/>
      <c r="E2249" s="87"/>
      <c r="F2249" s="94"/>
      <c r="G2249" s="92"/>
      <c r="H2249" s="92"/>
    </row>
    <row r="2250" spans="2:8" ht="18" x14ac:dyDescent="0.25">
      <c r="B2250" s="87"/>
      <c r="C2250" s="87"/>
      <c r="D2250" s="87"/>
      <c r="E2250" s="87"/>
      <c r="F2250" s="94"/>
      <c r="G2250" s="92"/>
      <c r="H2250" s="87"/>
    </row>
    <row r="2251" spans="2:8" ht="18" x14ac:dyDescent="0.25">
      <c r="B2251" s="87" t="e">
        <f>+B2236</f>
        <v>#REF!</v>
      </c>
      <c r="C2251" s="87"/>
      <c r="D2251" s="87"/>
      <c r="E2251" s="87" t="e">
        <f>+B2236</f>
        <v>#REF!</v>
      </c>
      <c r="F2251" s="87"/>
      <c r="G2251" s="87"/>
      <c r="H2251" s="104"/>
    </row>
    <row r="2252" spans="2:8" ht="18" x14ac:dyDescent="0.25">
      <c r="B2252" s="88"/>
      <c r="C2252" s="87"/>
      <c r="D2252" s="87"/>
      <c r="F2252" s="87"/>
      <c r="G2252" s="104"/>
      <c r="H2252" s="95" t="str">
        <f>+H2237</f>
        <v>Unid. 60</v>
      </c>
    </row>
    <row r="2253" spans="2:8" ht="18" x14ac:dyDescent="0.25">
      <c r="B2253" s="87" t="str">
        <f>+$E$1</f>
        <v>URUGUAY 1025/27/29 CAP. FED.</v>
      </c>
      <c r="C2253" s="87"/>
      <c r="D2253" s="95" t="str">
        <f>+H2252</f>
        <v>Unid. 60</v>
      </c>
      <c r="E2253" s="87" t="str">
        <f>+$E$1</f>
        <v>URUGUAY 1025/27/29 CAP. FED.</v>
      </c>
      <c r="F2253" s="87"/>
      <c r="G2253" s="87"/>
      <c r="H2253" s="88"/>
    </row>
    <row r="2254" spans="2:8" ht="18" x14ac:dyDescent="0.25">
      <c r="B2254" s="88"/>
      <c r="C2254" s="88"/>
      <c r="D2254" s="88"/>
      <c r="F2254" s="87"/>
      <c r="G2254" s="87"/>
    </row>
    <row r="2255" spans="2:8" ht="18" x14ac:dyDescent="0.25">
      <c r="B2255" s="87"/>
      <c r="C2255" s="87"/>
      <c r="D2255" s="87"/>
      <c r="E2255" s="88"/>
      <c r="F2255" s="87"/>
      <c r="G2255" s="87"/>
      <c r="H2255" s="104"/>
    </row>
    <row r="2256" spans="2:8" ht="18" x14ac:dyDescent="0.25">
      <c r="B2256" s="87" t="e">
        <f>+$E$2</f>
        <v>#REF!</v>
      </c>
      <c r="C2256" s="87"/>
      <c r="D2256" s="87"/>
      <c r="E2256" s="87"/>
      <c r="F2256" s="98"/>
      <c r="G2256" s="88"/>
      <c r="H2256" s="87"/>
    </row>
    <row r="2257" spans="2:8" ht="18" x14ac:dyDescent="0.25">
      <c r="B2257" s="87" t="e">
        <f>+$E$3</f>
        <v>#REF!</v>
      </c>
      <c r="C2257" s="87"/>
      <c r="D2257" s="87"/>
      <c r="E2257" s="98"/>
      <c r="G2257" s="96"/>
      <c r="H2257" s="97"/>
    </row>
    <row r="2258" spans="2:8" ht="18" x14ac:dyDescent="0.25">
      <c r="B2258" s="88"/>
      <c r="C2258" s="87"/>
      <c r="D2258" s="87"/>
      <c r="E2258" s="87" t="s">
        <v>85</v>
      </c>
      <c r="F2258" s="109" t="e">
        <f>+F2241</f>
        <v>#REF!</v>
      </c>
      <c r="G2258" s="97"/>
      <c r="H2258" s="102">
        <f>+B2262</f>
        <v>46183</v>
      </c>
    </row>
    <row r="2259" spans="2:8" ht="18" x14ac:dyDescent="0.25">
      <c r="B2259" s="88"/>
      <c r="C2259" s="87"/>
      <c r="D2259" s="87"/>
      <c r="E2259" s="87" t="s">
        <v>193</v>
      </c>
      <c r="F2259" s="109" t="e">
        <f>+F2242</f>
        <v>#REF!</v>
      </c>
      <c r="H2259" s="87"/>
    </row>
    <row r="2260" spans="2:8" ht="18" x14ac:dyDescent="0.25">
      <c r="B2260" s="87"/>
      <c r="C2260" s="87"/>
      <c r="D2260" s="87"/>
      <c r="E2260" s="87" t="s">
        <v>86</v>
      </c>
      <c r="F2260" s="109" t="e">
        <f>+F2243</f>
        <v>#REF!</v>
      </c>
      <c r="G2260" s="87"/>
      <c r="H2260" s="87"/>
    </row>
    <row r="2261" spans="2:8" ht="18" x14ac:dyDescent="0.25">
      <c r="B2261" s="98"/>
      <c r="C2261" s="98"/>
      <c r="D2261" s="98"/>
      <c r="E2261" s="87" t="s">
        <v>87</v>
      </c>
      <c r="F2261" s="109" t="e">
        <f>+F2244</f>
        <v>#REF!</v>
      </c>
      <c r="G2261" s="87"/>
      <c r="H2261" s="87"/>
    </row>
    <row r="2262" spans="2:8" ht="18" x14ac:dyDescent="0.25">
      <c r="B2262" s="102">
        <f>+$G$34</f>
        <v>46183</v>
      </c>
      <c r="C2262" s="108" t="e">
        <f>+F2245</f>
        <v>#REF!</v>
      </c>
      <c r="D2262" s="87"/>
      <c r="E2262" s="87" t="s">
        <v>321</v>
      </c>
      <c r="F2262" s="109">
        <v>0</v>
      </c>
      <c r="G2262" s="87"/>
      <c r="H2262" s="87"/>
    </row>
    <row r="2263" spans="2:8" ht="18" x14ac:dyDescent="0.25">
      <c r="B2263" s="87"/>
      <c r="C2263" s="87"/>
      <c r="D2263" s="87"/>
      <c r="E2263" s="87" t="s">
        <v>88</v>
      </c>
      <c r="F2263" s="109" t="e">
        <f>+F2245</f>
        <v>#REF!</v>
      </c>
      <c r="G2263" s="87"/>
      <c r="H2263" s="87"/>
    </row>
    <row r="2264" spans="2:8" ht="18" x14ac:dyDescent="0.25">
      <c r="B2264" s="87"/>
      <c r="C2264" s="87"/>
      <c r="D2264" s="87"/>
      <c r="E2264" s="87"/>
      <c r="F2264" s="87"/>
      <c r="G2264" s="87"/>
      <c r="H2264" s="87"/>
    </row>
    <row r="2265" spans="2:8" ht="18" x14ac:dyDescent="0.25">
      <c r="B2265" s="87"/>
      <c r="C2265" s="87"/>
      <c r="D2265" s="87"/>
      <c r="E2265" s="105"/>
      <c r="F2265" s="87"/>
      <c r="G2265" s="87"/>
      <c r="H2265" s="87"/>
    </row>
    <row r="2266" spans="2:8" ht="18" x14ac:dyDescent="0.25">
      <c r="B2266" s="87"/>
      <c r="C2266" s="87"/>
      <c r="D2266" s="87"/>
      <c r="E2266" s="87"/>
      <c r="F2266" s="87"/>
      <c r="G2266" s="87"/>
      <c r="H2266" s="96"/>
    </row>
    <row r="2267" spans="2:8" ht="18" x14ac:dyDescent="0.25">
      <c r="E2267" s="87"/>
      <c r="G2267" s="96"/>
      <c r="H2267" s="87"/>
    </row>
    <row r="2269" spans="2:8" ht="18" x14ac:dyDescent="0.25">
      <c r="B2269" s="335"/>
      <c r="C2269" s="335"/>
      <c r="D2269" s="335"/>
      <c r="E2269" s="340">
        <f>+$B$1</f>
        <v>46143</v>
      </c>
      <c r="F2269" s="87"/>
      <c r="G2269" s="341">
        <f>+$D$1</f>
        <v>46183</v>
      </c>
      <c r="H2269" s="87"/>
    </row>
    <row r="2270" spans="2:8" ht="18" x14ac:dyDescent="0.25">
      <c r="B2270" s="86"/>
      <c r="C2270" s="86"/>
      <c r="D2270" s="103"/>
      <c r="E2270" s="340"/>
      <c r="F2270" s="87"/>
      <c r="G2270" s="341"/>
      <c r="H2270" s="87"/>
    </row>
    <row r="2271" spans="2:8" ht="18" x14ac:dyDescent="0.25">
      <c r="B2271" s="87"/>
      <c r="C2271" s="87"/>
      <c r="D2271" s="87"/>
      <c r="E2271" s="88"/>
      <c r="F2271" s="87"/>
      <c r="G2271" s="88"/>
      <c r="H2271" s="87"/>
    </row>
    <row r="2272" spans="2:8" ht="18" x14ac:dyDescent="0.25">
      <c r="B2272" s="87" t="e">
        <f>+#REF!</f>
        <v>#REF!</v>
      </c>
      <c r="C2272" s="87"/>
      <c r="D2272" s="87"/>
      <c r="E2272" s="88"/>
      <c r="F2272" s="87"/>
      <c r="G2272" s="88"/>
      <c r="H2272" s="87"/>
    </row>
    <row r="2273" spans="2:8" ht="18" x14ac:dyDescent="0.25">
      <c r="B2273" s="88"/>
      <c r="C2273" s="87"/>
      <c r="D2273" s="87"/>
      <c r="E2273" s="87" t="s">
        <v>81</v>
      </c>
      <c r="F2273" s="87"/>
      <c r="G2273" s="87"/>
      <c r="H2273" s="95" t="s">
        <v>144</v>
      </c>
    </row>
    <row r="2274" spans="2:8" ht="18" x14ac:dyDescent="0.25">
      <c r="B2274" s="87"/>
      <c r="C2274" s="87"/>
      <c r="D2274" s="87"/>
      <c r="E2274" s="88"/>
      <c r="F2274" s="88"/>
      <c r="G2274" s="87"/>
      <c r="H2274" s="88"/>
    </row>
    <row r="2275" spans="2:8" ht="18" x14ac:dyDescent="0.25">
      <c r="B2275" s="96"/>
      <c r="C2275" s="87"/>
      <c r="D2275" s="96"/>
      <c r="E2275" s="87"/>
      <c r="F2275" s="87"/>
      <c r="G2275" s="87"/>
      <c r="H2275" s="87"/>
    </row>
    <row r="2276" spans="2:8" ht="18" x14ac:dyDescent="0.25">
      <c r="B2276" s="96"/>
      <c r="C2276" s="87"/>
      <c r="D2276" s="96"/>
      <c r="E2276" s="87"/>
      <c r="F2276" s="87"/>
      <c r="G2276" s="87"/>
      <c r="H2276" s="87"/>
    </row>
    <row r="2277" spans="2:8" ht="18" x14ac:dyDescent="0.25">
      <c r="B2277" s="87" t="s">
        <v>82</v>
      </c>
      <c r="C2277" s="87"/>
      <c r="D2277" s="110">
        <f>+'RES CUENTA'!$H$26</f>
        <v>6751880</v>
      </c>
      <c r="E2277" s="111" t="e">
        <f>+'RES CUENTA'!#REF!</f>
        <v>#REF!</v>
      </c>
      <c r="F2277" s="106" t="e">
        <f>+D2277*E2277/100</f>
        <v>#REF!</v>
      </c>
      <c r="G2277" s="339"/>
      <c r="H2277" s="339"/>
    </row>
    <row r="2278" spans="2:8" ht="18" x14ac:dyDescent="0.25">
      <c r="B2278" s="87" t="s">
        <v>194</v>
      </c>
      <c r="C2278" s="87"/>
      <c r="D2278" s="110" t="e">
        <f>+'RES CUENTA'!#REF!</f>
        <v>#REF!</v>
      </c>
      <c r="E2278" s="111" t="e">
        <f>+'RES CUENTA'!#REF!</f>
        <v>#REF!</v>
      </c>
      <c r="F2278" s="106" t="e">
        <f>+D2278*E2278/100</f>
        <v>#REF!</v>
      </c>
      <c r="G2278" s="336"/>
      <c r="H2278" s="336"/>
    </row>
    <row r="2279" spans="2:8" ht="18" x14ac:dyDescent="0.25">
      <c r="B2279" s="87" t="s">
        <v>83</v>
      </c>
      <c r="C2279" s="87"/>
      <c r="D2279" s="110" t="e">
        <f>+'RES CUENTA'!#REF!</f>
        <v>#REF!</v>
      </c>
      <c r="E2279" s="111">
        <v>0</v>
      </c>
      <c r="F2279" s="106" t="e">
        <f>+D2279</f>
        <v>#REF!</v>
      </c>
      <c r="G2279" s="336"/>
      <c r="H2279" s="336"/>
    </row>
    <row r="2280" spans="2:8" ht="18" x14ac:dyDescent="0.25">
      <c r="B2280" s="87" t="s">
        <v>84</v>
      </c>
      <c r="C2280" s="87"/>
      <c r="D2280" s="110" t="e">
        <f>+'RES CUENTA'!#REF!</f>
        <v>#REF!</v>
      </c>
      <c r="E2280" s="111">
        <v>0</v>
      </c>
      <c r="F2280" s="106" t="e">
        <f>+D2280</f>
        <v>#REF!</v>
      </c>
      <c r="G2280" s="336"/>
      <c r="H2280" s="336"/>
    </row>
    <row r="2281" spans="2:8" ht="18" x14ac:dyDescent="0.25">
      <c r="B2281" s="88"/>
      <c r="C2281" s="87"/>
      <c r="D2281" s="87"/>
      <c r="E2281" s="94"/>
      <c r="F2281" s="107" t="e">
        <f>SUM(F2277:F2280)</f>
        <v>#REF!</v>
      </c>
      <c r="G2281" s="336"/>
      <c r="H2281" s="336"/>
    </row>
    <row r="2282" spans="2:8" ht="18" x14ac:dyDescent="0.25">
      <c r="B2282" s="88"/>
      <c r="C2282" s="87"/>
      <c r="D2282" s="87"/>
      <c r="E2282" s="94"/>
      <c r="F2282" s="107"/>
      <c r="G2282" s="91"/>
      <c r="H2282" s="91"/>
    </row>
    <row r="2283" spans="2:8" ht="18" x14ac:dyDescent="0.25">
      <c r="B2283" s="88"/>
      <c r="C2283" s="87"/>
      <c r="D2283" s="87"/>
      <c r="E2283" s="87"/>
      <c r="G2283" s="337"/>
      <c r="H2283" s="337"/>
    </row>
    <row r="2284" spans="2:8" ht="18" x14ac:dyDescent="0.25">
      <c r="B2284" s="87"/>
      <c r="C2284" s="87"/>
      <c r="D2284" s="87"/>
      <c r="E2284" s="87"/>
      <c r="F2284" s="93"/>
      <c r="G2284" s="92"/>
      <c r="H2284" s="92"/>
    </row>
    <row r="2285" spans="2:8" ht="18" x14ac:dyDescent="0.25">
      <c r="B2285" s="87"/>
      <c r="C2285" s="87"/>
      <c r="D2285" s="87"/>
      <c r="E2285" s="87"/>
      <c r="F2285" s="94"/>
      <c r="G2285" s="87"/>
      <c r="H2285" s="87"/>
    </row>
    <row r="2286" spans="2:8" ht="18" x14ac:dyDescent="0.25">
      <c r="B2286" s="87"/>
      <c r="C2286" s="87"/>
      <c r="D2286" s="87"/>
      <c r="E2286" s="87"/>
      <c r="F2286" s="94"/>
      <c r="G2286" s="87"/>
      <c r="H2286" s="87"/>
    </row>
    <row r="2287" spans="2:8" ht="18" x14ac:dyDescent="0.25">
      <c r="B2287" s="87" t="e">
        <f>+B2272</f>
        <v>#REF!</v>
      </c>
      <c r="C2287" s="338"/>
      <c r="D2287" s="338"/>
      <c r="E2287" s="87" t="e">
        <f>+B2287</f>
        <v>#REF!</v>
      </c>
      <c r="F2287" s="94"/>
      <c r="G2287" s="87"/>
      <c r="H2287" s="87"/>
    </row>
    <row r="2288" spans="2:8" ht="18" x14ac:dyDescent="0.25">
      <c r="C2288" s="87"/>
      <c r="D2288" s="87"/>
      <c r="F2288" s="338"/>
      <c r="G2288" s="338"/>
      <c r="H2288" s="338"/>
    </row>
    <row r="2289" spans="2:8" ht="18" x14ac:dyDescent="0.25">
      <c r="B2289" s="87" t="str">
        <f>+$E$1</f>
        <v>URUGUAY 1025/27/29 CAP. FED.</v>
      </c>
      <c r="C2289" s="87"/>
      <c r="D2289" s="95" t="str">
        <f>+H2273</f>
        <v>Unid. 61</v>
      </c>
      <c r="E2289" s="87" t="str">
        <f>+$E$1</f>
        <v>URUGUAY 1025/27/29 CAP. FED.</v>
      </c>
      <c r="F2289" s="87"/>
      <c r="G2289" s="87"/>
      <c r="H2289" s="95" t="str">
        <f>+D2289</f>
        <v>Unid. 61</v>
      </c>
    </row>
    <row r="2290" spans="2:8" ht="18" x14ac:dyDescent="0.25">
      <c r="H2290" s="88"/>
    </row>
    <row r="2291" spans="2:8" ht="18" x14ac:dyDescent="0.25">
      <c r="B2291" s="88"/>
      <c r="C2291" s="88"/>
      <c r="D2291" s="88"/>
      <c r="E2291" s="88"/>
      <c r="F2291" s="87"/>
      <c r="G2291" s="87"/>
    </row>
    <row r="2292" spans="2:8" ht="18" x14ac:dyDescent="0.25">
      <c r="B2292" s="87" t="e">
        <f>+$E$2</f>
        <v>#REF!</v>
      </c>
      <c r="C2292" s="87"/>
      <c r="D2292" s="87"/>
      <c r="E2292" s="87"/>
      <c r="F2292" s="87"/>
      <c r="G2292" s="88"/>
      <c r="H2292" s="104"/>
    </row>
    <row r="2293" spans="2:8" ht="18" x14ac:dyDescent="0.25">
      <c r="B2293" s="87" t="e">
        <f>+$E$3</f>
        <v>#REF!</v>
      </c>
      <c r="C2293" s="87"/>
      <c r="D2293" s="87"/>
      <c r="E2293" s="98"/>
      <c r="F2293" s="87"/>
      <c r="G2293" s="96"/>
      <c r="H2293" s="87"/>
    </row>
    <row r="2294" spans="2:8" ht="18" x14ac:dyDescent="0.25">
      <c r="C2294" s="87"/>
      <c r="D2294" s="87"/>
      <c r="E2294" s="87" t="s">
        <v>85</v>
      </c>
      <c r="F2294" s="109" t="e">
        <f>+F2277</f>
        <v>#REF!</v>
      </c>
      <c r="H2294" s="102">
        <f>+B2299</f>
        <v>46183</v>
      </c>
    </row>
    <row r="2295" spans="2:8" ht="18" x14ac:dyDescent="0.25">
      <c r="B2295" s="88"/>
      <c r="C2295" s="87"/>
      <c r="D2295" s="87"/>
      <c r="E2295" s="87" t="s">
        <v>193</v>
      </c>
      <c r="F2295" s="109" t="e">
        <f>+F2278</f>
        <v>#REF!</v>
      </c>
    </row>
    <row r="2296" spans="2:8" ht="18" x14ac:dyDescent="0.25">
      <c r="B2296" s="88"/>
      <c r="C2296" s="87"/>
      <c r="D2296" s="87"/>
      <c r="E2296" s="87" t="s">
        <v>86</v>
      </c>
      <c r="F2296" s="109" t="e">
        <f>+F2279</f>
        <v>#REF!</v>
      </c>
      <c r="G2296" s="87"/>
      <c r="H2296" s="87"/>
    </row>
    <row r="2297" spans="2:8" ht="18" x14ac:dyDescent="0.25">
      <c r="B2297" s="87"/>
      <c r="C2297" s="87"/>
      <c r="D2297" s="87"/>
      <c r="E2297" s="87" t="s">
        <v>87</v>
      </c>
      <c r="F2297" s="109" t="e">
        <f>+F2280</f>
        <v>#REF!</v>
      </c>
      <c r="G2297" s="87"/>
      <c r="H2297" s="87"/>
    </row>
    <row r="2298" spans="2:8" ht="18" x14ac:dyDescent="0.25">
      <c r="B2298" s="98"/>
      <c r="C2298" s="98"/>
      <c r="D2298" s="98"/>
      <c r="E2298" s="87" t="s">
        <v>321</v>
      </c>
      <c r="F2298" s="109">
        <v>0</v>
      </c>
      <c r="G2298" s="87"/>
      <c r="H2298" s="87"/>
    </row>
    <row r="2299" spans="2:8" ht="18" x14ac:dyDescent="0.25">
      <c r="B2299" s="102">
        <f>+$G$34</f>
        <v>46183</v>
      </c>
      <c r="C2299" s="108" t="e">
        <f>+F2281</f>
        <v>#REF!</v>
      </c>
      <c r="D2299" s="87"/>
      <c r="E2299" s="87" t="s">
        <v>88</v>
      </c>
      <c r="F2299" s="109" t="e">
        <f>+F2281</f>
        <v>#REF!</v>
      </c>
      <c r="G2299" s="87"/>
      <c r="H2299" s="87"/>
    </row>
    <row r="2300" spans="2:8" ht="18" x14ac:dyDescent="0.25">
      <c r="B2300" s="87"/>
      <c r="C2300" s="87"/>
      <c r="D2300" s="87"/>
      <c r="E2300" s="87"/>
      <c r="F2300" s="87"/>
      <c r="G2300" s="87"/>
      <c r="H2300" s="87"/>
    </row>
    <row r="2301" spans="2:8" ht="18" x14ac:dyDescent="0.25">
      <c r="B2301" s="87"/>
      <c r="C2301" s="87"/>
      <c r="D2301" s="87"/>
      <c r="E2301" s="87"/>
      <c r="F2301" s="87"/>
      <c r="G2301" s="339"/>
      <c r="H2301" s="339"/>
    </row>
    <row r="2302" spans="2:8" ht="18" x14ac:dyDescent="0.25">
      <c r="B2302" s="87"/>
      <c r="C2302" s="87"/>
      <c r="D2302" s="87"/>
      <c r="E2302" s="87"/>
      <c r="F2302" s="87"/>
      <c r="G2302" s="87"/>
      <c r="H2302" s="87"/>
    </row>
    <row r="2303" spans="2:8" ht="18" x14ac:dyDescent="0.25">
      <c r="B2303" s="87"/>
      <c r="C2303" s="87"/>
      <c r="D2303" s="87"/>
      <c r="E2303" s="87"/>
      <c r="F2303" s="87"/>
      <c r="G2303" s="87"/>
      <c r="H2303" s="87"/>
    </row>
    <row r="2304" spans="2:8" ht="18" x14ac:dyDescent="0.25">
      <c r="B2304" s="87"/>
      <c r="C2304" s="87"/>
      <c r="D2304" s="87"/>
      <c r="E2304" s="87"/>
      <c r="F2304" s="87"/>
      <c r="G2304" s="87"/>
      <c r="H2304" s="87"/>
    </row>
    <row r="2305" spans="2:8" ht="18" x14ac:dyDescent="0.25">
      <c r="B2305" s="87"/>
      <c r="C2305" s="87"/>
      <c r="D2305" s="87"/>
      <c r="E2305" s="87"/>
      <c r="F2305" s="87"/>
      <c r="G2305" s="87"/>
      <c r="H2305" s="87"/>
    </row>
    <row r="2306" spans="2:8" ht="18" x14ac:dyDescent="0.25">
      <c r="B2306" s="87"/>
      <c r="C2306" s="87"/>
      <c r="D2306" s="87"/>
      <c r="E2306" s="87"/>
      <c r="F2306" s="87"/>
      <c r="H2306" s="87"/>
    </row>
    <row r="2307" spans="2:8" ht="18" x14ac:dyDescent="0.25">
      <c r="B2307" s="335"/>
      <c r="C2307" s="335"/>
      <c r="D2307" s="335"/>
      <c r="E2307" s="87"/>
      <c r="F2307" s="87"/>
      <c r="H2307" s="87"/>
    </row>
    <row r="2308" spans="2:8" ht="18" x14ac:dyDescent="0.25">
      <c r="B2308" s="335"/>
      <c r="C2308" s="335"/>
      <c r="D2308" s="335"/>
      <c r="E2308" s="101">
        <f>+$B$1</f>
        <v>46143</v>
      </c>
      <c r="F2308" s="87"/>
      <c r="G2308" s="102">
        <f>+$D$1</f>
        <v>46183</v>
      </c>
      <c r="H2308" s="100"/>
    </row>
    <row r="2309" spans="2:8" ht="18" x14ac:dyDescent="0.25">
      <c r="B2309" s="86"/>
      <c r="C2309" s="86"/>
      <c r="D2309" s="103"/>
      <c r="E2309" s="101"/>
      <c r="F2309" s="87"/>
    </row>
    <row r="2310" spans="2:8" ht="18" x14ac:dyDescent="0.25">
      <c r="B2310" s="87" t="e">
        <f>+#REF!</f>
        <v>#REF!</v>
      </c>
      <c r="C2310" s="87"/>
      <c r="D2310" s="87"/>
      <c r="F2310" s="87"/>
    </row>
    <row r="2311" spans="2:8" ht="18" x14ac:dyDescent="0.25">
      <c r="C2311" s="87"/>
      <c r="D2311" s="87"/>
      <c r="E2311" s="87" t="str">
        <f>+$E$1</f>
        <v>URUGUAY 1025/27/29 CAP. FED.</v>
      </c>
      <c r="F2311" s="87"/>
      <c r="H2311" s="95" t="s">
        <v>145</v>
      </c>
    </row>
    <row r="2312" spans="2:8" ht="18" x14ac:dyDescent="0.25">
      <c r="B2312" s="88"/>
      <c r="C2312" s="87"/>
      <c r="D2312" s="87"/>
      <c r="F2312" s="87"/>
      <c r="G2312" s="88"/>
    </row>
    <row r="2313" spans="2:8" ht="18" x14ac:dyDescent="0.25">
      <c r="B2313" s="87"/>
      <c r="C2313" s="87"/>
      <c r="D2313" s="87"/>
      <c r="E2313" s="88"/>
      <c r="F2313" s="88"/>
      <c r="G2313" s="87"/>
      <c r="H2313" s="88"/>
    </row>
    <row r="2314" spans="2:8" ht="18" x14ac:dyDescent="0.25">
      <c r="B2314" s="87"/>
      <c r="C2314" s="87"/>
      <c r="D2314" s="87"/>
      <c r="E2314" s="88"/>
      <c r="F2314" s="88"/>
      <c r="G2314" s="87"/>
      <c r="H2314" s="88"/>
    </row>
    <row r="2315" spans="2:8" ht="18" x14ac:dyDescent="0.25">
      <c r="B2315" s="87" t="s">
        <v>82</v>
      </c>
      <c r="C2315" s="87"/>
      <c r="D2315" s="110">
        <f>+'RES CUENTA'!$H$26</f>
        <v>6751880</v>
      </c>
      <c r="E2315" s="111" t="e">
        <f>+'RES CUENTA'!#REF!</f>
        <v>#REF!</v>
      </c>
      <c r="F2315" s="106" t="e">
        <f>+D2315*E2315/100</f>
        <v>#REF!</v>
      </c>
      <c r="G2315" s="87"/>
      <c r="H2315" s="96"/>
    </row>
    <row r="2316" spans="2:8" ht="18" x14ac:dyDescent="0.25">
      <c r="B2316" s="87" t="s">
        <v>194</v>
      </c>
      <c r="C2316" s="87"/>
      <c r="D2316" s="110" t="e">
        <f>+'RES CUENTA'!#REF!</f>
        <v>#REF!</v>
      </c>
      <c r="E2316" s="111" t="e">
        <f>+'RES CUENTA'!#REF!</f>
        <v>#REF!</v>
      </c>
      <c r="F2316" s="106" t="e">
        <f>+D2316*E2316/100</f>
        <v>#REF!</v>
      </c>
      <c r="G2316" s="96"/>
      <c r="H2316" s="91"/>
    </row>
    <row r="2317" spans="2:8" ht="18" x14ac:dyDescent="0.25">
      <c r="B2317" s="87" t="s">
        <v>83</v>
      </c>
      <c r="C2317" s="87"/>
      <c r="D2317" s="110" t="e">
        <f>+'RES CUENTA'!#REF!</f>
        <v>#REF!</v>
      </c>
      <c r="E2317" s="111">
        <f>+'RES CUENTA'!N1423</f>
        <v>0</v>
      </c>
      <c r="F2317" s="106" t="e">
        <f>+D2317</f>
        <v>#REF!</v>
      </c>
      <c r="G2317" s="91"/>
      <c r="H2317" s="91"/>
    </row>
    <row r="2318" spans="2:8" ht="18" x14ac:dyDescent="0.25">
      <c r="B2318" s="87" t="s">
        <v>84</v>
      </c>
      <c r="C2318" s="87"/>
      <c r="D2318" s="110" t="e">
        <f>+'RES CUENTA'!#REF!</f>
        <v>#REF!</v>
      </c>
      <c r="E2318" s="111">
        <f>+'RES CUENTA'!P1422</f>
        <v>0</v>
      </c>
      <c r="F2318" s="106" t="e">
        <f>+D2318</f>
        <v>#REF!</v>
      </c>
      <c r="G2318" s="91"/>
      <c r="H2318" s="91"/>
    </row>
    <row r="2319" spans="2:8" ht="18" x14ac:dyDescent="0.25">
      <c r="B2319" s="88"/>
      <c r="C2319" s="87"/>
      <c r="D2319" s="87"/>
      <c r="F2319" s="107" t="e">
        <f>SUM(F2315:F2318)</f>
        <v>#REF!</v>
      </c>
      <c r="G2319" s="91"/>
      <c r="H2319" s="91"/>
    </row>
    <row r="2320" spans="2:8" ht="18" x14ac:dyDescent="0.25">
      <c r="B2320" s="88"/>
      <c r="C2320" s="87"/>
      <c r="D2320" s="87"/>
      <c r="F2320" s="107"/>
      <c r="G2320" s="91"/>
      <c r="H2320" s="91"/>
    </row>
    <row r="2321" spans="2:8" ht="18" x14ac:dyDescent="0.25">
      <c r="B2321" s="88"/>
      <c r="C2321" s="87"/>
      <c r="D2321" s="87"/>
      <c r="F2321" s="93"/>
      <c r="G2321" s="91"/>
      <c r="H2321" s="92"/>
    </row>
    <row r="2322" spans="2:8" ht="18" x14ac:dyDescent="0.25">
      <c r="B2322" s="87"/>
      <c r="C2322" s="87"/>
      <c r="D2322" s="87"/>
      <c r="E2322" s="87"/>
      <c r="F2322" s="94"/>
      <c r="G2322" s="92"/>
      <c r="H2322" s="92"/>
    </row>
    <row r="2323" spans="2:8" ht="18" x14ac:dyDescent="0.25">
      <c r="B2323" s="87"/>
      <c r="C2323" s="87"/>
      <c r="D2323" s="87"/>
      <c r="E2323" s="87"/>
      <c r="F2323" s="94"/>
      <c r="G2323" s="92"/>
      <c r="H2323" s="92"/>
    </row>
    <row r="2324" spans="2:8" ht="18" x14ac:dyDescent="0.25">
      <c r="B2324" s="87"/>
      <c r="C2324" s="87"/>
      <c r="D2324" s="87"/>
      <c r="E2324" s="87"/>
      <c r="F2324" s="94"/>
      <c r="G2324" s="92"/>
      <c r="H2324" s="87"/>
    </row>
    <row r="2325" spans="2:8" ht="18" x14ac:dyDescent="0.25">
      <c r="B2325" s="87" t="e">
        <f>+B2310</f>
        <v>#REF!</v>
      </c>
      <c r="C2325" s="87"/>
      <c r="D2325" s="87"/>
      <c r="E2325" s="87" t="e">
        <f>+B2310</f>
        <v>#REF!</v>
      </c>
      <c r="F2325" s="87"/>
      <c r="G2325" s="87"/>
      <c r="H2325" s="104"/>
    </row>
    <row r="2326" spans="2:8" ht="18" x14ac:dyDescent="0.25">
      <c r="B2326" s="88"/>
      <c r="C2326" s="87"/>
      <c r="D2326" s="87"/>
      <c r="F2326" s="87"/>
      <c r="G2326" s="104"/>
      <c r="H2326" s="95" t="str">
        <f>+H2311</f>
        <v>Unid. 62</v>
      </c>
    </row>
    <row r="2327" spans="2:8" ht="18" x14ac:dyDescent="0.25">
      <c r="B2327" s="87" t="str">
        <f>+$E$1</f>
        <v>URUGUAY 1025/27/29 CAP. FED.</v>
      </c>
      <c r="C2327" s="87"/>
      <c r="D2327" s="95" t="str">
        <f>+H2326</f>
        <v>Unid. 62</v>
      </c>
      <c r="E2327" s="87" t="str">
        <f>+$E$1</f>
        <v>URUGUAY 1025/27/29 CAP. FED.</v>
      </c>
      <c r="F2327" s="87"/>
      <c r="G2327" s="87"/>
      <c r="H2327" s="88"/>
    </row>
    <row r="2328" spans="2:8" ht="18" x14ac:dyDescent="0.25">
      <c r="B2328" s="88"/>
      <c r="C2328" s="88"/>
      <c r="D2328" s="88"/>
      <c r="F2328" s="87"/>
      <c r="G2328" s="87"/>
    </row>
    <row r="2329" spans="2:8" ht="18" x14ac:dyDescent="0.25">
      <c r="B2329" s="87"/>
      <c r="C2329" s="87"/>
      <c r="D2329" s="87"/>
      <c r="E2329" s="88"/>
      <c r="F2329" s="87"/>
      <c r="G2329" s="87"/>
      <c r="H2329" s="104"/>
    </row>
    <row r="2330" spans="2:8" ht="18" x14ac:dyDescent="0.25">
      <c r="B2330" s="87" t="e">
        <f>+$E$2</f>
        <v>#REF!</v>
      </c>
      <c r="C2330" s="87"/>
      <c r="D2330" s="87"/>
      <c r="E2330" s="87"/>
      <c r="F2330" s="98"/>
      <c r="G2330" s="88"/>
      <c r="H2330" s="87"/>
    </row>
    <row r="2331" spans="2:8" ht="18" x14ac:dyDescent="0.25">
      <c r="B2331" s="87" t="e">
        <f>+$E$3</f>
        <v>#REF!</v>
      </c>
      <c r="C2331" s="87"/>
      <c r="D2331" s="87"/>
      <c r="E2331" s="98"/>
      <c r="G2331" s="96"/>
      <c r="H2331" s="97"/>
    </row>
    <row r="2332" spans="2:8" ht="18" x14ac:dyDescent="0.25">
      <c r="B2332" s="88"/>
      <c r="C2332" s="87"/>
      <c r="D2332" s="87"/>
      <c r="E2332" s="87" t="s">
        <v>85</v>
      </c>
      <c r="F2332" s="109" t="e">
        <f>+F2315</f>
        <v>#REF!</v>
      </c>
      <c r="G2332" s="97"/>
      <c r="H2332" s="102">
        <f>+B2336</f>
        <v>46183</v>
      </c>
    </row>
    <row r="2333" spans="2:8" ht="18" x14ac:dyDescent="0.25">
      <c r="B2333" s="88"/>
      <c r="C2333" s="87"/>
      <c r="D2333" s="87"/>
      <c r="E2333" s="87" t="s">
        <v>193</v>
      </c>
      <c r="F2333" s="109" t="e">
        <f>+F2316</f>
        <v>#REF!</v>
      </c>
      <c r="H2333" s="87"/>
    </row>
    <row r="2334" spans="2:8" ht="18" x14ac:dyDescent="0.25">
      <c r="B2334" s="87"/>
      <c r="C2334" s="87"/>
      <c r="D2334" s="87"/>
      <c r="E2334" s="87" t="s">
        <v>86</v>
      </c>
      <c r="F2334" s="109" t="e">
        <f>+F2317</f>
        <v>#REF!</v>
      </c>
      <c r="G2334" s="87"/>
      <c r="H2334" s="87"/>
    </row>
    <row r="2335" spans="2:8" ht="18" x14ac:dyDescent="0.25">
      <c r="B2335" s="98"/>
      <c r="C2335" s="98"/>
      <c r="D2335" s="98"/>
      <c r="E2335" s="87" t="s">
        <v>87</v>
      </c>
      <c r="F2335" s="109" t="e">
        <f>+F2318</f>
        <v>#REF!</v>
      </c>
      <c r="G2335" s="87"/>
      <c r="H2335" s="87"/>
    </row>
    <row r="2336" spans="2:8" ht="18" x14ac:dyDescent="0.25">
      <c r="B2336" s="102">
        <f>+$G$34</f>
        <v>46183</v>
      </c>
      <c r="C2336" s="108" t="e">
        <f>+F2319</f>
        <v>#REF!</v>
      </c>
      <c r="D2336" s="87"/>
      <c r="E2336" s="87" t="s">
        <v>321</v>
      </c>
      <c r="F2336" s="109">
        <v>0</v>
      </c>
      <c r="G2336" s="87"/>
      <c r="H2336" s="87"/>
    </row>
    <row r="2337" spans="2:8" ht="18" x14ac:dyDescent="0.25">
      <c r="B2337" s="87"/>
      <c r="C2337" s="87"/>
      <c r="D2337" s="87"/>
      <c r="E2337" s="87" t="s">
        <v>88</v>
      </c>
      <c r="F2337" s="109" t="e">
        <f>+F2319</f>
        <v>#REF!</v>
      </c>
      <c r="G2337" s="87"/>
      <c r="H2337" s="87"/>
    </row>
    <row r="2338" spans="2:8" ht="18" x14ac:dyDescent="0.25">
      <c r="B2338" s="87"/>
      <c r="C2338" s="87"/>
      <c r="D2338" s="87"/>
      <c r="E2338" s="87"/>
      <c r="F2338" s="87"/>
      <c r="G2338" s="87"/>
      <c r="H2338" s="87"/>
    </row>
    <row r="2339" spans="2:8" ht="18" x14ac:dyDescent="0.25">
      <c r="B2339" s="87"/>
      <c r="C2339" s="87"/>
      <c r="D2339" s="87"/>
      <c r="E2339" s="105"/>
      <c r="F2339" s="87"/>
      <c r="G2339" s="87"/>
      <c r="H2339" s="87"/>
    </row>
    <row r="2340" spans="2:8" ht="18" x14ac:dyDescent="0.25">
      <c r="B2340" s="87"/>
      <c r="C2340" s="87"/>
      <c r="D2340" s="87"/>
      <c r="E2340" s="87"/>
      <c r="F2340" s="87"/>
      <c r="G2340" s="87"/>
      <c r="H2340" s="96"/>
    </row>
    <row r="2341" spans="2:8" ht="18" x14ac:dyDescent="0.25">
      <c r="E2341" s="87"/>
      <c r="G2341" s="96"/>
      <c r="H2341" s="87"/>
    </row>
    <row r="2343" spans="2:8" ht="18" x14ac:dyDescent="0.25">
      <c r="B2343" s="335"/>
      <c r="C2343" s="335"/>
      <c r="D2343" s="335"/>
      <c r="E2343" s="340">
        <f>+$B$1</f>
        <v>46143</v>
      </c>
      <c r="F2343" s="87"/>
      <c r="G2343" s="341">
        <f>+$D$1</f>
        <v>46183</v>
      </c>
      <c r="H2343" s="87"/>
    </row>
    <row r="2344" spans="2:8" ht="18" x14ac:dyDescent="0.25">
      <c r="B2344" s="86"/>
      <c r="C2344" s="86"/>
      <c r="D2344" s="103"/>
      <c r="E2344" s="340"/>
      <c r="F2344" s="87"/>
      <c r="G2344" s="341"/>
      <c r="H2344" s="87"/>
    </row>
    <row r="2345" spans="2:8" ht="18" x14ac:dyDescent="0.25">
      <c r="B2345" s="87"/>
      <c r="C2345" s="87"/>
      <c r="D2345" s="87"/>
      <c r="E2345" s="88"/>
      <c r="F2345" s="87"/>
      <c r="G2345" s="88"/>
      <c r="H2345" s="87"/>
    </row>
    <row r="2346" spans="2:8" ht="18" x14ac:dyDescent="0.25">
      <c r="B2346" s="87" t="e">
        <f>+#REF!</f>
        <v>#REF!</v>
      </c>
      <c r="C2346" s="87"/>
      <c r="D2346" s="87"/>
      <c r="E2346" s="88"/>
      <c r="F2346" s="87"/>
      <c r="G2346" s="88"/>
      <c r="H2346" s="87"/>
    </row>
    <row r="2347" spans="2:8" ht="18" x14ac:dyDescent="0.25">
      <c r="B2347" s="88"/>
      <c r="C2347" s="87"/>
      <c r="D2347" s="87"/>
      <c r="E2347" s="87" t="s">
        <v>81</v>
      </c>
      <c r="F2347" s="87"/>
      <c r="G2347" s="87"/>
      <c r="H2347" s="95" t="s">
        <v>146</v>
      </c>
    </row>
    <row r="2348" spans="2:8" ht="18" x14ac:dyDescent="0.25">
      <c r="B2348" s="87"/>
      <c r="C2348" s="87"/>
      <c r="D2348" s="87"/>
      <c r="E2348" s="88"/>
      <c r="F2348" s="88"/>
      <c r="G2348" s="87"/>
      <c r="H2348" s="88"/>
    </row>
    <row r="2349" spans="2:8" ht="18" x14ac:dyDescent="0.25">
      <c r="B2349" s="96"/>
      <c r="C2349" s="87"/>
      <c r="D2349" s="96"/>
      <c r="E2349" s="87"/>
      <c r="F2349" s="87"/>
      <c r="G2349" s="87"/>
      <c r="H2349" s="87"/>
    </row>
    <row r="2350" spans="2:8" ht="18" x14ac:dyDescent="0.25">
      <c r="B2350" s="96"/>
      <c r="C2350" s="87"/>
      <c r="D2350" s="96"/>
      <c r="E2350" s="87"/>
      <c r="F2350" s="87"/>
      <c r="G2350" s="87"/>
      <c r="H2350" s="87"/>
    </row>
    <row r="2351" spans="2:8" ht="18" x14ac:dyDescent="0.25">
      <c r="B2351" s="87" t="s">
        <v>82</v>
      </c>
      <c r="C2351" s="87"/>
      <c r="D2351" s="110">
        <f>+'RES CUENTA'!$H$26</f>
        <v>6751880</v>
      </c>
      <c r="E2351" s="111" t="e">
        <f>+'RES CUENTA'!#REF!</f>
        <v>#REF!</v>
      </c>
      <c r="F2351" s="106" t="e">
        <f>+D2351*E2351/100</f>
        <v>#REF!</v>
      </c>
      <c r="G2351" s="339"/>
      <c r="H2351" s="339"/>
    </row>
    <row r="2352" spans="2:8" ht="18" x14ac:dyDescent="0.25">
      <c r="B2352" s="87" t="s">
        <v>194</v>
      </c>
      <c r="C2352" s="87"/>
      <c r="D2352" s="110" t="e">
        <f>+'RES CUENTA'!#REF!</f>
        <v>#REF!</v>
      </c>
      <c r="E2352" s="111" t="e">
        <f>+'RES CUENTA'!#REF!</f>
        <v>#REF!</v>
      </c>
      <c r="F2352" s="106" t="e">
        <f>+D2352*E2352/100</f>
        <v>#REF!</v>
      </c>
      <c r="G2352" s="336"/>
      <c r="H2352" s="336"/>
    </row>
    <row r="2353" spans="2:8" ht="18" x14ac:dyDescent="0.25">
      <c r="B2353" s="87" t="s">
        <v>83</v>
      </c>
      <c r="C2353" s="87"/>
      <c r="D2353" s="110" t="e">
        <f>+'RES CUENTA'!#REF!</f>
        <v>#REF!</v>
      </c>
      <c r="E2353" s="111">
        <v>0</v>
      </c>
      <c r="F2353" s="106" t="e">
        <f>+D2353</f>
        <v>#REF!</v>
      </c>
      <c r="G2353" s="336"/>
      <c r="H2353" s="336"/>
    </row>
    <row r="2354" spans="2:8" ht="18" x14ac:dyDescent="0.25">
      <c r="B2354" s="87" t="s">
        <v>84</v>
      </c>
      <c r="C2354" s="87"/>
      <c r="D2354" s="110" t="e">
        <f>+'RES CUENTA'!#REF!</f>
        <v>#REF!</v>
      </c>
      <c r="E2354" s="111">
        <v>0</v>
      </c>
      <c r="F2354" s="106" t="e">
        <f>+D2354</f>
        <v>#REF!</v>
      </c>
      <c r="G2354" s="336"/>
      <c r="H2354" s="336"/>
    </row>
    <row r="2355" spans="2:8" ht="18" x14ac:dyDescent="0.25">
      <c r="B2355" s="88"/>
      <c r="C2355" s="87"/>
      <c r="D2355" s="87"/>
      <c r="E2355" s="94"/>
      <c r="F2355" s="107" t="e">
        <f>SUM(F2351:F2354)</f>
        <v>#REF!</v>
      </c>
      <c r="G2355" s="336"/>
      <c r="H2355" s="336"/>
    </row>
    <row r="2356" spans="2:8" ht="18" x14ac:dyDescent="0.25">
      <c r="B2356" s="88"/>
      <c r="C2356" s="87"/>
      <c r="D2356" s="87"/>
      <c r="E2356" s="94"/>
      <c r="F2356" s="107"/>
      <c r="G2356" s="91"/>
      <c r="H2356" s="91"/>
    </row>
    <row r="2357" spans="2:8" ht="18" x14ac:dyDescent="0.25">
      <c r="B2357" s="88"/>
      <c r="C2357" s="87"/>
      <c r="D2357" s="87"/>
      <c r="E2357" s="87"/>
      <c r="G2357" s="337"/>
      <c r="H2357" s="337"/>
    </row>
    <row r="2358" spans="2:8" ht="18" x14ac:dyDescent="0.25">
      <c r="B2358" s="87"/>
      <c r="C2358" s="87"/>
      <c r="D2358" s="87"/>
      <c r="E2358" s="87"/>
      <c r="F2358" s="93"/>
      <c r="G2358" s="92"/>
      <c r="H2358" s="92"/>
    </row>
    <row r="2359" spans="2:8" ht="18" x14ac:dyDescent="0.25">
      <c r="B2359" s="87"/>
      <c r="C2359" s="87"/>
      <c r="D2359" s="87"/>
      <c r="E2359" s="87"/>
      <c r="F2359" s="94"/>
      <c r="G2359" s="87"/>
      <c r="H2359" s="87"/>
    </row>
    <row r="2360" spans="2:8" ht="18" x14ac:dyDescent="0.25">
      <c r="B2360" s="87"/>
      <c r="C2360" s="87"/>
      <c r="D2360" s="87"/>
      <c r="E2360" s="87"/>
      <c r="F2360" s="94"/>
      <c r="G2360" s="87"/>
      <c r="H2360" s="87"/>
    </row>
    <row r="2361" spans="2:8" ht="18" x14ac:dyDescent="0.25">
      <c r="B2361" s="87" t="e">
        <f>+B2346</f>
        <v>#REF!</v>
      </c>
      <c r="C2361" s="338"/>
      <c r="D2361" s="338"/>
      <c r="E2361" s="87" t="e">
        <f>+B2361</f>
        <v>#REF!</v>
      </c>
      <c r="F2361" s="94"/>
      <c r="G2361" s="87"/>
      <c r="H2361" s="87"/>
    </row>
    <row r="2362" spans="2:8" ht="18" x14ac:dyDescent="0.25">
      <c r="C2362" s="87"/>
      <c r="D2362" s="87"/>
      <c r="F2362" s="338"/>
      <c r="G2362" s="338"/>
      <c r="H2362" s="338"/>
    </row>
    <row r="2363" spans="2:8" ht="18" x14ac:dyDescent="0.25">
      <c r="B2363" s="87" t="str">
        <f>+$E$1</f>
        <v>URUGUAY 1025/27/29 CAP. FED.</v>
      </c>
      <c r="C2363" s="87"/>
      <c r="D2363" s="95" t="str">
        <f>+H2347</f>
        <v>Unid. 63</v>
      </c>
      <c r="E2363" s="87" t="str">
        <f>+$E$1</f>
        <v>URUGUAY 1025/27/29 CAP. FED.</v>
      </c>
      <c r="F2363" s="87"/>
      <c r="G2363" s="87"/>
      <c r="H2363" s="95" t="str">
        <f>+D2363</f>
        <v>Unid. 63</v>
      </c>
    </row>
    <row r="2364" spans="2:8" ht="18" x14ac:dyDescent="0.25">
      <c r="H2364" s="88"/>
    </row>
    <row r="2365" spans="2:8" ht="18" x14ac:dyDescent="0.25">
      <c r="B2365" s="88"/>
      <c r="C2365" s="88"/>
      <c r="D2365" s="88"/>
      <c r="E2365" s="88"/>
      <c r="F2365" s="87"/>
      <c r="G2365" s="87"/>
    </row>
    <row r="2366" spans="2:8" ht="18" x14ac:dyDescent="0.25">
      <c r="B2366" s="87" t="e">
        <f>+$E$2</f>
        <v>#REF!</v>
      </c>
      <c r="C2366" s="87"/>
      <c r="D2366" s="87"/>
      <c r="E2366" s="87"/>
      <c r="F2366" s="87"/>
      <c r="G2366" s="88"/>
      <c r="H2366" s="104"/>
    </row>
    <row r="2367" spans="2:8" ht="18" x14ac:dyDescent="0.25">
      <c r="B2367" s="87" t="e">
        <f>+$E$3</f>
        <v>#REF!</v>
      </c>
      <c r="C2367" s="87"/>
      <c r="D2367" s="87"/>
      <c r="E2367" s="98"/>
      <c r="F2367" s="87"/>
      <c r="G2367" s="96"/>
      <c r="H2367" s="87"/>
    </row>
    <row r="2368" spans="2:8" ht="18" x14ac:dyDescent="0.25">
      <c r="C2368" s="87"/>
      <c r="D2368" s="87"/>
      <c r="E2368" s="87" t="s">
        <v>85</v>
      </c>
      <c r="F2368" s="109" t="e">
        <f>+F2351</f>
        <v>#REF!</v>
      </c>
      <c r="H2368" s="102">
        <f>+B2373</f>
        <v>46183</v>
      </c>
    </row>
    <row r="2369" spans="2:8" ht="18" x14ac:dyDescent="0.25">
      <c r="B2369" s="88"/>
      <c r="C2369" s="87"/>
      <c r="D2369" s="87"/>
      <c r="E2369" s="87" t="s">
        <v>193</v>
      </c>
      <c r="F2369" s="109" t="e">
        <f>+F2352</f>
        <v>#REF!</v>
      </c>
    </row>
    <row r="2370" spans="2:8" ht="18" x14ac:dyDescent="0.25">
      <c r="B2370" s="88"/>
      <c r="C2370" s="87"/>
      <c r="D2370" s="87"/>
      <c r="E2370" s="87" t="s">
        <v>86</v>
      </c>
      <c r="F2370" s="109" t="e">
        <f>+F2353</f>
        <v>#REF!</v>
      </c>
      <c r="G2370" s="87"/>
      <c r="H2370" s="87"/>
    </row>
    <row r="2371" spans="2:8" ht="18" x14ac:dyDescent="0.25">
      <c r="B2371" s="87"/>
      <c r="C2371" s="87"/>
      <c r="D2371" s="87"/>
      <c r="E2371" s="87" t="s">
        <v>87</v>
      </c>
      <c r="F2371" s="109" t="e">
        <f>+F2354</f>
        <v>#REF!</v>
      </c>
      <c r="G2371" s="87"/>
      <c r="H2371" s="87"/>
    </row>
    <row r="2372" spans="2:8" ht="18" x14ac:dyDescent="0.25">
      <c r="B2372" s="98"/>
      <c r="C2372" s="98"/>
      <c r="D2372" s="98"/>
      <c r="E2372" s="87" t="s">
        <v>321</v>
      </c>
      <c r="F2372" s="109">
        <v>0</v>
      </c>
      <c r="G2372" s="87"/>
      <c r="H2372" s="87"/>
    </row>
    <row r="2373" spans="2:8" ht="18" x14ac:dyDescent="0.25">
      <c r="B2373" s="102">
        <f>+$G$34</f>
        <v>46183</v>
      </c>
      <c r="C2373" s="108" t="e">
        <f>+F2355</f>
        <v>#REF!</v>
      </c>
      <c r="D2373" s="87"/>
      <c r="E2373" s="87" t="s">
        <v>88</v>
      </c>
      <c r="F2373" s="109" t="e">
        <f>+F2355</f>
        <v>#REF!</v>
      </c>
      <c r="G2373" s="87"/>
      <c r="H2373" s="87"/>
    </row>
    <row r="2374" spans="2:8" ht="18" x14ac:dyDescent="0.25">
      <c r="B2374" s="87"/>
      <c r="C2374" s="87"/>
      <c r="D2374" s="87"/>
      <c r="E2374" s="87"/>
      <c r="F2374" s="87"/>
      <c r="G2374" s="87"/>
      <c r="H2374" s="87"/>
    </row>
    <row r="2375" spans="2:8" ht="18" x14ac:dyDescent="0.25">
      <c r="B2375" s="87"/>
      <c r="C2375" s="87"/>
      <c r="D2375" s="87"/>
      <c r="E2375" s="87"/>
      <c r="F2375" s="87"/>
      <c r="G2375" s="339"/>
      <c r="H2375" s="339"/>
    </row>
    <row r="2376" spans="2:8" ht="18" x14ac:dyDescent="0.25">
      <c r="B2376" s="87"/>
      <c r="C2376" s="87"/>
      <c r="D2376" s="87"/>
      <c r="E2376" s="87"/>
      <c r="F2376" s="87"/>
      <c r="G2376" s="87"/>
      <c r="H2376" s="87"/>
    </row>
    <row r="2377" spans="2:8" ht="18" x14ac:dyDescent="0.25">
      <c r="B2377" s="87"/>
      <c r="C2377" s="87"/>
      <c r="D2377" s="87"/>
      <c r="E2377" s="87"/>
      <c r="F2377" s="87"/>
      <c r="G2377" s="87"/>
      <c r="H2377" s="87"/>
    </row>
    <row r="2378" spans="2:8" ht="18" x14ac:dyDescent="0.25">
      <c r="B2378" s="87"/>
      <c r="C2378" s="87"/>
      <c r="D2378" s="87"/>
      <c r="E2378" s="87"/>
      <c r="F2378" s="87"/>
      <c r="G2378" s="87"/>
      <c r="H2378" s="87"/>
    </row>
    <row r="2379" spans="2:8" ht="18" x14ac:dyDescent="0.25">
      <c r="B2379" s="87"/>
      <c r="C2379" s="87"/>
      <c r="D2379" s="87"/>
      <c r="E2379" s="87"/>
      <c r="F2379" s="87"/>
      <c r="G2379" s="87"/>
      <c r="H2379" s="87"/>
    </row>
    <row r="2380" spans="2:8" ht="18" x14ac:dyDescent="0.25">
      <c r="B2380" s="87"/>
      <c r="C2380" s="87"/>
      <c r="D2380" s="87"/>
      <c r="E2380" s="87"/>
      <c r="F2380" s="87"/>
      <c r="H2380" s="87"/>
    </row>
    <row r="2381" spans="2:8" ht="18" x14ac:dyDescent="0.25">
      <c r="B2381" s="335"/>
      <c r="C2381" s="335"/>
      <c r="D2381" s="335"/>
      <c r="E2381" s="87"/>
      <c r="F2381" s="87"/>
      <c r="H2381" s="87"/>
    </row>
    <row r="2382" spans="2:8" ht="18" x14ac:dyDescent="0.25">
      <c r="B2382" s="335"/>
      <c r="C2382" s="335"/>
      <c r="D2382" s="335"/>
      <c r="E2382" s="101">
        <f>+$B$1</f>
        <v>46143</v>
      </c>
      <c r="F2382" s="87"/>
      <c r="G2382" s="102">
        <f>+$D$1</f>
        <v>46183</v>
      </c>
      <c r="H2382" s="100"/>
    </row>
    <row r="2383" spans="2:8" ht="18" x14ac:dyDescent="0.25">
      <c r="B2383" s="86"/>
      <c r="C2383" s="86"/>
      <c r="D2383" s="103"/>
      <c r="E2383" s="101"/>
      <c r="F2383" s="87"/>
    </row>
    <row r="2384" spans="2:8" ht="18" x14ac:dyDescent="0.25">
      <c r="B2384" s="87" t="e">
        <f>+#REF!</f>
        <v>#REF!</v>
      </c>
      <c r="C2384" s="87"/>
      <c r="D2384" s="87"/>
      <c r="F2384" s="87"/>
    </row>
    <row r="2385" spans="2:8" ht="18" x14ac:dyDescent="0.25">
      <c r="C2385" s="87"/>
      <c r="D2385" s="87"/>
      <c r="E2385" s="87" t="str">
        <f>+$E$1</f>
        <v>URUGUAY 1025/27/29 CAP. FED.</v>
      </c>
      <c r="F2385" s="87"/>
      <c r="H2385" s="95" t="s">
        <v>147</v>
      </c>
    </row>
    <row r="2386" spans="2:8" ht="18" x14ac:dyDescent="0.25">
      <c r="B2386" s="88"/>
      <c r="C2386" s="87"/>
      <c r="D2386" s="87"/>
      <c r="F2386" s="87"/>
      <c r="G2386" s="88"/>
    </row>
    <row r="2387" spans="2:8" ht="18" x14ac:dyDescent="0.25">
      <c r="B2387" s="87"/>
      <c r="C2387" s="87"/>
      <c r="D2387" s="87"/>
      <c r="E2387" s="88"/>
      <c r="F2387" s="88"/>
      <c r="G2387" s="87"/>
      <c r="H2387" s="88"/>
    </row>
    <row r="2388" spans="2:8" ht="18" x14ac:dyDescent="0.25">
      <c r="B2388" s="96"/>
      <c r="C2388" s="87"/>
      <c r="D2388" s="96"/>
      <c r="E2388" s="87"/>
      <c r="F2388" s="87"/>
      <c r="G2388" s="87"/>
      <c r="H2388" s="87"/>
    </row>
    <row r="2389" spans="2:8" ht="18" x14ac:dyDescent="0.25">
      <c r="B2389" s="87" t="s">
        <v>82</v>
      </c>
      <c r="C2389" s="87"/>
      <c r="D2389" s="110">
        <f>+'RES CUENTA'!$H$26</f>
        <v>6751880</v>
      </c>
      <c r="E2389" s="111" t="e">
        <f>+'RES CUENTA'!#REF!</f>
        <v>#REF!</v>
      </c>
      <c r="F2389" s="106" t="e">
        <f>+D2389*E2389/100</f>
        <v>#REF!</v>
      </c>
      <c r="G2389" s="87"/>
      <c r="H2389" s="96"/>
    </row>
    <row r="2390" spans="2:8" ht="18" x14ac:dyDescent="0.25">
      <c r="B2390" s="87" t="s">
        <v>194</v>
      </c>
      <c r="C2390" s="87"/>
      <c r="D2390" s="110" t="e">
        <f>+'RES CUENTA'!#REF!</f>
        <v>#REF!</v>
      </c>
      <c r="E2390" s="111" t="e">
        <f>+'RES CUENTA'!#REF!</f>
        <v>#REF!</v>
      </c>
      <c r="F2390" s="106" t="e">
        <f>+D2390*E2390/100</f>
        <v>#REF!</v>
      </c>
      <c r="G2390" s="96"/>
      <c r="H2390" s="91"/>
    </row>
    <row r="2391" spans="2:8" ht="18" x14ac:dyDescent="0.25">
      <c r="B2391" s="87" t="s">
        <v>83</v>
      </c>
      <c r="C2391" s="87"/>
      <c r="D2391" s="110" t="e">
        <f>+'RES CUENTA'!#REF!</f>
        <v>#REF!</v>
      </c>
      <c r="E2391" s="111">
        <f>+'RES CUENTA'!N1499</f>
        <v>0</v>
      </c>
      <c r="F2391" s="106" t="e">
        <f>+D2391</f>
        <v>#REF!</v>
      </c>
      <c r="G2391" s="91"/>
      <c r="H2391" s="91"/>
    </row>
    <row r="2392" spans="2:8" ht="18" x14ac:dyDescent="0.25">
      <c r="B2392" s="87" t="s">
        <v>84</v>
      </c>
      <c r="C2392" s="87"/>
      <c r="D2392" s="110" t="e">
        <f>+'RES CUENTA'!#REF!</f>
        <v>#REF!</v>
      </c>
      <c r="E2392" s="111">
        <f>+'RES CUENTA'!P1498</f>
        <v>0</v>
      </c>
      <c r="F2392" s="106" t="e">
        <f>+D2392</f>
        <v>#REF!</v>
      </c>
      <c r="G2392" s="91"/>
      <c r="H2392" s="91"/>
    </row>
    <row r="2393" spans="2:8" ht="18" x14ac:dyDescent="0.25">
      <c r="B2393" s="88"/>
      <c r="C2393" s="87"/>
      <c r="D2393" s="87"/>
      <c r="F2393" s="107" t="e">
        <f>SUM(F2389:F2392)</f>
        <v>#REF!</v>
      </c>
      <c r="G2393" s="91"/>
      <c r="H2393" s="91"/>
    </row>
    <row r="2394" spans="2:8" ht="18" x14ac:dyDescent="0.25">
      <c r="B2394" s="88"/>
      <c r="C2394" s="87"/>
      <c r="D2394" s="87"/>
      <c r="F2394" s="93"/>
      <c r="G2394" s="91"/>
      <c r="H2394" s="92"/>
    </row>
    <row r="2395" spans="2:8" ht="18" x14ac:dyDescent="0.25">
      <c r="B2395" s="88"/>
      <c r="C2395" s="87"/>
      <c r="D2395" s="87"/>
      <c r="F2395" s="93"/>
      <c r="G2395" s="91"/>
      <c r="H2395" s="92"/>
    </row>
    <row r="2396" spans="2:8" ht="18" x14ac:dyDescent="0.25">
      <c r="B2396" s="87"/>
      <c r="C2396" s="87"/>
      <c r="D2396" s="87"/>
      <c r="E2396" s="87"/>
      <c r="F2396" s="94"/>
      <c r="G2396" s="92"/>
      <c r="H2396" s="92"/>
    </row>
    <row r="2397" spans="2:8" ht="18" x14ac:dyDescent="0.25">
      <c r="B2397" s="87"/>
      <c r="C2397" s="87"/>
      <c r="D2397" s="87"/>
      <c r="E2397" s="87"/>
      <c r="F2397" s="94"/>
      <c r="G2397" s="92"/>
      <c r="H2397" s="92"/>
    </row>
    <row r="2398" spans="2:8" ht="18" x14ac:dyDescent="0.25">
      <c r="B2398" s="87"/>
      <c r="C2398" s="87"/>
      <c r="D2398" s="87"/>
      <c r="E2398" s="87"/>
      <c r="F2398" s="94"/>
      <c r="G2398" s="92"/>
      <c r="H2398" s="87"/>
    </row>
    <row r="2399" spans="2:8" ht="18" x14ac:dyDescent="0.25">
      <c r="B2399" s="87" t="e">
        <f>+B2384</f>
        <v>#REF!</v>
      </c>
      <c r="C2399" s="87"/>
      <c r="D2399" s="87"/>
      <c r="E2399" s="87" t="e">
        <f>+B2384</f>
        <v>#REF!</v>
      </c>
      <c r="F2399" s="87"/>
      <c r="G2399" s="87"/>
      <c r="H2399" s="104"/>
    </row>
    <row r="2400" spans="2:8" ht="18" x14ac:dyDescent="0.25">
      <c r="B2400" s="88"/>
      <c r="C2400" s="87"/>
      <c r="D2400" s="87"/>
      <c r="F2400" s="87"/>
      <c r="G2400" s="104"/>
      <c r="H2400" s="95" t="str">
        <f>+H2385</f>
        <v>Unid. 64</v>
      </c>
    </row>
    <row r="2401" spans="2:8" ht="18" x14ac:dyDescent="0.25">
      <c r="B2401" s="87" t="str">
        <f>+$E$1</f>
        <v>URUGUAY 1025/27/29 CAP. FED.</v>
      </c>
      <c r="C2401" s="87"/>
      <c r="D2401" s="95" t="str">
        <f>+H2400</f>
        <v>Unid. 64</v>
      </c>
      <c r="E2401" s="87" t="str">
        <f>+$E$1</f>
        <v>URUGUAY 1025/27/29 CAP. FED.</v>
      </c>
      <c r="F2401" s="87"/>
      <c r="G2401" s="87"/>
      <c r="H2401" s="88"/>
    </row>
    <row r="2402" spans="2:8" ht="18" x14ac:dyDescent="0.25">
      <c r="B2402" s="88"/>
      <c r="C2402" s="88"/>
      <c r="D2402" s="88"/>
      <c r="F2402" s="87"/>
      <c r="G2402" s="87"/>
    </row>
    <row r="2403" spans="2:8" ht="18" x14ac:dyDescent="0.25">
      <c r="B2403" s="87"/>
      <c r="C2403" s="87"/>
      <c r="D2403" s="87"/>
      <c r="E2403" s="88"/>
      <c r="F2403" s="87"/>
      <c r="G2403" s="87"/>
      <c r="H2403" s="104"/>
    </row>
    <row r="2404" spans="2:8" ht="18" x14ac:dyDescent="0.25">
      <c r="B2404" s="87" t="e">
        <f>+$E$2</f>
        <v>#REF!</v>
      </c>
      <c r="C2404" s="87"/>
      <c r="D2404" s="87"/>
      <c r="E2404" s="87"/>
      <c r="F2404" s="98"/>
      <c r="G2404" s="88"/>
      <c r="H2404" s="87"/>
    </row>
    <row r="2405" spans="2:8" ht="18" x14ac:dyDescent="0.25">
      <c r="B2405" s="87" t="e">
        <f>+$E$3</f>
        <v>#REF!</v>
      </c>
      <c r="C2405" s="87"/>
      <c r="D2405" s="87"/>
      <c r="E2405" s="98"/>
      <c r="G2405" s="96"/>
      <c r="H2405" s="97"/>
    </row>
    <row r="2406" spans="2:8" ht="18" x14ac:dyDescent="0.25">
      <c r="B2406" s="88"/>
      <c r="C2406" s="87"/>
      <c r="D2406" s="87"/>
      <c r="E2406" s="87" t="s">
        <v>85</v>
      </c>
      <c r="F2406" s="109" t="e">
        <f>+F2389</f>
        <v>#REF!</v>
      </c>
      <c r="G2406" s="97"/>
      <c r="H2406" s="102">
        <f>+B2410</f>
        <v>46183</v>
      </c>
    </row>
    <row r="2407" spans="2:8" ht="18" x14ac:dyDescent="0.25">
      <c r="B2407" s="88"/>
      <c r="C2407" s="87"/>
      <c r="D2407" s="87"/>
      <c r="E2407" s="87" t="s">
        <v>193</v>
      </c>
      <c r="F2407" s="109" t="e">
        <f>+F2390</f>
        <v>#REF!</v>
      </c>
      <c r="H2407" s="87"/>
    </row>
    <row r="2408" spans="2:8" ht="18" x14ac:dyDescent="0.25">
      <c r="B2408" s="87"/>
      <c r="C2408" s="87"/>
      <c r="D2408" s="87"/>
      <c r="E2408" s="87" t="s">
        <v>86</v>
      </c>
      <c r="F2408" s="109" t="e">
        <f>+F2391</f>
        <v>#REF!</v>
      </c>
      <c r="G2408" s="87"/>
      <c r="H2408" s="87"/>
    </row>
    <row r="2409" spans="2:8" ht="18" x14ac:dyDescent="0.25">
      <c r="B2409" s="98"/>
      <c r="C2409" s="98"/>
      <c r="D2409" s="98"/>
      <c r="E2409" s="87" t="s">
        <v>87</v>
      </c>
      <c r="F2409" s="109" t="e">
        <f>+F2392</f>
        <v>#REF!</v>
      </c>
      <c r="G2409" s="87"/>
      <c r="H2409" s="87"/>
    </row>
    <row r="2410" spans="2:8" ht="18" x14ac:dyDescent="0.25">
      <c r="B2410" s="102">
        <f>+$G$34</f>
        <v>46183</v>
      </c>
      <c r="C2410" s="108" t="e">
        <f>+F2393</f>
        <v>#REF!</v>
      </c>
      <c r="D2410" s="87"/>
      <c r="E2410" s="87" t="s">
        <v>321</v>
      </c>
      <c r="F2410" s="109">
        <v>0</v>
      </c>
      <c r="G2410" s="87"/>
      <c r="H2410" s="87"/>
    </row>
    <row r="2411" spans="2:8" ht="18" x14ac:dyDescent="0.25">
      <c r="B2411" s="87"/>
      <c r="C2411" s="87"/>
      <c r="D2411" s="87"/>
      <c r="E2411" s="87" t="s">
        <v>88</v>
      </c>
      <c r="F2411" s="109" t="e">
        <f>+F2393</f>
        <v>#REF!</v>
      </c>
      <c r="H2411" s="87"/>
    </row>
    <row r="2412" spans="2:8" ht="18" x14ac:dyDescent="0.25">
      <c r="B2412" s="87"/>
      <c r="C2412" s="87"/>
      <c r="D2412" s="87"/>
      <c r="E2412" s="87"/>
      <c r="F2412" s="87"/>
      <c r="G2412" s="87"/>
      <c r="H2412" s="87"/>
    </row>
    <row r="2413" spans="2:8" ht="18" x14ac:dyDescent="0.25">
      <c r="B2413" s="87"/>
      <c r="C2413" s="87"/>
      <c r="D2413" s="87"/>
      <c r="E2413" s="105"/>
      <c r="F2413" s="87"/>
      <c r="G2413" s="87"/>
      <c r="H2413" s="87"/>
    </row>
    <row r="2414" spans="2:8" ht="18" x14ac:dyDescent="0.25">
      <c r="B2414" s="87"/>
      <c r="C2414" s="87"/>
      <c r="D2414" s="87"/>
      <c r="E2414" s="87"/>
      <c r="F2414" s="87"/>
      <c r="G2414" s="87"/>
      <c r="H2414" s="96"/>
    </row>
    <row r="2415" spans="2:8" ht="18" x14ac:dyDescent="0.25">
      <c r="E2415" s="87"/>
      <c r="G2415" s="96"/>
      <c r="H2415" s="87"/>
    </row>
    <row r="2417" spans="2:8" ht="18" x14ac:dyDescent="0.25">
      <c r="B2417" s="335"/>
      <c r="C2417" s="335"/>
      <c r="D2417" s="335"/>
      <c r="E2417" s="340">
        <f>+$B$1</f>
        <v>46143</v>
      </c>
      <c r="F2417" s="87"/>
      <c r="G2417" s="341">
        <f>+$D$1</f>
        <v>46183</v>
      </c>
      <c r="H2417" s="87"/>
    </row>
    <row r="2418" spans="2:8" ht="18" x14ac:dyDescent="0.25">
      <c r="B2418" s="86"/>
      <c r="C2418" s="86"/>
      <c r="D2418" s="103"/>
      <c r="E2418" s="340"/>
      <c r="F2418" s="87"/>
      <c r="G2418" s="341"/>
      <c r="H2418" s="87"/>
    </row>
    <row r="2419" spans="2:8" ht="18" x14ac:dyDescent="0.25">
      <c r="B2419" s="87"/>
      <c r="C2419" s="87"/>
      <c r="D2419" s="87"/>
      <c r="E2419" s="88"/>
      <c r="F2419" s="87"/>
      <c r="G2419" s="88"/>
      <c r="H2419" s="87"/>
    </row>
    <row r="2420" spans="2:8" ht="18" x14ac:dyDescent="0.25">
      <c r="B2420" s="87" t="e">
        <f>+#REF!</f>
        <v>#REF!</v>
      </c>
      <c r="C2420" s="87"/>
      <c r="D2420" s="87"/>
      <c r="E2420" s="88"/>
      <c r="F2420" s="87"/>
      <c r="G2420" s="88"/>
      <c r="H2420" s="87"/>
    </row>
    <row r="2421" spans="2:8" ht="18" x14ac:dyDescent="0.25">
      <c r="B2421" s="88"/>
      <c r="C2421" s="87"/>
      <c r="D2421" s="87"/>
      <c r="E2421" s="87" t="s">
        <v>81</v>
      </c>
      <c r="F2421" s="87"/>
      <c r="G2421" s="87"/>
      <c r="H2421" s="95" t="s">
        <v>148</v>
      </c>
    </row>
    <row r="2422" spans="2:8" ht="18" x14ac:dyDescent="0.25">
      <c r="B2422" s="87"/>
      <c r="C2422" s="87"/>
      <c r="D2422" s="87"/>
      <c r="E2422" s="88"/>
      <c r="F2422" s="88"/>
      <c r="G2422" s="87"/>
      <c r="H2422" s="88"/>
    </row>
    <row r="2423" spans="2:8" ht="18" x14ac:dyDescent="0.25">
      <c r="B2423" s="96"/>
      <c r="C2423" s="87"/>
      <c r="D2423" s="96"/>
      <c r="E2423" s="87"/>
      <c r="F2423" s="87"/>
      <c r="G2423" s="87"/>
      <c r="H2423" s="87"/>
    </row>
    <row r="2424" spans="2:8" ht="18" x14ac:dyDescent="0.25">
      <c r="B2424" s="96"/>
      <c r="C2424" s="87"/>
      <c r="D2424" s="96"/>
      <c r="E2424" s="87"/>
      <c r="F2424" s="87"/>
      <c r="G2424" s="87"/>
      <c r="H2424" s="87"/>
    </row>
    <row r="2425" spans="2:8" ht="18" x14ac:dyDescent="0.25">
      <c r="B2425" s="87" t="s">
        <v>82</v>
      </c>
      <c r="C2425" s="87"/>
      <c r="D2425" s="110">
        <f>+'RES CUENTA'!$H$26</f>
        <v>6751880</v>
      </c>
      <c r="E2425" s="111" t="e">
        <f>+'RES CUENTA'!#REF!</f>
        <v>#REF!</v>
      </c>
      <c r="F2425" s="106" t="e">
        <f>+D2425*E2425/100</f>
        <v>#REF!</v>
      </c>
      <c r="G2425" s="339"/>
      <c r="H2425" s="339"/>
    </row>
    <row r="2426" spans="2:8" ht="18" x14ac:dyDescent="0.25">
      <c r="B2426" s="87" t="s">
        <v>194</v>
      </c>
      <c r="C2426" s="87"/>
      <c r="D2426" s="110" t="e">
        <f>+'RES CUENTA'!#REF!</f>
        <v>#REF!</v>
      </c>
      <c r="E2426" s="111" t="e">
        <f>+'RES CUENTA'!#REF!</f>
        <v>#REF!</v>
      </c>
      <c r="F2426" s="106" t="e">
        <f>+D2426*E2426/100</f>
        <v>#REF!</v>
      </c>
      <c r="G2426" s="336"/>
      <c r="H2426" s="336"/>
    </row>
    <row r="2427" spans="2:8" ht="18" x14ac:dyDescent="0.25">
      <c r="B2427" s="87" t="s">
        <v>83</v>
      </c>
      <c r="C2427" s="87"/>
      <c r="D2427" s="110" t="e">
        <f>+'RES CUENTA'!#REF!</f>
        <v>#REF!</v>
      </c>
      <c r="E2427" s="111">
        <v>0</v>
      </c>
      <c r="F2427" s="106" t="e">
        <f>+D2427</f>
        <v>#REF!</v>
      </c>
      <c r="G2427" s="336"/>
      <c r="H2427" s="336"/>
    </row>
    <row r="2428" spans="2:8" ht="18" x14ac:dyDescent="0.25">
      <c r="B2428" s="87" t="s">
        <v>84</v>
      </c>
      <c r="C2428" s="87"/>
      <c r="D2428" s="110" t="e">
        <f>+'RES CUENTA'!#REF!</f>
        <v>#REF!</v>
      </c>
      <c r="E2428" s="111">
        <v>0</v>
      </c>
      <c r="F2428" s="106" t="e">
        <f>+D2428</f>
        <v>#REF!</v>
      </c>
      <c r="G2428" s="336"/>
      <c r="H2428" s="336"/>
    </row>
    <row r="2429" spans="2:8" ht="18" x14ac:dyDescent="0.25">
      <c r="B2429" s="88"/>
      <c r="C2429" s="87"/>
      <c r="D2429" s="87"/>
      <c r="E2429" s="94"/>
      <c r="F2429" s="107" t="e">
        <f>SUM(F2425:F2428)</f>
        <v>#REF!</v>
      </c>
      <c r="G2429" s="336"/>
      <c r="H2429" s="336"/>
    </row>
    <row r="2430" spans="2:8" ht="18" x14ac:dyDescent="0.25">
      <c r="B2430" s="88"/>
      <c r="C2430" s="87"/>
      <c r="D2430" s="87"/>
      <c r="E2430" s="94"/>
      <c r="F2430" s="107"/>
      <c r="G2430" s="91"/>
      <c r="H2430" s="91"/>
    </row>
    <row r="2431" spans="2:8" ht="18" x14ac:dyDescent="0.25">
      <c r="B2431" s="88"/>
      <c r="C2431" s="87"/>
      <c r="D2431" s="87"/>
      <c r="E2431" s="87"/>
      <c r="G2431" s="337"/>
      <c r="H2431" s="337"/>
    </row>
    <row r="2432" spans="2:8" ht="18" x14ac:dyDescent="0.25">
      <c r="B2432" s="87"/>
      <c r="C2432" s="87"/>
      <c r="D2432" s="87"/>
      <c r="E2432" s="87"/>
      <c r="F2432" s="93"/>
      <c r="G2432" s="92"/>
      <c r="H2432" s="92"/>
    </row>
    <row r="2433" spans="2:8" ht="18" x14ac:dyDescent="0.25">
      <c r="B2433" s="87"/>
      <c r="C2433" s="87"/>
      <c r="D2433" s="87"/>
      <c r="E2433" s="87"/>
      <c r="F2433" s="94"/>
      <c r="G2433" s="87"/>
      <c r="H2433" s="87"/>
    </row>
    <row r="2434" spans="2:8" ht="18" x14ac:dyDescent="0.25">
      <c r="B2434" s="87"/>
      <c r="C2434" s="87"/>
      <c r="D2434" s="87"/>
      <c r="E2434" s="87"/>
      <c r="F2434" s="94"/>
      <c r="G2434" s="87"/>
      <c r="H2434" s="87"/>
    </row>
    <row r="2435" spans="2:8" ht="18" x14ac:dyDescent="0.25">
      <c r="B2435" s="87" t="e">
        <f>+B2420</f>
        <v>#REF!</v>
      </c>
      <c r="C2435" s="338"/>
      <c r="D2435" s="338"/>
      <c r="E2435" s="87" t="e">
        <f>+B2435</f>
        <v>#REF!</v>
      </c>
      <c r="F2435" s="94"/>
      <c r="G2435" s="87"/>
      <c r="H2435" s="87"/>
    </row>
    <row r="2436" spans="2:8" ht="18" x14ac:dyDescent="0.25">
      <c r="C2436" s="87"/>
      <c r="D2436" s="87"/>
      <c r="F2436" s="338"/>
      <c r="G2436" s="338"/>
      <c r="H2436" s="338"/>
    </row>
    <row r="2437" spans="2:8" ht="18" x14ac:dyDescent="0.25">
      <c r="B2437" s="87" t="str">
        <f>+$E$1</f>
        <v>URUGUAY 1025/27/29 CAP. FED.</v>
      </c>
      <c r="C2437" s="87"/>
      <c r="D2437" s="95" t="str">
        <f>+H2421</f>
        <v>Unid. 65</v>
      </c>
      <c r="E2437" s="87" t="str">
        <f>+$E$1</f>
        <v>URUGUAY 1025/27/29 CAP. FED.</v>
      </c>
      <c r="F2437" s="87"/>
      <c r="G2437" s="87"/>
      <c r="H2437" s="95" t="str">
        <f>+D2437</f>
        <v>Unid. 65</v>
      </c>
    </row>
    <row r="2438" spans="2:8" ht="18" x14ac:dyDescent="0.25">
      <c r="H2438" s="88"/>
    </row>
    <row r="2439" spans="2:8" ht="18" x14ac:dyDescent="0.25">
      <c r="B2439" s="88"/>
      <c r="C2439" s="88"/>
      <c r="D2439" s="88"/>
      <c r="E2439" s="88"/>
      <c r="F2439" s="87"/>
      <c r="G2439" s="87"/>
    </row>
    <row r="2440" spans="2:8" ht="18" x14ac:dyDescent="0.25">
      <c r="B2440" s="87" t="e">
        <f>+$E$2</f>
        <v>#REF!</v>
      </c>
      <c r="C2440" s="87"/>
      <c r="D2440" s="87"/>
      <c r="E2440" s="87"/>
      <c r="F2440" s="87"/>
      <c r="G2440" s="88"/>
      <c r="H2440" s="104"/>
    </row>
    <row r="2441" spans="2:8" ht="18" x14ac:dyDescent="0.25">
      <c r="B2441" s="87" t="e">
        <f>+$E$3</f>
        <v>#REF!</v>
      </c>
      <c r="C2441" s="87"/>
      <c r="D2441" s="87"/>
      <c r="E2441" s="98"/>
      <c r="F2441" s="87"/>
      <c r="G2441" s="96"/>
      <c r="H2441" s="87"/>
    </row>
    <row r="2442" spans="2:8" ht="18" x14ac:dyDescent="0.25">
      <c r="C2442" s="87"/>
      <c r="D2442" s="87"/>
      <c r="E2442" s="87" t="s">
        <v>85</v>
      </c>
      <c r="F2442" s="109" t="e">
        <f>+F2425</f>
        <v>#REF!</v>
      </c>
      <c r="H2442" s="102">
        <f>+B2447</f>
        <v>46183</v>
      </c>
    </row>
    <row r="2443" spans="2:8" ht="18" x14ac:dyDescent="0.25">
      <c r="B2443" s="88"/>
      <c r="C2443" s="87"/>
      <c r="D2443" s="87"/>
      <c r="E2443" s="87" t="s">
        <v>193</v>
      </c>
      <c r="F2443" s="109" t="e">
        <f>+F2426</f>
        <v>#REF!</v>
      </c>
    </row>
    <row r="2444" spans="2:8" ht="18" x14ac:dyDescent="0.25">
      <c r="B2444" s="88"/>
      <c r="C2444" s="87"/>
      <c r="D2444" s="87"/>
      <c r="E2444" s="87" t="s">
        <v>86</v>
      </c>
      <c r="F2444" s="109" t="e">
        <f>+F2427</f>
        <v>#REF!</v>
      </c>
      <c r="G2444" s="87"/>
      <c r="H2444" s="87"/>
    </row>
    <row r="2445" spans="2:8" ht="18" x14ac:dyDescent="0.25">
      <c r="B2445" s="87"/>
      <c r="C2445" s="87"/>
      <c r="D2445" s="87"/>
      <c r="E2445" s="87" t="s">
        <v>87</v>
      </c>
      <c r="F2445" s="109" t="e">
        <f>+F2428</f>
        <v>#REF!</v>
      </c>
      <c r="G2445" s="87"/>
      <c r="H2445" s="87"/>
    </row>
    <row r="2446" spans="2:8" ht="18" x14ac:dyDescent="0.25">
      <c r="B2446" s="98"/>
      <c r="C2446" s="98"/>
      <c r="D2446" s="98"/>
      <c r="E2446" s="87" t="s">
        <v>321</v>
      </c>
      <c r="F2446" s="109">
        <v>0</v>
      </c>
      <c r="G2446" s="87"/>
      <c r="H2446" s="87"/>
    </row>
    <row r="2447" spans="2:8" ht="18" x14ac:dyDescent="0.25">
      <c r="B2447" s="102">
        <f>+$G$34</f>
        <v>46183</v>
      </c>
      <c r="C2447" s="108" t="e">
        <f>+F2429</f>
        <v>#REF!</v>
      </c>
      <c r="D2447" s="87"/>
      <c r="E2447" s="87" t="s">
        <v>88</v>
      </c>
      <c r="F2447" s="109" t="e">
        <f>+F2429</f>
        <v>#REF!</v>
      </c>
      <c r="G2447" s="87"/>
      <c r="H2447" s="87"/>
    </row>
    <row r="2448" spans="2:8" ht="18" x14ac:dyDescent="0.25">
      <c r="B2448" s="87"/>
      <c r="C2448" s="87"/>
      <c r="D2448" s="87"/>
      <c r="E2448" s="87"/>
      <c r="F2448" s="87"/>
      <c r="G2448" s="87"/>
      <c r="H2448" s="87"/>
    </row>
    <row r="2449" spans="2:8" ht="18" x14ac:dyDescent="0.25">
      <c r="B2449" s="87"/>
      <c r="C2449" s="87"/>
      <c r="D2449" s="87"/>
      <c r="E2449" s="87"/>
      <c r="F2449" s="87"/>
      <c r="G2449" s="339"/>
      <c r="H2449" s="339"/>
    </row>
    <row r="2450" spans="2:8" ht="18" x14ac:dyDescent="0.25">
      <c r="B2450" s="87"/>
      <c r="C2450" s="87"/>
      <c r="D2450" s="87"/>
      <c r="E2450" s="87"/>
      <c r="F2450" s="87"/>
      <c r="G2450" s="87"/>
      <c r="H2450" s="87"/>
    </row>
    <row r="2451" spans="2:8" ht="18" x14ac:dyDescent="0.25">
      <c r="B2451" s="87"/>
      <c r="C2451" s="87"/>
      <c r="D2451" s="87"/>
      <c r="E2451" s="87"/>
      <c r="F2451" s="87"/>
      <c r="G2451" s="87"/>
      <c r="H2451" s="87"/>
    </row>
    <row r="2452" spans="2:8" ht="18" x14ac:dyDescent="0.25">
      <c r="B2452" s="87"/>
      <c r="C2452" s="87"/>
      <c r="D2452" s="87"/>
      <c r="E2452" s="87"/>
      <c r="F2452" s="87"/>
      <c r="G2452" s="87"/>
      <c r="H2452" s="87"/>
    </row>
    <row r="2453" spans="2:8" ht="18" x14ac:dyDescent="0.25">
      <c r="B2453" s="87"/>
      <c r="C2453" s="87"/>
      <c r="D2453" s="87"/>
      <c r="E2453" s="87"/>
      <c r="F2453" s="87"/>
      <c r="G2453" s="87"/>
      <c r="H2453" s="87"/>
    </row>
    <row r="2454" spans="2:8" ht="18" x14ac:dyDescent="0.25">
      <c r="B2454" s="87"/>
      <c r="C2454" s="87"/>
      <c r="D2454" s="87"/>
      <c r="E2454" s="87"/>
      <c r="F2454" s="87"/>
      <c r="H2454" s="87"/>
    </row>
    <row r="2455" spans="2:8" ht="18" x14ac:dyDescent="0.25">
      <c r="B2455" s="335"/>
      <c r="C2455" s="335"/>
      <c r="D2455" s="335"/>
      <c r="E2455" s="87"/>
      <c r="F2455" s="87"/>
      <c r="H2455" s="87"/>
    </row>
    <row r="2456" spans="2:8" ht="18" x14ac:dyDescent="0.25">
      <c r="B2456" s="335"/>
      <c r="C2456" s="335"/>
      <c r="D2456" s="335"/>
      <c r="E2456" s="101">
        <f>+$B$1</f>
        <v>46143</v>
      </c>
      <c r="F2456" s="87"/>
      <c r="G2456" s="102">
        <f>+$D$1</f>
        <v>46183</v>
      </c>
      <c r="H2456" s="100"/>
    </row>
    <row r="2457" spans="2:8" ht="18" x14ac:dyDescent="0.25">
      <c r="B2457" s="86"/>
      <c r="C2457" s="86"/>
      <c r="D2457" s="103"/>
      <c r="E2457" s="101"/>
      <c r="F2457" s="87"/>
    </row>
    <row r="2458" spans="2:8" ht="18" x14ac:dyDescent="0.25">
      <c r="B2458" s="87" t="e">
        <f>+#REF!</f>
        <v>#REF!</v>
      </c>
      <c r="C2458" s="87"/>
      <c r="D2458" s="87"/>
      <c r="F2458" s="87"/>
    </row>
    <row r="2459" spans="2:8" ht="18" x14ac:dyDescent="0.25">
      <c r="C2459" s="87"/>
      <c r="D2459" s="87"/>
      <c r="E2459" s="87" t="str">
        <f>+$E$1</f>
        <v>URUGUAY 1025/27/29 CAP. FED.</v>
      </c>
      <c r="F2459" s="87"/>
      <c r="H2459" s="95" t="s">
        <v>149</v>
      </c>
    </row>
    <row r="2460" spans="2:8" ht="18" x14ac:dyDescent="0.25">
      <c r="B2460" s="88"/>
      <c r="C2460" s="87"/>
      <c r="D2460" s="87"/>
      <c r="F2460" s="87"/>
      <c r="G2460" s="88"/>
    </row>
    <row r="2461" spans="2:8" ht="18" x14ac:dyDescent="0.25">
      <c r="B2461" s="87"/>
      <c r="C2461" s="87"/>
      <c r="D2461" s="87"/>
      <c r="E2461" s="88"/>
      <c r="F2461" s="88"/>
      <c r="G2461" s="87"/>
      <c r="H2461" s="88"/>
    </row>
    <row r="2462" spans="2:8" ht="18" x14ac:dyDescent="0.25">
      <c r="B2462" s="96"/>
      <c r="C2462" s="87"/>
      <c r="D2462" s="96"/>
      <c r="E2462" s="87"/>
      <c r="F2462" s="87"/>
      <c r="G2462" s="87"/>
      <c r="H2462" s="87"/>
    </row>
    <row r="2463" spans="2:8" ht="18" x14ac:dyDescent="0.25">
      <c r="B2463" s="87" t="s">
        <v>82</v>
      </c>
      <c r="C2463" s="87"/>
      <c r="D2463" s="110">
        <f>+'RES CUENTA'!$H$26</f>
        <v>6751880</v>
      </c>
      <c r="E2463" s="111" t="e">
        <f>+'RES CUENTA'!#REF!</f>
        <v>#REF!</v>
      </c>
      <c r="F2463" s="106" t="e">
        <f>+D2463*E2463/100</f>
        <v>#REF!</v>
      </c>
      <c r="G2463" s="87"/>
      <c r="H2463" s="96"/>
    </row>
    <row r="2464" spans="2:8" ht="18" x14ac:dyDescent="0.25">
      <c r="B2464" s="87" t="s">
        <v>194</v>
      </c>
      <c r="C2464" s="87"/>
      <c r="D2464" s="110" t="e">
        <f>+'RES CUENTA'!#REF!</f>
        <v>#REF!</v>
      </c>
      <c r="E2464" s="111" t="e">
        <f>+'RES CUENTA'!#REF!</f>
        <v>#REF!</v>
      </c>
      <c r="F2464" s="106" t="e">
        <f>+D2464*E2464/100</f>
        <v>#REF!</v>
      </c>
      <c r="G2464" s="96"/>
      <c r="H2464" s="91"/>
    </row>
    <row r="2465" spans="2:8" ht="18" x14ac:dyDescent="0.25">
      <c r="B2465" s="87" t="s">
        <v>83</v>
      </c>
      <c r="C2465" s="87"/>
      <c r="D2465" s="110" t="e">
        <f>+'RES CUENTA'!#REF!</f>
        <v>#REF!</v>
      </c>
      <c r="E2465" s="111">
        <f>+'RES CUENTA'!N1575</f>
        <v>0</v>
      </c>
      <c r="F2465" s="106" t="e">
        <f>+D2465</f>
        <v>#REF!</v>
      </c>
      <c r="G2465" s="91"/>
      <c r="H2465" s="91"/>
    </row>
    <row r="2466" spans="2:8" ht="18" x14ac:dyDescent="0.25">
      <c r="B2466" s="87" t="s">
        <v>84</v>
      </c>
      <c r="C2466" s="87"/>
      <c r="D2466" s="110" t="e">
        <f>+'RES CUENTA'!#REF!</f>
        <v>#REF!</v>
      </c>
      <c r="E2466" s="111">
        <f>+'RES CUENTA'!P1574</f>
        <v>0</v>
      </c>
      <c r="F2466" s="106" t="e">
        <f>+D2466</f>
        <v>#REF!</v>
      </c>
      <c r="G2466" s="91"/>
      <c r="H2466" s="91"/>
    </row>
    <row r="2467" spans="2:8" ht="18" x14ac:dyDescent="0.25">
      <c r="B2467" s="88"/>
      <c r="C2467" s="87"/>
      <c r="D2467" s="87"/>
      <c r="F2467" s="107" t="e">
        <f>SUM(F2463:F2466)</f>
        <v>#REF!</v>
      </c>
      <c r="G2467" s="91"/>
      <c r="H2467" s="92"/>
    </row>
    <row r="2468" spans="2:8" ht="18" x14ac:dyDescent="0.25">
      <c r="B2468" s="87"/>
      <c r="C2468" s="87"/>
      <c r="D2468" s="87"/>
      <c r="E2468" s="87"/>
      <c r="F2468" s="94"/>
      <c r="G2468" s="92"/>
      <c r="H2468" s="92"/>
    </row>
    <row r="2469" spans="2:8" ht="18" x14ac:dyDescent="0.25">
      <c r="B2469" s="87"/>
      <c r="C2469" s="87"/>
      <c r="D2469" s="87"/>
      <c r="E2469" s="87"/>
      <c r="F2469" s="94"/>
      <c r="G2469" s="92"/>
      <c r="H2469" s="92"/>
    </row>
    <row r="2470" spans="2:8" ht="18" x14ac:dyDescent="0.25">
      <c r="B2470" s="87"/>
      <c r="C2470" s="87"/>
      <c r="D2470" s="87"/>
      <c r="E2470" s="87"/>
      <c r="F2470" s="94"/>
      <c r="G2470" s="92"/>
      <c r="H2470" s="92"/>
    </row>
    <row r="2471" spans="2:8" ht="18" x14ac:dyDescent="0.25">
      <c r="B2471" s="87"/>
      <c r="C2471" s="87"/>
      <c r="D2471" s="87"/>
      <c r="E2471" s="87"/>
      <c r="F2471" s="94"/>
      <c r="G2471" s="92"/>
      <c r="H2471" s="92"/>
    </row>
    <row r="2472" spans="2:8" ht="18" x14ac:dyDescent="0.25">
      <c r="B2472" s="87"/>
      <c r="C2472" s="87"/>
      <c r="D2472" s="87"/>
      <c r="E2472" s="87"/>
      <c r="F2472" s="94"/>
      <c r="G2472" s="92"/>
      <c r="H2472" s="87"/>
    </row>
    <row r="2473" spans="2:8" ht="18" x14ac:dyDescent="0.25">
      <c r="B2473" s="87" t="e">
        <f>+B2458</f>
        <v>#REF!</v>
      </c>
      <c r="C2473" s="87"/>
      <c r="D2473" s="87"/>
      <c r="E2473" s="87" t="e">
        <f>+B2458</f>
        <v>#REF!</v>
      </c>
      <c r="F2473" s="87"/>
      <c r="G2473" s="87"/>
      <c r="H2473" s="104"/>
    </row>
    <row r="2474" spans="2:8" ht="18" x14ac:dyDescent="0.25">
      <c r="B2474" s="88"/>
      <c r="C2474" s="87"/>
      <c r="D2474" s="87"/>
      <c r="F2474" s="87"/>
      <c r="G2474" s="104"/>
      <c r="H2474" s="95" t="str">
        <f>+H2459</f>
        <v>Unid. 66</v>
      </c>
    </row>
    <row r="2475" spans="2:8" ht="18" x14ac:dyDescent="0.25">
      <c r="B2475" s="87" t="str">
        <f>+$E$1</f>
        <v>URUGUAY 1025/27/29 CAP. FED.</v>
      </c>
      <c r="C2475" s="87"/>
      <c r="D2475" s="95" t="str">
        <f>+H2474</f>
        <v>Unid. 66</v>
      </c>
      <c r="E2475" s="87" t="str">
        <f>+$E$1</f>
        <v>URUGUAY 1025/27/29 CAP. FED.</v>
      </c>
      <c r="F2475" s="87"/>
      <c r="G2475" s="87"/>
      <c r="H2475" s="88"/>
    </row>
    <row r="2476" spans="2:8" ht="18" x14ac:dyDescent="0.25">
      <c r="B2476" s="88"/>
      <c r="C2476" s="88"/>
      <c r="D2476" s="88"/>
      <c r="F2476" s="87"/>
      <c r="G2476" s="87"/>
    </row>
    <row r="2477" spans="2:8" ht="18" x14ac:dyDescent="0.25">
      <c r="B2477" s="87"/>
      <c r="C2477" s="87"/>
      <c r="D2477" s="87"/>
      <c r="E2477" s="88"/>
      <c r="F2477" s="87"/>
      <c r="G2477" s="87"/>
      <c r="H2477" s="104"/>
    </row>
    <row r="2478" spans="2:8" ht="18" x14ac:dyDescent="0.25">
      <c r="B2478" s="87" t="e">
        <f>+$E$2</f>
        <v>#REF!</v>
      </c>
      <c r="C2478" s="87"/>
      <c r="D2478" s="87"/>
      <c r="E2478" s="87"/>
      <c r="F2478" s="98"/>
      <c r="G2478" s="88"/>
      <c r="H2478" s="87"/>
    </row>
    <row r="2479" spans="2:8" ht="18" x14ac:dyDescent="0.25">
      <c r="B2479" s="87" t="e">
        <f>+$E$3</f>
        <v>#REF!</v>
      </c>
      <c r="C2479" s="87"/>
      <c r="D2479" s="87"/>
      <c r="E2479" s="98"/>
      <c r="G2479" s="96"/>
      <c r="H2479" s="97"/>
    </row>
    <row r="2480" spans="2:8" ht="18" x14ac:dyDescent="0.25">
      <c r="B2480" s="88"/>
      <c r="C2480" s="87"/>
      <c r="D2480" s="87"/>
      <c r="E2480" s="87" t="s">
        <v>85</v>
      </c>
      <c r="F2480" s="109" t="e">
        <f>+F2463</f>
        <v>#REF!</v>
      </c>
      <c r="G2480" s="97"/>
      <c r="H2480" s="102">
        <f>+B2484</f>
        <v>46183</v>
      </c>
    </row>
    <row r="2481" spans="2:8" ht="18" x14ac:dyDescent="0.25">
      <c r="B2481" s="88"/>
      <c r="C2481" s="87"/>
      <c r="D2481" s="87"/>
      <c r="E2481" s="87" t="s">
        <v>193</v>
      </c>
      <c r="F2481" s="109" t="e">
        <f>+F2464</f>
        <v>#REF!</v>
      </c>
      <c r="H2481" s="87"/>
    </row>
    <row r="2482" spans="2:8" ht="18" x14ac:dyDescent="0.25">
      <c r="B2482" s="87"/>
      <c r="C2482" s="87"/>
      <c r="D2482" s="87"/>
      <c r="E2482" s="87" t="s">
        <v>86</v>
      </c>
      <c r="F2482" s="109" t="e">
        <f>+F2465</f>
        <v>#REF!</v>
      </c>
      <c r="G2482" s="87"/>
      <c r="H2482" s="87"/>
    </row>
    <row r="2483" spans="2:8" ht="18" x14ac:dyDescent="0.25">
      <c r="B2483" s="98"/>
      <c r="C2483" s="98"/>
      <c r="D2483" s="98"/>
      <c r="E2483" s="87" t="s">
        <v>87</v>
      </c>
      <c r="F2483" s="109" t="e">
        <f>+F2466</f>
        <v>#REF!</v>
      </c>
      <c r="G2483" s="87"/>
      <c r="H2483" s="87"/>
    </row>
    <row r="2484" spans="2:8" ht="18" x14ac:dyDescent="0.25">
      <c r="B2484" s="102">
        <f>+$G$34</f>
        <v>46183</v>
      </c>
      <c r="C2484" s="108" t="e">
        <f>+F2467</f>
        <v>#REF!</v>
      </c>
      <c r="D2484" s="87"/>
      <c r="E2484" s="87" t="s">
        <v>321</v>
      </c>
      <c r="F2484" s="109">
        <v>0</v>
      </c>
      <c r="G2484" s="87"/>
      <c r="H2484" s="87"/>
    </row>
    <row r="2485" spans="2:8" ht="18" x14ac:dyDescent="0.25">
      <c r="B2485" s="87"/>
      <c r="C2485" s="87"/>
      <c r="D2485" s="87"/>
      <c r="E2485" s="87" t="s">
        <v>88</v>
      </c>
      <c r="F2485" s="109" t="e">
        <f>+F2467</f>
        <v>#REF!</v>
      </c>
      <c r="G2485" s="87"/>
      <c r="H2485" s="87"/>
    </row>
    <row r="2486" spans="2:8" ht="18" x14ac:dyDescent="0.25">
      <c r="B2486" s="87"/>
      <c r="C2486" s="87"/>
      <c r="D2486" s="87"/>
      <c r="E2486" s="87"/>
      <c r="F2486" s="87"/>
      <c r="G2486" s="87"/>
      <c r="H2486" s="87"/>
    </row>
    <row r="2487" spans="2:8" ht="18" x14ac:dyDescent="0.25">
      <c r="B2487" s="87"/>
      <c r="C2487" s="87"/>
      <c r="D2487" s="87"/>
      <c r="E2487" s="105"/>
      <c r="F2487" s="87"/>
      <c r="G2487" s="87"/>
      <c r="H2487" s="87"/>
    </row>
    <row r="2488" spans="2:8" ht="18" x14ac:dyDescent="0.25">
      <c r="B2488" s="87"/>
      <c r="C2488" s="87"/>
      <c r="D2488" s="87"/>
      <c r="E2488" s="87"/>
      <c r="F2488" s="87"/>
      <c r="G2488" s="87"/>
      <c r="H2488" s="96"/>
    </row>
    <row r="2489" spans="2:8" ht="18" x14ac:dyDescent="0.25">
      <c r="E2489" s="87"/>
      <c r="G2489" s="96"/>
      <c r="H2489" s="87"/>
    </row>
    <row r="2491" spans="2:8" ht="18" x14ac:dyDescent="0.25">
      <c r="B2491" s="335"/>
      <c r="C2491" s="335"/>
      <c r="D2491" s="335"/>
      <c r="E2491" s="340">
        <f>+$B$1</f>
        <v>46143</v>
      </c>
      <c r="F2491" s="87"/>
      <c r="G2491" s="341">
        <f>+$D$1</f>
        <v>46183</v>
      </c>
      <c r="H2491" s="87"/>
    </row>
    <row r="2492" spans="2:8" ht="18" x14ac:dyDescent="0.25">
      <c r="B2492" s="86"/>
      <c r="C2492" s="86"/>
      <c r="D2492" s="103"/>
      <c r="E2492" s="340"/>
      <c r="F2492" s="87"/>
      <c r="G2492" s="341"/>
      <c r="H2492" s="87"/>
    </row>
    <row r="2493" spans="2:8" ht="18" x14ac:dyDescent="0.25">
      <c r="B2493" s="87"/>
      <c r="C2493" s="87"/>
      <c r="D2493" s="87"/>
      <c r="E2493" s="88"/>
      <c r="F2493" s="87"/>
      <c r="G2493" s="88"/>
      <c r="H2493" s="87"/>
    </row>
    <row r="2494" spans="2:8" ht="18" x14ac:dyDescent="0.25">
      <c r="B2494" s="87" t="e">
        <f>+#REF!</f>
        <v>#REF!</v>
      </c>
      <c r="C2494" s="87"/>
      <c r="D2494" s="87"/>
      <c r="E2494" s="88"/>
      <c r="F2494" s="87"/>
      <c r="G2494" s="88"/>
      <c r="H2494" s="87"/>
    </row>
    <row r="2495" spans="2:8" ht="18" x14ac:dyDescent="0.25">
      <c r="B2495" s="88"/>
      <c r="C2495" s="87"/>
      <c r="D2495" s="87"/>
      <c r="E2495" s="87" t="s">
        <v>81</v>
      </c>
      <c r="F2495" s="87"/>
      <c r="G2495" s="87"/>
      <c r="H2495" s="95" t="s">
        <v>150</v>
      </c>
    </row>
    <row r="2496" spans="2:8" ht="18" x14ac:dyDescent="0.25">
      <c r="B2496" s="87"/>
      <c r="C2496" s="87"/>
      <c r="D2496" s="87"/>
      <c r="E2496" s="88"/>
      <c r="F2496" s="88"/>
      <c r="G2496" s="87"/>
      <c r="H2496" s="88"/>
    </row>
    <row r="2497" spans="2:8" ht="18" x14ac:dyDescent="0.25">
      <c r="B2497" s="96"/>
      <c r="C2497" s="87"/>
      <c r="D2497" s="96"/>
      <c r="E2497" s="87"/>
      <c r="F2497" s="87"/>
      <c r="G2497" s="87"/>
      <c r="H2497" s="87"/>
    </row>
    <row r="2498" spans="2:8" ht="18" x14ac:dyDescent="0.25">
      <c r="B2498" s="96"/>
      <c r="C2498" s="87"/>
      <c r="D2498" s="96"/>
      <c r="E2498" s="87"/>
      <c r="F2498" s="87"/>
      <c r="G2498" s="87"/>
      <c r="H2498" s="87"/>
    </row>
    <row r="2499" spans="2:8" ht="18" x14ac:dyDescent="0.25">
      <c r="B2499" s="87" t="s">
        <v>82</v>
      </c>
      <c r="C2499" s="87"/>
      <c r="D2499" s="110">
        <f>+'RES CUENTA'!$H$26</f>
        <v>6751880</v>
      </c>
      <c r="E2499" s="111" t="e">
        <f>+'RES CUENTA'!#REF!</f>
        <v>#REF!</v>
      </c>
      <c r="F2499" s="106" t="e">
        <f>+D2499*E2499/100</f>
        <v>#REF!</v>
      </c>
      <c r="G2499" s="339"/>
      <c r="H2499" s="339"/>
    </row>
    <row r="2500" spans="2:8" ht="18" x14ac:dyDescent="0.25">
      <c r="B2500" s="87" t="s">
        <v>194</v>
      </c>
      <c r="C2500" s="87"/>
      <c r="D2500" s="110" t="e">
        <f>+'RES CUENTA'!#REF!</f>
        <v>#REF!</v>
      </c>
      <c r="E2500" s="111" t="e">
        <f>+'RES CUENTA'!#REF!</f>
        <v>#REF!</v>
      </c>
      <c r="F2500" s="106" t="e">
        <f>+D2500*E2500/100</f>
        <v>#REF!</v>
      </c>
      <c r="G2500" s="336"/>
      <c r="H2500" s="336"/>
    </row>
    <row r="2501" spans="2:8" ht="18" x14ac:dyDescent="0.25">
      <c r="B2501" s="87" t="s">
        <v>83</v>
      </c>
      <c r="C2501" s="87"/>
      <c r="D2501" s="110" t="e">
        <f>+'RES CUENTA'!#REF!</f>
        <v>#REF!</v>
      </c>
      <c r="E2501" s="111">
        <v>0</v>
      </c>
      <c r="F2501" s="106" t="e">
        <f>+D2501</f>
        <v>#REF!</v>
      </c>
      <c r="G2501" s="336"/>
      <c r="H2501" s="336"/>
    </row>
    <row r="2502" spans="2:8" ht="18" x14ac:dyDescent="0.25">
      <c r="B2502" s="87" t="s">
        <v>84</v>
      </c>
      <c r="C2502" s="87"/>
      <c r="D2502" s="110" t="e">
        <f>+'RES CUENTA'!#REF!</f>
        <v>#REF!</v>
      </c>
      <c r="E2502" s="111">
        <v>0</v>
      </c>
      <c r="F2502" s="106" t="e">
        <f>+D2502</f>
        <v>#REF!</v>
      </c>
      <c r="G2502" s="336"/>
      <c r="H2502" s="336"/>
    </row>
    <row r="2503" spans="2:8" ht="18" x14ac:dyDescent="0.25">
      <c r="B2503" s="88"/>
      <c r="C2503" s="87"/>
      <c r="D2503" s="87"/>
      <c r="E2503" s="94"/>
      <c r="F2503" s="107" t="e">
        <f>SUM(F2499:F2502)</f>
        <v>#REF!</v>
      </c>
      <c r="G2503" s="336"/>
      <c r="H2503" s="336"/>
    </row>
    <row r="2504" spans="2:8" ht="18" x14ac:dyDescent="0.25">
      <c r="B2504" s="88"/>
      <c r="C2504" s="87"/>
      <c r="D2504" s="87"/>
      <c r="E2504" s="87"/>
      <c r="G2504" s="337"/>
      <c r="H2504" s="337"/>
    </row>
    <row r="2505" spans="2:8" ht="18" x14ac:dyDescent="0.25">
      <c r="B2505" s="87"/>
      <c r="C2505" s="87"/>
      <c r="D2505" s="87"/>
      <c r="E2505" s="87"/>
      <c r="F2505" s="93"/>
      <c r="G2505" s="92"/>
      <c r="H2505" s="92"/>
    </row>
    <row r="2506" spans="2:8" ht="18" x14ac:dyDescent="0.25">
      <c r="B2506" s="87"/>
      <c r="C2506" s="87"/>
      <c r="D2506" s="87"/>
      <c r="E2506" s="87"/>
      <c r="F2506" s="94"/>
      <c r="G2506" s="87"/>
      <c r="H2506" s="87"/>
    </row>
    <row r="2507" spans="2:8" ht="18" x14ac:dyDescent="0.25">
      <c r="B2507" s="87"/>
      <c r="C2507" s="87"/>
      <c r="D2507" s="87"/>
      <c r="E2507" s="87"/>
      <c r="F2507" s="94"/>
      <c r="G2507" s="87"/>
      <c r="H2507" s="87"/>
    </row>
    <row r="2508" spans="2:8" ht="18" x14ac:dyDescent="0.25">
      <c r="B2508" s="87"/>
      <c r="C2508" s="87"/>
      <c r="D2508" s="87"/>
      <c r="E2508" s="87"/>
      <c r="F2508" s="94"/>
      <c r="G2508" s="87"/>
      <c r="H2508" s="87"/>
    </row>
    <row r="2509" spans="2:8" ht="18" x14ac:dyDescent="0.25">
      <c r="B2509" s="87" t="e">
        <f>+B2494</f>
        <v>#REF!</v>
      </c>
      <c r="C2509" s="338"/>
      <c r="D2509" s="338"/>
      <c r="E2509" s="87" t="e">
        <f>+B2509</f>
        <v>#REF!</v>
      </c>
      <c r="F2509" s="94"/>
      <c r="G2509" s="87"/>
      <c r="H2509" s="87"/>
    </row>
    <row r="2510" spans="2:8" ht="18" x14ac:dyDescent="0.25">
      <c r="C2510" s="87"/>
      <c r="D2510" s="87"/>
      <c r="F2510" s="338"/>
      <c r="G2510" s="338"/>
      <c r="H2510" s="338"/>
    </row>
    <row r="2511" spans="2:8" ht="18" x14ac:dyDescent="0.25">
      <c r="B2511" s="87" t="str">
        <f>+$E$1</f>
        <v>URUGUAY 1025/27/29 CAP. FED.</v>
      </c>
      <c r="C2511" s="87"/>
      <c r="D2511" s="95" t="str">
        <f>+H2495</f>
        <v>Unid. 67</v>
      </c>
      <c r="E2511" s="87" t="str">
        <f>+$E$1</f>
        <v>URUGUAY 1025/27/29 CAP. FED.</v>
      </c>
      <c r="F2511" s="87"/>
      <c r="G2511" s="87"/>
      <c r="H2511" s="95" t="str">
        <f>+D2511</f>
        <v>Unid. 67</v>
      </c>
    </row>
    <row r="2512" spans="2:8" ht="18" x14ac:dyDescent="0.25">
      <c r="H2512" s="88"/>
    </row>
    <row r="2513" spans="2:8" ht="18" x14ac:dyDescent="0.25">
      <c r="B2513" s="88"/>
      <c r="C2513" s="88"/>
      <c r="D2513" s="88"/>
      <c r="E2513" s="88"/>
      <c r="F2513" s="87"/>
      <c r="G2513" s="87"/>
    </row>
    <row r="2514" spans="2:8" ht="18" x14ac:dyDescent="0.25">
      <c r="B2514" s="87" t="e">
        <f>+$E$2</f>
        <v>#REF!</v>
      </c>
      <c r="C2514" s="87"/>
      <c r="D2514" s="87"/>
      <c r="E2514" s="87"/>
      <c r="F2514" s="87"/>
      <c r="G2514" s="88"/>
      <c r="H2514" s="104"/>
    </row>
    <row r="2515" spans="2:8" ht="18" x14ac:dyDescent="0.25">
      <c r="B2515" s="87" t="e">
        <f>+$E$3</f>
        <v>#REF!</v>
      </c>
      <c r="C2515" s="87"/>
      <c r="D2515" s="87"/>
      <c r="E2515" s="98"/>
      <c r="F2515" s="87"/>
      <c r="G2515" s="96"/>
      <c r="H2515" s="87"/>
    </row>
    <row r="2516" spans="2:8" ht="18" x14ac:dyDescent="0.25">
      <c r="C2516" s="87"/>
      <c r="D2516" s="87"/>
      <c r="E2516" s="87" t="s">
        <v>85</v>
      </c>
      <c r="F2516" s="109" t="e">
        <f>+F2499</f>
        <v>#REF!</v>
      </c>
      <c r="H2516" s="102">
        <f>+B2521</f>
        <v>46183</v>
      </c>
    </row>
    <row r="2517" spans="2:8" ht="18" x14ac:dyDescent="0.25">
      <c r="B2517" s="88"/>
      <c r="C2517" s="87"/>
      <c r="D2517" s="87"/>
      <c r="E2517" s="87" t="s">
        <v>193</v>
      </c>
      <c r="F2517" s="109" t="e">
        <f>+F2500</f>
        <v>#REF!</v>
      </c>
    </row>
    <row r="2518" spans="2:8" ht="18" x14ac:dyDescent="0.25">
      <c r="B2518" s="88"/>
      <c r="C2518" s="87"/>
      <c r="D2518" s="87"/>
      <c r="E2518" s="87" t="s">
        <v>86</v>
      </c>
      <c r="F2518" s="109" t="e">
        <f>+F2501</f>
        <v>#REF!</v>
      </c>
      <c r="G2518" s="87"/>
      <c r="H2518" s="87"/>
    </row>
    <row r="2519" spans="2:8" ht="18" x14ac:dyDescent="0.25">
      <c r="B2519" s="87"/>
      <c r="C2519" s="87"/>
      <c r="D2519" s="87"/>
      <c r="E2519" s="87" t="s">
        <v>87</v>
      </c>
      <c r="F2519" s="109" t="e">
        <f>+F2502</f>
        <v>#REF!</v>
      </c>
      <c r="G2519" s="87"/>
      <c r="H2519" s="87"/>
    </row>
    <row r="2520" spans="2:8" ht="18" x14ac:dyDescent="0.25">
      <c r="B2520" s="98"/>
      <c r="C2520" s="98"/>
      <c r="D2520" s="98"/>
      <c r="E2520" s="87" t="s">
        <v>321</v>
      </c>
      <c r="F2520" s="109">
        <v>0</v>
      </c>
      <c r="G2520" s="87"/>
      <c r="H2520" s="87"/>
    </row>
    <row r="2521" spans="2:8" ht="18" x14ac:dyDescent="0.25">
      <c r="B2521" s="102">
        <f>+$G$34</f>
        <v>46183</v>
      </c>
      <c r="C2521" s="108" t="e">
        <f>+F2503</f>
        <v>#REF!</v>
      </c>
      <c r="D2521" s="87"/>
      <c r="E2521" s="87" t="s">
        <v>88</v>
      </c>
      <c r="F2521" s="109" t="e">
        <f>+F2503</f>
        <v>#REF!</v>
      </c>
      <c r="G2521" s="87"/>
      <c r="H2521" s="87"/>
    </row>
    <row r="2522" spans="2:8" ht="18" x14ac:dyDescent="0.25">
      <c r="B2522" s="87"/>
      <c r="C2522" s="87"/>
      <c r="D2522" s="87"/>
      <c r="E2522" s="87"/>
      <c r="F2522" s="87"/>
      <c r="G2522" s="87"/>
      <c r="H2522" s="87"/>
    </row>
    <row r="2523" spans="2:8" ht="18" x14ac:dyDescent="0.25">
      <c r="B2523" s="87"/>
      <c r="C2523" s="87"/>
      <c r="D2523" s="87"/>
      <c r="E2523" s="87"/>
      <c r="F2523" s="87"/>
      <c r="G2523" s="339"/>
      <c r="H2523" s="339"/>
    </row>
    <row r="2524" spans="2:8" ht="18" x14ac:dyDescent="0.25">
      <c r="B2524" s="87"/>
      <c r="C2524" s="87"/>
      <c r="D2524" s="87"/>
      <c r="E2524" s="87"/>
      <c r="F2524" s="87"/>
      <c r="G2524" s="87"/>
      <c r="H2524" s="87"/>
    </row>
    <row r="2525" spans="2:8" ht="18" x14ac:dyDescent="0.25">
      <c r="B2525" s="87"/>
      <c r="C2525" s="87"/>
      <c r="D2525" s="87"/>
      <c r="E2525" s="87"/>
      <c r="F2525" s="87"/>
      <c r="G2525" s="87"/>
      <c r="H2525" s="87"/>
    </row>
    <row r="2526" spans="2:8" ht="18" x14ac:dyDescent="0.25">
      <c r="B2526" s="87"/>
      <c r="C2526" s="87"/>
      <c r="D2526" s="87"/>
      <c r="E2526" s="87"/>
      <c r="F2526" s="87"/>
      <c r="G2526" s="87"/>
      <c r="H2526" s="87"/>
    </row>
    <row r="2527" spans="2:8" ht="18" x14ac:dyDescent="0.25">
      <c r="B2527" s="87"/>
      <c r="C2527" s="87"/>
      <c r="D2527" s="87"/>
      <c r="E2527" s="87"/>
      <c r="F2527" s="87"/>
      <c r="H2527" s="87"/>
    </row>
    <row r="2528" spans="2:8" ht="18" x14ac:dyDescent="0.25">
      <c r="B2528" s="87"/>
      <c r="C2528" s="87"/>
      <c r="D2528" s="87"/>
      <c r="E2528" s="87"/>
      <c r="F2528" s="87"/>
      <c r="H2528" s="87"/>
    </row>
    <row r="2529" spans="2:8" ht="18" x14ac:dyDescent="0.25">
      <c r="B2529" s="335"/>
      <c r="C2529" s="335"/>
      <c r="D2529" s="335"/>
      <c r="E2529" s="87"/>
      <c r="F2529" s="87"/>
      <c r="H2529" s="87"/>
    </row>
    <row r="2530" spans="2:8" ht="18" x14ac:dyDescent="0.25">
      <c r="B2530" s="335"/>
      <c r="C2530" s="335"/>
      <c r="D2530" s="335"/>
      <c r="E2530" s="101">
        <f>+$B$1</f>
        <v>46143</v>
      </c>
      <c r="F2530" s="87"/>
      <c r="G2530" s="102">
        <f>+$D$1</f>
        <v>46183</v>
      </c>
      <c r="H2530" s="100"/>
    </row>
    <row r="2531" spans="2:8" ht="18" x14ac:dyDescent="0.25">
      <c r="B2531" s="86"/>
      <c r="C2531" s="86"/>
      <c r="D2531" s="103"/>
      <c r="E2531" s="101"/>
      <c r="F2531" s="87"/>
    </row>
    <row r="2532" spans="2:8" ht="18" x14ac:dyDescent="0.25">
      <c r="B2532" s="87" t="e">
        <f>+#REF!</f>
        <v>#REF!</v>
      </c>
      <c r="C2532" s="87"/>
      <c r="D2532" s="87"/>
      <c r="F2532" s="87"/>
    </row>
    <row r="2533" spans="2:8" ht="18" x14ac:dyDescent="0.25">
      <c r="C2533" s="87"/>
      <c r="D2533" s="87"/>
      <c r="E2533" s="87" t="str">
        <f>+$E$1</f>
        <v>URUGUAY 1025/27/29 CAP. FED.</v>
      </c>
      <c r="F2533" s="87"/>
      <c r="H2533" s="95" t="s">
        <v>151</v>
      </c>
    </row>
    <row r="2534" spans="2:8" ht="18" x14ac:dyDescent="0.25">
      <c r="B2534" s="88"/>
      <c r="C2534" s="87"/>
      <c r="D2534" s="87"/>
      <c r="F2534" s="87"/>
      <c r="G2534" s="88"/>
    </row>
    <row r="2535" spans="2:8" ht="18" x14ac:dyDescent="0.25">
      <c r="B2535" s="88"/>
      <c r="C2535" s="87"/>
      <c r="D2535" s="87"/>
      <c r="F2535" s="87"/>
      <c r="G2535" s="88"/>
    </row>
    <row r="2536" spans="2:8" ht="18" x14ac:dyDescent="0.25">
      <c r="B2536" s="96"/>
      <c r="C2536" s="87"/>
      <c r="D2536" s="96"/>
      <c r="E2536" s="87"/>
      <c r="F2536" s="87"/>
      <c r="G2536" s="87"/>
      <c r="H2536" s="87"/>
    </row>
    <row r="2537" spans="2:8" ht="18" x14ac:dyDescent="0.25">
      <c r="B2537" s="87" t="s">
        <v>82</v>
      </c>
      <c r="C2537" s="87"/>
      <c r="D2537" s="110">
        <f>+'RES CUENTA'!$H$26</f>
        <v>6751880</v>
      </c>
      <c r="E2537" s="111" t="e">
        <f>+'RES CUENTA'!#REF!</f>
        <v>#REF!</v>
      </c>
      <c r="F2537" s="106" t="e">
        <f>+D2537*E2537/100</f>
        <v>#REF!</v>
      </c>
      <c r="G2537" s="87"/>
      <c r="H2537" s="96"/>
    </row>
    <row r="2538" spans="2:8" ht="18" x14ac:dyDescent="0.25">
      <c r="B2538" s="87" t="s">
        <v>194</v>
      </c>
      <c r="C2538" s="87"/>
      <c r="D2538" s="110" t="e">
        <f>+'RES CUENTA'!#REF!</f>
        <v>#REF!</v>
      </c>
      <c r="E2538" s="111" t="e">
        <f>+'RES CUENTA'!#REF!</f>
        <v>#REF!</v>
      </c>
      <c r="F2538" s="106" t="e">
        <f>+D2538*E2538/100</f>
        <v>#REF!</v>
      </c>
      <c r="G2538" s="96"/>
      <c r="H2538" s="91"/>
    </row>
    <row r="2539" spans="2:8" ht="18" x14ac:dyDescent="0.25">
      <c r="B2539" s="87" t="s">
        <v>83</v>
      </c>
      <c r="C2539" s="87"/>
      <c r="D2539" s="110" t="e">
        <f>+'RES CUENTA'!#REF!</f>
        <v>#REF!</v>
      </c>
      <c r="E2539" s="111">
        <f>+'RES CUENTA'!N1651</f>
        <v>0</v>
      </c>
      <c r="F2539" s="106" t="e">
        <f>+D2539</f>
        <v>#REF!</v>
      </c>
      <c r="G2539" s="91"/>
      <c r="H2539" s="91"/>
    </row>
    <row r="2540" spans="2:8" ht="18" x14ac:dyDescent="0.25">
      <c r="B2540" s="87" t="s">
        <v>84</v>
      </c>
      <c r="C2540" s="87"/>
      <c r="D2540" s="110" t="e">
        <f>+'RES CUENTA'!#REF!</f>
        <v>#REF!</v>
      </c>
      <c r="E2540" s="111">
        <f>+'RES CUENTA'!P1650</f>
        <v>0</v>
      </c>
      <c r="F2540" s="106" t="e">
        <f>+D2540</f>
        <v>#REF!</v>
      </c>
      <c r="G2540" s="91"/>
      <c r="H2540" s="91"/>
    </row>
    <row r="2541" spans="2:8" ht="18" x14ac:dyDescent="0.25">
      <c r="B2541" s="88"/>
      <c r="C2541" s="87"/>
      <c r="D2541" s="87"/>
      <c r="F2541" s="107" t="e">
        <f>SUM(F2537:F2540)</f>
        <v>#REF!</v>
      </c>
      <c r="G2541" s="91"/>
      <c r="H2541" s="92"/>
    </row>
    <row r="2542" spans="2:8" ht="18" x14ac:dyDescent="0.25">
      <c r="B2542" s="88"/>
      <c r="C2542" s="87"/>
      <c r="D2542" s="87"/>
      <c r="F2542" s="107"/>
      <c r="G2542" s="91"/>
      <c r="H2542" s="92"/>
    </row>
    <row r="2543" spans="2:8" ht="18" x14ac:dyDescent="0.25">
      <c r="B2543" s="87"/>
      <c r="C2543" s="87"/>
      <c r="D2543" s="87"/>
      <c r="E2543" s="87"/>
      <c r="F2543" s="94"/>
      <c r="G2543" s="92"/>
      <c r="H2543" s="92"/>
    </row>
    <row r="2544" spans="2:8" ht="18" x14ac:dyDescent="0.25">
      <c r="B2544" s="87"/>
      <c r="C2544" s="87"/>
      <c r="D2544" s="87"/>
      <c r="E2544" s="87"/>
      <c r="F2544" s="94"/>
      <c r="G2544" s="92"/>
      <c r="H2544" s="92"/>
    </row>
    <row r="2545" spans="2:8" ht="18" x14ac:dyDescent="0.25">
      <c r="B2545" s="87"/>
      <c r="C2545" s="87"/>
      <c r="D2545" s="87"/>
      <c r="E2545" s="87"/>
      <c r="F2545" s="94"/>
      <c r="G2545" s="92"/>
      <c r="H2545" s="92"/>
    </row>
    <row r="2546" spans="2:8" ht="18" x14ac:dyDescent="0.25">
      <c r="B2546" s="87"/>
      <c r="C2546" s="87"/>
      <c r="D2546" s="87"/>
      <c r="E2546" s="87"/>
      <c r="F2546" s="94"/>
      <c r="G2546" s="92"/>
      <c r="H2546" s="87"/>
    </row>
    <row r="2547" spans="2:8" ht="18" x14ac:dyDescent="0.25">
      <c r="B2547" s="87" t="e">
        <f>+B2532</f>
        <v>#REF!</v>
      </c>
      <c r="C2547" s="87"/>
      <c r="D2547" s="87"/>
      <c r="E2547" s="87" t="e">
        <f>+B2532</f>
        <v>#REF!</v>
      </c>
      <c r="F2547" s="87"/>
      <c r="G2547" s="87"/>
      <c r="H2547" s="104"/>
    </row>
    <row r="2548" spans="2:8" ht="18" x14ac:dyDescent="0.25">
      <c r="B2548" s="88"/>
      <c r="C2548" s="87"/>
      <c r="D2548" s="87"/>
      <c r="F2548" s="87"/>
      <c r="G2548" s="104"/>
      <c r="H2548" s="95" t="str">
        <f>+H2533</f>
        <v>Unid. 68</v>
      </c>
    </row>
    <row r="2549" spans="2:8" ht="18" x14ac:dyDescent="0.25">
      <c r="B2549" s="87" t="str">
        <f>+$E$1</f>
        <v>URUGUAY 1025/27/29 CAP. FED.</v>
      </c>
      <c r="C2549" s="87"/>
      <c r="D2549" s="95" t="str">
        <f>+H2548</f>
        <v>Unid. 68</v>
      </c>
      <c r="E2549" s="87" t="str">
        <f>+$E$1</f>
        <v>URUGUAY 1025/27/29 CAP. FED.</v>
      </c>
      <c r="F2549" s="87"/>
      <c r="G2549" s="87"/>
      <c r="H2549" s="88"/>
    </row>
    <row r="2550" spans="2:8" ht="18" x14ac:dyDescent="0.25">
      <c r="B2550" s="88"/>
      <c r="C2550" s="88"/>
      <c r="D2550" s="88"/>
      <c r="F2550" s="87"/>
      <c r="G2550" s="87"/>
    </row>
    <row r="2551" spans="2:8" ht="18" x14ac:dyDescent="0.25">
      <c r="B2551" s="87"/>
      <c r="C2551" s="87"/>
      <c r="D2551" s="87"/>
      <c r="E2551" s="88"/>
      <c r="F2551" s="87"/>
      <c r="G2551" s="87"/>
      <c r="H2551" s="104"/>
    </row>
    <row r="2552" spans="2:8" ht="18" x14ac:dyDescent="0.25">
      <c r="B2552" s="87" t="e">
        <f>+$E$2</f>
        <v>#REF!</v>
      </c>
      <c r="C2552" s="87"/>
      <c r="D2552" s="87"/>
      <c r="E2552" s="87"/>
      <c r="F2552" s="98"/>
      <c r="G2552" s="88"/>
      <c r="H2552" s="87"/>
    </row>
    <row r="2553" spans="2:8" ht="18" x14ac:dyDescent="0.25">
      <c r="B2553" s="87" t="e">
        <f>+$E$3</f>
        <v>#REF!</v>
      </c>
      <c r="C2553" s="87"/>
      <c r="D2553" s="87"/>
      <c r="E2553" s="98"/>
      <c r="G2553" s="96"/>
      <c r="H2553" s="97"/>
    </row>
    <row r="2554" spans="2:8" ht="18" x14ac:dyDescent="0.25">
      <c r="B2554" s="88"/>
      <c r="C2554" s="87"/>
      <c r="D2554" s="87"/>
      <c r="E2554" s="87" t="s">
        <v>85</v>
      </c>
      <c r="F2554" s="109" t="e">
        <f>+F2537</f>
        <v>#REF!</v>
      </c>
      <c r="G2554" s="97"/>
      <c r="H2554" s="102">
        <f>+B2558</f>
        <v>46183</v>
      </c>
    </row>
    <row r="2555" spans="2:8" ht="18" x14ac:dyDescent="0.25">
      <c r="B2555" s="88"/>
      <c r="C2555" s="87"/>
      <c r="D2555" s="87"/>
      <c r="E2555" s="87" t="s">
        <v>193</v>
      </c>
      <c r="F2555" s="109" t="e">
        <f>+F2538</f>
        <v>#REF!</v>
      </c>
      <c r="H2555" s="87"/>
    </row>
    <row r="2556" spans="2:8" ht="18" x14ac:dyDescent="0.25">
      <c r="B2556" s="87"/>
      <c r="C2556" s="87"/>
      <c r="D2556" s="87"/>
      <c r="E2556" s="87" t="s">
        <v>86</v>
      </c>
      <c r="F2556" s="109" t="e">
        <f>+F2539</f>
        <v>#REF!</v>
      </c>
      <c r="G2556" s="87"/>
      <c r="H2556" s="87"/>
    </row>
    <row r="2557" spans="2:8" ht="18" x14ac:dyDescent="0.25">
      <c r="B2557" s="98"/>
      <c r="C2557" s="98"/>
      <c r="D2557" s="98"/>
      <c r="E2557" s="87" t="s">
        <v>87</v>
      </c>
      <c r="F2557" s="109" t="e">
        <f>+F2540</f>
        <v>#REF!</v>
      </c>
      <c r="G2557" s="87"/>
      <c r="H2557" s="87"/>
    </row>
    <row r="2558" spans="2:8" ht="18" x14ac:dyDescent="0.25">
      <c r="B2558" s="102">
        <f>+$G$34</f>
        <v>46183</v>
      </c>
      <c r="C2558" s="108" t="e">
        <f>+F2541</f>
        <v>#REF!</v>
      </c>
      <c r="D2558" s="87"/>
      <c r="E2558" s="87" t="s">
        <v>321</v>
      </c>
      <c r="F2558" s="109">
        <v>0</v>
      </c>
      <c r="G2558" s="87"/>
      <c r="H2558" s="87"/>
    </row>
    <row r="2559" spans="2:8" ht="18" x14ac:dyDescent="0.25">
      <c r="B2559" s="87"/>
      <c r="C2559" s="87"/>
      <c r="D2559" s="87"/>
      <c r="E2559" s="87" t="s">
        <v>88</v>
      </c>
      <c r="F2559" s="109" t="e">
        <f>+F2541</f>
        <v>#REF!</v>
      </c>
      <c r="G2559" s="87"/>
      <c r="H2559" s="87"/>
    </row>
    <row r="2560" spans="2:8" ht="18" x14ac:dyDescent="0.25">
      <c r="B2560" s="87"/>
      <c r="C2560" s="87"/>
      <c r="D2560" s="87"/>
      <c r="E2560" s="87"/>
      <c r="F2560" s="87"/>
      <c r="G2560" s="87"/>
      <c r="H2560" s="87"/>
    </row>
    <row r="2561" spans="2:8" ht="18" x14ac:dyDescent="0.25">
      <c r="B2561" s="87"/>
      <c r="C2561" s="87"/>
      <c r="D2561" s="87"/>
      <c r="E2561" s="105"/>
      <c r="F2561" s="87"/>
      <c r="G2561" s="87"/>
      <c r="H2561" s="87"/>
    </row>
    <row r="2562" spans="2:8" ht="18" x14ac:dyDescent="0.25">
      <c r="B2562" s="87"/>
      <c r="C2562" s="87"/>
      <c r="D2562" s="87"/>
      <c r="E2562" s="87"/>
      <c r="F2562" s="87"/>
      <c r="G2562" s="87"/>
      <c r="H2562" s="96"/>
    </row>
    <row r="2563" spans="2:8" ht="18" x14ac:dyDescent="0.25">
      <c r="E2563" s="87"/>
      <c r="G2563" s="96"/>
      <c r="H2563" s="87"/>
    </row>
    <row r="2565" spans="2:8" ht="18" x14ac:dyDescent="0.25">
      <c r="B2565" s="335"/>
      <c r="C2565" s="335"/>
      <c r="D2565" s="335"/>
      <c r="E2565" s="340">
        <f>+$B$1</f>
        <v>46143</v>
      </c>
      <c r="F2565" s="87"/>
      <c r="G2565" s="341">
        <f>+$D$1</f>
        <v>46183</v>
      </c>
      <c r="H2565" s="87"/>
    </row>
    <row r="2566" spans="2:8" ht="18" x14ac:dyDescent="0.25">
      <c r="B2566" s="86"/>
      <c r="C2566" s="86"/>
      <c r="D2566" s="103"/>
      <c r="E2566" s="340"/>
      <c r="F2566" s="87"/>
      <c r="G2566" s="341"/>
      <c r="H2566" s="87"/>
    </row>
    <row r="2567" spans="2:8" ht="18" x14ac:dyDescent="0.25">
      <c r="B2567" s="87"/>
      <c r="C2567" s="87"/>
      <c r="D2567" s="87"/>
      <c r="E2567" s="88"/>
      <c r="F2567" s="87"/>
      <c r="G2567" s="88"/>
      <c r="H2567" s="87"/>
    </row>
    <row r="2568" spans="2:8" ht="18" x14ac:dyDescent="0.25">
      <c r="B2568" s="87" t="e">
        <f>+#REF!</f>
        <v>#REF!</v>
      </c>
      <c r="C2568" s="87"/>
      <c r="D2568" s="87"/>
      <c r="E2568" s="88"/>
      <c r="F2568" s="87"/>
      <c r="G2568" s="88"/>
      <c r="H2568" s="87"/>
    </row>
    <row r="2569" spans="2:8" ht="18" x14ac:dyDescent="0.25">
      <c r="B2569" s="88"/>
      <c r="C2569" s="87"/>
      <c r="D2569" s="87"/>
      <c r="E2569" s="87" t="s">
        <v>81</v>
      </c>
      <c r="F2569" s="87"/>
      <c r="G2569" s="87"/>
      <c r="H2569" s="95" t="s">
        <v>152</v>
      </c>
    </row>
    <row r="2570" spans="2:8" ht="18" x14ac:dyDescent="0.25">
      <c r="B2570" s="87"/>
      <c r="C2570" s="87"/>
      <c r="D2570" s="87"/>
      <c r="E2570" s="88"/>
      <c r="F2570" s="88"/>
      <c r="G2570" s="87"/>
      <c r="H2570" s="88"/>
    </row>
    <row r="2571" spans="2:8" ht="18" x14ac:dyDescent="0.25">
      <c r="B2571" s="96"/>
      <c r="C2571" s="87"/>
      <c r="D2571" s="96"/>
      <c r="E2571" s="87"/>
      <c r="F2571" s="87"/>
      <c r="G2571" s="87"/>
      <c r="H2571" s="87"/>
    </row>
    <row r="2572" spans="2:8" ht="18" x14ac:dyDescent="0.25">
      <c r="B2572" s="96"/>
      <c r="C2572" s="87"/>
      <c r="D2572" s="96"/>
      <c r="E2572" s="87"/>
      <c r="F2572" s="87"/>
      <c r="G2572" s="87"/>
      <c r="H2572" s="87"/>
    </row>
    <row r="2573" spans="2:8" ht="18" x14ac:dyDescent="0.25">
      <c r="B2573" s="87" t="s">
        <v>82</v>
      </c>
      <c r="C2573" s="87"/>
      <c r="D2573" s="110">
        <f>+'RES CUENTA'!$H$26</f>
        <v>6751880</v>
      </c>
      <c r="E2573" s="111" t="e">
        <f>+'RES CUENTA'!#REF!</f>
        <v>#REF!</v>
      </c>
      <c r="F2573" s="106" t="e">
        <f>+D2573*E2573/100</f>
        <v>#REF!</v>
      </c>
      <c r="G2573" s="339"/>
      <c r="H2573" s="339"/>
    </row>
    <row r="2574" spans="2:8" ht="18" x14ac:dyDescent="0.25">
      <c r="B2574" s="87" t="s">
        <v>194</v>
      </c>
      <c r="C2574" s="87"/>
      <c r="D2574" s="110" t="e">
        <f>+'RES CUENTA'!#REF!</f>
        <v>#REF!</v>
      </c>
      <c r="E2574" s="111" t="e">
        <f>+'RES CUENTA'!#REF!</f>
        <v>#REF!</v>
      </c>
      <c r="F2574" s="106" t="e">
        <f>+D2574*E2574/100</f>
        <v>#REF!</v>
      </c>
      <c r="G2574" s="336"/>
      <c r="H2574" s="336"/>
    </row>
    <row r="2575" spans="2:8" ht="18" x14ac:dyDescent="0.25">
      <c r="B2575" s="87" t="s">
        <v>83</v>
      </c>
      <c r="C2575" s="87"/>
      <c r="D2575" s="110" t="e">
        <f>+'RES CUENTA'!#REF!</f>
        <v>#REF!</v>
      </c>
      <c r="E2575" s="111">
        <v>0</v>
      </c>
      <c r="F2575" s="106" t="e">
        <f>+D2575</f>
        <v>#REF!</v>
      </c>
      <c r="G2575" s="336"/>
      <c r="H2575" s="336"/>
    </row>
    <row r="2576" spans="2:8" ht="18" x14ac:dyDescent="0.25">
      <c r="B2576" s="87" t="s">
        <v>84</v>
      </c>
      <c r="C2576" s="87"/>
      <c r="D2576" s="110" t="e">
        <f>+'RES CUENTA'!#REF!</f>
        <v>#REF!</v>
      </c>
      <c r="E2576" s="111">
        <v>0</v>
      </c>
      <c r="F2576" s="106" t="e">
        <f>+D2576</f>
        <v>#REF!</v>
      </c>
      <c r="G2576" s="336"/>
      <c r="H2576" s="336"/>
    </row>
    <row r="2577" spans="2:8" ht="18" x14ac:dyDescent="0.25">
      <c r="B2577" s="88"/>
      <c r="C2577" s="87"/>
      <c r="D2577" s="87"/>
      <c r="E2577" s="94"/>
      <c r="F2577" s="107" t="e">
        <f>SUM(F2573:F2576)</f>
        <v>#REF!</v>
      </c>
      <c r="G2577" s="336"/>
      <c r="H2577" s="336"/>
    </row>
    <row r="2578" spans="2:8" ht="18" x14ac:dyDescent="0.25">
      <c r="B2578" s="88"/>
      <c r="C2578" s="87"/>
      <c r="D2578" s="87"/>
      <c r="E2578" s="94"/>
      <c r="F2578" s="107"/>
      <c r="G2578" s="91"/>
      <c r="H2578" s="91"/>
    </row>
    <row r="2579" spans="2:8" ht="18" x14ac:dyDescent="0.25">
      <c r="B2579" s="88"/>
      <c r="C2579" s="87"/>
      <c r="D2579" s="87"/>
      <c r="E2579" s="87"/>
      <c r="G2579" s="337"/>
      <c r="H2579" s="337"/>
    </row>
    <row r="2580" spans="2:8" ht="18" x14ac:dyDescent="0.25">
      <c r="B2580" s="87"/>
      <c r="C2580" s="87"/>
      <c r="D2580" s="87"/>
      <c r="E2580" s="87"/>
      <c r="F2580" s="93"/>
      <c r="G2580" s="92"/>
      <c r="H2580" s="92"/>
    </row>
    <row r="2581" spans="2:8" ht="18" x14ac:dyDescent="0.25">
      <c r="B2581" s="87"/>
      <c r="C2581" s="87"/>
      <c r="D2581" s="87"/>
      <c r="E2581" s="87"/>
      <c r="F2581" s="94"/>
      <c r="G2581" s="87"/>
      <c r="H2581" s="87"/>
    </row>
    <row r="2582" spans="2:8" ht="18" x14ac:dyDescent="0.25">
      <c r="B2582" s="87"/>
      <c r="C2582" s="87"/>
      <c r="D2582" s="87"/>
      <c r="E2582" s="87"/>
      <c r="F2582" s="94"/>
      <c r="G2582" s="87"/>
      <c r="H2582" s="87"/>
    </row>
    <row r="2583" spans="2:8" ht="18" x14ac:dyDescent="0.25">
      <c r="B2583" s="87" t="e">
        <f>+B2568</f>
        <v>#REF!</v>
      </c>
      <c r="C2583" s="338"/>
      <c r="D2583" s="338"/>
      <c r="E2583" s="87" t="e">
        <f>+B2583</f>
        <v>#REF!</v>
      </c>
      <c r="F2583" s="94"/>
      <c r="G2583" s="87"/>
      <c r="H2583" s="87"/>
    </row>
    <row r="2584" spans="2:8" ht="18" x14ac:dyDescent="0.25">
      <c r="C2584" s="87"/>
      <c r="D2584" s="87"/>
      <c r="F2584" s="338"/>
      <c r="G2584" s="338"/>
      <c r="H2584" s="338"/>
    </row>
    <row r="2585" spans="2:8" ht="18" x14ac:dyDescent="0.25">
      <c r="B2585" s="87" t="str">
        <f>+$E$1</f>
        <v>URUGUAY 1025/27/29 CAP. FED.</v>
      </c>
      <c r="C2585" s="87"/>
      <c r="D2585" s="95" t="str">
        <f>+H2569</f>
        <v>Unid. 69</v>
      </c>
      <c r="E2585" s="87" t="str">
        <f>+$E$1</f>
        <v>URUGUAY 1025/27/29 CAP. FED.</v>
      </c>
      <c r="F2585" s="87"/>
      <c r="G2585" s="87"/>
      <c r="H2585" s="95" t="str">
        <f>+D2585</f>
        <v>Unid. 69</v>
      </c>
    </row>
    <row r="2586" spans="2:8" ht="18" x14ac:dyDescent="0.25">
      <c r="H2586" s="88"/>
    </row>
    <row r="2587" spans="2:8" ht="18" x14ac:dyDescent="0.25">
      <c r="B2587" s="88"/>
      <c r="C2587" s="88"/>
      <c r="D2587" s="88"/>
      <c r="E2587" s="88"/>
      <c r="F2587" s="87"/>
      <c r="G2587" s="87"/>
    </row>
    <row r="2588" spans="2:8" ht="18" x14ac:dyDescent="0.25">
      <c r="B2588" s="87" t="e">
        <f>+$E$2</f>
        <v>#REF!</v>
      </c>
      <c r="C2588" s="87"/>
      <c r="D2588" s="87"/>
      <c r="E2588" s="87"/>
      <c r="F2588" s="87"/>
      <c r="G2588" s="88"/>
      <c r="H2588" s="104"/>
    </row>
    <row r="2589" spans="2:8" ht="18" x14ac:dyDescent="0.25">
      <c r="B2589" s="87" t="e">
        <f>+$E$3</f>
        <v>#REF!</v>
      </c>
      <c r="C2589" s="87"/>
      <c r="D2589" s="87"/>
      <c r="E2589" s="98"/>
      <c r="F2589" s="87"/>
      <c r="G2589" s="96"/>
      <c r="H2589" s="87"/>
    </row>
    <row r="2590" spans="2:8" ht="18" x14ac:dyDescent="0.25">
      <c r="C2590" s="87"/>
      <c r="D2590" s="87"/>
      <c r="E2590" s="87" t="s">
        <v>85</v>
      </c>
      <c r="F2590" s="109" t="e">
        <f>+F2573</f>
        <v>#REF!</v>
      </c>
      <c r="H2590" s="102">
        <f>+B2595</f>
        <v>46183</v>
      </c>
    </row>
    <row r="2591" spans="2:8" ht="18" x14ac:dyDescent="0.25">
      <c r="B2591" s="88"/>
      <c r="C2591" s="87"/>
      <c r="D2591" s="87"/>
      <c r="E2591" s="87" t="s">
        <v>193</v>
      </c>
      <c r="F2591" s="109" t="e">
        <f>+F2574</f>
        <v>#REF!</v>
      </c>
    </row>
    <row r="2592" spans="2:8" ht="18" x14ac:dyDescent="0.25">
      <c r="B2592" s="88"/>
      <c r="C2592" s="87"/>
      <c r="D2592" s="87"/>
      <c r="E2592" s="87" t="s">
        <v>86</v>
      </c>
      <c r="F2592" s="109" t="e">
        <f>+F2575</f>
        <v>#REF!</v>
      </c>
      <c r="G2592" s="87"/>
      <c r="H2592" s="87"/>
    </row>
    <row r="2593" spans="2:8" ht="18" x14ac:dyDescent="0.25">
      <c r="B2593" s="87"/>
      <c r="C2593" s="87"/>
      <c r="D2593" s="87"/>
      <c r="E2593" s="87" t="s">
        <v>87</v>
      </c>
      <c r="F2593" s="109" t="e">
        <f>+F2576</f>
        <v>#REF!</v>
      </c>
      <c r="G2593" s="87"/>
      <c r="H2593" s="87"/>
    </row>
    <row r="2594" spans="2:8" ht="18" x14ac:dyDescent="0.25">
      <c r="B2594" s="98"/>
      <c r="C2594" s="98"/>
      <c r="D2594" s="98"/>
      <c r="E2594" s="87" t="s">
        <v>321</v>
      </c>
      <c r="F2594" s="109">
        <v>0</v>
      </c>
      <c r="G2594" s="87"/>
      <c r="H2594" s="87"/>
    </row>
    <row r="2595" spans="2:8" ht="18" x14ac:dyDescent="0.25">
      <c r="B2595" s="102">
        <f>+$G$34</f>
        <v>46183</v>
      </c>
      <c r="C2595" s="108" t="e">
        <f>+F2577</f>
        <v>#REF!</v>
      </c>
      <c r="D2595" s="87"/>
      <c r="E2595" s="87" t="s">
        <v>88</v>
      </c>
      <c r="F2595" s="109" t="e">
        <f>+F2577</f>
        <v>#REF!</v>
      </c>
      <c r="G2595" s="87"/>
      <c r="H2595" s="87"/>
    </row>
    <row r="2596" spans="2:8" ht="18" x14ac:dyDescent="0.25">
      <c r="B2596" s="87"/>
      <c r="C2596" s="87"/>
      <c r="D2596" s="87"/>
      <c r="E2596" s="87"/>
      <c r="F2596" s="87"/>
      <c r="G2596" s="87"/>
      <c r="H2596" s="87"/>
    </row>
    <row r="2597" spans="2:8" ht="18" x14ac:dyDescent="0.25">
      <c r="B2597" s="87"/>
      <c r="C2597" s="87"/>
      <c r="D2597" s="87"/>
      <c r="E2597" s="87"/>
      <c r="F2597" s="87"/>
      <c r="G2597" s="339"/>
      <c r="H2597" s="339"/>
    </row>
    <row r="2598" spans="2:8" ht="18" x14ac:dyDescent="0.25">
      <c r="B2598" s="87"/>
      <c r="C2598" s="87"/>
      <c r="D2598" s="87"/>
      <c r="E2598" s="87"/>
      <c r="F2598" s="87"/>
      <c r="G2598" s="87"/>
      <c r="H2598" s="87"/>
    </row>
    <row r="2599" spans="2:8" ht="18" x14ac:dyDescent="0.25">
      <c r="B2599" s="87"/>
      <c r="C2599" s="87"/>
      <c r="D2599" s="87"/>
      <c r="E2599" s="87"/>
      <c r="F2599" s="87"/>
      <c r="G2599" s="87"/>
      <c r="H2599" s="87"/>
    </row>
    <row r="2600" spans="2:8" ht="18" x14ac:dyDescent="0.25">
      <c r="B2600" s="87"/>
      <c r="C2600" s="87"/>
      <c r="D2600" s="87"/>
      <c r="E2600" s="87"/>
      <c r="F2600" s="87"/>
      <c r="G2600" s="87"/>
      <c r="H2600" s="87"/>
    </row>
    <row r="2601" spans="2:8" ht="18" x14ac:dyDescent="0.25">
      <c r="B2601" s="87"/>
      <c r="C2601" s="87"/>
      <c r="D2601" s="87"/>
      <c r="E2601" s="87"/>
      <c r="F2601" s="87"/>
      <c r="G2601" s="87"/>
      <c r="H2601" s="87"/>
    </row>
    <row r="2602" spans="2:8" ht="18" x14ac:dyDescent="0.25">
      <c r="B2602" s="87"/>
      <c r="C2602" s="87"/>
      <c r="D2602" s="87"/>
      <c r="E2602" s="87"/>
      <c r="F2602" s="87"/>
      <c r="H2602" s="87"/>
    </row>
    <row r="2603" spans="2:8" ht="18" x14ac:dyDescent="0.25">
      <c r="B2603" s="335"/>
      <c r="C2603" s="335"/>
      <c r="D2603" s="335"/>
      <c r="E2603" s="87"/>
      <c r="F2603" s="87"/>
      <c r="H2603" s="87"/>
    </row>
    <row r="2604" spans="2:8" ht="18" x14ac:dyDescent="0.25">
      <c r="B2604" s="335"/>
      <c r="C2604" s="335"/>
      <c r="D2604" s="335"/>
      <c r="E2604" s="101">
        <f>+$B$1</f>
        <v>46143</v>
      </c>
      <c r="F2604" s="87"/>
      <c r="G2604" s="102">
        <f>+$D$1</f>
        <v>46183</v>
      </c>
      <c r="H2604" s="100"/>
    </row>
    <row r="2605" spans="2:8" ht="18" x14ac:dyDescent="0.25">
      <c r="B2605" s="86"/>
      <c r="C2605" s="86"/>
      <c r="D2605" s="103"/>
      <c r="E2605" s="101"/>
      <c r="F2605" s="87"/>
    </row>
    <row r="2606" spans="2:8" ht="18" x14ac:dyDescent="0.25">
      <c r="B2606" s="87" t="e">
        <f>+#REF!</f>
        <v>#REF!</v>
      </c>
      <c r="C2606" s="87"/>
      <c r="D2606" s="87"/>
      <c r="F2606" s="87"/>
    </row>
    <row r="2607" spans="2:8" ht="18" x14ac:dyDescent="0.25">
      <c r="C2607" s="87"/>
      <c r="D2607" s="87"/>
      <c r="E2607" s="87" t="str">
        <f>+$E$1</f>
        <v>URUGUAY 1025/27/29 CAP. FED.</v>
      </c>
      <c r="F2607" s="87"/>
      <c r="H2607" s="95" t="s">
        <v>153</v>
      </c>
    </row>
    <row r="2608" spans="2:8" ht="18" x14ac:dyDescent="0.25">
      <c r="B2608" s="87"/>
      <c r="C2608" s="87"/>
      <c r="D2608" s="87"/>
      <c r="E2608" s="88"/>
      <c r="F2608" s="88"/>
      <c r="G2608" s="87"/>
      <c r="H2608" s="88"/>
    </row>
    <row r="2609" spans="2:8" ht="18" x14ac:dyDescent="0.25">
      <c r="B2609" s="87"/>
      <c r="C2609" s="87"/>
      <c r="D2609" s="87"/>
      <c r="E2609" s="88"/>
      <c r="F2609" s="88"/>
      <c r="G2609" s="87"/>
      <c r="H2609" s="88"/>
    </row>
    <row r="2610" spans="2:8" ht="18" x14ac:dyDescent="0.25">
      <c r="B2610" s="96"/>
      <c r="C2610" s="87"/>
      <c r="D2610" s="96"/>
      <c r="E2610" s="87"/>
      <c r="F2610" s="87"/>
      <c r="G2610" s="87"/>
      <c r="H2610" s="87"/>
    </row>
    <row r="2611" spans="2:8" ht="18" x14ac:dyDescent="0.25">
      <c r="B2611" s="87" t="s">
        <v>82</v>
      </c>
      <c r="C2611" s="87"/>
      <c r="D2611" s="110">
        <f>+'RES CUENTA'!$H$26</f>
        <v>6751880</v>
      </c>
      <c r="E2611" s="111" t="e">
        <f>+'RES CUENTA'!#REF!</f>
        <v>#REF!</v>
      </c>
      <c r="F2611" s="106" t="e">
        <f>+D2611*E2611/100</f>
        <v>#REF!</v>
      </c>
      <c r="G2611" s="87"/>
      <c r="H2611" s="96"/>
    </row>
    <row r="2612" spans="2:8" ht="18" x14ac:dyDescent="0.25">
      <c r="B2612" s="87" t="s">
        <v>194</v>
      </c>
      <c r="C2612" s="87"/>
      <c r="D2612" s="110" t="e">
        <f>+'RES CUENTA'!#REF!</f>
        <v>#REF!</v>
      </c>
      <c r="E2612" s="111" t="e">
        <f>+'RES CUENTA'!#REF!</f>
        <v>#REF!</v>
      </c>
      <c r="F2612" s="106" t="e">
        <f>+D2612*E2612/100</f>
        <v>#REF!</v>
      </c>
      <c r="G2612" s="96"/>
      <c r="H2612" s="91"/>
    </row>
    <row r="2613" spans="2:8" ht="18" x14ac:dyDescent="0.25">
      <c r="B2613" s="87" t="s">
        <v>83</v>
      </c>
      <c r="C2613" s="87"/>
      <c r="D2613" s="110" t="e">
        <f>+'RES CUENTA'!#REF!</f>
        <v>#REF!</v>
      </c>
      <c r="E2613" s="111">
        <f>+'RES CUENTA'!N1727</f>
        <v>0</v>
      </c>
      <c r="F2613" s="106" t="e">
        <f>+D2613</f>
        <v>#REF!</v>
      </c>
      <c r="G2613" s="91"/>
      <c r="H2613" s="91"/>
    </row>
    <row r="2614" spans="2:8" ht="18" x14ac:dyDescent="0.25">
      <c r="B2614" s="87" t="s">
        <v>84</v>
      </c>
      <c r="C2614" s="87"/>
      <c r="D2614" s="110" t="e">
        <f>+'RES CUENTA'!#REF!</f>
        <v>#REF!</v>
      </c>
      <c r="E2614" s="111">
        <f>+'RES CUENTA'!P1726</f>
        <v>0</v>
      </c>
      <c r="F2614" s="106" t="e">
        <f>+D2614</f>
        <v>#REF!</v>
      </c>
      <c r="G2614" s="91"/>
      <c r="H2614" s="91"/>
    </row>
    <row r="2615" spans="2:8" ht="18" x14ac:dyDescent="0.25">
      <c r="B2615" s="88"/>
      <c r="C2615" s="87"/>
      <c r="D2615" s="87"/>
      <c r="F2615" s="107" t="e">
        <f>SUM(F2611:F2614)</f>
        <v>#REF!</v>
      </c>
      <c r="G2615" s="91"/>
      <c r="H2615" s="91"/>
    </row>
    <row r="2616" spans="2:8" ht="18" x14ac:dyDescent="0.25">
      <c r="B2616" s="88"/>
      <c r="C2616" s="87"/>
      <c r="D2616" s="87"/>
      <c r="F2616" s="107"/>
      <c r="G2616" s="91"/>
      <c r="H2616" s="91"/>
    </row>
    <row r="2617" spans="2:8" ht="18" x14ac:dyDescent="0.25">
      <c r="B2617" s="87"/>
      <c r="C2617" s="87"/>
      <c r="D2617" s="87"/>
      <c r="E2617" s="87"/>
      <c r="F2617" s="94"/>
      <c r="G2617" s="92"/>
      <c r="H2617" s="92"/>
    </row>
    <row r="2618" spans="2:8" ht="18" x14ac:dyDescent="0.25">
      <c r="B2618" s="87"/>
      <c r="C2618" s="87"/>
      <c r="D2618" s="87"/>
      <c r="E2618" s="87"/>
      <c r="F2618" s="94"/>
      <c r="G2618" s="92"/>
      <c r="H2618" s="92"/>
    </row>
    <row r="2619" spans="2:8" ht="18" x14ac:dyDescent="0.25">
      <c r="B2619" s="87"/>
      <c r="C2619" s="87"/>
      <c r="D2619" s="87"/>
      <c r="E2619" s="87"/>
      <c r="F2619" s="94"/>
      <c r="G2619" s="92"/>
      <c r="H2619" s="92"/>
    </row>
    <row r="2620" spans="2:8" ht="18" x14ac:dyDescent="0.25">
      <c r="B2620" s="87"/>
      <c r="C2620" s="87"/>
      <c r="D2620" s="87"/>
      <c r="E2620" s="87"/>
      <c r="F2620" s="94"/>
      <c r="G2620" s="92"/>
      <c r="H2620" s="87"/>
    </row>
    <row r="2621" spans="2:8" ht="18" x14ac:dyDescent="0.25">
      <c r="B2621" s="87" t="e">
        <f>+B2606</f>
        <v>#REF!</v>
      </c>
      <c r="C2621" s="87"/>
      <c r="D2621" s="87"/>
      <c r="E2621" s="87" t="e">
        <f>+B2606</f>
        <v>#REF!</v>
      </c>
      <c r="F2621" s="87"/>
      <c r="G2621" s="87"/>
      <c r="H2621" s="104"/>
    </row>
    <row r="2622" spans="2:8" ht="18" x14ac:dyDescent="0.25">
      <c r="B2622" s="88"/>
      <c r="C2622" s="87"/>
      <c r="D2622" s="87"/>
      <c r="F2622" s="87"/>
      <c r="G2622" s="104"/>
      <c r="H2622" s="95" t="str">
        <f>+H2607</f>
        <v>Unid. 70</v>
      </c>
    </row>
    <row r="2623" spans="2:8" ht="18" x14ac:dyDescent="0.25">
      <c r="B2623" s="87" t="str">
        <f>+$E$1</f>
        <v>URUGUAY 1025/27/29 CAP. FED.</v>
      </c>
      <c r="C2623" s="87"/>
      <c r="D2623" s="95" t="str">
        <f>+H2622</f>
        <v>Unid. 70</v>
      </c>
      <c r="E2623" s="87" t="str">
        <f>+$E$1</f>
        <v>URUGUAY 1025/27/29 CAP. FED.</v>
      </c>
      <c r="F2623" s="87"/>
      <c r="G2623" s="87"/>
      <c r="H2623" s="88"/>
    </row>
    <row r="2624" spans="2:8" ht="18" x14ac:dyDescent="0.25">
      <c r="B2624" s="88"/>
      <c r="C2624" s="88"/>
      <c r="D2624" s="88"/>
      <c r="F2624" s="87"/>
      <c r="G2624" s="87"/>
    </row>
    <row r="2625" spans="2:8" ht="18" x14ac:dyDescent="0.25">
      <c r="B2625" s="87"/>
      <c r="C2625" s="87"/>
      <c r="D2625" s="87"/>
      <c r="E2625" s="88"/>
      <c r="F2625" s="87"/>
      <c r="G2625" s="87"/>
      <c r="H2625" s="104"/>
    </row>
    <row r="2626" spans="2:8" ht="18" x14ac:dyDescent="0.25">
      <c r="B2626" s="87" t="e">
        <f>+$E$2</f>
        <v>#REF!</v>
      </c>
      <c r="C2626" s="87"/>
      <c r="D2626" s="87"/>
      <c r="E2626" s="87"/>
      <c r="F2626" s="98"/>
      <c r="G2626" s="88"/>
      <c r="H2626" s="87"/>
    </row>
    <row r="2627" spans="2:8" ht="18" x14ac:dyDescent="0.25">
      <c r="B2627" s="87" t="e">
        <f>+$E$3</f>
        <v>#REF!</v>
      </c>
      <c r="C2627" s="87"/>
      <c r="D2627" s="87"/>
      <c r="E2627" s="98"/>
      <c r="G2627" s="96"/>
      <c r="H2627" s="97"/>
    </row>
    <row r="2628" spans="2:8" ht="18" x14ac:dyDescent="0.25">
      <c r="B2628" s="88"/>
      <c r="C2628" s="87"/>
      <c r="D2628" s="87"/>
      <c r="E2628" s="87" t="s">
        <v>85</v>
      </c>
      <c r="F2628" s="109" t="e">
        <f>+F2611</f>
        <v>#REF!</v>
      </c>
      <c r="G2628" s="97"/>
      <c r="H2628" s="102">
        <f>+B2632</f>
        <v>46183</v>
      </c>
    </row>
    <row r="2629" spans="2:8" ht="18" x14ac:dyDescent="0.25">
      <c r="B2629" s="88"/>
      <c r="C2629" s="87"/>
      <c r="D2629" s="87"/>
      <c r="E2629" s="87" t="s">
        <v>193</v>
      </c>
      <c r="F2629" s="109" t="e">
        <f>+F2612</f>
        <v>#REF!</v>
      </c>
      <c r="H2629" s="87"/>
    </row>
    <row r="2630" spans="2:8" ht="18" x14ac:dyDescent="0.25">
      <c r="B2630" s="87"/>
      <c r="C2630" s="87"/>
      <c r="D2630" s="87"/>
      <c r="E2630" s="87" t="s">
        <v>86</v>
      </c>
      <c r="F2630" s="109" t="e">
        <f>+F2613</f>
        <v>#REF!</v>
      </c>
      <c r="G2630" s="87"/>
      <c r="H2630" s="87"/>
    </row>
    <row r="2631" spans="2:8" ht="18" x14ac:dyDescent="0.25">
      <c r="B2631" s="98"/>
      <c r="C2631" s="98"/>
      <c r="D2631" s="98"/>
      <c r="E2631" s="87" t="s">
        <v>87</v>
      </c>
      <c r="F2631" s="109" t="e">
        <f>+F2614</f>
        <v>#REF!</v>
      </c>
      <c r="G2631" s="87"/>
      <c r="H2631" s="87"/>
    </row>
    <row r="2632" spans="2:8" ht="18" x14ac:dyDescent="0.25">
      <c r="B2632" s="102">
        <f>+$G$34</f>
        <v>46183</v>
      </c>
      <c r="C2632" s="108" t="e">
        <f>+F2615</f>
        <v>#REF!</v>
      </c>
      <c r="D2632" s="87"/>
      <c r="E2632" s="87" t="s">
        <v>321</v>
      </c>
      <c r="F2632" s="109">
        <v>0</v>
      </c>
      <c r="G2632" s="87"/>
      <c r="H2632" s="87"/>
    </row>
    <row r="2633" spans="2:8" ht="18" x14ac:dyDescent="0.25">
      <c r="B2633" s="87"/>
      <c r="C2633" s="87"/>
      <c r="D2633" s="87"/>
      <c r="E2633" s="87" t="s">
        <v>88</v>
      </c>
      <c r="F2633" s="109" t="e">
        <f>+F2615</f>
        <v>#REF!</v>
      </c>
      <c r="G2633" s="87"/>
      <c r="H2633" s="87"/>
    </row>
    <row r="2634" spans="2:8" ht="18" x14ac:dyDescent="0.25">
      <c r="B2634" s="87"/>
      <c r="C2634" s="87"/>
      <c r="D2634" s="87"/>
      <c r="E2634" s="87"/>
      <c r="F2634" s="87"/>
      <c r="G2634" s="87"/>
      <c r="H2634" s="87"/>
    </row>
    <row r="2635" spans="2:8" ht="18" x14ac:dyDescent="0.25">
      <c r="B2635" s="87"/>
      <c r="C2635" s="87"/>
      <c r="D2635" s="87"/>
      <c r="E2635" s="105"/>
      <c r="F2635" s="87"/>
      <c r="G2635" s="87"/>
      <c r="H2635" s="87"/>
    </row>
    <row r="2636" spans="2:8" ht="18" x14ac:dyDescent="0.25">
      <c r="B2636" s="87"/>
      <c r="C2636" s="87"/>
      <c r="D2636" s="87"/>
      <c r="E2636" s="87"/>
      <c r="F2636" s="87"/>
      <c r="G2636" s="87"/>
      <c r="H2636" s="96"/>
    </row>
    <row r="2637" spans="2:8" ht="18" x14ac:dyDescent="0.25">
      <c r="E2637" s="87"/>
      <c r="G2637" s="96"/>
      <c r="H2637" s="87"/>
    </row>
    <row r="2639" spans="2:8" ht="18" x14ac:dyDescent="0.25">
      <c r="B2639" s="335"/>
      <c r="C2639" s="335"/>
      <c r="D2639" s="335"/>
      <c r="E2639" s="340">
        <f>+$B$1</f>
        <v>46143</v>
      </c>
      <c r="F2639" s="87"/>
      <c r="G2639" s="341">
        <f>+$D$1</f>
        <v>46183</v>
      </c>
      <c r="H2639" s="87"/>
    </row>
    <row r="2640" spans="2:8" ht="18" x14ac:dyDescent="0.25">
      <c r="B2640" s="86"/>
      <c r="C2640" s="86"/>
      <c r="D2640" s="103"/>
      <c r="E2640" s="340"/>
      <c r="F2640" s="87"/>
      <c r="G2640" s="341"/>
      <c r="H2640" s="87"/>
    </row>
    <row r="2641" spans="2:8" ht="18" x14ac:dyDescent="0.25">
      <c r="B2641" s="87"/>
      <c r="C2641" s="87"/>
      <c r="D2641" s="87"/>
      <c r="E2641" s="88"/>
      <c r="F2641" s="87"/>
      <c r="G2641" s="88"/>
      <c r="H2641" s="87"/>
    </row>
    <row r="2642" spans="2:8" ht="18" x14ac:dyDescent="0.25">
      <c r="B2642" s="87" t="e">
        <f>+#REF!</f>
        <v>#REF!</v>
      </c>
      <c r="C2642" s="87"/>
      <c r="D2642" s="87"/>
      <c r="E2642" s="88"/>
      <c r="F2642" s="87"/>
      <c r="G2642" s="88"/>
      <c r="H2642" s="87"/>
    </row>
    <row r="2643" spans="2:8" ht="18" x14ac:dyDescent="0.25">
      <c r="B2643" s="88"/>
      <c r="C2643" s="87"/>
      <c r="D2643" s="87"/>
      <c r="E2643" s="87" t="s">
        <v>81</v>
      </c>
      <c r="F2643" s="87"/>
      <c r="G2643" s="87"/>
      <c r="H2643" s="95" t="s">
        <v>154</v>
      </c>
    </row>
    <row r="2644" spans="2:8" ht="18" x14ac:dyDescent="0.25">
      <c r="B2644" s="87"/>
      <c r="C2644" s="87"/>
      <c r="D2644" s="87"/>
      <c r="E2644" s="88"/>
      <c r="F2644" s="88"/>
      <c r="G2644" s="87"/>
      <c r="H2644" s="88"/>
    </row>
    <row r="2645" spans="2:8" ht="18" x14ac:dyDescent="0.25">
      <c r="B2645" s="96"/>
      <c r="C2645" s="87"/>
      <c r="D2645" s="96"/>
      <c r="E2645" s="87"/>
      <c r="F2645" s="87"/>
      <c r="G2645" s="87"/>
      <c r="H2645" s="87"/>
    </row>
    <row r="2646" spans="2:8" ht="18" x14ac:dyDescent="0.25">
      <c r="B2646" s="96"/>
      <c r="C2646" s="87"/>
      <c r="D2646" s="96"/>
      <c r="E2646" s="87"/>
      <c r="F2646" s="87"/>
      <c r="G2646" s="87"/>
      <c r="H2646" s="87"/>
    </row>
    <row r="2647" spans="2:8" ht="18" x14ac:dyDescent="0.25">
      <c r="B2647" s="87" t="s">
        <v>82</v>
      </c>
      <c r="C2647" s="87"/>
      <c r="D2647" s="110">
        <f>+'RES CUENTA'!$H$26</f>
        <v>6751880</v>
      </c>
      <c r="E2647" s="111" t="e">
        <f>+'RES CUENTA'!#REF!</f>
        <v>#REF!</v>
      </c>
      <c r="F2647" s="106" t="e">
        <f>+D2647*E2647/100</f>
        <v>#REF!</v>
      </c>
      <c r="G2647" s="339"/>
      <c r="H2647" s="339"/>
    </row>
    <row r="2648" spans="2:8" ht="18" x14ac:dyDescent="0.25">
      <c r="B2648" s="87" t="s">
        <v>194</v>
      </c>
      <c r="C2648" s="87"/>
      <c r="D2648" s="110" t="e">
        <f>+'RES CUENTA'!#REF!</f>
        <v>#REF!</v>
      </c>
      <c r="E2648" s="111" t="e">
        <f>+'RES CUENTA'!#REF!</f>
        <v>#REF!</v>
      </c>
      <c r="F2648" s="106" t="e">
        <f>+D2648*E2648/100</f>
        <v>#REF!</v>
      </c>
      <c r="G2648" s="336"/>
      <c r="H2648" s="336"/>
    </row>
    <row r="2649" spans="2:8" ht="18" x14ac:dyDescent="0.25">
      <c r="B2649" s="87" t="s">
        <v>83</v>
      </c>
      <c r="C2649" s="87"/>
      <c r="D2649" s="110" t="e">
        <f>+'RES CUENTA'!#REF!</f>
        <v>#REF!</v>
      </c>
      <c r="E2649" s="111">
        <v>0</v>
      </c>
      <c r="F2649" s="106" t="e">
        <f>+D2649</f>
        <v>#REF!</v>
      </c>
      <c r="G2649" s="336"/>
      <c r="H2649" s="336"/>
    </row>
    <row r="2650" spans="2:8" ht="18" x14ac:dyDescent="0.25">
      <c r="B2650" s="87" t="s">
        <v>84</v>
      </c>
      <c r="C2650" s="87"/>
      <c r="D2650" s="110" t="e">
        <f>+'RES CUENTA'!#REF!</f>
        <v>#REF!</v>
      </c>
      <c r="E2650" s="111">
        <v>0</v>
      </c>
      <c r="F2650" s="106" t="e">
        <f>+D2650</f>
        <v>#REF!</v>
      </c>
      <c r="G2650" s="336"/>
      <c r="H2650" s="336"/>
    </row>
    <row r="2651" spans="2:8" ht="18" x14ac:dyDescent="0.25">
      <c r="B2651" s="88"/>
      <c r="C2651" s="87"/>
      <c r="D2651" s="87"/>
      <c r="E2651" s="94"/>
      <c r="F2651" s="107" t="e">
        <f>SUM(F2647:F2650)</f>
        <v>#REF!</v>
      </c>
      <c r="G2651" s="336"/>
      <c r="H2651" s="336"/>
    </row>
    <row r="2652" spans="2:8" ht="18" x14ac:dyDescent="0.25">
      <c r="B2652" s="88"/>
      <c r="C2652" s="87"/>
      <c r="D2652" s="87"/>
      <c r="E2652" s="94"/>
      <c r="F2652" s="107"/>
      <c r="G2652" s="91"/>
      <c r="H2652" s="91"/>
    </row>
    <row r="2653" spans="2:8" ht="18" x14ac:dyDescent="0.25">
      <c r="B2653" s="88"/>
      <c r="C2653" s="87"/>
      <c r="D2653" s="87"/>
      <c r="E2653" s="87"/>
      <c r="G2653" s="337"/>
      <c r="H2653" s="337"/>
    </row>
    <row r="2654" spans="2:8" ht="18" x14ac:dyDescent="0.25">
      <c r="B2654" s="87"/>
      <c r="C2654" s="87"/>
      <c r="D2654" s="87"/>
      <c r="E2654" s="87"/>
      <c r="F2654" s="93"/>
      <c r="G2654" s="92"/>
      <c r="H2654" s="92"/>
    </row>
    <row r="2655" spans="2:8" ht="18" x14ac:dyDescent="0.25">
      <c r="B2655" s="87"/>
      <c r="C2655" s="87"/>
      <c r="D2655" s="87"/>
      <c r="E2655" s="87"/>
      <c r="F2655" s="94"/>
      <c r="G2655" s="87"/>
      <c r="H2655" s="87"/>
    </row>
    <row r="2656" spans="2:8" ht="18" x14ac:dyDescent="0.25">
      <c r="B2656" s="87"/>
      <c r="C2656" s="87"/>
      <c r="D2656" s="87"/>
      <c r="E2656" s="87"/>
      <c r="F2656" s="94"/>
      <c r="G2656" s="87"/>
      <c r="H2656" s="87"/>
    </row>
    <row r="2657" spans="2:8" ht="18" x14ac:dyDescent="0.25">
      <c r="B2657" s="87" t="e">
        <f>+B2642</f>
        <v>#REF!</v>
      </c>
      <c r="C2657" s="338"/>
      <c r="D2657" s="338"/>
      <c r="E2657" s="87" t="e">
        <f>+B2657</f>
        <v>#REF!</v>
      </c>
      <c r="F2657" s="94"/>
      <c r="G2657" s="87"/>
      <c r="H2657" s="87"/>
    </row>
    <row r="2658" spans="2:8" ht="18" x14ac:dyDescent="0.25">
      <c r="C2658" s="87"/>
      <c r="D2658" s="87"/>
      <c r="F2658" s="338"/>
      <c r="G2658" s="338"/>
      <c r="H2658" s="338"/>
    </row>
    <row r="2659" spans="2:8" ht="18" x14ac:dyDescent="0.25">
      <c r="B2659" s="87" t="str">
        <f>+$E$1</f>
        <v>URUGUAY 1025/27/29 CAP. FED.</v>
      </c>
      <c r="C2659" s="87"/>
      <c r="D2659" s="95" t="str">
        <f>+H2643</f>
        <v>Unid. 71</v>
      </c>
      <c r="E2659" s="87" t="str">
        <f>+$E$1</f>
        <v>URUGUAY 1025/27/29 CAP. FED.</v>
      </c>
      <c r="F2659" s="87"/>
      <c r="G2659" s="87"/>
      <c r="H2659" s="95" t="str">
        <f>+D2659</f>
        <v>Unid. 71</v>
      </c>
    </row>
    <row r="2660" spans="2:8" ht="18" x14ac:dyDescent="0.25">
      <c r="H2660" s="88"/>
    </row>
    <row r="2661" spans="2:8" ht="18" x14ac:dyDescent="0.25">
      <c r="B2661" s="88"/>
      <c r="C2661" s="88"/>
      <c r="D2661" s="88"/>
      <c r="E2661" s="88"/>
      <c r="F2661" s="87"/>
      <c r="G2661" s="87"/>
    </row>
    <row r="2662" spans="2:8" ht="18" x14ac:dyDescent="0.25">
      <c r="B2662" s="87" t="e">
        <f>+$E$2</f>
        <v>#REF!</v>
      </c>
      <c r="C2662" s="87"/>
      <c r="D2662" s="87"/>
      <c r="E2662" s="87"/>
      <c r="F2662" s="87"/>
      <c r="G2662" s="88"/>
      <c r="H2662" s="104"/>
    </row>
    <row r="2663" spans="2:8" ht="18" x14ac:dyDescent="0.25">
      <c r="B2663" s="87" t="e">
        <f>+$E$3</f>
        <v>#REF!</v>
      </c>
      <c r="C2663" s="87"/>
      <c r="D2663" s="87"/>
      <c r="E2663" s="98"/>
      <c r="F2663" s="87"/>
      <c r="G2663" s="96"/>
      <c r="H2663" s="87"/>
    </row>
    <row r="2664" spans="2:8" ht="18" x14ac:dyDescent="0.25">
      <c r="C2664" s="87"/>
      <c r="D2664" s="87"/>
      <c r="E2664" s="87" t="s">
        <v>85</v>
      </c>
      <c r="F2664" s="109" t="e">
        <f>+F2647</f>
        <v>#REF!</v>
      </c>
      <c r="H2664" s="102">
        <f>+B2669</f>
        <v>46183</v>
      </c>
    </row>
    <row r="2665" spans="2:8" ht="18" x14ac:dyDescent="0.25">
      <c r="B2665" s="88"/>
      <c r="C2665" s="87"/>
      <c r="D2665" s="87"/>
      <c r="E2665" s="87" t="s">
        <v>193</v>
      </c>
      <c r="F2665" s="109" t="e">
        <f>+F2648</f>
        <v>#REF!</v>
      </c>
    </row>
    <row r="2666" spans="2:8" ht="18" x14ac:dyDescent="0.25">
      <c r="B2666" s="88"/>
      <c r="C2666" s="87"/>
      <c r="D2666" s="87"/>
      <c r="E2666" s="87" t="s">
        <v>86</v>
      </c>
      <c r="F2666" s="109" t="e">
        <f>+F2649</f>
        <v>#REF!</v>
      </c>
      <c r="G2666" s="87"/>
      <c r="H2666" s="87"/>
    </row>
    <row r="2667" spans="2:8" ht="18" x14ac:dyDescent="0.25">
      <c r="B2667" s="87"/>
      <c r="C2667" s="87"/>
      <c r="D2667" s="87"/>
      <c r="E2667" s="87" t="s">
        <v>87</v>
      </c>
      <c r="F2667" s="109" t="e">
        <f>+F2650</f>
        <v>#REF!</v>
      </c>
      <c r="G2667" s="87"/>
      <c r="H2667" s="87"/>
    </row>
    <row r="2668" spans="2:8" ht="18" x14ac:dyDescent="0.25">
      <c r="B2668" s="98"/>
      <c r="C2668" s="98"/>
      <c r="D2668" s="98"/>
      <c r="E2668" s="87" t="s">
        <v>321</v>
      </c>
      <c r="F2668" s="109">
        <v>0</v>
      </c>
      <c r="G2668" s="87"/>
      <c r="H2668" s="87"/>
    </row>
    <row r="2669" spans="2:8" ht="18" x14ac:dyDescent="0.25">
      <c r="B2669" s="102">
        <f>+$G$34</f>
        <v>46183</v>
      </c>
      <c r="C2669" s="108" t="e">
        <f>+F2651</f>
        <v>#REF!</v>
      </c>
      <c r="D2669" s="87"/>
      <c r="E2669" s="87" t="s">
        <v>88</v>
      </c>
      <c r="F2669" s="109" t="e">
        <f>+F2651</f>
        <v>#REF!</v>
      </c>
      <c r="G2669" s="87"/>
      <c r="H2669" s="87"/>
    </row>
    <row r="2670" spans="2:8" ht="18" x14ac:dyDescent="0.25">
      <c r="B2670" s="87"/>
      <c r="C2670" s="87"/>
      <c r="D2670" s="87"/>
      <c r="E2670" s="87"/>
      <c r="F2670" s="87"/>
      <c r="G2670" s="87"/>
      <c r="H2670" s="87"/>
    </row>
    <row r="2671" spans="2:8" ht="18" x14ac:dyDescent="0.25">
      <c r="B2671" s="87"/>
      <c r="C2671" s="87"/>
      <c r="D2671" s="87"/>
      <c r="E2671" s="87"/>
      <c r="F2671" s="87"/>
      <c r="G2671" s="339"/>
      <c r="H2671" s="339"/>
    </row>
    <row r="2672" spans="2:8" ht="18" x14ac:dyDescent="0.25">
      <c r="B2672" s="87"/>
      <c r="C2672" s="87"/>
      <c r="D2672" s="87"/>
      <c r="E2672" s="87"/>
      <c r="F2672" s="87"/>
      <c r="G2672" s="87"/>
      <c r="H2672" s="87"/>
    </row>
    <row r="2673" spans="2:8" ht="18" x14ac:dyDescent="0.25">
      <c r="B2673" s="87"/>
      <c r="C2673" s="87"/>
      <c r="D2673" s="87"/>
      <c r="E2673" s="87"/>
      <c r="F2673" s="87"/>
      <c r="G2673" s="87"/>
      <c r="H2673" s="87"/>
    </row>
    <row r="2674" spans="2:8" ht="18" x14ac:dyDescent="0.25">
      <c r="B2674" s="87"/>
      <c r="C2674" s="87"/>
      <c r="D2674" s="87"/>
      <c r="E2674" s="87"/>
      <c r="F2674" s="87"/>
      <c r="G2674" s="87"/>
      <c r="H2674" s="87"/>
    </row>
    <row r="2675" spans="2:8" ht="18" x14ac:dyDescent="0.25">
      <c r="B2675" s="87"/>
      <c r="C2675" s="87"/>
      <c r="D2675" s="87"/>
      <c r="E2675" s="87"/>
      <c r="F2675" s="87"/>
      <c r="H2675" s="87"/>
    </row>
    <row r="2676" spans="2:8" ht="18" x14ac:dyDescent="0.25">
      <c r="B2676" s="87"/>
      <c r="C2676" s="87"/>
      <c r="D2676" s="87"/>
      <c r="E2676" s="87"/>
      <c r="F2676" s="87"/>
      <c r="H2676" s="87"/>
    </row>
    <row r="2677" spans="2:8" ht="18" x14ac:dyDescent="0.25">
      <c r="B2677" s="335"/>
      <c r="C2677" s="335"/>
      <c r="D2677" s="335"/>
      <c r="E2677" s="87"/>
      <c r="F2677" s="87"/>
      <c r="H2677" s="87"/>
    </row>
    <row r="2678" spans="2:8" ht="18" x14ac:dyDescent="0.25">
      <c r="B2678" s="335"/>
      <c r="C2678" s="335"/>
      <c r="D2678" s="335"/>
      <c r="E2678" s="101">
        <f>+$B$1</f>
        <v>46143</v>
      </c>
      <c r="F2678" s="87"/>
      <c r="G2678" s="102">
        <f>+$D$1</f>
        <v>46183</v>
      </c>
      <c r="H2678" s="100"/>
    </row>
    <row r="2679" spans="2:8" ht="18" x14ac:dyDescent="0.25">
      <c r="B2679" s="86"/>
      <c r="C2679" s="86"/>
      <c r="D2679" s="103"/>
      <c r="E2679" s="101"/>
      <c r="F2679" s="87"/>
    </row>
    <row r="2680" spans="2:8" ht="18" x14ac:dyDescent="0.25">
      <c r="B2680" s="87" t="e">
        <f>+#REF!</f>
        <v>#REF!</v>
      </c>
      <c r="C2680" s="87"/>
      <c r="D2680" s="87"/>
      <c r="F2680" s="87"/>
    </row>
    <row r="2681" spans="2:8" ht="18" x14ac:dyDescent="0.25">
      <c r="C2681" s="87"/>
      <c r="D2681" s="87"/>
      <c r="E2681" s="87" t="str">
        <f>+$E$1</f>
        <v>URUGUAY 1025/27/29 CAP. FED.</v>
      </c>
      <c r="F2681" s="87"/>
      <c r="H2681" s="95" t="s">
        <v>155</v>
      </c>
    </row>
    <row r="2682" spans="2:8" ht="18" x14ac:dyDescent="0.25">
      <c r="B2682" s="88"/>
      <c r="C2682" s="87"/>
      <c r="D2682" s="87"/>
      <c r="F2682" s="87"/>
      <c r="G2682" s="88"/>
    </row>
    <row r="2683" spans="2:8" ht="18" x14ac:dyDescent="0.25">
      <c r="B2683" s="87"/>
      <c r="C2683" s="87"/>
      <c r="D2683" s="87"/>
      <c r="E2683" s="88"/>
      <c r="F2683" s="88"/>
      <c r="G2683" s="87"/>
      <c r="H2683" s="88"/>
    </row>
    <row r="2684" spans="2:8" ht="18" x14ac:dyDescent="0.25">
      <c r="B2684" s="96"/>
      <c r="C2684" s="87"/>
      <c r="D2684" s="96"/>
      <c r="E2684" s="87"/>
      <c r="F2684" s="87"/>
      <c r="G2684" s="87"/>
      <c r="H2684" s="87"/>
    </row>
    <row r="2685" spans="2:8" ht="18" x14ac:dyDescent="0.25">
      <c r="B2685" s="87" t="s">
        <v>82</v>
      </c>
      <c r="C2685" s="87"/>
      <c r="D2685" s="110">
        <f>+'RES CUENTA'!$H$26</f>
        <v>6751880</v>
      </c>
      <c r="E2685" s="111" t="e">
        <f>+'RES CUENTA'!#REF!</f>
        <v>#REF!</v>
      </c>
      <c r="F2685" s="106" t="e">
        <f>+D2685*E2685/100</f>
        <v>#REF!</v>
      </c>
      <c r="G2685" s="87"/>
      <c r="H2685" s="96"/>
    </row>
    <row r="2686" spans="2:8" ht="18" x14ac:dyDescent="0.25">
      <c r="B2686" s="87" t="s">
        <v>194</v>
      </c>
      <c r="C2686" s="87"/>
      <c r="D2686" s="110" t="e">
        <f>+'RES CUENTA'!#REF!</f>
        <v>#REF!</v>
      </c>
      <c r="E2686" s="111" t="e">
        <f>+'RES CUENTA'!#REF!</f>
        <v>#REF!</v>
      </c>
      <c r="F2686" s="106" t="e">
        <f>+D2686*E2686/100</f>
        <v>#REF!</v>
      </c>
      <c r="G2686" s="96"/>
      <c r="H2686" s="91"/>
    </row>
    <row r="2687" spans="2:8" ht="18" x14ac:dyDescent="0.25">
      <c r="B2687" s="87" t="s">
        <v>83</v>
      </c>
      <c r="C2687" s="87"/>
      <c r="D2687" s="110" t="e">
        <f>+'RES CUENTA'!#REF!</f>
        <v>#REF!</v>
      </c>
      <c r="E2687" s="111">
        <f>+'RES CUENTA'!N1803</f>
        <v>0</v>
      </c>
      <c r="F2687" s="106" t="e">
        <f>+D2687</f>
        <v>#REF!</v>
      </c>
      <c r="G2687" s="91"/>
      <c r="H2687" s="91"/>
    </row>
    <row r="2688" spans="2:8" ht="18" x14ac:dyDescent="0.25">
      <c r="B2688" s="87" t="s">
        <v>84</v>
      </c>
      <c r="C2688" s="87"/>
      <c r="D2688" s="110" t="e">
        <f>+'RES CUENTA'!#REF!</f>
        <v>#REF!</v>
      </c>
      <c r="E2688" s="111">
        <f>+'RES CUENTA'!P1802</f>
        <v>0</v>
      </c>
      <c r="F2688" s="106" t="e">
        <f>+D2688</f>
        <v>#REF!</v>
      </c>
      <c r="G2688" s="91"/>
      <c r="H2688" s="91"/>
    </row>
    <row r="2689" spans="2:8" ht="18" x14ac:dyDescent="0.25">
      <c r="B2689" s="88"/>
      <c r="C2689" s="87"/>
      <c r="D2689" s="87"/>
      <c r="F2689" s="107" t="e">
        <f>SUM(F2685:F2688)</f>
        <v>#REF!</v>
      </c>
      <c r="G2689" s="91"/>
      <c r="H2689" s="92"/>
    </row>
    <row r="2690" spans="2:8" ht="18" x14ac:dyDescent="0.25">
      <c r="B2690" s="87"/>
      <c r="C2690" s="87"/>
      <c r="D2690" s="87"/>
      <c r="E2690" s="87"/>
      <c r="F2690" s="94"/>
      <c r="G2690" s="92"/>
      <c r="H2690" s="92"/>
    </row>
    <row r="2691" spans="2:8" ht="18" x14ac:dyDescent="0.25">
      <c r="B2691" s="87"/>
      <c r="C2691" s="87"/>
      <c r="D2691" s="87"/>
      <c r="E2691" s="87"/>
      <c r="F2691" s="94"/>
      <c r="G2691" s="92"/>
      <c r="H2691" s="92"/>
    </row>
    <row r="2692" spans="2:8" ht="18" x14ac:dyDescent="0.25">
      <c r="B2692" s="87"/>
      <c r="C2692" s="87"/>
      <c r="D2692" s="87"/>
      <c r="E2692" s="87"/>
      <c r="F2692" s="94"/>
      <c r="G2692" s="92"/>
      <c r="H2692" s="92"/>
    </row>
    <row r="2693" spans="2:8" ht="18" x14ac:dyDescent="0.25">
      <c r="B2693" s="87"/>
      <c r="C2693" s="87"/>
      <c r="D2693" s="87"/>
      <c r="E2693" s="87"/>
      <c r="F2693" s="94"/>
      <c r="G2693" s="92"/>
      <c r="H2693" s="92"/>
    </row>
    <row r="2694" spans="2:8" ht="18" x14ac:dyDescent="0.25">
      <c r="B2694" s="87"/>
      <c r="C2694" s="87"/>
      <c r="D2694" s="87"/>
      <c r="E2694" s="87"/>
      <c r="F2694" s="94"/>
      <c r="G2694" s="92"/>
      <c r="H2694" s="87"/>
    </row>
    <row r="2695" spans="2:8" ht="18" x14ac:dyDescent="0.25">
      <c r="B2695" s="87" t="e">
        <f>+B2680</f>
        <v>#REF!</v>
      </c>
      <c r="C2695" s="87"/>
      <c r="D2695" s="87"/>
      <c r="E2695" s="87" t="e">
        <f>+B2680</f>
        <v>#REF!</v>
      </c>
      <c r="F2695" s="87"/>
      <c r="G2695" s="87"/>
      <c r="H2695" s="104"/>
    </row>
    <row r="2696" spans="2:8" ht="18" x14ac:dyDescent="0.25">
      <c r="B2696" s="88"/>
      <c r="C2696" s="87"/>
      <c r="D2696" s="87"/>
      <c r="F2696" s="87"/>
      <c r="G2696" s="104"/>
      <c r="H2696" s="95" t="str">
        <f>+H2681</f>
        <v>Unid. 72</v>
      </c>
    </row>
    <row r="2697" spans="2:8" ht="18" x14ac:dyDescent="0.25">
      <c r="B2697" s="87" t="str">
        <f>+$E$1</f>
        <v>URUGUAY 1025/27/29 CAP. FED.</v>
      </c>
      <c r="C2697" s="87"/>
      <c r="D2697" s="95" t="str">
        <f>+H2696</f>
        <v>Unid. 72</v>
      </c>
      <c r="E2697" s="87" t="str">
        <f>+$E$1</f>
        <v>URUGUAY 1025/27/29 CAP. FED.</v>
      </c>
      <c r="F2697" s="87"/>
      <c r="G2697" s="87"/>
      <c r="H2697" s="88"/>
    </row>
    <row r="2698" spans="2:8" ht="18" x14ac:dyDescent="0.25">
      <c r="B2698" s="88"/>
      <c r="C2698" s="88"/>
      <c r="D2698" s="88"/>
      <c r="F2698" s="87"/>
      <c r="G2698" s="87"/>
    </row>
    <row r="2699" spans="2:8" ht="18" x14ac:dyDescent="0.25">
      <c r="B2699" s="87"/>
      <c r="C2699" s="87"/>
      <c r="D2699" s="87"/>
      <c r="E2699" s="88"/>
      <c r="F2699" s="87"/>
      <c r="G2699" s="87"/>
      <c r="H2699" s="104"/>
    </row>
    <row r="2700" spans="2:8" ht="18" x14ac:dyDescent="0.25">
      <c r="B2700" s="87" t="e">
        <f>+$E$2</f>
        <v>#REF!</v>
      </c>
      <c r="C2700" s="87"/>
      <c r="D2700" s="87"/>
      <c r="E2700" s="87"/>
      <c r="F2700" s="98"/>
      <c r="G2700" s="88"/>
      <c r="H2700" s="87"/>
    </row>
    <row r="2701" spans="2:8" ht="18" x14ac:dyDescent="0.25">
      <c r="B2701" s="87" t="e">
        <f>+$E$3</f>
        <v>#REF!</v>
      </c>
      <c r="C2701" s="87"/>
      <c r="D2701" s="87"/>
      <c r="E2701" s="98"/>
      <c r="G2701" s="96"/>
      <c r="H2701" s="97"/>
    </row>
    <row r="2702" spans="2:8" ht="18" x14ac:dyDescent="0.25">
      <c r="B2702" s="88"/>
      <c r="C2702" s="87"/>
      <c r="D2702" s="87"/>
      <c r="E2702" s="87" t="s">
        <v>85</v>
      </c>
      <c r="F2702" s="109" t="e">
        <f>+F2685</f>
        <v>#REF!</v>
      </c>
      <c r="G2702" s="97"/>
      <c r="H2702" s="102">
        <f>+B2706</f>
        <v>46183</v>
      </c>
    </row>
    <row r="2703" spans="2:8" ht="18" x14ac:dyDescent="0.25">
      <c r="B2703" s="88"/>
      <c r="C2703" s="87"/>
      <c r="D2703" s="87"/>
      <c r="E2703" s="87" t="s">
        <v>193</v>
      </c>
      <c r="F2703" s="109" t="e">
        <f>+F2686</f>
        <v>#REF!</v>
      </c>
      <c r="H2703" s="87"/>
    </row>
    <row r="2704" spans="2:8" ht="18" x14ac:dyDescent="0.25">
      <c r="B2704" s="87"/>
      <c r="C2704" s="87"/>
      <c r="D2704" s="87"/>
      <c r="E2704" s="87" t="s">
        <v>86</v>
      </c>
      <c r="F2704" s="109" t="e">
        <f>+F2687</f>
        <v>#REF!</v>
      </c>
      <c r="G2704" s="87"/>
      <c r="H2704" s="87"/>
    </row>
    <row r="2705" spans="2:8" ht="18" x14ac:dyDescent="0.25">
      <c r="B2705" s="98"/>
      <c r="C2705" s="98"/>
      <c r="D2705" s="98"/>
      <c r="E2705" s="87" t="s">
        <v>87</v>
      </c>
      <c r="F2705" s="109" t="e">
        <f>+F2688</f>
        <v>#REF!</v>
      </c>
      <c r="G2705" s="87"/>
      <c r="H2705" s="87"/>
    </row>
    <row r="2706" spans="2:8" ht="18" x14ac:dyDescent="0.25">
      <c r="B2706" s="102">
        <f>+$G$34</f>
        <v>46183</v>
      </c>
      <c r="C2706" s="108" t="e">
        <f>+F2689</f>
        <v>#REF!</v>
      </c>
      <c r="D2706" s="87"/>
      <c r="E2706" s="87" t="s">
        <v>321</v>
      </c>
      <c r="F2706" s="109">
        <v>0</v>
      </c>
      <c r="G2706" s="87"/>
      <c r="H2706" s="87"/>
    </row>
    <row r="2707" spans="2:8" ht="18" x14ac:dyDescent="0.25">
      <c r="B2707" s="87"/>
      <c r="C2707" s="87"/>
      <c r="D2707" s="87"/>
      <c r="E2707" s="87" t="s">
        <v>88</v>
      </c>
      <c r="F2707" s="109" t="e">
        <f>+F2689</f>
        <v>#REF!</v>
      </c>
      <c r="G2707" s="87"/>
      <c r="H2707" s="87"/>
    </row>
    <row r="2708" spans="2:8" ht="18" x14ac:dyDescent="0.25">
      <c r="B2708" s="87"/>
      <c r="C2708" s="87"/>
      <c r="D2708" s="87"/>
      <c r="E2708" s="87"/>
      <c r="F2708" s="87"/>
      <c r="G2708" s="87"/>
      <c r="H2708" s="87"/>
    </row>
    <row r="2709" spans="2:8" ht="18" x14ac:dyDescent="0.25">
      <c r="B2709" s="87"/>
      <c r="C2709" s="87"/>
      <c r="D2709" s="87"/>
      <c r="E2709" s="105"/>
      <c r="F2709" s="87"/>
      <c r="G2709" s="87"/>
      <c r="H2709" s="87"/>
    </row>
    <row r="2710" spans="2:8" ht="18" x14ac:dyDescent="0.25">
      <c r="B2710" s="87"/>
      <c r="C2710" s="87"/>
      <c r="D2710" s="87"/>
      <c r="E2710" s="87"/>
      <c r="F2710" s="87"/>
      <c r="G2710" s="87"/>
      <c r="H2710" s="96"/>
    </row>
    <row r="2711" spans="2:8" ht="18" x14ac:dyDescent="0.25">
      <c r="E2711" s="87"/>
      <c r="G2711" s="96"/>
      <c r="H2711" s="87"/>
    </row>
    <row r="2713" spans="2:8" ht="18" x14ac:dyDescent="0.25">
      <c r="B2713" s="335"/>
      <c r="C2713" s="335"/>
      <c r="D2713" s="335"/>
      <c r="E2713" s="340">
        <f>+$B$1</f>
        <v>46143</v>
      </c>
      <c r="F2713" s="87"/>
      <c r="G2713" s="341">
        <f>+$D$1</f>
        <v>46183</v>
      </c>
      <c r="H2713" s="87"/>
    </row>
    <row r="2714" spans="2:8" ht="18" x14ac:dyDescent="0.25">
      <c r="B2714" s="86"/>
      <c r="C2714" s="86"/>
      <c r="D2714" s="103"/>
      <c r="E2714" s="340"/>
      <c r="F2714" s="87"/>
      <c r="G2714" s="341"/>
      <c r="H2714" s="87"/>
    </row>
    <row r="2715" spans="2:8" ht="18" x14ac:dyDescent="0.25">
      <c r="B2715" s="87"/>
      <c r="C2715" s="87"/>
      <c r="D2715" s="87"/>
      <c r="E2715" s="88"/>
      <c r="F2715" s="87"/>
      <c r="G2715" s="88"/>
      <c r="H2715" s="87"/>
    </row>
    <row r="2716" spans="2:8" ht="18" x14ac:dyDescent="0.25">
      <c r="B2716" s="87" t="e">
        <f>+#REF!</f>
        <v>#REF!</v>
      </c>
      <c r="C2716" s="87"/>
      <c r="D2716" s="87"/>
      <c r="E2716" s="88"/>
      <c r="F2716" s="87"/>
      <c r="G2716" s="88"/>
      <c r="H2716" s="87"/>
    </row>
    <row r="2717" spans="2:8" ht="18" x14ac:dyDescent="0.25">
      <c r="B2717" s="88"/>
      <c r="C2717" s="87"/>
      <c r="D2717" s="87"/>
      <c r="E2717" s="87" t="s">
        <v>81</v>
      </c>
      <c r="F2717" s="87"/>
      <c r="G2717" s="87"/>
      <c r="H2717" s="95" t="s">
        <v>156</v>
      </c>
    </row>
    <row r="2718" spans="2:8" ht="18" x14ac:dyDescent="0.25">
      <c r="B2718" s="87"/>
      <c r="C2718" s="87"/>
      <c r="D2718" s="87"/>
      <c r="E2718" s="88"/>
      <c r="F2718" s="88"/>
      <c r="G2718" s="87"/>
      <c r="H2718" s="88"/>
    </row>
    <row r="2719" spans="2:8" ht="18" x14ac:dyDescent="0.25">
      <c r="B2719" s="96"/>
      <c r="C2719" s="87"/>
      <c r="D2719" s="96"/>
      <c r="E2719" s="87"/>
      <c r="F2719" s="87"/>
      <c r="G2719" s="87"/>
      <c r="H2719" s="87"/>
    </row>
    <row r="2720" spans="2:8" ht="18" x14ac:dyDescent="0.25">
      <c r="B2720" s="96"/>
      <c r="C2720" s="87"/>
      <c r="D2720" s="96"/>
      <c r="E2720" s="87"/>
      <c r="F2720" s="87"/>
      <c r="G2720" s="87"/>
      <c r="H2720" s="87"/>
    </row>
    <row r="2721" spans="2:8" ht="18" x14ac:dyDescent="0.25">
      <c r="B2721" s="87" t="s">
        <v>82</v>
      </c>
      <c r="C2721" s="87"/>
      <c r="D2721" s="110">
        <f>+'RES CUENTA'!$H$26</f>
        <v>6751880</v>
      </c>
      <c r="E2721" s="111" t="e">
        <f>+'RES CUENTA'!#REF!</f>
        <v>#REF!</v>
      </c>
      <c r="F2721" s="106" t="e">
        <f>+D2721*E2721/100</f>
        <v>#REF!</v>
      </c>
      <c r="G2721" s="339"/>
      <c r="H2721" s="339"/>
    </row>
    <row r="2722" spans="2:8" ht="18" x14ac:dyDescent="0.25">
      <c r="B2722" s="87" t="s">
        <v>194</v>
      </c>
      <c r="C2722" s="87"/>
      <c r="D2722" s="110" t="e">
        <f>+'RES CUENTA'!#REF!</f>
        <v>#REF!</v>
      </c>
      <c r="E2722" s="111" t="e">
        <f>+'RES CUENTA'!#REF!</f>
        <v>#REF!</v>
      </c>
      <c r="F2722" s="106" t="e">
        <f>+D2722*E2722/100</f>
        <v>#REF!</v>
      </c>
      <c r="G2722" s="336"/>
      <c r="H2722" s="336"/>
    </row>
    <row r="2723" spans="2:8" ht="18" x14ac:dyDescent="0.25">
      <c r="B2723" s="87" t="s">
        <v>83</v>
      </c>
      <c r="C2723" s="87"/>
      <c r="D2723" s="110" t="e">
        <f>+'RES CUENTA'!#REF!</f>
        <v>#REF!</v>
      </c>
      <c r="E2723" s="111">
        <v>0</v>
      </c>
      <c r="F2723" s="106" t="e">
        <f>+D2723</f>
        <v>#REF!</v>
      </c>
      <c r="G2723" s="336"/>
      <c r="H2723" s="336"/>
    </row>
    <row r="2724" spans="2:8" ht="18" x14ac:dyDescent="0.25">
      <c r="B2724" s="87" t="s">
        <v>84</v>
      </c>
      <c r="C2724" s="87"/>
      <c r="D2724" s="110" t="e">
        <f>+'RES CUENTA'!#REF!</f>
        <v>#REF!</v>
      </c>
      <c r="E2724" s="111">
        <v>0</v>
      </c>
      <c r="F2724" s="106" t="e">
        <f>+D2724</f>
        <v>#REF!</v>
      </c>
      <c r="G2724" s="336"/>
      <c r="H2724" s="336"/>
    </row>
    <row r="2725" spans="2:8" ht="18" x14ac:dyDescent="0.25">
      <c r="B2725" s="88"/>
      <c r="C2725" s="87"/>
      <c r="D2725" s="87"/>
      <c r="E2725" s="94"/>
      <c r="F2725" s="107" t="e">
        <f>SUM(F2721:F2724)</f>
        <v>#REF!</v>
      </c>
      <c r="G2725" s="336"/>
      <c r="H2725" s="336"/>
    </row>
    <row r="2726" spans="2:8" ht="18" x14ac:dyDescent="0.25">
      <c r="B2726" s="88"/>
      <c r="C2726" s="87"/>
      <c r="D2726" s="87"/>
      <c r="E2726" s="94"/>
      <c r="F2726" s="107"/>
      <c r="G2726" s="91"/>
      <c r="H2726" s="91"/>
    </row>
    <row r="2727" spans="2:8" ht="18" x14ac:dyDescent="0.25">
      <c r="B2727" s="88"/>
      <c r="C2727" s="87"/>
      <c r="D2727" s="87"/>
      <c r="E2727" s="87"/>
      <c r="G2727" s="337"/>
      <c r="H2727" s="337"/>
    </row>
    <row r="2728" spans="2:8" ht="18" x14ac:dyDescent="0.25">
      <c r="B2728" s="87"/>
      <c r="C2728" s="87"/>
      <c r="D2728" s="87"/>
      <c r="E2728" s="87"/>
      <c r="F2728" s="93"/>
      <c r="G2728" s="92"/>
      <c r="H2728" s="92"/>
    </row>
    <row r="2729" spans="2:8" ht="18" x14ac:dyDescent="0.25">
      <c r="B2729" s="87"/>
      <c r="C2729" s="87"/>
      <c r="D2729" s="87"/>
      <c r="E2729" s="87"/>
      <c r="F2729" s="94"/>
      <c r="G2729" s="87"/>
      <c r="H2729" s="87"/>
    </row>
    <row r="2730" spans="2:8" ht="18" x14ac:dyDescent="0.25">
      <c r="B2730" s="87"/>
      <c r="C2730" s="87"/>
      <c r="D2730" s="87"/>
      <c r="E2730" s="87"/>
      <c r="F2730" s="94"/>
      <c r="G2730" s="87"/>
      <c r="H2730" s="87"/>
    </row>
    <row r="2731" spans="2:8" ht="18" x14ac:dyDescent="0.25">
      <c r="B2731" s="87" t="e">
        <f>+B2716</f>
        <v>#REF!</v>
      </c>
      <c r="C2731" s="338"/>
      <c r="D2731" s="338"/>
      <c r="E2731" s="87" t="e">
        <f>+B2731</f>
        <v>#REF!</v>
      </c>
      <c r="F2731" s="94"/>
      <c r="G2731" s="87"/>
      <c r="H2731" s="87"/>
    </row>
    <row r="2732" spans="2:8" ht="18" x14ac:dyDescent="0.25">
      <c r="C2732" s="87"/>
      <c r="D2732" s="87"/>
      <c r="F2732" s="338"/>
      <c r="G2732" s="338"/>
      <c r="H2732" s="338"/>
    </row>
    <row r="2733" spans="2:8" ht="18" x14ac:dyDescent="0.25">
      <c r="B2733" s="87" t="str">
        <f>+$E$1</f>
        <v>URUGUAY 1025/27/29 CAP. FED.</v>
      </c>
      <c r="C2733" s="87"/>
      <c r="D2733" s="95" t="str">
        <f>+H2717</f>
        <v>Unid. 73</v>
      </c>
      <c r="E2733" s="87" t="str">
        <f>+$E$1</f>
        <v>URUGUAY 1025/27/29 CAP. FED.</v>
      </c>
      <c r="F2733" s="87"/>
      <c r="G2733" s="87"/>
      <c r="H2733" s="95" t="str">
        <f>+D2733</f>
        <v>Unid. 73</v>
      </c>
    </row>
    <row r="2734" spans="2:8" ht="18" x14ac:dyDescent="0.25">
      <c r="H2734" s="88"/>
    </row>
    <row r="2735" spans="2:8" ht="18" x14ac:dyDescent="0.25">
      <c r="B2735" s="88"/>
      <c r="C2735" s="88"/>
      <c r="D2735" s="88"/>
      <c r="E2735" s="88"/>
      <c r="F2735" s="87"/>
      <c r="G2735" s="87"/>
    </row>
    <row r="2736" spans="2:8" ht="18" x14ac:dyDescent="0.25">
      <c r="B2736" s="87" t="e">
        <f>+$E$2</f>
        <v>#REF!</v>
      </c>
      <c r="C2736" s="87"/>
      <c r="D2736" s="87"/>
      <c r="E2736" s="87"/>
      <c r="F2736" s="87"/>
      <c r="G2736" s="88"/>
      <c r="H2736" s="104"/>
    </row>
    <row r="2737" spans="2:8" ht="18" x14ac:dyDescent="0.25">
      <c r="B2737" s="87" t="e">
        <f>+$E$3</f>
        <v>#REF!</v>
      </c>
      <c r="C2737" s="87"/>
      <c r="D2737" s="87"/>
      <c r="E2737" s="98"/>
      <c r="F2737" s="87"/>
      <c r="G2737" s="96"/>
      <c r="H2737" s="87"/>
    </row>
    <row r="2738" spans="2:8" ht="18" x14ac:dyDescent="0.25">
      <c r="C2738" s="87"/>
      <c r="D2738" s="87"/>
      <c r="E2738" s="87" t="s">
        <v>85</v>
      </c>
      <c r="F2738" s="109" t="e">
        <f>+F2721</f>
        <v>#REF!</v>
      </c>
      <c r="H2738" s="102">
        <f>+B2743</f>
        <v>46183</v>
      </c>
    </row>
    <row r="2739" spans="2:8" ht="18" x14ac:dyDescent="0.25">
      <c r="B2739" s="88"/>
      <c r="C2739" s="87"/>
      <c r="D2739" s="87"/>
      <c r="E2739" s="87" t="s">
        <v>193</v>
      </c>
      <c r="F2739" s="109" t="e">
        <f>+F2722</f>
        <v>#REF!</v>
      </c>
    </row>
    <row r="2740" spans="2:8" ht="18" x14ac:dyDescent="0.25">
      <c r="B2740" s="88"/>
      <c r="C2740" s="87"/>
      <c r="D2740" s="87"/>
      <c r="E2740" s="87" t="s">
        <v>86</v>
      </c>
      <c r="F2740" s="109" t="e">
        <f>+F2723</f>
        <v>#REF!</v>
      </c>
      <c r="G2740" s="87"/>
      <c r="H2740" s="87"/>
    </row>
    <row r="2741" spans="2:8" ht="18" x14ac:dyDescent="0.25">
      <c r="B2741" s="87"/>
      <c r="C2741" s="87"/>
      <c r="D2741" s="87"/>
      <c r="E2741" s="87" t="s">
        <v>87</v>
      </c>
      <c r="F2741" s="109" t="e">
        <f>+F2724</f>
        <v>#REF!</v>
      </c>
      <c r="G2741" s="87"/>
      <c r="H2741" s="87"/>
    </row>
    <row r="2742" spans="2:8" ht="18" x14ac:dyDescent="0.25">
      <c r="B2742" s="98"/>
      <c r="C2742" s="98"/>
      <c r="D2742" s="98"/>
      <c r="E2742" s="87" t="s">
        <v>321</v>
      </c>
      <c r="F2742" s="109">
        <v>0</v>
      </c>
      <c r="G2742" s="87"/>
      <c r="H2742" s="87"/>
    </row>
    <row r="2743" spans="2:8" ht="18" x14ac:dyDescent="0.25">
      <c r="B2743" s="102">
        <f>+$G$34</f>
        <v>46183</v>
      </c>
      <c r="C2743" s="108" t="e">
        <f>+F2725</f>
        <v>#REF!</v>
      </c>
      <c r="D2743" s="87"/>
      <c r="E2743" s="87" t="s">
        <v>88</v>
      </c>
      <c r="F2743" s="109" t="e">
        <f>+F2725</f>
        <v>#REF!</v>
      </c>
      <c r="G2743" s="87"/>
      <c r="H2743" s="87"/>
    </row>
    <row r="2744" spans="2:8" ht="18" x14ac:dyDescent="0.25">
      <c r="B2744" s="87"/>
      <c r="C2744" s="87"/>
      <c r="D2744" s="87"/>
      <c r="E2744" s="87"/>
      <c r="F2744" s="87"/>
      <c r="G2744" s="87"/>
      <c r="H2744" s="87"/>
    </row>
    <row r="2745" spans="2:8" ht="18" x14ac:dyDescent="0.25">
      <c r="B2745" s="87"/>
      <c r="C2745" s="87"/>
      <c r="D2745" s="87"/>
      <c r="E2745" s="87"/>
      <c r="F2745" s="87"/>
      <c r="G2745" s="339"/>
      <c r="H2745" s="339"/>
    </row>
    <row r="2746" spans="2:8" ht="18" x14ac:dyDescent="0.25">
      <c r="B2746" s="87"/>
      <c r="C2746" s="87"/>
      <c r="D2746" s="87"/>
      <c r="E2746" s="87"/>
      <c r="F2746" s="87"/>
      <c r="G2746" s="87"/>
      <c r="H2746" s="87"/>
    </row>
    <row r="2747" spans="2:8" ht="18" x14ac:dyDescent="0.25">
      <c r="B2747" s="87"/>
      <c r="C2747" s="87"/>
      <c r="D2747" s="87"/>
      <c r="E2747" s="87"/>
      <c r="F2747" s="87"/>
      <c r="G2747" s="87"/>
      <c r="H2747" s="87"/>
    </row>
    <row r="2748" spans="2:8" ht="18" x14ac:dyDescent="0.25">
      <c r="B2748" s="87"/>
      <c r="C2748" s="87"/>
      <c r="D2748" s="87"/>
      <c r="E2748" s="87"/>
      <c r="F2748" s="87"/>
      <c r="G2748" s="87"/>
      <c r="H2748" s="87"/>
    </row>
    <row r="2749" spans="2:8" ht="18" x14ac:dyDescent="0.25">
      <c r="B2749" s="87"/>
      <c r="C2749" s="87"/>
      <c r="D2749" s="87"/>
      <c r="E2749" s="87"/>
      <c r="F2749" s="87"/>
      <c r="G2749" s="87"/>
      <c r="H2749" s="87"/>
    </row>
    <row r="2750" spans="2:8" ht="18" x14ac:dyDescent="0.25">
      <c r="B2750" s="87"/>
      <c r="C2750" s="87"/>
      <c r="D2750" s="87"/>
      <c r="E2750" s="87"/>
      <c r="F2750" s="87"/>
      <c r="H2750" s="87"/>
    </row>
    <row r="2751" spans="2:8" ht="18" x14ac:dyDescent="0.25">
      <c r="B2751" s="335"/>
      <c r="C2751" s="335"/>
      <c r="D2751" s="335"/>
      <c r="E2751" s="87"/>
      <c r="F2751" s="87"/>
      <c r="H2751" s="87"/>
    </row>
    <row r="2752" spans="2:8" ht="18" x14ac:dyDescent="0.25">
      <c r="B2752" s="335"/>
      <c r="C2752" s="335"/>
      <c r="D2752" s="335"/>
      <c r="E2752" s="101">
        <f>+$B$1</f>
        <v>46143</v>
      </c>
      <c r="F2752" s="87"/>
      <c r="G2752" s="102">
        <f>+$D$1</f>
        <v>46183</v>
      </c>
      <c r="H2752" s="100"/>
    </row>
    <row r="2753" spans="2:8" ht="18" x14ac:dyDescent="0.25">
      <c r="B2753" s="86"/>
      <c r="C2753" s="86"/>
      <c r="D2753" s="103"/>
      <c r="E2753" s="101"/>
      <c r="F2753" s="87"/>
    </row>
    <row r="2754" spans="2:8" ht="18" x14ac:dyDescent="0.25">
      <c r="B2754" s="87" t="e">
        <f>+#REF!</f>
        <v>#REF!</v>
      </c>
      <c r="C2754" s="87"/>
      <c r="D2754" s="87"/>
      <c r="F2754" s="87"/>
    </row>
    <row r="2755" spans="2:8" ht="18" x14ac:dyDescent="0.25">
      <c r="C2755" s="87"/>
      <c r="D2755" s="87"/>
      <c r="E2755" s="87" t="str">
        <f>+$E$1</f>
        <v>URUGUAY 1025/27/29 CAP. FED.</v>
      </c>
      <c r="F2755" s="87"/>
      <c r="H2755" s="95" t="s">
        <v>157</v>
      </c>
    </row>
    <row r="2756" spans="2:8" ht="18" x14ac:dyDescent="0.25">
      <c r="B2756" s="88"/>
      <c r="C2756" s="87"/>
      <c r="D2756" s="87"/>
      <c r="F2756" s="87"/>
      <c r="G2756" s="88"/>
    </row>
    <row r="2757" spans="2:8" ht="18" x14ac:dyDescent="0.25">
      <c r="B2757" s="87"/>
      <c r="C2757" s="87"/>
      <c r="D2757" s="87"/>
      <c r="E2757" s="88"/>
      <c r="F2757" s="88"/>
      <c r="G2757" s="87"/>
      <c r="H2757" s="88"/>
    </row>
    <row r="2758" spans="2:8" ht="18" x14ac:dyDescent="0.25">
      <c r="B2758" s="96"/>
      <c r="C2758" s="87"/>
      <c r="D2758" s="96"/>
      <c r="E2758" s="87"/>
      <c r="F2758" s="87"/>
      <c r="G2758" s="87"/>
      <c r="H2758" s="87"/>
    </row>
    <row r="2759" spans="2:8" ht="18" x14ac:dyDescent="0.25">
      <c r="B2759" s="87" t="s">
        <v>82</v>
      </c>
      <c r="C2759" s="87"/>
      <c r="D2759" s="110">
        <f>+'RES CUENTA'!$H$26</f>
        <v>6751880</v>
      </c>
      <c r="E2759" s="111" t="e">
        <f>+'RES CUENTA'!#REF!</f>
        <v>#REF!</v>
      </c>
      <c r="F2759" s="106" t="e">
        <f>+D2759*E2759/100</f>
        <v>#REF!</v>
      </c>
      <c r="G2759" s="87"/>
      <c r="H2759" s="96"/>
    </row>
    <row r="2760" spans="2:8" ht="18" x14ac:dyDescent="0.25">
      <c r="B2760" s="87" t="s">
        <v>194</v>
      </c>
      <c r="C2760" s="87"/>
      <c r="D2760" s="110" t="e">
        <f>+'RES CUENTA'!#REF!</f>
        <v>#REF!</v>
      </c>
      <c r="E2760" s="111" t="e">
        <f>+'RES CUENTA'!#REF!</f>
        <v>#REF!</v>
      </c>
      <c r="F2760" s="106" t="e">
        <f>+D2760*E2760/100</f>
        <v>#REF!</v>
      </c>
      <c r="G2760" s="96"/>
      <c r="H2760" s="91"/>
    </row>
    <row r="2761" spans="2:8" ht="18" x14ac:dyDescent="0.25">
      <c r="B2761" s="87" t="s">
        <v>83</v>
      </c>
      <c r="C2761" s="87"/>
      <c r="D2761" s="110" t="e">
        <f>+'RES CUENTA'!#REF!</f>
        <v>#REF!</v>
      </c>
      <c r="E2761" s="111">
        <f>+'RES CUENTA'!N1879</f>
        <v>0</v>
      </c>
      <c r="F2761" s="106" t="e">
        <f>+D2761</f>
        <v>#REF!</v>
      </c>
      <c r="G2761" s="91"/>
      <c r="H2761" s="91"/>
    </row>
    <row r="2762" spans="2:8" ht="18" x14ac:dyDescent="0.25">
      <c r="B2762" s="87" t="s">
        <v>84</v>
      </c>
      <c r="C2762" s="87"/>
      <c r="D2762" s="110" t="e">
        <f>+'RES CUENTA'!#REF!</f>
        <v>#REF!</v>
      </c>
      <c r="E2762" s="111">
        <f>+'RES CUENTA'!P1878</f>
        <v>0</v>
      </c>
      <c r="F2762" s="106" t="e">
        <f>+D2762</f>
        <v>#REF!</v>
      </c>
      <c r="G2762" s="91"/>
      <c r="H2762" s="91"/>
    </row>
    <row r="2763" spans="2:8" ht="18" x14ac:dyDescent="0.25">
      <c r="B2763" s="88"/>
      <c r="C2763" s="87"/>
      <c r="D2763" s="87"/>
      <c r="F2763" s="107" t="e">
        <f>SUM(F2759:F2762)</f>
        <v>#REF!</v>
      </c>
      <c r="G2763" s="91"/>
      <c r="H2763" s="91"/>
    </row>
    <row r="2764" spans="2:8" ht="18" x14ac:dyDescent="0.25">
      <c r="B2764" s="88"/>
      <c r="C2764" s="87"/>
      <c r="D2764" s="87"/>
      <c r="F2764" s="93"/>
      <c r="G2764" s="91"/>
      <c r="H2764" s="92"/>
    </row>
    <row r="2765" spans="2:8" ht="18" x14ac:dyDescent="0.25">
      <c r="B2765" s="88"/>
      <c r="C2765" s="87"/>
      <c r="D2765" s="87"/>
      <c r="F2765" s="93"/>
      <c r="G2765" s="91"/>
      <c r="H2765" s="92"/>
    </row>
    <row r="2766" spans="2:8" ht="18" x14ac:dyDescent="0.25">
      <c r="B2766" s="87"/>
      <c r="C2766" s="87"/>
      <c r="D2766" s="87"/>
      <c r="E2766" s="87"/>
      <c r="F2766" s="94"/>
      <c r="G2766" s="92"/>
      <c r="H2766" s="92"/>
    </row>
    <row r="2767" spans="2:8" ht="18" x14ac:dyDescent="0.25">
      <c r="B2767" s="87"/>
      <c r="C2767" s="87"/>
      <c r="D2767" s="87"/>
      <c r="E2767" s="87"/>
      <c r="F2767" s="94"/>
      <c r="G2767" s="92"/>
      <c r="H2767" s="92"/>
    </row>
    <row r="2768" spans="2:8" ht="18" x14ac:dyDescent="0.25">
      <c r="B2768" s="87"/>
      <c r="C2768" s="87"/>
      <c r="D2768" s="87"/>
      <c r="E2768" s="87"/>
      <c r="F2768" s="94"/>
      <c r="G2768" s="92"/>
      <c r="H2768" s="87"/>
    </row>
    <row r="2769" spans="2:8" ht="18" x14ac:dyDescent="0.25">
      <c r="B2769" s="87" t="e">
        <f>+B2754</f>
        <v>#REF!</v>
      </c>
      <c r="C2769" s="87"/>
      <c r="D2769" s="87"/>
      <c r="E2769" s="87" t="e">
        <f>+B2754</f>
        <v>#REF!</v>
      </c>
      <c r="F2769" s="87"/>
      <c r="G2769" s="87"/>
      <c r="H2769" s="104"/>
    </row>
    <row r="2770" spans="2:8" ht="18" x14ac:dyDescent="0.25">
      <c r="B2770" s="88"/>
      <c r="C2770" s="87"/>
      <c r="D2770" s="87"/>
      <c r="F2770" s="87"/>
      <c r="G2770" s="104"/>
      <c r="H2770" s="95" t="str">
        <f>+H2755</f>
        <v>Unid. 74</v>
      </c>
    </row>
    <row r="2771" spans="2:8" ht="18" x14ac:dyDescent="0.25">
      <c r="B2771" s="87" t="str">
        <f>+$E$1</f>
        <v>URUGUAY 1025/27/29 CAP. FED.</v>
      </c>
      <c r="C2771" s="87"/>
      <c r="D2771" s="95" t="str">
        <f>+H2770</f>
        <v>Unid. 74</v>
      </c>
      <c r="E2771" s="87" t="str">
        <f>+$E$1</f>
        <v>URUGUAY 1025/27/29 CAP. FED.</v>
      </c>
      <c r="F2771" s="87"/>
      <c r="G2771" s="87"/>
      <c r="H2771" s="88"/>
    </row>
    <row r="2772" spans="2:8" ht="18" x14ac:dyDescent="0.25">
      <c r="B2772" s="88"/>
      <c r="C2772" s="88"/>
      <c r="D2772" s="88"/>
      <c r="F2772" s="87"/>
      <c r="G2772" s="87"/>
    </row>
    <row r="2773" spans="2:8" ht="18" x14ac:dyDescent="0.25">
      <c r="B2773" s="87"/>
      <c r="C2773" s="87"/>
      <c r="D2773" s="87"/>
      <c r="E2773" s="88"/>
      <c r="F2773" s="87"/>
      <c r="G2773" s="87"/>
      <c r="H2773" s="104"/>
    </row>
    <row r="2774" spans="2:8" ht="18" x14ac:dyDescent="0.25">
      <c r="B2774" s="87" t="e">
        <f>+$E$2</f>
        <v>#REF!</v>
      </c>
      <c r="C2774" s="87"/>
      <c r="D2774" s="87"/>
      <c r="E2774" s="87"/>
      <c r="F2774" s="98"/>
      <c r="G2774" s="88"/>
      <c r="H2774" s="87"/>
    </row>
    <row r="2775" spans="2:8" ht="18" x14ac:dyDescent="0.25">
      <c r="B2775" s="87" t="e">
        <f>+$E$3</f>
        <v>#REF!</v>
      </c>
      <c r="C2775" s="87"/>
      <c r="D2775" s="87"/>
      <c r="E2775" s="98"/>
      <c r="G2775" s="96"/>
      <c r="H2775" s="97"/>
    </row>
    <row r="2776" spans="2:8" ht="18" x14ac:dyDescent="0.25">
      <c r="B2776" s="88"/>
      <c r="C2776" s="87"/>
      <c r="D2776" s="87"/>
      <c r="E2776" s="87" t="s">
        <v>85</v>
      </c>
      <c r="F2776" s="109" t="e">
        <f>+F2759</f>
        <v>#REF!</v>
      </c>
      <c r="G2776" s="97"/>
      <c r="H2776" s="102">
        <f>+B2780</f>
        <v>46183</v>
      </c>
    </row>
    <row r="2777" spans="2:8" ht="18" x14ac:dyDescent="0.25">
      <c r="B2777" s="88"/>
      <c r="C2777" s="87"/>
      <c r="D2777" s="87"/>
      <c r="E2777" s="87" t="s">
        <v>193</v>
      </c>
      <c r="F2777" s="109" t="e">
        <f>+F2760</f>
        <v>#REF!</v>
      </c>
      <c r="H2777" s="87"/>
    </row>
    <row r="2778" spans="2:8" ht="18" x14ac:dyDescent="0.25">
      <c r="B2778" s="87"/>
      <c r="C2778" s="87"/>
      <c r="D2778" s="87"/>
      <c r="E2778" s="87" t="s">
        <v>86</v>
      </c>
      <c r="F2778" s="109" t="e">
        <f>+F2761</f>
        <v>#REF!</v>
      </c>
      <c r="G2778" s="87"/>
      <c r="H2778" s="87"/>
    </row>
    <row r="2779" spans="2:8" ht="18" x14ac:dyDescent="0.25">
      <c r="B2779" s="98"/>
      <c r="C2779" s="98"/>
      <c r="D2779" s="98"/>
      <c r="E2779" s="87" t="s">
        <v>87</v>
      </c>
      <c r="F2779" s="109" t="e">
        <f>+F2762</f>
        <v>#REF!</v>
      </c>
      <c r="G2779" s="87"/>
      <c r="H2779" s="87"/>
    </row>
    <row r="2780" spans="2:8" ht="18" x14ac:dyDescent="0.25">
      <c r="B2780" s="102">
        <f>+$G$34</f>
        <v>46183</v>
      </c>
      <c r="C2780" s="108" t="e">
        <f>+F2763</f>
        <v>#REF!</v>
      </c>
      <c r="D2780" s="87"/>
      <c r="E2780" s="87" t="s">
        <v>321</v>
      </c>
      <c r="F2780" s="109">
        <v>0</v>
      </c>
      <c r="G2780" s="87"/>
      <c r="H2780" s="87"/>
    </row>
    <row r="2781" spans="2:8" ht="18" x14ac:dyDescent="0.25">
      <c r="B2781" s="87"/>
      <c r="C2781" s="87"/>
      <c r="D2781" s="87"/>
      <c r="E2781" s="87" t="s">
        <v>88</v>
      </c>
      <c r="F2781" s="109" t="e">
        <f>+F2763</f>
        <v>#REF!</v>
      </c>
      <c r="G2781" s="87"/>
      <c r="H2781" s="87"/>
    </row>
    <row r="2782" spans="2:8" ht="18" x14ac:dyDescent="0.25">
      <c r="B2782" s="87"/>
      <c r="C2782" s="87"/>
      <c r="D2782" s="87"/>
      <c r="E2782" s="87"/>
      <c r="F2782" s="87"/>
      <c r="G2782" s="87"/>
      <c r="H2782" s="87"/>
    </row>
    <row r="2783" spans="2:8" ht="18" x14ac:dyDescent="0.25">
      <c r="B2783" s="87"/>
      <c r="C2783" s="87"/>
      <c r="D2783" s="87"/>
      <c r="E2783" s="105"/>
      <c r="F2783" s="87"/>
      <c r="G2783" s="87"/>
      <c r="H2783" s="87"/>
    </row>
    <row r="2784" spans="2:8" ht="18" x14ac:dyDescent="0.25">
      <c r="B2784" s="87"/>
      <c r="C2784" s="87"/>
      <c r="D2784" s="87"/>
      <c r="E2784" s="87"/>
      <c r="F2784" s="87"/>
      <c r="G2784" s="87"/>
      <c r="H2784" s="96"/>
    </row>
    <row r="2785" spans="2:8" ht="18" x14ac:dyDescent="0.25">
      <c r="E2785" s="87"/>
      <c r="G2785" s="96"/>
      <c r="H2785" s="87"/>
    </row>
    <row r="2787" spans="2:8" ht="18" x14ac:dyDescent="0.25">
      <c r="B2787" s="335"/>
      <c r="C2787" s="335"/>
      <c r="D2787" s="335"/>
      <c r="E2787" s="340">
        <f>+$B$1</f>
        <v>46143</v>
      </c>
      <c r="F2787" s="87"/>
      <c r="G2787" s="341">
        <f>+$D$1</f>
        <v>46183</v>
      </c>
      <c r="H2787" s="87"/>
    </row>
    <row r="2788" spans="2:8" ht="18" x14ac:dyDescent="0.25">
      <c r="B2788" s="86"/>
      <c r="C2788" s="86"/>
      <c r="D2788" s="103"/>
      <c r="E2788" s="340"/>
      <c r="F2788" s="87"/>
      <c r="G2788" s="341"/>
      <c r="H2788" s="87"/>
    </row>
    <row r="2789" spans="2:8" ht="18" x14ac:dyDescent="0.25">
      <c r="B2789" s="87"/>
      <c r="C2789" s="87"/>
      <c r="D2789" s="87"/>
      <c r="E2789" s="88"/>
      <c r="F2789" s="87"/>
      <c r="G2789" s="88"/>
      <c r="H2789" s="87"/>
    </row>
    <row r="2790" spans="2:8" ht="18" x14ac:dyDescent="0.25">
      <c r="B2790" s="87" t="e">
        <f>+#REF!</f>
        <v>#REF!</v>
      </c>
      <c r="C2790" s="87"/>
      <c r="D2790" s="87"/>
      <c r="E2790" s="88"/>
      <c r="F2790" s="87"/>
      <c r="G2790" s="88"/>
      <c r="H2790" s="87"/>
    </row>
    <row r="2791" spans="2:8" ht="18" x14ac:dyDescent="0.25">
      <c r="B2791" s="88"/>
      <c r="C2791" s="87"/>
      <c r="D2791" s="87"/>
      <c r="E2791" s="87" t="s">
        <v>81</v>
      </c>
      <c r="F2791" s="87"/>
      <c r="G2791" s="87"/>
      <c r="H2791" s="95" t="s">
        <v>158</v>
      </c>
    </row>
    <row r="2792" spans="2:8" ht="18" x14ac:dyDescent="0.25">
      <c r="B2792" s="87"/>
      <c r="C2792" s="87"/>
      <c r="D2792" s="87"/>
      <c r="E2792" s="88"/>
      <c r="F2792" s="88"/>
      <c r="G2792" s="87"/>
      <c r="H2792" s="88"/>
    </row>
    <row r="2793" spans="2:8" ht="18" x14ac:dyDescent="0.25">
      <c r="B2793" s="96"/>
      <c r="C2793" s="87"/>
      <c r="D2793" s="96"/>
      <c r="E2793" s="87"/>
      <c r="F2793" s="87"/>
      <c r="G2793" s="87"/>
      <c r="H2793" s="87"/>
    </row>
    <row r="2794" spans="2:8" ht="18" x14ac:dyDescent="0.25">
      <c r="B2794" s="96"/>
      <c r="C2794" s="87"/>
      <c r="D2794" s="96"/>
      <c r="E2794" s="87"/>
      <c r="F2794" s="87"/>
      <c r="G2794" s="87"/>
      <c r="H2794" s="87"/>
    </row>
    <row r="2795" spans="2:8" ht="18" x14ac:dyDescent="0.25">
      <c r="B2795" s="87" t="s">
        <v>82</v>
      </c>
      <c r="C2795" s="87"/>
      <c r="D2795" s="110">
        <f>+'RES CUENTA'!$H$26</f>
        <v>6751880</v>
      </c>
      <c r="E2795" s="111" t="e">
        <f>+'RES CUENTA'!#REF!</f>
        <v>#REF!</v>
      </c>
      <c r="F2795" s="106" t="e">
        <f>+D2795*E2795/100</f>
        <v>#REF!</v>
      </c>
      <c r="G2795" s="339"/>
      <c r="H2795" s="339"/>
    </row>
    <row r="2796" spans="2:8" ht="18" x14ac:dyDescent="0.25">
      <c r="B2796" s="87" t="s">
        <v>194</v>
      </c>
      <c r="C2796" s="87"/>
      <c r="D2796" s="110" t="e">
        <f>+'RES CUENTA'!#REF!</f>
        <v>#REF!</v>
      </c>
      <c r="E2796" s="111" t="e">
        <f>+'RES CUENTA'!#REF!</f>
        <v>#REF!</v>
      </c>
      <c r="F2796" s="106" t="e">
        <f>+D2796*E2796/100</f>
        <v>#REF!</v>
      </c>
      <c r="G2796" s="336"/>
      <c r="H2796" s="336"/>
    </row>
    <row r="2797" spans="2:8" ht="18" x14ac:dyDescent="0.25">
      <c r="B2797" s="87" t="s">
        <v>83</v>
      </c>
      <c r="C2797" s="87"/>
      <c r="D2797" s="110" t="e">
        <f>+'RES CUENTA'!#REF!</f>
        <v>#REF!</v>
      </c>
      <c r="E2797" s="111">
        <v>0</v>
      </c>
      <c r="F2797" s="106" t="e">
        <f>+D2797</f>
        <v>#REF!</v>
      </c>
      <c r="G2797" s="336"/>
      <c r="H2797" s="336"/>
    </row>
    <row r="2798" spans="2:8" ht="18" x14ac:dyDescent="0.25">
      <c r="B2798" s="87" t="s">
        <v>84</v>
      </c>
      <c r="C2798" s="87"/>
      <c r="D2798" s="110" t="e">
        <f>+'RES CUENTA'!#REF!</f>
        <v>#REF!</v>
      </c>
      <c r="E2798" s="111">
        <v>0</v>
      </c>
      <c r="F2798" s="106" t="e">
        <f>+D2798</f>
        <v>#REF!</v>
      </c>
      <c r="G2798" s="336"/>
      <c r="H2798" s="336"/>
    </row>
    <row r="2799" spans="2:8" ht="18" x14ac:dyDescent="0.25">
      <c r="B2799" s="88"/>
      <c r="C2799" s="87"/>
      <c r="D2799" s="87"/>
      <c r="E2799" s="94"/>
      <c r="F2799" s="107" t="e">
        <f>SUM(F2795:F2798)</f>
        <v>#REF!</v>
      </c>
      <c r="G2799" s="336"/>
      <c r="H2799" s="336"/>
    </row>
    <row r="2800" spans="2:8" ht="18" x14ac:dyDescent="0.25">
      <c r="B2800" s="88"/>
      <c r="C2800" s="87"/>
      <c r="D2800" s="87"/>
      <c r="E2800" s="94"/>
      <c r="F2800" s="107"/>
      <c r="G2800" s="91"/>
      <c r="H2800" s="91"/>
    </row>
    <row r="2801" spans="2:8" ht="18" x14ac:dyDescent="0.25">
      <c r="B2801" s="88"/>
      <c r="C2801" s="87"/>
      <c r="D2801" s="87"/>
      <c r="E2801" s="87"/>
      <c r="G2801" s="337"/>
      <c r="H2801" s="337"/>
    </row>
    <row r="2802" spans="2:8" ht="18" x14ac:dyDescent="0.25">
      <c r="B2802" s="87"/>
      <c r="C2802" s="87"/>
      <c r="D2802" s="87"/>
      <c r="E2802" s="87"/>
      <c r="F2802" s="93"/>
      <c r="G2802" s="92"/>
      <c r="H2802" s="92"/>
    </row>
    <row r="2803" spans="2:8" ht="18" x14ac:dyDescent="0.25">
      <c r="B2803" s="87"/>
      <c r="C2803" s="87"/>
      <c r="D2803" s="87"/>
      <c r="E2803" s="87"/>
      <c r="F2803" s="94"/>
      <c r="G2803" s="87"/>
      <c r="H2803" s="87"/>
    </row>
    <row r="2804" spans="2:8" ht="18" x14ac:dyDescent="0.25">
      <c r="B2804" s="87"/>
      <c r="C2804" s="87"/>
      <c r="D2804" s="87"/>
      <c r="E2804" s="87"/>
      <c r="F2804" s="94"/>
      <c r="G2804" s="87"/>
      <c r="H2804" s="87"/>
    </row>
    <row r="2805" spans="2:8" ht="18" x14ac:dyDescent="0.25">
      <c r="B2805" s="87" t="e">
        <f>+B2790</f>
        <v>#REF!</v>
      </c>
      <c r="C2805" s="338"/>
      <c r="D2805" s="338"/>
      <c r="E2805" s="87" t="e">
        <f>+B2805</f>
        <v>#REF!</v>
      </c>
      <c r="F2805" s="94"/>
      <c r="G2805" s="87"/>
      <c r="H2805" s="87"/>
    </row>
    <row r="2806" spans="2:8" ht="18" x14ac:dyDescent="0.25">
      <c r="C2806" s="87"/>
      <c r="D2806" s="87"/>
      <c r="F2806" s="338"/>
      <c r="G2806" s="338"/>
      <c r="H2806" s="338"/>
    </row>
    <row r="2807" spans="2:8" ht="18" x14ac:dyDescent="0.25">
      <c r="B2807" s="87" t="str">
        <f>+$E$1</f>
        <v>URUGUAY 1025/27/29 CAP. FED.</v>
      </c>
      <c r="C2807" s="87"/>
      <c r="D2807" s="95" t="str">
        <f>+H2791</f>
        <v>Unid. 75</v>
      </c>
      <c r="E2807" s="87" t="str">
        <f>+$E$1</f>
        <v>URUGUAY 1025/27/29 CAP. FED.</v>
      </c>
      <c r="F2807" s="87"/>
      <c r="G2807" s="87"/>
      <c r="H2807" s="95" t="str">
        <f>+D2807</f>
        <v>Unid. 75</v>
      </c>
    </row>
    <row r="2808" spans="2:8" ht="18" x14ac:dyDescent="0.25">
      <c r="H2808" s="88"/>
    </row>
    <row r="2809" spans="2:8" ht="18" x14ac:dyDescent="0.25">
      <c r="B2809" s="88"/>
      <c r="C2809" s="88"/>
      <c r="D2809" s="88"/>
      <c r="E2809" s="88"/>
      <c r="F2809" s="87"/>
      <c r="G2809" s="87"/>
    </row>
    <row r="2810" spans="2:8" ht="18" x14ac:dyDescent="0.25">
      <c r="B2810" s="87" t="e">
        <f>+$E$2</f>
        <v>#REF!</v>
      </c>
      <c r="C2810" s="87"/>
      <c r="D2810" s="87"/>
      <c r="E2810" s="87"/>
      <c r="F2810" s="87"/>
      <c r="G2810" s="88"/>
      <c r="H2810" s="104"/>
    </row>
    <row r="2811" spans="2:8" ht="18" x14ac:dyDescent="0.25">
      <c r="B2811" s="87" t="e">
        <f>+$E$3</f>
        <v>#REF!</v>
      </c>
      <c r="C2811" s="87"/>
      <c r="D2811" s="87"/>
      <c r="E2811" s="98"/>
      <c r="F2811" s="87"/>
      <c r="G2811" s="96"/>
      <c r="H2811" s="87"/>
    </row>
    <row r="2812" spans="2:8" ht="18" x14ac:dyDescent="0.25">
      <c r="C2812" s="87"/>
      <c r="D2812" s="87"/>
      <c r="E2812" s="87" t="s">
        <v>85</v>
      </c>
      <c r="F2812" s="109" t="e">
        <f>+F2795</f>
        <v>#REF!</v>
      </c>
      <c r="H2812" s="102">
        <f>+B2817</f>
        <v>46183</v>
      </c>
    </row>
    <row r="2813" spans="2:8" ht="18" x14ac:dyDescent="0.25">
      <c r="B2813" s="88"/>
      <c r="C2813" s="87"/>
      <c r="D2813" s="87"/>
      <c r="E2813" s="87" t="s">
        <v>193</v>
      </c>
      <c r="F2813" s="109" t="e">
        <f>+F2796</f>
        <v>#REF!</v>
      </c>
    </row>
    <row r="2814" spans="2:8" ht="18" x14ac:dyDescent="0.25">
      <c r="B2814" s="88"/>
      <c r="C2814" s="87"/>
      <c r="D2814" s="87"/>
      <c r="E2814" s="87" t="s">
        <v>86</v>
      </c>
      <c r="F2814" s="109" t="e">
        <f>+F2797</f>
        <v>#REF!</v>
      </c>
      <c r="G2814" s="87"/>
      <c r="H2814" s="87"/>
    </row>
    <row r="2815" spans="2:8" ht="18" x14ac:dyDescent="0.25">
      <c r="B2815" s="87"/>
      <c r="C2815" s="87"/>
      <c r="D2815" s="87"/>
      <c r="E2815" s="87" t="s">
        <v>87</v>
      </c>
      <c r="F2815" s="109" t="e">
        <f>+F2798</f>
        <v>#REF!</v>
      </c>
      <c r="G2815" s="87"/>
      <c r="H2815" s="87"/>
    </row>
    <row r="2816" spans="2:8" ht="18" x14ac:dyDescent="0.25">
      <c r="B2816" s="98"/>
      <c r="C2816" s="98"/>
      <c r="D2816" s="98"/>
      <c r="E2816" s="87" t="s">
        <v>321</v>
      </c>
      <c r="F2816" s="109">
        <v>0</v>
      </c>
      <c r="G2816" s="87"/>
      <c r="H2816" s="87"/>
    </row>
    <row r="2817" spans="2:8" ht="18" x14ac:dyDescent="0.25">
      <c r="B2817" s="102">
        <f>+$G$34</f>
        <v>46183</v>
      </c>
      <c r="C2817" s="108" t="e">
        <f>+F2799</f>
        <v>#REF!</v>
      </c>
      <c r="D2817" s="87"/>
      <c r="E2817" s="87" t="s">
        <v>88</v>
      </c>
      <c r="F2817" s="109" t="e">
        <f>+F2799</f>
        <v>#REF!</v>
      </c>
      <c r="G2817" s="87"/>
      <c r="H2817" s="87"/>
    </row>
    <row r="2818" spans="2:8" ht="18" x14ac:dyDescent="0.25">
      <c r="B2818" s="87"/>
      <c r="C2818" s="87"/>
      <c r="D2818" s="87"/>
      <c r="E2818" s="87"/>
      <c r="F2818" s="87"/>
      <c r="G2818" s="87"/>
      <c r="H2818" s="87"/>
    </row>
    <row r="2819" spans="2:8" ht="18" x14ac:dyDescent="0.25">
      <c r="B2819" s="87"/>
      <c r="C2819" s="87"/>
      <c r="D2819" s="87"/>
      <c r="E2819" s="87"/>
      <c r="F2819" s="87"/>
      <c r="G2819" s="339"/>
      <c r="H2819" s="339"/>
    </row>
    <row r="2820" spans="2:8" ht="18" x14ac:dyDescent="0.25">
      <c r="B2820" s="87"/>
      <c r="C2820" s="87"/>
      <c r="D2820" s="87"/>
      <c r="E2820" s="87"/>
      <c r="F2820" s="87"/>
      <c r="G2820" s="87"/>
      <c r="H2820" s="87"/>
    </row>
    <row r="2821" spans="2:8" ht="18" x14ac:dyDescent="0.25">
      <c r="B2821" s="87"/>
      <c r="C2821" s="87"/>
      <c r="D2821" s="87"/>
      <c r="E2821" s="87"/>
      <c r="F2821" s="87"/>
      <c r="G2821" s="87"/>
      <c r="H2821" s="87"/>
    </row>
    <row r="2822" spans="2:8" ht="18" x14ac:dyDescent="0.25">
      <c r="B2822" s="87"/>
      <c r="C2822" s="87"/>
      <c r="D2822" s="87"/>
      <c r="E2822" s="87"/>
      <c r="F2822" s="87"/>
      <c r="G2822" s="87"/>
      <c r="H2822" s="87"/>
    </row>
    <row r="2823" spans="2:8" ht="18" x14ac:dyDescent="0.25">
      <c r="B2823" s="87"/>
      <c r="C2823" s="87"/>
      <c r="D2823" s="87"/>
      <c r="E2823" s="87"/>
      <c r="F2823" s="87"/>
      <c r="G2823" s="87"/>
      <c r="H2823" s="87"/>
    </row>
    <row r="2824" spans="2:8" ht="18" x14ac:dyDescent="0.25">
      <c r="B2824" s="87"/>
      <c r="C2824" s="87"/>
      <c r="D2824" s="87"/>
      <c r="E2824" s="87"/>
      <c r="F2824" s="87"/>
      <c r="H2824" s="87"/>
    </row>
    <row r="2825" spans="2:8" ht="18" x14ac:dyDescent="0.25">
      <c r="B2825" s="335"/>
      <c r="C2825" s="335"/>
      <c r="D2825" s="335"/>
      <c r="E2825" s="87"/>
      <c r="F2825" s="87"/>
      <c r="H2825" s="87"/>
    </row>
    <row r="2826" spans="2:8" ht="18" x14ac:dyDescent="0.25">
      <c r="B2826" s="335"/>
      <c r="C2826" s="335"/>
      <c r="D2826" s="335"/>
      <c r="E2826" s="101">
        <f>+$B$1</f>
        <v>46143</v>
      </c>
      <c r="F2826" s="87"/>
      <c r="G2826" s="102">
        <f>+$D$1</f>
        <v>46183</v>
      </c>
      <c r="H2826" s="100"/>
    </row>
    <row r="2827" spans="2:8" ht="18" x14ac:dyDescent="0.25">
      <c r="B2827" s="86"/>
      <c r="C2827" s="86"/>
      <c r="D2827" s="103"/>
      <c r="E2827" s="101"/>
      <c r="F2827" s="87"/>
    </row>
    <row r="2828" spans="2:8" ht="18" x14ac:dyDescent="0.25">
      <c r="B2828" s="87" t="e">
        <f>+#REF!</f>
        <v>#REF!</v>
      </c>
      <c r="C2828" s="87"/>
      <c r="D2828" s="87"/>
      <c r="F2828" s="87"/>
    </row>
    <row r="2829" spans="2:8" ht="18" x14ac:dyDescent="0.25">
      <c r="C2829" s="87"/>
      <c r="D2829" s="87"/>
      <c r="E2829" s="87" t="str">
        <f>+$E$1</f>
        <v>URUGUAY 1025/27/29 CAP. FED.</v>
      </c>
      <c r="F2829" s="87"/>
      <c r="H2829" s="95" t="s">
        <v>159</v>
      </c>
    </row>
    <row r="2830" spans="2:8" ht="18" x14ac:dyDescent="0.25">
      <c r="B2830" s="88"/>
      <c r="C2830" s="87"/>
      <c r="D2830" s="87"/>
      <c r="F2830" s="87"/>
      <c r="G2830" s="88"/>
    </row>
    <row r="2831" spans="2:8" ht="18" x14ac:dyDescent="0.25">
      <c r="B2831" s="87"/>
      <c r="C2831" s="87"/>
      <c r="D2831" s="87"/>
      <c r="E2831" s="88"/>
      <c r="F2831" s="88"/>
      <c r="G2831" s="87"/>
      <c r="H2831" s="88"/>
    </row>
    <row r="2832" spans="2:8" ht="18" x14ac:dyDescent="0.25">
      <c r="B2832" s="96"/>
      <c r="C2832" s="87"/>
      <c r="D2832" s="96"/>
      <c r="E2832" s="87"/>
      <c r="F2832" s="87"/>
      <c r="G2832" s="87"/>
      <c r="H2832" s="87"/>
    </row>
    <row r="2833" spans="2:8" ht="18" x14ac:dyDescent="0.25">
      <c r="B2833" s="87" t="s">
        <v>82</v>
      </c>
      <c r="C2833" s="87"/>
      <c r="D2833" s="110">
        <f>+'RES CUENTA'!$H$26</f>
        <v>6751880</v>
      </c>
      <c r="E2833" s="111" t="e">
        <f>+'RES CUENTA'!#REF!</f>
        <v>#REF!</v>
      </c>
      <c r="F2833" s="106" t="e">
        <f>+D2833*E2833/100</f>
        <v>#REF!</v>
      </c>
      <c r="G2833" s="87"/>
      <c r="H2833" s="96"/>
    </row>
    <row r="2834" spans="2:8" ht="18" x14ac:dyDescent="0.25">
      <c r="B2834" s="87" t="s">
        <v>194</v>
      </c>
      <c r="C2834" s="87"/>
      <c r="D2834" s="110" t="e">
        <f>+'RES CUENTA'!#REF!</f>
        <v>#REF!</v>
      </c>
      <c r="E2834" s="111" t="e">
        <f>+'RES CUENTA'!#REF!</f>
        <v>#REF!</v>
      </c>
      <c r="F2834" s="106" t="e">
        <f>+D2834*E2834/100</f>
        <v>#REF!</v>
      </c>
      <c r="G2834" s="96"/>
      <c r="H2834" s="91"/>
    </row>
    <row r="2835" spans="2:8" ht="18" x14ac:dyDescent="0.25">
      <c r="B2835" s="87" t="s">
        <v>83</v>
      </c>
      <c r="C2835" s="87"/>
      <c r="D2835" s="110" t="e">
        <f>+'RES CUENTA'!#REF!</f>
        <v>#REF!</v>
      </c>
      <c r="E2835" s="111">
        <f>+'RES CUENTA'!N1955</f>
        <v>0</v>
      </c>
      <c r="F2835" s="106" t="e">
        <f>+D2835</f>
        <v>#REF!</v>
      </c>
      <c r="G2835" s="91"/>
      <c r="H2835" s="91"/>
    </row>
    <row r="2836" spans="2:8" ht="18" x14ac:dyDescent="0.25">
      <c r="B2836" s="87" t="s">
        <v>84</v>
      </c>
      <c r="C2836" s="87"/>
      <c r="D2836" s="110" t="e">
        <f>+'RES CUENTA'!#REF!</f>
        <v>#REF!</v>
      </c>
      <c r="E2836" s="111">
        <f>+'RES CUENTA'!P1954</f>
        <v>0</v>
      </c>
      <c r="F2836" s="106" t="e">
        <f>+D2836</f>
        <v>#REF!</v>
      </c>
      <c r="G2836" s="91"/>
      <c r="H2836" s="91"/>
    </row>
    <row r="2837" spans="2:8" ht="18" x14ac:dyDescent="0.25">
      <c r="B2837" s="88"/>
      <c r="C2837" s="87"/>
      <c r="D2837" s="87"/>
      <c r="F2837" s="107" t="e">
        <f>SUM(F2833:F2836)</f>
        <v>#REF!</v>
      </c>
      <c r="G2837" s="91"/>
      <c r="H2837" s="92"/>
    </row>
    <row r="2838" spans="2:8" ht="18" x14ac:dyDescent="0.25">
      <c r="B2838" s="87"/>
      <c r="C2838" s="87"/>
      <c r="D2838" s="87"/>
      <c r="E2838" s="87"/>
      <c r="F2838" s="94"/>
      <c r="G2838" s="92"/>
      <c r="H2838" s="92"/>
    </row>
    <row r="2839" spans="2:8" ht="18" x14ac:dyDescent="0.25">
      <c r="B2839" s="87"/>
      <c r="C2839" s="87"/>
      <c r="D2839" s="87"/>
      <c r="E2839" s="87"/>
      <c r="F2839" s="94"/>
      <c r="G2839" s="92"/>
      <c r="H2839" s="92"/>
    </row>
    <row r="2840" spans="2:8" ht="18" x14ac:dyDescent="0.25">
      <c r="B2840" s="87"/>
      <c r="C2840" s="87"/>
      <c r="D2840" s="87"/>
      <c r="E2840" s="87"/>
      <c r="F2840" s="94"/>
      <c r="G2840" s="92"/>
      <c r="H2840" s="92"/>
    </row>
    <row r="2841" spans="2:8" ht="18" x14ac:dyDescent="0.25">
      <c r="B2841" s="87"/>
      <c r="C2841" s="87"/>
      <c r="D2841" s="87"/>
      <c r="E2841" s="87"/>
      <c r="F2841" s="94"/>
      <c r="G2841" s="92"/>
      <c r="H2841" s="92"/>
    </row>
    <row r="2842" spans="2:8" ht="18" x14ac:dyDescent="0.25">
      <c r="B2842" s="87"/>
      <c r="C2842" s="87"/>
      <c r="D2842" s="87"/>
      <c r="E2842" s="87"/>
      <c r="F2842" s="94"/>
      <c r="G2842" s="92"/>
      <c r="H2842" s="87"/>
    </row>
    <row r="2843" spans="2:8" ht="18" x14ac:dyDescent="0.25">
      <c r="B2843" s="87" t="e">
        <f>+B2828</f>
        <v>#REF!</v>
      </c>
      <c r="C2843" s="87"/>
      <c r="D2843" s="87"/>
      <c r="E2843" s="87" t="e">
        <f>+B2828</f>
        <v>#REF!</v>
      </c>
      <c r="F2843" s="87"/>
      <c r="G2843" s="87"/>
      <c r="H2843" s="104"/>
    </row>
    <row r="2844" spans="2:8" ht="18" x14ac:dyDescent="0.25">
      <c r="B2844" s="88"/>
      <c r="C2844" s="87"/>
      <c r="D2844" s="87"/>
      <c r="F2844" s="87"/>
      <c r="G2844" s="104"/>
      <c r="H2844" s="95" t="str">
        <f>+H2829</f>
        <v>Unid. 76</v>
      </c>
    </row>
    <row r="2845" spans="2:8" ht="18" x14ac:dyDescent="0.25">
      <c r="B2845" s="87" t="str">
        <f>+$E$1</f>
        <v>URUGUAY 1025/27/29 CAP. FED.</v>
      </c>
      <c r="C2845" s="87"/>
      <c r="D2845" s="95" t="str">
        <f>+H2844</f>
        <v>Unid. 76</v>
      </c>
      <c r="E2845" s="87" t="str">
        <f>+$E$1</f>
        <v>URUGUAY 1025/27/29 CAP. FED.</v>
      </c>
      <c r="F2845" s="87"/>
      <c r="G2845" s="87"/>
      <c r="H2845" s="88"/>
    </row>
    <row r="2846" spans="2:8" ht="18" x14ac:dyDescent="0.25">
      <c r="B2846" s="88"/>
      <c r="C2846" s="88"/>
      <c r="D2846" s="88"/>
      <c r="F2846" s="87"/>
      <c r="G2846" s="87"/>
    </row>
    <row r="2847" spans="2:8" ht="18" x14ac:dyDescent="0.25">
      <c r="B2847" s="87"/>
      <c r="C2847" s="87"/>
      <c r="D2847" s="87"/>
      <c r="E2847" s="88"/>
      <c r="F2847" s="87"/>
      <c r="G2847" s="87"/>
      <c r="H2847" s="104"/>
    </row>
    <row r="2848" spans="2:8" ht="18" x14ac:dyDescent="0.25">
      <c r="B2848" s="87" t="e">
        <f>+$E$2</f>
        <v>#REF!</v>
      </c>
      <c r="C2848" s="87"/>
      <c r="D2848" s="87"/>
      <c r="E2848" s="87"/>
      <c r="F2848" s="98"/>
      <c r="G2848" s="88"/>
      <c r="H2848" s="87"/>
    </row>
    <row r="2849" spans="2:8" ht="18" x14ac:dyDescent="0.25">
      <c r="B2849" s="87" t="e">
        <f>+$E$3</f>
        <v>#REF!</v>
      </c>
      <c r="C2849" s="87"/>
      <c r="D2849" s="87"/>
      <c r="E2849" s="98"/>
      <c r="G2849" s="96"/>
      <c r="H2849" s="97"/>
    </row>
    <row r="2850" spans="2:8" ht="18" x14ac:dyDescent="0.25">
      <c r="B2850" s="88"/>
      <c r="C2850" s="87"/>
      <c r="D2850" s="87"/>
      <c r="E2850" s="87" t="s">
        <v>85</v>
      </c>
      <c r="F2850" s="109" t="e">
        <f>+F2833</f>
        <v>#REF!</v>
      </c>
      <c r="G2850" s="97"/>
      <c r="H2850" s="102">
        <f>+B2854</f>
        <v>46183</v>
      </c>
    </row>
    <row r="2851" spans="2:8" ht="18" x14ac:dyDescent="0.25">
      <c r="B2851" s="88"/>
      <c r="C2851" s="87"/>
      <c r="D2851" s="87"/>
      <c r="E2851" s="87" t="s">
        <v>193</v>
      </c>
      <c r="F2851" s="109" t="e">
        <f>+F2834</f>
        <v>#REF!</v>
      </c>
      <c r="H2851" s="87"/>
    </row>
    <row r="2852" spans="2:8" ht="18" x14ac:dyDescent="0.25">
      <c r="B2852" s="87"/>
      <c r="C2852" s="87"/>
      <c r="D2852" s="87"/>
      <c r="E2852" s="87" t="s">
        <v>86</v>
      </c>
      <c r="F2852" s="109" t="e">
        <f>+F2835</f>
        <v>#REF!</v>
      </c>
      <c r="G2852" s="87"/>
      <c r="H2852" s="87"/>
    </row>
    <row r="2853" spans="2:8" ht="18" x14ac:dyDescent="0.25">
      <c r="B2853" s="98"/>
      <c r="C2853" s="98"/>
      <c r="D2853" s="98"/>
      <c r="E2853" s="87" t="s">
        <v>87</v>
      </c>
      <c r="F2853" s="109" t="e">
        <f>+F2836</f>
        <v>#REF!</v>
      </c>
      <c r="G2853" s="87"/>
      <c r="H2853" s="87"/>
    </row>
    <row r="2854" spans="2:8" ht="18" x14ac:dyDescent="0.25">
      <c r="B2854" s="102">
        <f>+$G$34</f>
        <v>46183</v>
      </c>
      <c r="C2854" s="108" t="e">
        <f>+F2837</f>
        <v>#REF!</v>
      </c>
      <c r="D2854" s="87"/>
      <c r="E2854" s="87" t="s">
        <v>321</v>
      </c>
      <c r="F2854" s="109">
        <v>0</v>
      </c>
      <c r="G2854" s="87"/>
      <c r="H2854" s="87"/>
    </row>
    <row r="2855" spans="2:8" ht="18" x14ac:dyDescent="0.25">
      <c r="B2855" s="87"/>
      <c r="C2855" s="87"/>
      <c r="D2855" s="87"/>
      <c r="E2855" s="87" t="s">
        <v>88</v>
      </c>
      <c r="F2855" s="109" t="e">
        <f>+F2837</f>
        <v>#REF!</v>
      </c>
      <c r="G2855" s="87"/>
      <c r="H2855" s="87"/>
    </row>
    <row r="2856" spans="2:8" ht="18" x14ac:dyDescent="0.25">
      <c r="B2856" s="87"/>
      <c r="C2856" s="87"/>
      <c r="D2856" s="87"/>
      <c r="E2856" s="87"/>
      <c r="F2856" s="87"/>
      <c r="G2856" s="87"/>
      <c r="H2856" s="87"/>
    </row>
    <row r="2857" spans="2:8" ht="18" x14ac:dyDescent="0.25">
      <c r="B2857" s="87"/>
      <c r="C2857" s="87"/>
      <c r="D2857" s="87"/>
      <c r="E2857" s="105"/>
      <c r="F2857" s="87"/>
      <c r="G2857" s="87"/>
      <c r="H2857" s="87"/>
    </row>
    <row r="2858" spans="2:8" ht="18" x14ac:dyDescent="0.25">
      <c r="B2858" s="87"/>
      <c r="C2858" s="87"/>
      <c r="D2858" s="87"/>
      <c r="E2858" s="87"/>
      <c r="F2858" s="87"/>
      <c r="G2858" s="87"/>
      <c r="H2858" s="96"/>
    </row>
    <row r="2859" spans="2:8" ht="18" x14ac:dyDescent="0.25">
      <c r="E2859" s="87"/>
      <c r="G2859" s="96"/>
      <c r="H2859" s="87"/>
    </row>
    <row r="2861" spans="2:8" ht="18" x14ac:dyDescent="0.25">
      <c r="B2861" s="335"/>
      <c r="C2861" s="335"/>
      <c r="D2861" s="335"/>
      <c r="E2861" s="340">
        <f>+$B$1</f>
        <v>46143</v>
      </c>
      <c r="F2861" s="87"/>
      <c r="G2861" s="341">
        <f>+$D$1</f>
        <v>46183</v>
      </c>
      <c r="H2861" s="87"/>
    </row>
    <row r="2862" spans="2:8" ht="18" x14ac:dyDescent="0.25">
      <c r="B2862" s="86"/>
      <c r="C2862" s="86"/>
      <c r="D2862" s="103"/>
      <c r="E2862" s="340"/>
      <c r="F2862" s="87"/>
      <c r="G2862" s="341"/>
      <c r="H2862" s="87"/>
    </row>
    <row r="2863" spans="2:8" ht="18" x14ac:dyDescent="0.25">
      <c r="B2863" s="87"/>
      <c r="C2863" s="87"/>
      <c r="D2863" s="87"/>
      <c r="E2863" s="88"/>
      <c r="F2863" s="87"/>
      <c r="G2863" s="88"/>
      <c r="H2863" s="87"/>
    </row>
    <row r="2864" spans="2:8" ht="18" x14ac:dyDescent="0.25">
      <c r="B2864" s="87" t="e">
        <f>+#REF!</f>
        <v>#REF!</v>
      </c>
      <c r="C2864" s="87"/>
      <c r="D2864" s="87"/>
      <c r="E2864" s="88"/>
      <c r="F2864" s="87"/>
      <c r="G2864" s="88"/>
      <c r="H2864" s="87"/>
    </row>
    <row r="2865" spans="2:8" ht="18" x14ac:dyDescent="0.25">
      <c r="B2865" s="88"/>
      <c r="C2865" s="87"/>
      <c r="D2865" s="87"/>
      <c r="E2865" s="87" t="s">
        <v>81</v>
      </c>
      <c r="F2865" s="87"/>
      <c r="G2865" s="87"/>
      <c r="H2865" s="95" t="s">
        <v>160</v>
      </c>
    </row>
    <row r="2866" spans="2:8" ht="18" x14ac:dyDescent="0.25">
      <c r="B2866" s="87"/>
      <c r="C2866" s="87"/>
      <c r="D2866" s="87"/>
      <c r="E2866" s="88"/>
      <c r="F2866" s="88"/>
      <c r="G2866" s="87"/>
      <c r="H2866" s="88"/>
    </row>
    <row r="2867" spans="2:8" ht="18" x14ac:dyDescent="0.25">
      <c r="B2867" s="96"/>
      <c r="C2867" s="87"/>
      <c r="D2867" s="96"/>
      <c r="E2867" s="87"/>
      <c r="F2867" s="87"/>
      <c r="G2867" s="87"/>
      <c r="H2867" s="87"/>
    </row>
    <row r="2868" spans="2:8" ht="18" x14ac:dyDescent="0.25">
      <c r="B2868" s="96"/>
      <c r="C2868" s="87"/>
      <c r="D2868" s="96"/>
      <c r="E2868" s="87"/>
      <c r="F2868" s="87"/>
      <c r="G2868" s="87"/>
      <c r="H2868" s="87"/>
    </row>
    <row r="2869" spans="2:8" ht="18" x14ac:dyDescent="0.25">
      <c r="B2869" s="87" t="s">
        <v>82</v>
      </c>
      <c r="C2869" s="87"/>
      <c r="D2869" s="110">
        <f>+'RES CUENTA'!$H$26</f>
        <v>6751880</v>
      </c>
      <c r="E2869" s="111" t="e">
        <f>+'RES CUENTA'!#REF!</f>
        <v>#REF!</v>
      </c>
      <c r="F2869" s="106" t="e">
        <f>+D2869*E2869/100</f>
        <v>#REF!</v>
      </c>
      <c r="G2869" s="339"/>
      <c r="H2869" s="339"/>
    </row>
    <row r="2870" spans="2:8" ht="18" x14ac:dyDescent="0.25">
      <c r="B2870" s="87" t="s">
        <v>194</v>
      </c>
      <c r="C2870" s="87"/>
      <c r="D2870" s="110" t="e">
        <f>+'RES CUENTA'!#REF!</f>
        <v>#REF!</v>
      </c>
      <c r="E2870" s="111" t="e">
        <f>+'RES CUENTA'!#REF!</f>
        <v>#REF!</v>
      </c>
      <c r="F2870" s="106" t="e">
        <f>+D2870*E2870/100</f>
        <v>#REF!</v>
      </c>
      <c r="G2870" s="336"/>
      <c r="H2870" s="336"/>
    </row>
    <row r="2871" spans="2:8" ht="18" x14ac:dyDescent="0.25">
      <c r="B2871" s="87" t="s">
        <v>83</v>
      </c>
      <c r="C2871" s="87"/>
      <c r="D2871" s="110" t="e">
        <f>+'RES CUENTA'!#REF!</f>
        <v>#REF!</v>
      </c>
      <c r="E2871" s="111">
        <v>0</v>
      </c>
      <c r="F2871" s="106" t="e">
        <f>+D2871</f>
        <v>#REF!</v>
      </c>
      <c r="G2871" s="336"/>
      <c r="H2871" s="336"/>
    </row>
    <row r="2872" spans="2:8" ht="18" x14ac:dyDescent="0.25">
      <c r="B2872" s="87" t="s">
        <v>84</v>
      </c>
      <c r="C2872" s="87"/>
      <c r="D2872" s="110" t="e">
        <f>+'RES CUENTA'!#REF!</f>
        <v>#REF!</v>
      </c>
      <c r="E2872" s="111">
        <v>0</v>
      </c>
      <c r="F2872" s="106" t="e">
        <f>+D2872</f>
        <v>#REF!</v>
      </c>
      <c r="G2872" s="336"/>
      <c r="H2872" s="336"/>
    </row>
    <row r="2873" spans="2:8" ht="18" x14ac:dyDescent="0.25">
      <c r="B2873" s="88"/>
      <c r="C2873" s="87"/>
      <c r="D2873" s="87"/>
      <c r="E2873" s="94"/>
      <c r="F2873" s="107" t="e">
        <f>SUM(F2869:F2872)</f>
        <v>#REF!</v>
      </c>
      <c r="G2873" s="336"/>
      <c r="H2873" s="336"/>
    </row>
    <row r="2874" spans="2:8" ht="18" x14ac:dyDescent="0.25">
      <c r="B2874" s="88"/>
      <c r="C2874" s="87"/>
      <c r="D2874" s="87"/>
      <c r="E2874" s="87"/>
      <c r="G2874" s="337"/>
      <c r="H2874" s="337"/>
    </row>
    <row r="2875" spans="2:8" ht="18" x14ac:dyDescent="0.25">
      <c r="B2875" s="88"/>
      <c r="C2875" s="87"/>
      <c r="D2875" s="87"/>
      <c r="E2875" s="87"/>
      <c r="G2875" s="92"/>
      <c r="H2875" s="92"/>
    </row>
    <row r="2876" spans="2:8" ht="18" x14ac:dyDescent="0.25">
      <c r="B2876" s="87"/>
      <c r="C2876" s="87"/>
      <c r="D2876" s="87"/>
      <c r="E2876" s="87"/>
      <c r="F2876" s="93"/>
      <c r="G2876" s="92"/>
      <c r="H2876" s="92"/>
    </row>
    <row r="2877" spans="2:8" ht="18" x14ac:dyDescent="0.25">
      <c r="B2877" s="87"/>
      <c r="C2877" s="87"/>
      <c r="D2877" s="87"/>
      <c r="E2877" s="87"/>
      <c r="F2877" s="94"/>
      <c r="G2877" s="87"/>
      <c r="H2877" s="87"/>
    </row>
    <row r="2878" spans="2:8" ht="18" x14ac:dyDescent="0.25">
      <c r="B2878" s="87"/>
      <c r="C2878" s="87"/>
      <c r="D2878" s="87"/>
      <c r="E2878" s="87"/>
      <c r="F2878" s="94"/>
      <c r="G2878" s="87"/>
      <c r="H2878" s="87"/>
    </row>
    <row r="2879" spans="2:8" ht="18" x14ac:dyDescent="0.25">
      <c r="B2879" s="87" t="e">
        <f>+B2864</f>
        <v>#REF!</v>
      </c>
      <c r="C2879" s="338"/>
      <c r="D2879" s="338"/>
      <c r="E2879" s="87" t="e">
        <f>+B2879</f>
        <v>#REF!</v>
      </c>
      <c r="F2879" s="94"/>
      <c r="G2879" s="87"/>
      <c r="H2879" s="87"/>
    </row>
    <row r="2880" spans="2:8" ht="18" x14ac:dyDescent="0.25">
      <c r="C2880" s="87"/>
      <c r="D2880" s="87"/>
      <c r="F2880" s="338"/>
      <c r="G2880" s="338"/>
      <c r="H2880" s="338"/>
    </row>
    <row r="2881" spans="2:8" ht="18" x14ac:dyDescent="0.25">
      <c r="B2881" s="87" t="str">
        <f>+$E$1</f>
        <v>URUGUAY 1025/27/29 CAP. FED.</v>
      </c>
      <c r="C2881" s="87"/>
      <c r="D2881" s="95" t="str">
        <f>+H2865</f>
        <v>Unid. 77</v>
      </c>
      <c r="E2881" s="87" t="str">
        <f>+$E$1</f>
        <v>URUGUAY 1025/27/29 CAP. FED.</v>
      </c>
      <c r="F2881" s="87"/>
      <c r="G2881" s="87"/>
      <c r="H2881" s="95" t="str">
        <f>+D2881</f>
        <v>Unid. 77</v>
      </c>
    </row>
    <row r="2882" spans="2:8" ht="18" x14ac:dyDescent="0.25">
      <c r="H2882" s="88"/>
    </row>
    <row r="2883" spans="2:8" ht="18" x14ac:dyDescent="0.25">
      <c r="B2883" s="88"/>
      <c r="C2883" s="88"/>
      <c r="D2883" s="88"/>
      <c r="E2883" s="88"/>
      <c r="F2883" s="87"/>
      <c r="G2883" s="87"/>
    </row>
    <row r="2884" spans="2:8" ht="18" x14ac:dyDescent="0.25">
      <c r="B2884" s="87" t="e">
        <f>+$E$2</f>
        <v>#REF!</v>
      </c>
      <c r="C2884" s="87"/>
      <c r="D2884" s="87"/>
      <c r="E2884" s="87"/>
      <c r="F2884" s="87"/>
      <c r="G2884" s="88"/>
      <c r="H2884" s="104"/>
    </row>
    <row r="2885" spans="2:8" ht="18" x14ac:dyDescent="0.25">
      <c r="B2885" s="87" t="e">
        <f>+$E$3</f>
        <v>#REF!</v>
      </c>
      <c r="C2885" s="87"/>
      <c r="D2885" s="87"/>
      <c r="E2885" s="98"/>
      <c r="F2885" s="87"/>
      <c r="G2885" s="96"/>
      <c r="H2885" s="87"/>
    </row>
    <row r="2886" spans="2:8" ht="18" x14ac:dyDescent="0.25">
      <c r="C2886" s="87"/>
      <c r="D2886" s="87"/>
      <c r="E2886" s="87" t="s">
        <v>85</v>
      </c>
      <c r="F2886" s="109" t="e">
        <f>+F2869</f>
        <v>#REF!</v>
      </c>
      <c r="H2886" s="102">
        <f>+B2891</f>
        <v>46183</v>
      </c>
    </row>
    <row r="2887" spans="2:8" ht="18" x14ac:dyDescent="0.25">
      <c r="B2887" s="88"/>
      <c r="C2887" s="87"/>
      <c r="D2887" s="87"/>
      <c r="E2887" s="87" t="s">
        <v>193</v>
      </c>
      <c r="F2887" s="109" t="e">
        <f>+F2870</f>
        <v>#REF!</v>
      </c>
    </row>
    <row r="2888" spans="2:8" ht="18" x14ac:dyDescent="0.25">
      <c r="B2888" s="88"/>
      <c r="C2888" s="87"/>
      <c r="D2888" s="87"/>
      <c r="E2888" s="87" t="s">
        <v>86</v>
      </c>
      <c r="F2888" s="109" t="e">
        <f>+F2871</f>
        <v>#REF!</v>
      </c>
      <c r="G2888" s="87"/>
      <c r="H2888" s="87"/>
    </row>
    <row r="2889" spans="2:8" ht="18" x14ac:dyDescent="0.25">
      <c r="B2889" s="87"/>
      <c r="C2889" s="87"/>
      <c r="D2889" s="87"/>
      <c r="E2889" s="87" t="s">
        <v>87</v>
      </c>
      <c r="F2889" s="109" t="e">
        <f>+F2872</f>
        <v>#REF!</v>
      </c>
      <c r="G2889" s="87"/>
      <c r="H2889" s="87"/>
    </row>
    <row r="2890" spans="2:8" ht="18" x14ac:dyDescent="0.25">
      <c r="B2890" s="98"/>
      <c r="C2890" s="98"/>
      <c r="D2890" s="98"/>
      <c r="E2890" s="87" t="s">
        <v>321</v>
      </c>
      <c r="F2890" s="109">
        <v>0</v>
      </c>
      <c r="G2890" s="87"/>
      <c r="H2890" s="87"/>
    </row>
    <row r="2891" spans="2:8" ht="18" x14ac:dyDescent="0.25">
      <c r="B2891" s="102">
        <f>+$G$34</f>
        <v>46183</v>
      </c>
      <c r="C2891" s="108" t="e">
        <f>+F2873</f>
        <v>#REF!</v>
      </c>
      <c r="D2891" s="87"/>
      <c r="E2891" s="87" t="s">
        <v>88</v>
      </c>
      <c r="F2891" s="109" t="e">
        <f>+F2873</f>
        <v>#REF!</v>
      </c>
      <c r="G2891" s="87"/>
      <c r="H2891" s="87"/>
    </row>
    <row r="2892" spans="2:8" ht="18" x14ac:dyDescent="0.25">
      <c r="B2892" s="87"/>
      <c r="C2892" s="87"/>
      <c r="D2892" s="87"/>
      <c r="E2892" s="87"/>
      <c r="F2892" s="87"/>
      <c r="G2892" s="87"/>
      <c r="H2892" s="87"/>
    </row>
    <row r="2893" spans="2:8" ht="18" x14ac:dyDescent="0.25">
      <c r="B2893" s="87"/>
      <c r="C2893" s="87"/>
      <c r="D2893" s="87"/>
      <c r="E2893" s="87"/>
      <c r="F2893" s="87"/>
      <c r="G2893" s="339"/>
      <c r="H2893" s="339"/>
    </row>
    <row r="2894" spans="2:8" ht="18" x14ac:dyDescent="0.25">
      <c r="B2894" s="87"/>
      <c r="C2894" s="87"/>
      <c r="D2894" s="87"/>
      <c r="E2894" s="87"/>
      <c r="F2894" s="87"/>
      <c r="G2894" s="87"/>
      <c r="H2894" s="87"/>
    </row>
    <row r="2895" spans="2:8" ht="18" x14ac:dyDescent="0.25">
      <c r="B2895" s="87"/>
      <c r="C2895" s="87"/>
      <c r="D2895" s="87"/>
      <c r="E2895" s="87"/>
      <c r="F2895" s="87"/>
      <c r="G2895" s="87"/>
      <c r="H2895" s="87"/>
    </row>
    <row r="2896" spans="2:8" ht="18" x14ac:dyDescent="0.25">
      <c r="B2896" s="87"/>
      <c r="C2896" s="87"/>
      <c r="D2896" s="87"/>
      <c r="E2896" s="87"/>
      <c r="F2896" s="87"/>
      <c r="G2896" s="87"/>
      <c r="H2896" s="87"/>
    </row>
    <row r="2897" spans="2:8" ht="18" x14ac:dyDescent="0.25">
      <c r="B2897" s="87"/>
      <c r="C2897" s="87"/>
      <c r="D2897" s="87"/>
      <c r="E2897" s="87"/>
      <c r="F2897" s="87"/>
      <c r="G2897" s="87"/>
      <c r="H2897" s="87"/>
    </row>
    <row r="2898" spans="2:8" ht="18" x14ac:dyDescent="0.25">
      <c r="B2898" s="87"/>
      <c r="C2898" s="87"/>
      <c r="D2898" s="87"/>
      <c r="E2898" s="87"/>
      <c r="F2898" s="87"/>
      <c r="H2898" s="87"/>
    </row>
    <row r="2899" spans="2:8" ht="18" x14ac:dyDescent="0.25">
      <c r="B2899" s="335"/>
      <c r="C2899" s="335"/>
      <c r="D2899" s="335"/>
      <c r="E2899" s="87"/>
      <c r="F2899" s="87"/>
      <c r="H2899" s="87"/>
    </row>
    <row r="2900" spans="2:8" ht="18" x14ac:dyDescent="0.25">
      <c r="B2900" s="335"/>
      <c r="C2900" s="335"/>
      <c r="D2900" s="335"/>
      <c r="E2900" s="101">
        <f>+$B$1</f>
        <v>46143</v>
      </c>
      <c r="F2900" s="87"/>
      <c r="G2900" s="102">
        <f>+$D$1</f>
        <v>46183</v>
      </c>
      <c r="H2900" s="100"/>
    </row>
    <row r="2901" spans="2:8" ht="18" x14ac:dyDescent="0.25">
      <c r="B2901" s="86"/>
      <c r="C2901" s="86"/>
      <c r="D2901" s="103"/>
      <c r="E2901" s="101"/>
      <c r="F2901" s="87"/>
    </row>
    <row r="2902" spans="2:8" ht="18" x14ac:dyDescent="0.25">
      <c r="B2902" s="87" t="e">
        <f>+#REF!</f>
        <v>#REF!</v>
      </c>
      <c r="C2902" s="87"/>
      <c r="D2902" s="87"/>
      <c r="F2902" s="87"/>
    </row>
    <row r="2903" spans="2:8" ht="18" x14ac:dyDescent="0.25">
      <c r="C2903" s="87"/>
      <c r="D2903" s="87"/>
      <c r="E2903" s="87" t="str">
        <f>+$E$1</f>
        <v>URUGUAY 1025/27/29 CAP. FED.</v>
      </c>
      <c r="F2903" s="87"/>
      <c r="H2903" s="95" t="s">
        <v>161</v>
      </c>
    </row>
    <row r="2904" spans="2:8" ht="18" x14ac:dyDescent="0.25">
      <c r="B2904" s="87"/>
      <c r="C2904" s="87"/>
      <c r="D2904" s="87"/>
      <c r="E2904" s="88"/>
      <c r="F2904" s="88"/>
      <c r="G2904" s="87"/>
      <c r="H2904" s="88"/>
    </row>
    <row r="2905" spans="2:8" ht="18" x14ac:dyDescent="0.25">
      <c r="B2905" s="87"/>
      <c r="C2905" s="87"/>
      <c r="D2905" s="87"/>
      <c r="E2905" s="88"/>
      <c r="F2905" s="88"/>
      <c r="G2905" s="87"/>
      <c r="H2905" s="88"/>
    </row>
    <row r="2906" spans="2:8" ht="18" x14ac:dyDescent="0.25">
      <c r="B2906" s="96"/>
      <c r="C2906" s="87"/>
      <c r="D2906" s="96"/>
      <c r="E2906" s="87"/>
      <c r="F2906" s="87"/>
      <c r="G2906" s="87"/>
      <c r="H2906" s="87"/>
    </row>
    <row r="2907" spans="2:8" ht="18" x14ac:dyDescent="0.25">
      <c r="B2907" s="87" t="s">
        <v>82</v>
      </c>
      <c r="C2907" s="87"/>
      <c r="D2907" s="110">
        <f>+'RES CUENTA'!$H$26</f>
        <v>6751880</v>
      </c>
      <c r="E2907" s="111" t="e">
        <f>+'RES CUENTA'!#REF!</f>
        <v>#REF!</v>
      </c>
      <c r="F2907" s="106" t="e">
        <f>+D2907*E2907/100</f>
        <v>#REF!</v>
      </c>
      <c r="G2907" s="87"/>
      <c r="H2907" s="96"/>
    </row>
    <row r="2908" spans="2:8" ht="18" x14ac:dyDescent="0.25">
      <c r="B2908" s="87" t="s">
        <v>194</v>
      </c>
      <c r="C2908" s="87"/>
      <c r="D2908" s="110" t="e">
        <f>+'RES CUENTA'!#REF!</f>
        <v>#REF!</v>
      </c>
      <c r="E2908" s="111" t="e">
        <f>+'RES CUENTA'!#REF!</f>
        <v>#REF!</v>
      </c>
      <c r="F2908" s="106" t="e">
        <f>+D2908*E2908/100</f>
        <v>#REF!</v>
      </c>
      <c r="G2908" s="96"/>
      <c r="H2908" s="91"/>
    </row>
    <row r="2909" spans="2:8" ht="18" x14ac:dyDescent="0.25">
      <c r="B2909" s="87" t="s">
        <v>83</v>
      </c>
      <c r="C2909" s="87"/>
      <c r="D2909" s="110" t="e">
        <f>+'RES CUENTA'!#REF!</f>
        <v>#REF!</v>
      </c>
      <c r="E2909" s="111">
        <f>+'RES CUENTA'!N2031</f>
        <v>0</v>
      </c>
      <c r="F2909" s="106" t="e">
        <f>+D2909</f>
        <v>#REF!</v>
      </c>
      <c r="G2909" s="91"/>
      <c r="H2909" s="91"/>
    </row>
    <row r="2910" spans="2:8" ht="18" x14ac:dyDescent="0.25">
      <c r="B2910" s="87" t="s">
        <v>84</v>
      </c>
      <c r="C2910" s="87"/>
      <c r="D2910" s="110" t="e">
        <f>+'RES CUENTA'!#REF!</f>
        <v>#REF!</v>
      </c>
      <c r="E2910" s="111">
        <f>+'RES CUENTA'!P2030</f>
        <v>0</v>
      </c>
      <c r="F2910" s="106" t="e">
        <f>+D2910</f>
        <v>#REF!</v>
      </c>
      <c r="G2910" s="91"/>
      <c r="H2910" s="91"/>
    </row>
    <row r="2911" spans="2:8" ht="18" x14ac:dyDescent="0.25">
      <c r="B2911" s="88"/>
      <c r="C2911" s="87"/>
      <c r="D2911" s="87"/>
      <c r="F2911" s="107" t="e">
        <f>SUM(F2907:F2910)</f>
        <v>#REF!</v>
      </c>
      <c r="G2911" s="91"/>
      <c r="H2911" s="91"/>
    </row>
    <row r="2912" spans="2:8" ht="18" x14ac:dyDescent="0.25">
      <c r="B2912" s="87"/>
      <c r="C2912" s="87"/>
      <c r="D2912" s="87"/>
      <c r="E2912" s="87"/>
      <c r="F2912" s="94"/>
      <c r="G2912" s="92"/>
      <c r="H2912" s="92"/>
    </row>
    <row r="2913" spans="2:8" ht="18" x14ac:dyDescent="0.25">
      <c r="B2913" s="87"/>
      <c r="C2913" s="87"/>
      <c r="D2913" s="87"/>
      <c r="E2913" s="87"/>
      <c r="F2913" s="94"/>
      <c r="G2913" s="92"/>
      <c r="H2913" s="92"/>
    </row>
    <row r="2914" spans="2:8" ht="18" x14ac:dyDescent="0.25">
      <c r="B2914" s="87"/>
      <c r="C2914" s="87"/>
      <c r="D2914" s="87"/>
      <c r="E2914" s="87"/>
      <c r="F2914" s="94"/>
      <c r="G2914" s="92"/>
      <c r="H2914" s="92"/>
    </row>
    <row r="2915" spans="2:8" ht="18" x14ac:dyDescent="0.25">
      <c r="B2915" s="87"/>
      <c r="C2915" s="87"/>
      <c r="D2915" s="87"/>
      <c r="E2915" s="87"/>
      <c r="F2915" s="94"/>
      <c r="G2915" s="92"/>
      <c r="H2915" s="87"/>
    </row>
    <row r="2916" spans="2:8" ht="18" x14ac:dyDescent="0.25">
      <c r="B2916" s="87" t="e">
        <f>+B2902</f>
        <v>#REF!</v>
      </c>
      <c r="C2916" s="87"/>
      <c r="D2916" s="87"/>
      <c r="E2916" s="87" t="e">
        <f>+B2902</f>
        <v>#REF!</v>
      </c>
      <c r="F2916" s="87"/>
      <c r="G2916" s="87"/>
      <c r="H2916" s="104"/>
    </row>
    <row r="2917" spans="2:8" ht="18" x14ac:dyDescent="0.25">
      <c r="B2917" s="88"/>
      <c r="C2917" s="87"/>
      <c r="D2917" s="87"/>
      <c r="F2917" s="87"/>
      <c r="G2917" s="104"/>
      <c r="H2917" s="95" t="str">
        <f>+H2903</f>
        <v>Unid. 78</v>
      </c>
    </row>
    <row r="2918" spans="2:8" ht="18" x14ac:dyDescent="0.25">
      <c r="B2918" s="87" t="str">
        <f>+$E$1</f>
        <v>URUGUAY 1025/27/29 CAP. FED.</v>
      </c>
      <c r="C2918" s="87"/>
      <c r="D2918" s="95" t="str">
        <f>+H2917</f>
        <v>Unid. 78</v>
      </c>
      <c r="E2918" s="87" t="str">
        <f>+$E$1</f>
        <v>URUGUAY 1025/27/29 CAP. FED.</v>
      </c>
      <c r="F2918" s="87"/>
      <c r="G2918" s="87"/>
      <c r="H2918" s="88"/>
    </row>
    <row r="2919" spans="2:8" ht="18" x14ac:dyDescent="0.25">
      <c r="B2919" s="88"/>
      <c r="C2919" s="88"/>
      <c r="D2919" s="88"/>
      <c r="F2919" s="87"/>
      <c r="G2919" s="87"/>
    </row>
    <row r="2920" spans="2:8" ht="18" x14ac:dyDescent="0.25">
      <c r="B2920" s="87"/>
      <c r="C2920" s="87"/>
      <c r="D2920" s="87"/>
      <c r="E2920" s="88"/>
      <c r="F2920" s="87"/>
      <c r="G2920" s="87"/>
      <c r="H2920" s="104"/>
    </row>
    <row r="2921" spans="2:8" ht="18" x14ac:dyDescent="0.25">
      <c r="B2921" s="87" t="e">
        <f>+$E$2</f>
        <v>#REF!</v>
      </c>
      <c r="C2921" s="87"/>
      <c r="D2921" s="87"/>
      <c r="E2921" s="87"/>
      <c r="F2921" s="98"/>
      <c r="G2921" s="88"/>
      <c r="H2921" s="87"/>
    </row>
    <row r="2922" spans="2:8" ht="18" x14ac:dyDescent="0.25">
      <c r="B2922" s="87" t="e">
        <f>+$E$3</f>
        <v>#REF!</v>
      </c>
      <c r="C2922" s="87"/>
      <c r="D2922" s="87"/>
      <c r="E2922" s="98"/>
      <c r="G2922" s="96"/>
      <c r="H2922" s="97"/>
    </row>
    <row r="2923" spans="2:8" ht="18" x14ac:dyDescent="0.25">
      <c r="B2923" s="88"/>
      <c r="C2923" s="87"/>
      <c r="D2923" s="87"/>
      <c r="E2923" s="87" t="s">
        <v>85</v>
      </c>
      <c r="F2923" s="109" t="e">
        <f>+F2907</f>
        <v>#REF!</v>
      </c>
      <c r="G2923" s="97"/>
      <c r="H2923" s="102">
        <f>+B2927</f>
        <v>46183</v>
      </c>
    </row>
    <row r="2924" spans="2:8" ht="18" x14ac:dyDescent="0.25">
      <c r="B2924" s="88"/>
      <c r="C2924" s="87"/>
      <c r="D2924" s="87"/>
      <c r="E2924" s="87" t="s">
        <v>193</v>
      </c>
      <c r="F2924" s="109" t="e">
        <f>+F2908</f>
        <v>#REF!</v>
      </c>
      <c r="H2924" s="87"/>
    </row>
    <row r="2925" spans="2:8" ht="18" x14ac:dyDescent="0.25">
      <c r="B2925" s="87"/>
      <c r="C2925" s="87"/>
      <c r="D2925" s="87"/>
      <c r="E2925" s="87" t="s">
        <v>86</v>
      </c>
      <c r="F2925" s="109" t="e">
        <f>+F2909</f>
        <v>#REF!</v>
      </c>
      <c r="G2925" s="87"/>
      <c r="H2925" s="87"/>
    </row>
    <row r="2926" spans="2:8" ht="18" x14ac:dyDescent="0.25">
      <c r="B2926" s="98"/>
      <c r="C2926" s="98"/>
      <c r="D2926" s="98"/>
      <c r="E2926" s="87" t="s">
        <v>87</v>
      </c>
      <c r="F2926" s="109" t="e">
        <f>+F2910</f>
        <v>#REF!</v>
      </c>
      <c r="G2926" s="87"/>
      <c r="H2926" s="87"/>
    </row>
    <row r="2927" spans="2:8" ht="18" x14ac:dyDescent="0.25">
      <c r="B2927" s="102">
        <f>+$G$34</f>
        <v>46183</v>
      </c>
      <c r="C2927" s="108" t="e">
        <f>+F2911</f>
        <v>#REF!</v>
      </c>
      <c r="D2927" s="87"/>
      <c r="E2927" s="87" t="s">
        <v>321</v>
      </c>
      <c r="F2927" s="109">
        <v>0</v>
      </c>
      <c r="G2927" s="87"/>
      <c r="H2927" s="87"/>
    </row>
    <row r="2928" spans="2:8" ht="18" x14ac:dyDescent="0.25">
      <c r="B2928" s="87"/>
      <c r="C2928" s="87"/>
      <c r="D2928" s="87"/>
      <c r="E2928" s="87" t="s">
        <v>88</v>
      </c>
      <c r="F2928" s="109" t="e">
        <f>+F2911</f>
        <v>#REF!</v>
      </c>
      <c r="G2928" s="87"/>
      <c r="H2928" s="87"/>
    </row>
    <row r="2929" spans="2:8" ht="18" x14ac:dyDescent="0.25">
      <c r="B2929" s="87"/>
      <c r="C2929" s="87"/>
      <c r="D2929" s="87"/>
      <c r="E2929" s="87"/>
      <c r="F2929" s="87"/>
      <c r="G2929" s="87"/>
      <c r="H2929" s="87"/>
    </row>
    <row r="2930" spans="2:8" ht="18" x14ac:dyDescent="0.25">
      <c r="B2930" s="87"/>
      <c r="C2930" s="87"/>
      <c r="D2930" s="87"/>
      <c r="E2930" s="105"/>
      <c r="F2930" s="87"/>
      <c r="G2930" s="87"/>
      <c r="H2930" s="87"/>
    </row>
    <row r="2931" spans="2:8" ht="18" x14ac:dyDescent="0.25">
      <c r="B2931" s="87"/>
      <c r="C2931" s="87"/>
      <c r="D2931" s="87"/>
      <c r="E2931" s="87"/>
      <c r="F2931" s="87"/>
      <c r="G2931" s="87"/>
      <c r="H2931" s="96"/>
    </row>
    <row r="2932" spans="2:8" ht="18" x14ac:dyDescent="0.25">
      <c r="E2932" s="87"/>
      <c r="G2932" s="96"/>
      <c r="H2932" s="87"/>
    </row>
    <row r="2934" spans="2:8" ht="18" x14ac:dyDescent="0.25">
      <c r="B2934" s="335"/>
      <c r="C2934" s="335"/>
      <c r="D2934" s="335"/>
      <c r="E2934" s="340">
        <f>+$B$1</f>
        <v>46143</v>
      </c>
      <c r="F2934" s="87"/>
      <c r="G2934" s="341">
        <f>+$D$1</f>
        <v>46183</v>
      </c>
      <c r="H2934" s="87"/>
    </row>
    <row r="2935" spans="2:8" ht="18" x14ac:dyDescent="0.25">
      <c r="B2935" s="86"/>
      <c r="C2935" s="86"/>
      <c r="D2935" s="103"/>
      <c r="E2935" s="340"/>
      <c r="F2935" s="87"/>
      <c r="G2935" s="341"/>
      <c r="H2935" s="87"/>
    </row>
    <row r="2936" spans="2:8" ht="18" x14ac:dyDescent="0.25">
      <c r="B2936" s="87"/>
      <c r="C2936" s="87"/>
      <c r="D2936" s="87"/>
      <c r="E2936" s="88"/>
      <c r="F2936" s="87"/>
      <c r="G2936" s="88"/>
      <c r="H2936" s="87"/>
    </row>
    <row r="2937" spans="2:8" ht="18" x14ac:dyDescent="0.25">
      <c r="B2937" s="87" t="e">
        <f>+#REF!</f>
        <v>#REF!</v>
      </c>
      <c r="C2937" s="87"/>
      <c r="D2937" s="87"/>
      <c r="E2937" s="88"/>
      <c r="F2937" s="87"/>
      <c r="G2937" s="88"/>
      <c r="H2937" s="87"/>
    </row>
    <row r="2938" spans="2:8" ht="18" x14ac:dyDescent="0.25">
      <c r="B2938" s="88"/>
      <c r="C2938" s="87"/>
      <c r="D2938" s="87"/>
      <c r="E2938" s="87" t="s">
        <v>81</v>
      </c>
      <c r="F2938" s="87"/>
      <c r="G2938" s="87"/>
      <c r="H2938" s="95" t="s">
        <v>162</v>
      </c>
    </row>
    <row r="2939" spans="2:8" ht="18" x14ac:dyDescent="0.25">
      <c r="B2939" s="87"/>
      <c r="C2939" s="87"/>
      <c r="D2939" s="87"/>
      <c r="E2939" s="88"/>
      <c r="F2939" s="88"/>
      <c r="G2939" s="87"/>
      <c r="H2939" s="88"/>
    </row>
    <row r="2940" spans="2:8" ht="18" x14ac:dyDescent="0.25">
      <c r="B2940" s="96"/>
      <c r="C2940" s="87"/>
      <c r="D2940" s="96"/>
      <c r="E2940" s="87"/>
      <c r="F2940" s="87"/>
      <c r="G2940" s="87"/>
      <c r="H2940" s="87"/>
    </row>
    <row r="2941" spans="2:8" ht="18" x14ac:dyDescent="0.25">
      <c r="B2941" s="96"/>
      <c r="C2941" s="87"/>
      <c r="D2941" s="96"/>
      <c r="E2941" s="87"/>
      <c r="F2941" s="87"/>
      <c r="G2941" s="87"/>
      <c r="H2941" s="87"/>
    </row>
    <row r="2942" spans="2:8" ht="18" x14ac:dyDescent="0.25">
      <c r="B2942" s="87" t="s">
        <v>82</v>
      </c>
      <c r="C2942" s="87"/>
      <c r="D2942" s="110">
        <f>+'RES CUENTA'!$H$26</f>
        <v>6751880</v>
      </c>
      <c r="E2942" s="111" t="e">
        <f>+'RES CUENTA'!#REF!</f>
        <v>#REF!</v>
      </c>
      <c r="F2942" s="106" t="e">
        <f>+D2942*E2942/100</f>
        <v>#REF!</v>
      </c>
      <c r="G2942" s="339"/>
      <c r="H2942" s="339"/>
    </row>
    <row r="2943" spans="2:8" ht="18" x14ac:dyDescent="0.25">
      <c r="B2943" s="87" t="s">
        <v>194</v>
      </c>
      <c r="C2943" s="87"/>
      <c r="D2943" s="110" t="e">
        <f>+'RES CUENTA'!#REF!</f>
        <v>#REF!</v>
      </c>
      <c r="E2943" s="111" t="e">
        <f>+'RES CUENTA'!#REF!</f>
        <v>#REF!</v>
      </c>
      <c r="F2943" s="106" t="e">
        <f>+D2943*E2943/100</f>
        <v>#REF!</v>
      </c>
      <c r="G2943" s="336"/>
      <c r="H2943" s="336"/>
    </row>
    <row r="2944" spans="2:8" ht="18" x14ac:dyDescent="0.25">
      <c r="B2944" s="87" t="s">
        <v>83</v>
      </c>
      <c r="C2944" s="87"/>
      <c r="D2944" s="110" t="e">
        <f>+'RES CUENTA'!#REF!</f>
        <v>#REF!</v>
      </c>
      <c r="E2944" s="111">
        <v>0</v>
      </c>
      <c r="F2944" s="106" t="e">
        <f>+D2944</f>
        <v>#REF!</v>
      </c>
      <c r="G2944" s="336"/>
      <c r="H2944" s="336"/>
    </row>
    <row r="2945" spans="2:8" ht="18" x14ac:dyDescent="0.25">
      <c r="B2945" s="87" t="s">
        <v>84</v>
      </c>
      <c r="C2945" s="87"/>
      <c r="D2945" s="110" t="e">
        <f>+'RES CUENTA'!#REF!</f>
        <v>#REF!</v>
      </c>
      <c r="E2945" s="111">
        <v>0</v>
      </c>
      <c r="F2945" s="106" t="e">
        <f>+D2945</f>
        <v>#REF!</v>
      </c>
      <c r="G2945" s="336"/>
      <c r="H2945" s="336"/>
    </row>
    <row r="2946" spans="2:8" ht="18" x14ac:dyDescent="0.25">
      <c r="B2946" s="88"/>
      <c r="C2946" s="87"/>
      <c r="D2946" s="87"/>
      <c r="E2946" s="94"/>
      <c r="F2946" s="107" t="e">
        <f>SUM(F2942:F2945)</f>
        <v>#REF!</v>
      </c>
      <c r="G2946" s="336"/>
      <c r="H2946" s="336"/>
    </row>
    <row r="2947" spans="2:8" ht="18" x14ac:dyDescent="0.25">
      <c r="B2947" s="88"/>
      <c r="C2947" s="87"/>
      <c r="D2947" s="87"/>
      <c r="E2947" s="94"/>
      <c r="F2947" s="107"/>
      <c r="G2947" s="91"/>
      <c r="H2947" s="91"/>
    </row>
    <row r="2948" spans="2:8" ht="18" x14ac:dyDescent="0.25">
      <c r="B2948" s="88"/>
      <c r="C2948" s="87"/>
      <c r="D2948" s="87"/>
      <c r="E2948" s="87"/>
      <c r="G2948" s="337"/>
      <c r="H2948" s="337"/>
    </row>
    <row r="2949" spans="2:8" ht="18" x14ac:dyDescent="0.25">
      <c r="B2949" s="87"/>
      <c r="C2949" s="87"/>
      <c r="D2949" s="87"/>
      <c r="E2949" s="87"/>
      <c r="F2949" s="93"/>
      <c r="G2949" s="92"/>
      <c r="H2949" s="92"/>
    </row>
    <row r="2950" spans="2:8" ht="18" x14ac:dyDescent="0.25">
      <c r="B2950" s="87"/>
      <c r="C2950" s="87"/>
      <c r="D2950" s="87"/>
      <c r="E2950" s="87"/>
      <c r="F2950" s="94"/>
      <c r="G2950" s="87"/>
      <c r="H2950" s="87"/>
    </row>
    <row r="2951" spans="2:8" ht="18" x14ac:dyDescent="0.25">
      <c r="B2951" s="87"/>
      <c r="C2951" s="87"/>
      <c r="D2951" s="87"/>
      <c r="E2951" s="87"/>
      <c r="F2951" s="94"/>
      <c r="G2951" s="87"/>
      <c r="H2951" s="87"/>
    </row>
    <row r="2952" spans="2:8" ht="18" x14ac:dyDescent="0.25">
      <c r="B2952" s="87" t="e">
        <f>+B2937</f>
        <v>#REF!</v>
      </c>
      <c r="C2952" s="338"/>
      <c r="D2952" s="338"/>
      <c r="E2952" s="87" t="e">
        <f>+B2952</f>
        <v>#REF!</v>
      </c>
      <c r="F2952" s="94"/>
      <c r="G2952" s="87"/>
      <c r="H2952" s="87"/>
    </row>
    <row r="2953" spans="2:8" ht="18" x14ac:dyDescent="0.25">
      <c r="C2953" s="87"/>
      <c r="D2953" s="87"/>
      <c r="F2953" s="338"/>
      <c r="G2953" s="338"/>
      <c r="H2953" s="338"/>
    </row>
    <row r="2954" spans="2:8" ht="18" x14ac:dyDescent="0.25">
      <c r="B2954" s="87" t="str">
        <f>+$E$1</f>
        <v>URUGUAY 1025/27/29 CAP. FED.</v>
      </c>
      <c r="C2954" s="87"/>
      <c r="D2954" s="95" t="str">
        <f>+H2938</f>
        <v>Unid. 79</v>
      </c>
      <c r="E2954" s="87" t="str">
        <f>+$E$1</f>
        <v>URUGUAY 1025/27/29 CAP. FED.</v>
      </c>
      <c r="F2954" s="87"/>
      <c r="G2954" s="87"/>
      <c r="H2954" s="95" t="str">
        <f>+D2954</f>
        <v>Unid. 79</v>
      </c>
    </row>
    <row r="2955" spans="2:8" ht="18" x14ac:dyDescent="0.25">
      <c r="H2955" s="88"/>
    </row>
    <row r="2956" spans="2:8" ht="18" x14ac:dyDescent="0.25">
      <c r="B2956" s="88"/>
      <c r="C2956" s="88"/>
      <c r="D2956" s="88"/>
      <c r="E2956" s="88"/>
      <c r="F2956" s="87"/>
      <c r="G2956" s="87"/>
    </row>
    <row r="2957" spans="2:8" ht="18" x14ac:dyDescent="0.25">
      <c r="B2957" s="87" t="e">
        <f>+$E$2</f>
        <v>#REF!</v>
      </c>
      <c r="C2957" s="87"/>
      <c r="D2957" s="87"/>
      <c r="E2957" s="87"/>
      <c r="F2957" s="87"/>
      <c r="G2957" s="88"/>
      <c r="H2957" s="104"/>
    </row>
    <row r="2958" spans="2:8" ht="18" x14ac:dyDescent="0.25">
      <c r="B2958" s="87" t="e">
        <f>+$E$3</f>
        <v>#REF!</v>
      </c>
      <c r="C2958" s="87"/>
      <c r="D2958" s="87"/>
      <c r="E2958" s="98"/>
      <c r="F2958" s="87"/>
      <c r="G2958" s="96"/>
      <c r="H2958" s="87"/>
    </row>
    <row r="2959" spans="2:8" ht="18" x14ac:dyDescent="0.25">
      <c r="C2959" s="87"/>
      <c r="D2959" s="87"/>
      <c r="E2959" s="87" t="s">
        <v>85</v>
      </c>
      <c r="F2959" s="109" t="e">
        <f>+F2942</f>
        <v>#REF!</v>
      </c>
      <c r="H2959" s="102">
        <f>+B2964</f>
        <v>46183</v>
      </c>
    </row>
    <row r="2960" spans="2:8" ht="18" x14ac:dyDescent="0.25">
      <c r="B2960" s="88"/>
      <c r="C2960" s="87"/>
      <c r="D2960" s="87"/>
      <c r="E2960" s="87" t="s">
        <v>193</v>
      </c>
      <c r="F2960" s="109" t="e">
        <f>+F2943</f>
        <v>#REF!</v>
      </c>
    </row>
    <row r="2961" spans="2:8" ht="18" x14ac:dyDescent="0.25">
      <c r="B2961" s="88"/>
      <c r="C2961" s="87"/>
      <c r="D2961" s="87"/>
      <c r="E2961" s="87" t="s">
        <v>86</v>
      </c>
      <c r="F2961" s="109" t="e">
        <f>+F2944</f>
        <v>#REF!</v>
      </c>
      <c r="G2961" s="87"/>
      <c r="H2961" s="87"/>
    </row>
    <row r="2962" spans="2:8" ht="18" x14ac:dyDescent="0.25">
      <c r="B2962" s="87"/>
      <c r="C2962" s="87"/>
      <c r="D2962" s="87"/>
      <c r="E2962" s="87" t="s">
        <v>87</v>
      </c>
      <c r="F2962" s="109" t="e">
        <f>+F2945</f>
        <v>#REF!</v>
      </c>
      <c r="G2962" s="87"/>
      <c r="H2962" s="87"/>
    </row>
    <row r="2963" spans="2:8" ht="18" x14ac:dyDescent="0.25">
      <c r="B2963" s="98"/>
      <c r="C2963" s="98"/>
      <c r="D2963" s="98"/>
      <c r="E2963" s="87" t="s">
        <v>321</v>
      </c>
      <c r="F2963" s="109">
        <v>0</v>
      </c>
      <c r="G2963" s="87"/>
      <c r="H2963" s="87"/>
    </row>
    <row r="2964" spans="2:8" ht="18" x14ac:dyDescent="0.25">
      <c r="B2964" s="102">
        <f>+$G$34</f>
        <v>46183</v>
      </c>
      <c r="C2964" s="108" t="e">
        <f>+F2946</f>
        <v>#REF!</v>
      </c>
      <c r="D2964" s="87"/>
      <c r="E2964" s="87" t="s">
        <v>88</v>
      </c>
      <c r="F2964" s="113" t="e">
        <f>+F2946</f>
        <v>#REF!</v>
      </c>
      <c r="G2964" s="87"/>
      <c r="H2964" s="87"/>
    </row>
    <row r="2965" spans="2:8" ht="18" x14ac:dyDescent="0.25">
      <c r="B2965" s="87"/>
      <c r="C2965" s="87"/>
      <c r="D2965" s="87"/>
      <c r="E2965" s="87"/>
      <c r="F2965" s="87"/>
      <c r="G2965" s="87"/>
      <c r="H2965" s="87"/>
    </row>
    <row r="2966" spans="2:8" ht="18" x14ac:dyDescent="0.25">
      <c r="B2966" s="87"/>
      <c r="C2966" s="87"/>
      <c r="D2966" s="87"/>
      <c r="E2966" s="87"/>
      <c r="F2966" s="87"/>
      <c r="G2966" s="339"/>
      <c r="H2966" s="339"/>
    </row>
    <row r="2967" spans="2:8" ht="18" x14ac:dyDescent="0.25">
      <c r="B2967" s="87"/>
      <c r="C2967" s="87"/>
      <c r="D2967" s="87"/>
      <c r="E2967" s="87"/>
      <c r="F2967" s="87"/>
      <c r="G2967" s="87"/>
      <c r="H2967" s="87"/>
    </row>
    <row r="2968" spans="2:8" ht="18" x14ac:dyDescent="0.25">
      <c r="B2968" s="87"/>
      <c r="C2968" s="87"/>
      <c r="D2968" s="87"/>
      <c r="E2968" s="87"/>
      <c r="F2968" s="87"/>
      <c r="G2968" s="87"/>
      <c r="H2968" s="87"/>
    </row>
    <row r="2969" spans="2:8" ht="18" x14ac:dyDescent="0.25">
      <c r="B2969" s="87"/>
      <c r="C2969" s="87"/>
      <c r="D2969" s="87"/>
      <c r="E2969" s="87"/>
      <c r="F2969" s="87"/>
      <c r="G2969" s="87"/>
      <c r="H2969" s="87"/>
    </row>
    <row r="2970" spans="2:8" ht="18" x14ac:dyDescent="0.25">
      <c r="B2970" s="87"/>
      <c r="C2970" s="87"/>
      <c r="D2970" s="87"/>
      <c r="E2970" s="87"/>
      <c r="F2970" s="87"/>
      <c r="G2970" s="87"/>
      <c r="H2970" s="87"/>
    </row>
    <row r="2971" spans="2:8" ht="18" x14ac:dyDescent="0.25">
      <c r="B2971" s="87"/>
      <c r="C2971" s="87"/>
      <c r="D2971" s="87"/>
      <c r="E2971" s="87"/>
      <c r="F2971" s="87"/>
      <c r="H2971" s="87"/>
    </row>
    <row r="2972" spans="2:8" ht="18" x14ac:dyDescent="0.25">
      <c r="B2972" s="335"/>
      <c r="C2972" s="335"/>
      <c r="D2972" s="335"/>
      <c r="E2972" s="87"/>
      <c r="F2972" s="87"/>
      <c r="H2972" s="87"/>
    </row>
    <row r="2973" spans="2:8" ht="18" x14ac:dyDescent="0.25">
      <c r="B2973" s="335"/>
      <c r="C2973" s="335"/>
      <c r="D2973" s="335"/>
      <c r="E2973" s="101">
        <f>+$B$1</f>
        <v>46143</v>
      </c>
      <c r="F2973" s="87"/>
      <c r="G2973" s="102">
        <f>+$D$1</f>
        <v>46183</v>
      </c>
      <c r="H2973" s="100"/>
    </row>
    <row r="2974" spans="2:8" ht="18" x14ac:dyDescent="0.25">
      <c r="B2974" s="86"/>
      <c r="C2974" s="86"/>
      <c r="D2974" s="103"/>
      <c r="E2974" s="101"/>
      <c r="F2974" s="87"/>
    </row>
    <row r="2975" spans="2:8" ht="18" x14ac:dyDescent="0.25">
      <c r="B2975" s="87" t="e">
        <f>+#REF!</f>
        <v>#REF!</v>
      </c>
      <c r="C2975" s="87"/>
      <c r="D2975" s="87"/>
      <c r="F2975" s="87"/>
    </row>
    <row r="2976" spans="2:8" ht="18" x14ac:dyDescent="0.25">
      <c r="C2976" s="87"/>
      <c r="D2976" s="87"/>
      <c r="E2976" s="87" t="str">
        <f>+$E$1</f>
        <v>URUGUAY 1025/27/29 CAP. FED.</v>
      </c>
      <c r="F2976" s="87"/>
      <c r="H2976" s="95" t="s">
        <v>163</v>
      </c>
    </row>
    <row r="2977" spans="2:8" ht="18" x14ac:dyDescent="0.25">
      <c r="B2977" s="88"/>
      <c r="C2977" s="87"/>
      <c r="D2977" s="87"/>
      <c r="F2977" s="87"/>
      <c r="G2977" s="88"/>
    </row>
    <row r="2978" spans="2:8" ht="18" x14ac:dyDescent="0.25">
      <c r="B2978" s="87"/>
      <c r="C2978" s="87"/>
      <c r="D2978" s="87"/>
      <c r="E2978" s="88"/>
      <c r="F2978" s="88"/>
      <c r="G2978" s="87"/>
      <c r="H2978" s="88"/>
    </row>
    <row r="2979" spans="2:8" ht="18" x14ac:dyDescent="0.25">
      <c r="B2979" s="96"/>
      <c r="C2979" s="87"/>
      <c r="D2979" s="96"/>
      <c r="E2979" s="87"/>
      <c r="F2979" s="87"/>
      <c r="G2979" s="87"/>
      <c r="H2979" s="87"/>
    </row>
    <row r="2980" spans="2:8" ht="18" x14ac:dyDescent="0.25">
      <c r="B2980" s="87" t="s">
        <v>82</v>
      </c>
      <c r="C2980" s="87"/>
      <c r="D2980" s="110">
        <f>+'RES CUENTA'!$H$26</f>
        <v>6751880</v>
      </c>
      <c r="E2980" s="111" t="e">
        <f>+'RES CUENTA'!#REF!</f>
        <v>#REF!</v>
      </c>
      <c r="F2980" s="106" t="e">
        <f>+D2980*E2980/100</f>
        <v>#REF!</v>
      </c>
      <c r="G2980" s="87"/>
      <c r="H2980" s="96"/>
    </row>
    <row r="2981" spans="2:8" ht="18" x14ac:dyDescent="0.25">
      <c r="B2981" s="87" t="s">
        <v>194</v>
      </c>
      <c r="C2981" s="87"/>
      <c r="D2981" s="110" t="e">
        <f>+'RES CUENTA'!#REF!</f>
        <v>#REF!</v>
      </c>
      <c r="E2981" s="111" t="e">
        <f>+'RES CUENTA'!#REF!</f>
        <v>#REF!</v>
      </c>
      <c r="F2981" s="106" t="e">
        <f>+D2981*E2981/100</f>
        <v>#REF!</v>
      </c>
      <c r="G2981" s="96"/>
      <c r="H2981" s="91"/>
    </row>
    <row r="2982" spans="2:8" ht="18" x14ac:dyDescent="0.25">
      <c r="B2982" s="87" t="s">
        <v>83</v>
      </c>
      <c r="C2982" s="87"/>
      <c r="D2982" s="110" t="e">
        <f>+'RES CUENTA'!#REF!</f>
        <v>#REF!</v>
      </c>
      <c r="E2982" s="111">
        <f>+'RES CUENTA'!N2107</f>
        <v>0</v>
      </c>
      <c r="F2982" s="106" t="e">
        <f>+D2982</f>
        <v>#REF!</v>
      </c>
      <c r="G2982" s="91"/>
      <c r="H2982" s="91"/>
    </row>
    <row r="2983" spans="2:8" ht="18" x14ac:dyDescent="0.25">
      <c r="B2983" s="87" t="s">
        <v>84</v>
      </c>
      <c r="C2983" s="87"/>
      <c r="D2983" s="110" t="e">
        <f>+'RES CUENTA'!#REF!</f>
        <v>#REF!</v>
      </c>
      <c r="E2983" s="111">
        <f>+'RES CUENTA'!P2106</f>
        <v>0</v>
      </c>
      <c r="F2983" s="106" t="e">
        <f>+D2983</f>
        <v>#REF!</v>
      </c>
      <c r="G2983" s="91"/>
      <c r="H2983" s="91"/>
    </row>
    <row r="2984" spans="2:8" ht="18" x14ac:dyDescent="0.25">
      <c r="B2984" s="88"/>
      <c r="C2984" s="87"/>
      <c r="D2984" s="87"/>
      <c r="F2984" s="107" t="e">
        <f>SUM(F2980:F2983)</f>
        <v>#REF!</v>
      </c>
      <c r="G2984" s="91"/>
      <c r="H2984" s="92"/>
    </row>
    <row r="2985" spans="2:8" ht="18" x14ac:dyDescent="0.25">
      <c r="B2985" s="87"/>
      <c r="C2985" s="87"/>
      <c r="D2985" s="87"/>
      <c r="E2985" s="87"/>
      <c r="F2985" s="94"/>
      <c r="G2985" s="92"/>
      <c r="H2985" s="92"/>
    </row>
    <row r="2986" spans="2:8" ht="18" x14ac:dyDescent="0.25">
      <c r="B2986" s="87"/>
      <c r="C2986" s="87"/>
      <c r="D2986" s="87"/>
      <c r="E2986" s="87"/>
      <c r="F2986" s="94"/>
      <c r="G2986" s="92"/>
      <c r="H2986" s="92"/>
    </row>
    <row r="2987" spans="2:8" ht="18" x14ac:dyDescent="0.25">
      <c r="B2987" s="87"/>
      <c r="C2987" s="87"/>
      <c r="D2987" s="87"/>
      <c r="E2987" s="87"/>
      <c r="F2987" s="94"/>
      <c r="G2987" s="92"/>
      <c r="H2987" s="92"/>
    </row>
    <row r="2988" spans="2:8" ht="18" x14ac:dyDescent="0.25">
      <c r="B2988" s="87"/>
      <c r="C2988" s="87"/>
      <c r="D2988" s="87"/>
      <c r="E2988" s="87"/>
      <c r="F2988" s="94"/>
      <c r="G2988" s="92"/>
      <c r="H2988" s="92"/>
    </row>
    <row r="2989" spans="2:8" ht="18" x14ac:dyDescent="0.25">
      <c r="B2989" s="87"/>
      <c r="C2989" s="87"/>
      <c r="D2989" s="87"/>
      <c r="E2989" s="87"/>
      <c r="F2989" s="94"/>
      <c r="G2989" s="92"/>
      <c r="H2989" s="87"/>
    </row>
    <row r="2990" spans="2:8" ht="18" x14ac:dyDescent="0.25">
      <c r="B2990" s="87" t="e">
        <f>+B2975</f>
        <v>#REF!</v>
      </c>
      <c r="C2990" s="87"/>
      <c r="D2990" s="87"/>
      <c r="E2990" s="87" t="e">
        <f>+B2975</f>
        <v>#REF!</v>
      </c>
      <c r="F2990" s="87"/>
      <c r="G2990" s="87"/>
      <c r="H2990" s="104"/>
    </row>
    <row r="2991" spans="2:8" ht="18" x14ac:dyDescent="0.25">
      <c r="B2991" s="88"/>
      <c r="C2991" s="87"/>
      <c r="D2991" s="87"/>
      <c r="F2991" s="87"/>
      <c r="G2991" s="104"/>
      <c r="H2991" s="95" t="str">
        <f>+H2976</f>
        <v>Unid. 80</v>
      </c>
    </row>
    <row r="2992" spans="2:8" ht="18" x14ac:dyDescent="0.25">
      <c r="B2992" s="87" t="str">
        <f>+$E$1</f>
        <v>URUGUAY 1025/27/29 CAP. FED.</v>
      </c>
      <c r="C2992" s="87"/>
      <c r="D2992" s="95" t="str">
        <f>+H2991</f>
        <v>Unid. 80</v>
      </c>
      <c r="E2992" s="87" t="str">
        <f>+$E$1</f>
        <v>URUGUAY 1025/27/29 CAP. FED.</v>
      </c>
      <c r="F2992" s="87"/>
      <c r="G2992" s="87"/>
      <c r="H2992" s="88"/>
    </row>
    <row r="2993" spans="2:8" ht="18" x14ac:dyDescent="0.25">
      <c r="B2993" s="88"/>
      <c r="C2993" s="88"/>
      <c r="D2993" s="88"/>
      <c r="F2993" s="87"/>
      <c r="G2993" s="87"/>
    </row>
    <row r="2994" spans="2:8" ht="18" x14ac:dyDescent="0.25">
      <c r="B2994" s="87"/>
      <c r="C2994" s="87"/>
      <c r="D2994" s="87"/>
      <c r="E2994" s="88"/>
      <c r="F2994" s="87"/>
      <c r="G2994" s="87"/>
      <c r="H2994" s="104"/>
    </row>
    <row r="2995" spans="2:8" ht="18" x14ac:dyDescent="0.25">
      <c r="B2995" s="87" t="e">
        <f>+$E$2</f>
        <v>#REF!</v>
      </c>
      <c r="C2995" s="87"/>
      <c r="D2995" s="87"/>
      <c r="E2995" s="87"/>
      <c r="F2995" s="98"/>
      <c r="G2995" s="88"/>
      <c r="H2995" s="87"/>
    </row>
    <row r="2996" spans="2:8" ht="18" x14ac:dyDescent="0.25">
      <c r="B2996" s="87" t="e">
        <f>+$E$3</f>
        <v>#REF!</v>
      </c>
      <c r="C2996" s="87"/>
      <c r="D2996" s="87"/>
      <c r="E2996" s="98"/>
      <c r="G2996" s="96"/>
      <c r="H2996" s="97"/>
    </row>
    <row r="2997" spans="2:8" ht="18" x14ac:dyDescent="0.25">
      <c r="B2997" s="88"/>
      <c r="C2997" s="87"/>
      <c r="D2997" s="87"/>
      <c r="E2997" s="87" t="s">
        <v>85</v>
      </c>
      <c r="F2997" s="109" t="e">
        <f>+F2980</f>
        <v>#REF!</v>
      </c>
      <c r="G2997" s="97"/>
      <c r="H2997" s="102">
        <f>+B3001</f>
        <v>46183</v>
      </c>
    </row>
    <row r="2998" spans="2:8" ht="18" x14ac:dyDescent="0.25">
      <c r="B2998" s="88"/>
      <c r="C2998" s="87"/>
      <c r="D2998" s="87"/>
      <c r="E2998" s="87" t="s">
        <v>193</v>
      </c>
      <c r="F2998" s="109" t="e">
        <f>+F2981</f>
        <v>#REF!</v>
      </c>
      <c r="H2998" s="87"/>
    </row>
    <row r="2999" spans="2:8" ht="18" x14ac:dyDescent="0.25">
      <c r="B2999" s="87"/>
      <c r="C2999" s="87"/>
      <c r="D2999" s="87"/>
      <c r="E2999" s="87" t="s">
        <v>86</v>
      </c>
      <c r="F2999" s="109" t="e">
        <f>+F2982</f>
        <v>#REF!</v>
      </c>
      <c r="G2999" s="87"/>
      <c r="H2999" s="87"/>
    </row>
    <row r="3000" spans="2:8" ht="18" x14ac:dyDescent="0.25">
      <c r="B3000" s="98"/>
      <c r="C3000" s="98"/>
      <c r="D3000" s="98"/>
      <c r="E3000" s="87" t="s">
        <v>87</v>
      </c>
      <c r="F3000" s="109" t="e">
        <f>+F2983</f>
        <v>#REF!</v>
      </c>
      <c r="G3000" s="87"/>
      <c r="H3000" s="87"/>
    </row>
    <row r="3001" spans="2:8" ht="18" x14ac:dyDescent="0.25">
      <c r="B3001" s="102">
        <f>+$G$34</f>
        <v>46183</v>
      </c>
      <c r="C3001" s="108" t="e">
        <f>+F3002</f>
        <v>#REF!</v>
      </c>
      <c r="D3001" s="87"/>
      <c r="E3001" s="87" t="s">
        <v>321</v>
      </c>
      <c r="F3001" s="109">
        <v>0</v>
      </c>
      <c r="G3001" s="87"/>
      <c r="H3001" s="87"/>
    </row>
    <row r="3002" spans="2:8" ht="18" x14ac:dyDescent="0.25">
      <c r="B3002" s="87"/>
      <c r="C3002" s="87"/>
      <c r="D3002" s="87"/>
      <c r="E3002" s="87" t="s">
        <v>88</v>
      </c>
      <c r="F3002" s="107" t="e">
        <f>SUM(F2997:F3001)</f>
        <v>#REF!</v>
      </c>
      <c r="G3002" s="87"/>
      <c r="H3002" s="87"/>
    </row>
    <row r="3003" spans="2:8" ht="18" x14ac:dyDescent="0.25">
      <c r="B3003" s="87"/>
      <c r="C3003" s="87"/>
      <c r="D3003" s="87"/>
      <c r="E3003" s="87"/>
      <c r="F3003" s="87"/>
      <c r="G3003" s="87"/>
      <c r="H3003" s="87"/>
    </row>
    <row r="3004" spans="2:8" ht="18" x14ac:dyDescent="0.25">
      <c r="B3004" s="87"/>
      <c r="C3004" s="87"/>
      <c r="D3004" s="87"/>
      <c r="E3004" s="105"/>
      <c r="F3004" s="87"/>
      <c r="G3004" s="87"/>
      <c r="H3004" s="87"/>
    </row>
    <row r="3005" spans="2:8" ht="18" x14ac:dyDescent="0.25">
      <c r="B3005" s="87"/>
      <c r="C3005" s="87"/>
      <c r="D3005" s="87"/>
      <c r="E3005" s="87"/>
      <c r="F3005" s="87"/>
      <c r="G3005" s="87"/>
      <c r="H3005" s="96"/>
    </row>
    <row r="3006" spans="2:8" ht="18" x14ac:dyDescent="0.25">
      <c r="E3006" s="87"/>
      <c r="G3006" s="96"/>
      <c r="H3006" s="87"/>
    </row>
  </sheetData>
  <mergeCells count="546">
    <mergeCell ref="G45:H45"/>
    <mergeCell ref="G46:H46"/>
    <mergeCell ref="G47:H47"/>
    <mergeCell ref="G118:H118"/>
    <mergeCell ref="G119:H119"/>
    <mergeCell ref="G50:H50"/>
    <mergeCell ref="G110:G111"/>
    <mergeCell ref="B33:D33"/>
    <mergeCell ref="B34:D34"/>
    <mergeCell ref="G70:H70"/>
    <mergeCell ref="G33:H33"/>
    <mergeCell ref="C53:D53"/>
    <mergeCell ref="E34:E35"/>
    <mergeCell ref="G34:G35"/>
    <mergeCell ref="G42:H42"/>
    <mergeCell ref="G43:H43"/>
    <mergeCell ref="G144:H144"/>
    <mergeCell ref="B150:D150"/>
    <mergeCell ref="B151:D151"/>
    <mergeCell ref="B186:D186"/>
    <mergeCell ref="E186:E187"/>
    <mergeCell ref="G186:G187"/>
    <mergeCell ref="G121:H121"/>
    <mergeCell ref="G122:H122"/>
    <mergeCell ref="F54:H54"/>
    <mergeCell ref="C129:D129"/>
    <mergeCell ref="F130:H130"/>
    <mergeCell ref="B75:D75"/>
    <mergeCell ref="B110:D110"/>
    <mergeCell ref="E110:E111"/>
    <mergeCell ref="G123:H123"/>
    <mergeCell ref="G125:H125"/>
    <mergeCell ref="B262:D262"/>
    <mergeCell ref="E262:E263"/>
    <mergeCell ref="G262:G263"/>
    <mergeCell ref="G270:H270"/>
    <mergeCell ref="G271:H271"/>
    <mergeCell ref="G273:H273"/>
    <mergeCell ref="G274:H274"/>
    <mergeCell ref="G275:H275"/>
    <mergeCell ref="G193:H193"/>
    <mergeCell ref="G194:H194"/>
    <mergeCell ref="G196:H196"/>
    <mergeCell ref="F206:H206"/>
    <mergeCell ref="G218:H218"/>
    <mergeCell ref="B226:D226"/>
    <mergeCell ref="G197:H197"/>
    <mergeCell ref="G198:H198"/>
    <mergeCell ref="G199:H199"/>
    <mergeCell ref="C205:D205"/>
    <mergeCell ref="G346:H346"/>
    <mergeCell ref="G348:H348"/>
    <mergeCell ref="G349:H349"/>
    <mergeCell ref="G350:H350"/>
    <mergeCell ref="G276:H276"/>
    <mergeCell ref="C281:D281"/>
    <mergeCell ref="G351:H351"/>
    <mergeCell ref="C357:D357"/>
    <mergeCell ref="B303:D303"/>
    <mergeCell ref="B304:D304"/>
    <mergeCell ref="B337:D337"/>
    <mergeCell ref="E337:E338"/>
    <mergeCell ref="G337:G338"/>
    <mergeCell ref="G345:H345"/>
    <mergeCell ref="F282:H282"/>
    <mergeCell ref="G297:H297"/>
    <mergeCell ref="G427:H427"/>
    <mergeCell ref="G428:H428"/>
    <mergeCell ref="F358:H358"/>
    <mergeCell ref="G373:H373"/>
    <mergeCell ref="G422:H422"/>
    <mergeCell ref="G423:H423"/>
    <mergeCell ref="G425:H425"/>
    <mergeCell ref="G426:H426"/>
    <mergeCell ref="B379:D379"/>
    <mergeCell ref="B414:D414"/>
    <mergeCell ref="E414:E415"/>
    <mergeCell ref="G414:G415"/>
    <mergeCell ref="F509:H509"/>
    <mergeCell ref="G525:H525"/>
    <mergeCell ref="B528:D528"/>
    <mergeCell ref="G501:H501"/>
    <mergeCell ref="G502:H502"/>
    <mergeCell ref="G573:H573"/>
    <mergeCell ref="C433:D433"/>
    <mergeCell ref="F434:H434"/>
    <mergeCell ref="G450:H450"/>
    <mergeCell ref="B453:D453"/>
    <mergeCell ref="B454:D454"/>
    <mergeCell ref="C508:D508"/>
    <mergeCell ref="B488:D488"/>
    <mergeCell ref="E488:E489"/>
    <mergeCell ref="G488:G489"/>
    <mergeCell ref="G496:H496"/>
    <mergeCell ref="G497:H497"/>
    <mergeCell ref="G499:H499"/>
    <mergeCell ref="G500:H500"/>
    <mergeCell ref="G574:H574"/>
    <mergeCell ref="G575:H575"/>
    <mergeCell ref="G576:H576"/>
    <mergeCell ref="B529:D529"/>
    <mergeCell ref="B564:D564"/>
    <mergeCell ref="E564:E565"/>
    <mergeCell ref="G564:G565"/>
    <mergeCell ref="G571:H571"/>
    <mergeCell ref="G572:H572"/>
    <mergeCell ref="F660:H660"/>
    <mergeCell ref="G648:H648"/>
    <mergeCell ref="G649:H649"/>
    <mergeCell ref="G651:H651"/>
    <mergeCell ref="G652:H652"/>
    <mergeCell ref="G675:H675"/>
    <mergeCell ref="G653:H653"/>
    <mergeCell ref="C659:D659"/>
    <mergeCell ref="F584:H584"/>
    <mergeCell ref="G599:H599"/>
    <mergeCell ref="B604:D604"/>
    <mergeCell ref="B605:D605"/>
    <mergeCell ref="B640:D640"/>
    <mergeCell ref="E640:E641"/>
    <mergeCell ref="G640:G641"/>
    <mergeCell ref="G725:H725"/>
    <mergeCell ref="G726:H726"/>
    <mergeCell ref="G749:H749"/>
    <mergeCell ref="G727:H727"/>
    <mergeCell ref="C733:D733"/>
    <mergeCell ref="F734:H734"/>
    <mergeCell ref="B679:D679"/>
    <mergeCell ref="B680:D680"/>
    <mergeCell ref="B714:D714"/>
    <mergeCell ref="E714:E715"/>
    <mergeCell ref="G714:G715"/>
    <mergeCell ref="G721:H721"/>
    <mergeCell ref="G722:H722"/>
    <mergeCell ref="G724:H724"/>
    <mergeCell ref="B753:D753"/>
    <mergeCell ref="B754:D754"/>
    <mergeCell ref="G874:H874"/>
    <mergeCell ref="G873:H873"/>
    <mergeCell ref="B789:D789"/>
    <mergeCell ref="E789:E790"/>
    <mergeCell ref="G789:G790"/>
    <mergeCell ref="G804:H804"/>
    <mergeCell ref="G797:H797"/>
    <mergeCell ref="G799:H799"/>
    <mergeCell ref="G800:H800"/>
    <mergeCell ref="G801:H801"/>
    <mergeCell ref="G796:H796"/>
    <mergeCell ref="G875:H875"/>
    <mergeCell ref="C807:D807"/>
    <mergeCell ref="F808:H808"/>
    <mergeCell ref="G822:H822"/>
    <mergeCell ref="B827:D827"/>
    <mergeCell ref="G862:G863"/>
    <mergeCell ref="G870:H870"/>
    <mergeCell ref="G871:H871"/>
    <mergeCell ref="B862:D862"/>
    <mergeCell ref="E862:E863"/>
    <mergeCell ref="B975:D975"/>
    <mergeCell ref="G1009:G1010"/>
    <mergeCell ref="G1017:H1017"/>
    <mergeCell ref="G1018:H1018"/>
    <mergeCell ref="B1009:D1009"/>
    <mergeCell ref="E1009:E1010"/>
    <mergeCell ref="C955:D955"/>
    <mergeCell ref="F956:H956"/>
    <mergeCell ref="G876:H876"/>
    <mergeCell ref="C880:D880"/>
    <mergeCell ref="F881:H881"/>
    <mergeCell ref="G896:H896"/>
    <mergeCell ref="B901:D901"/>
    <mergeCell ref="B936:D936"/>
    <mergeCell ref="G970:H970"/>
    <mergeCell ref="B974:D974"/>
    <mergeCell ref="E936:E937"/>
    <mergeCell ref="G936:G937"/>
    <mergeCell ref="G944:H944"/>
    <mergeCell ref="G945:H945"/>
    <mergeCell ref="G947:H947"/>
    <mergeCell ref="G948:H948"/>
    <mergeCell ref="G949:H949"/>
    <mergeCell ref="G950:H950"/>
    <mergeCell ref="C1027:D1027"/>
    <mergeCell ref="F1028:H1028"/>
    <mergeCell ref="G1042:H1042"/>
    <mergeCell ref="B1047:D1047"/>
    <mergeCell ref="G1093:H1093"/>
    <mergeCell ref="B1085:D1085"/>
    <mergeCell ref="E1085:E1086"/>
    <mergeCell ref="G1085:G1086"/>
    <mergeCell ref="G1020:H1020"/>
    <mergeCell ref="G1022:H1022"/>
    <mergeCell ref="G1166:H1166"/>
    <mergeCell ref="G1167:H1167"/>
    <mergeCell ref="G1168:H1168"/>
    <mergeCell ref="G1169:H1169"/>
    <mergeCell ref="G1170:H1170"/>
    <mergeCell ref="G1172:H1172"/>
    <mergeCell ref="G1094:H1094"/>
    <mergeCell ref="C1103:D1103"/>
    <mergeCell ref="F1104:H1104"/>
    <mergeCell ref="G1117:H1117"/>
    <mergeCell ref="B1123:D1123"/>
    <mergeCell ref="B1158:D1158"/>
    <mergeCell ref="G1158:G1159"/>
    <mergeCell ref="E1156:E1159"/>
    <mergeCell ref="C1176:D1176"/>
    <mergeCell ref="F1177:H1177"/>
    <mergeCell ref="G1190:H1190"/>
    <mergeCell ref="B1196:D1196"/>
    <mergeCell ref="B1197:D1197"/>
    <mergeCell ref="B1232:D1232"/>
    <mergeCell ref="E1232:E1233"/>
    <mergeCell ref="G1232:G1233"/>
    <mergeCell ref="C1250:D1250"/>
    <mergeCell ref="G1390:H1390"/>
    <mergeCell ref="G1391:H1391"/>
    <mergeCell ref="F1399:H1399"/>
    <mergeCell ref="G1412:H1412"/>
    <mergeCell ref="G1240:H1240"/>
    <mergeCell ref="G1241:H1241"/>
    <mergeCell ref="G1242:H1242"/>
    <mergeCell ref="G1243:H1243"/>
    <mergeCell ref="G1244:H1244"/>
    <mergeCell ref="G1246:H1246"/>
    <mergeCell ref="G1264:H1264"/>
    <mergeCell ref="F1251:H1251"/>
    <mergeCell ref="G1392:H1392"/>
    <mergeCell ref="G1394:H1394"/>
    <mergeCell ref="B1270:D1270"/>
    <mergeCell ref="B1271:D1271"/>
    <mergeCell ref="B1306:D1306"/>
    <mergeCell ref="C1324:D1324"/>
    <mergeCell ref="B1344:D1344"/>
    <mergeCell ref="B1345:D1345"/>
    <mergeCell ref="B1380:D1380"/>
    <mergeCell ref="G1388:H1388"/>
    <mergeCell ref="G1389:H1389"/>
    <mergeCell ref="E1306:E1307"/>
    <mergeCell ref="G1306:G1307"/>
    <mergeCell ref="G1314:H1314"/>
    <mergeCell ref="G1315:H1315"/>
    <mergeCell ref="G1316:H1316"/>
    <mergeCell ref="G1317:H1317"/>
    <mergeCell ref="E1380:E1381"/>
    <mergeCell ref="G1380:G1381"/>
    <mergeCell ref="F1325:H1325"/>
    <mergeCell ref="G1338:H1338"/>
    <mergeCell ref="G1318:H1318"/>
    <mergeCell ref="G1319:H1319"/>
    <mergeCell ref="B1789:D1789"/>
    <mergeCell ref="B1642:D1642"/>
    <mergeCell ref="B1603:D1603"/>
    <mergeCell ref="F1696:H1696"/>
    <mergeCell ref="G1539:H1539"/>
    <mergeCell ref="G1540:H1540"/>
    <mergeCell ref="G1542:H1542"/>
    <mergeCell ref="E1603:E1604"/>
    <mergeCell ref="G1613:H1613"/>
    <mergeCell ref="G1614:H1614"/>
    <mergeCell ref="G1615:H1615"/>
    <mergeCell ref="G1603:G1604"/>
    <mergeCell ref="G1677:G1678"/>
    <mergeCell ref="B1715:D1715"/>
    <mergeCell ref="B1567:D1567"/>
    <mergeCell ref="G1751:G1752"/>
    <mergeCell ref="G1688:H1688"/>
    <mergeCell ref="G1689:H1689"/>
    <mergeCell ref="C1398:D1398"/>
    <mergeCell ref="C1695:D1695"/>
    <mergeCell ref="G1685:H1685"/>
    <mergeCell ref="G1686:H1686"/>
    <mergeCell ref="G1687:H1687"/>
    <mergeCell ref="G1486:H1486"/>
    <mergeCell ref="G1466:H1466"/>
    <mergeCell ref="B1418:D1418"/>
    <mergeCell ref="B1419:D1419"/>
    <mergeCell ref="B1677:D1677"/>
    <mergeCell ref="G1462:H1462"/>
    <mergeCell ref="G1691:H1691"/>
    <mergeCell ref="B1492:D1492"/>
    <mergeCell ref="F1473:H1473"/>
    <mergeCell ref="C1472:D1472"/>
    <mergeCell ref="B1454:D1454"/>
    <mergeCell ref="E1454:E1455"/>
    <mergeCell ref="G1454:G1455"/>
    <mergeCell ref="E1677:E1678"/>
    <mergeCell ref="E1528:E1529"/>
    <mergeCell ref="G1468:H1468"/>
    <mergeCell ref="G1463:H1463"/>
    <mergeCell ref="G1464:H1464"/>
    <mergeCell ref="G1465:H1465"/>
    <mergeCell ref="B1493:D1493"/>
    <mergeCell ref="B1528:D1528"/>
    <mergeCell ref="C1546:D1546"/>
    <mergeCell ref="B1566:D1566"/>
    <mergeCell ref="C1621:D1621"/>
    <mergeCell ref="B1641:D1641"/>
    <mergeCell ref="G1528:G1529"/>
    <mergeCell ref="G1536:H1536"/>
    <mergeCell ref="G1537:H1537"/>
    <mergeCell ref="G1538:H1538"/>
    <mergeCell ref="G1611:H1611"/>
    <mergeCell ref="F1622:H1622"/>
    <mergeCell ref="G1635:H1635"/>
    <mergeCell ref="F1547:H1547"/>
    <mergeCell ref="G1560:H1560"/>
    <mergeCell ref="G1612:H1612"/>
    <mergeCell ref="G1616:H1616"/>
    <mergeCell ref="G1834:H1834"/>
    <mergeCell ref="G1835:H1835"/>
    <mergeCell ref="G1836:H1836"/>
    <mergeCell ref="G1837:H1837"/>
    <mergeCell ref="G1839:H1839"/>
    <mergeCell ref="C1843:D1843"/>
    <mergeCell ref="G1709:H1709"/>
    <mergeCell ref="B1716:D1716"/>
    <mergeCell ref="B1751:D1751"/>
    <mergeCell ref="E1751:E1752"/>
    <mergeCell ref="G1833:H1833"/>
    <mergeCell ref="G1762:H1762"/>
    <mergeCell ref="G1759:H1759"/>
    <mergeCell ref="G1760:H1760"/>
    <mergeCell ref="G1761:H1761"/>
    <mergeCell ref="F1770:H1770"/>
    <mergeCell ref="B1825:D1825"/>
    <mergeCell ref="E1825:E1826"/>
    <mergeCell ref="G1763:H1763"/>
    <mergeCell ref="G1765:H1765"/>
    <mergeCell ref="B1790:D1790"/>
    <mergeCell ref="C1769:D1769"/>
    <mergeCell ref="G1783:H1783"/>
    <mergeCell ref="G1825:G1826"/>
    <mergeCell ref="F1844:H1844"/>
    <mergeCell ref="G2206:H2206"/>
    <mergeCell ref="G1859:H1859"/>
    <mergeCell ref="B1864:D1864"/>
    <mergeCell ref="B1899:D1899"/>
    <mergeCell ref="G2203:H2203"/>
    <mergeCell ref="C1917:D1917"/>
    <mergeCell ref="G2204:H2204"/>
    <mergeCell ref="G2205:H2205"/>
    <mergeCell ref="B2160:D2160"/>
    <mergeCell ref="E1899:E1900"/>
    <mergeCell ref="G1899:G1900"/>
    <mergeCell ref="G1907:H1907"/>
    <mergeCell ref="G1908:H1908"/>
    <mergeCell ref="G2195:G2196"/>
    <mergeCell ref="G1909:H1909"/>
    <mergeCell ref="F2140:H2140"/>
    <mergeCell ref="G2153:H2153"/>
    <mergeCell ref="G2056:H2056"/>
    <mergeCell ref="G1910:H1910"/>
    <mergeCell ref="G1911:H1911"/>
    <mergeCell ref="G1913:H1913"/>
    <mergeCell ref="G2131:H2131"/>
    <mergeCell ref="F1918:H1918"/>
    <mergeCell ref="G1931:H1931"/>
    <mergeCell ref="B1937:D1937"/>
    <mergeCell ref="B1938:D1938"/>
    <mergeCell ref="E1973:E1974"/>
    <mergeCell ref="G1973:G1974"/>
    <mergeCell ref="B1973:D1973"/>
    <mergeCell ref="G1985:H1985"/>
    <mergeCell ref="G2129:H2129"/>
    <mergeCell ref="G2130:H2130"/>
    <mergeCell ref="G1981:H1981"/>
    <mergeCell ref="G1982:H1982"/>
    <mergeCell ref="G1983:H1983"/>
    <mergeCell ref="G1984:H1984"/>
    <mergeCell ref="G1987:H1987"/>
    <mergeCell ref="G2055:H2055"/>
    <mergeCell ref="G2057:H2057"/>
    <mergeCell ref="G2058:H2058"/>
    <mergeCell ref="G2059:H2059"/>
    <mergeCell ref="G2061:H2061"/>
    <mergeCell ref="C2065:D2065"/>
    <mergeCell ref="F2066:H2066"/>
    <mergeCell ref="G2079:H2079"/>
    <mergeCell ref="B2085:D2085"/>
    <mergeCell ref="C1991:D1991"/>
    <mergeCell ref="F1992:H1992"/>
    <mergeCell ref="G2005:H2005"/>
    <mergeCell ref="B2011:D2011"/>
    <mergeCell ref="B2012:D2012"/>
    <mergeCell ref="B2047:D2047"/>
    <mergeCell ref="E2047:E2048"/>
    <mergeCell ref="G2047:G2048"/>
    <mergeCell ref="G2227:H2227"/>
    <mergeCell ref="B2233:D2233"/>
    <mergeCell ref="B2234:D2234"/>
    <mergeCell ref="B2269:D2269"/>
    <mergeCell ref="E2269:E2270"/>
    <mergeCell ref="G2269:G2270"/>
    <mergeCell ref="B2086:D2086"/>
    <mergeCell ref="B2121:D2121"/>
    <mergeCell ref="E2121:E2122"/>
    <mergeCell ref="G2121:G2122"/>
    <mergeCell ref="G2207:H2207"/>
    <mergeCell ref="G2209:H2209"/>
    <mergeCell ref="C2213:D2213"/>
    <mergeCell ref="F2214:H2214"/>
    <mergeCell ref="B2195:D2195"/>
    <mergeCell ref="E2195:E2196"/>
    <mergeCell ref="B2159:D2159"/>
    <mergeCell ref="C2139:D2139"/>
    <mergeCell ref="G2132:H2132"/>
    <mergeCell ref="G2133:H2133"/>
    <mergeCell ref="G2135:H2135"/>
    <mergeCell ref="G2281:H2281"/>
    <mergeCell ref="G2283:H2283"/>
    <mergeCell ref="C2287:D2287"/>
    <mergeCell ref="F2288:H2288"/>
    <mergeCell ref="G2277:H2277"/>
    <mergeCell ref="G2278:H2278"/>
    <mergeCell ref="G2355:H2355"/>
    <mergeCell ref="G2357:H2357"/>
    <mergeCell ref="G2301:H2301"/>
    <mergeCell ref="G2343:G2344"/>
    <mergeCell ref="G2351:H2351"/>
    <mergeCell ref="G2352:H2352"/>
    <mergeCell ref="G2353:H2353"/>
    <mergeCell ref="G2354:H2354"/>
    <mergeCell ref="G2279:H2279"/>
    <mergeCell ref="G2280:H2280"/>
    <mergeCell ref="C2361:D2361"/>
    <mergeCell ref="F2362:H2362"/>
    <mergeCell ref="G2375:H2375"/>
    <mergeCell ref="B2381:D2381"/>
    <mergeCell ref="B2382:D2382"/>
    <mergeCell ref="B2417:D2417"/>
    <mergeCell ref="E2417:E2418"/>
    <mergeCell ref="G2417:G2418"/>
    <mergeCell ref="B2307:D2307"/>
    <mergeCell ref="B2308:D2308"/>
    <mergeCell ref="B2343:D2343"/>
    <mergeCell ref="E2343:E2344"/>
    <mergeCell ref="C2435:D2435"/>
    <mergeCell ref="F2436:H2436"/>
    <mergeCell ref="G2449:H2449"/>
    <mergeCell ref="B2455:D2455"/>
    <mergeCell ref="B2456:D2456"/>
    <mergeCell ref="B2491:D2491"/>
    <mergeCell ref="E2491:E2492"/>
    <mergeCell ref="G2491:G2492"/>
    <mergeCell ref="G2425:H2425"/>
    <mergeCell ref="G2426:H2426"/>
    <mergeCell ref="G2427:H2427"/>
    <mergeCell ref="G2428:H2428"/>
    <mergeCell ref="G2429:H2429"/>
    <mergeCell ref="G2431:H2431"/>
    <mergeCell ref="C2509:D2509"/>
    <mergeCell ref="F2510:H2510"/>
    <mergeCell ref="G2523:H2523"/>
    <mergeCell ref="B2529:D2529"/>
    <mergeCell ref="B2530:D2530"/>
    <mergeCell ref="B2565:D2565"/>
    <mergeCell ref="E2565:E2566"/>
    <mergeCell ref="G2565:G2566"/>
    <mergeCell ref="G2499:H2499"/>
    <mergeCell ref="G2500:H2500"/>
    <mergeCell ref="G2501:H2501"/>
    <mergeCell ref="G2502:H2502"/>
    <mergeCell ref="G2503:H2503"/>
    <mergeCell ref="G2504:H2504"/>
    <mergeCell ref="C2583:D2583"/>
    <mergeCell ref="F2584:H2584"/>
    <mergeCell ref="G2597:H2597"/>
    <mergeCell ref="B2603:D2603"/>
    <mergeCell ref="B2604:D2604"/>
    <mergeCell ref="B2639:D2639"/>
    <mergeCell ref="E2639:E2640"/>
    <mergeCell ref="G2639:G2640"/>
    <mergeCell ref="G2573:H2573"/>
    <mergeCell ref="G2574:H2574"/>
    <mergeCell ref="G2575:H2575"/>
    <mergeCell ref="G2576:H2576"/>
    <mergeCell ref="G2577:H2577"/>
    <mergeCell ref="G2579:H2579"/>
    <mergeCell ref="C2657:D2657"/>
    <mergeCell ref="F2658:H2658"/>
    <mergeCell ref="G2671:H2671"/>
    <mergeCell ref="B2677:D2677"/>
    <mergeCell ref="B2678:D2678"/>
    <mergeCell ref="B2713:D2713"/>
    <mergeCell ref="E2713:E2714"/>
    <mergeCell ref="G2713:G2714"/>
    <mergeCell ref="G2647:H2647"/>
    <mergeCell ref="G2648:H2648"/>
    <mergeCell ref="G2649:H2649"/>
    <mergeCell ref="G2650:H2650"/>
    <mergeCell ref="G2651:H2651"/>
    <mergeCell ref="G2653:H2653"/>
    <mergeCell ref="C2731:D2731"/>
    <mergeCell ref="F2732:H2732"/>
    <mergeCell ref="G2745:H2745"/>
    <mergeCell ref="B2751:D2751"/>
    <mergeCell ref="B2752:D2752"/>
    <mergeCell ref="B2787:D2787"/>
    <mergeCell ref="E2787:E2788"/>
    <mergeCell ref="G2787:G2788"/>
    <mergeCell ref="G2721:H2721"/>
    <mergeCell ref="G2722:H2722"/>
    <mergeCell ref="G2723:H2723"/>
    <mergeCell ref="G2724:H2724"/>
    <mergeCell ref="G2725:H2725"/>
    <mergeCell ref="G2727:H2727"/>
    <mergeCell ref="C2805:D2805"/>
    <mergeCell ref="F2806:H2806"/>
    <mergeCell ref="G2819:H2819"/>
    <mergeCell ref="B2825:D2825"/>
    <mergeCell ref="B2826:D2826"/>
    <mergeCell ref="B2861:D2861"/>
    <mergeCell ref="E2861:E2862"/>
    <mergeCell ref="G2861:G2862"/>
    <mergeCell ref="G2795:H2795"/>
    <mergeCell ref="G2796:H2796"/>
    <mergeCell ref="G2797:H2797"/>
    <mergeCell ref="G2798:H2798"/>
    <mergeCell ref="G2799:H2799"/>
    <mergeCell ref="G2801:H2801"/>
    <mergeCell ref="C2879:D2879"/>
    <mergeCell ref="F2880:H2880"/>
    <mergeCell ref="G2893:H2893"/>
    <mergeCell ref="B2899:D2899"/>
    <mergeCell ref="B2900:D2900"/>
    <mergeCell ref="B2934:D2934"/>
    <mergeCell ref="E2934:E2935"/>
    <mergeCell ref="G2934:G2935"/>
    <mergeCell ref="G2869:H2869"/>
    <mergeCell ref="G2870:H2870"/>
    <mergeCell ref="G2871:H2871"/>
    <mergeCell ref="G2872:H2872"/>
    <mergeCell ref="G2873:H2873"/>
    <mergeCell ref="G2874:H2874"/>
    <mergeCell ref="B2973:D2973"/>
    <mergeCell ref="G2946:H2946"/>
    <mergeCell ref="G2948:H2948"/>
    <mergeCell ref="C2952:D2952"/>
    <mergeCell ref="F2953:H2953"/>
    <mergeCell ref="G2966:H2966"/>
    <mergeCell ref="B2972:D2972"/>
    <mergeCell ref="G2942:H2942"/>
    <mergeCell ref="G2943:H2943"/>
    <mergeCell ref="G2944:H2944"/>
    <mergeCell ref="G2945:H2945"/>
  </mergeCells>
  <phoneticPr fontId="0" type="noConversion"/>
  <pageMargins left="0.39370078740157483" right="0.23622047244094491" top="0.59055118110236227" bottom="1" header="3.937007874015748E-2" footer="0"/>
  <pageSetup paperSize="9" scale="56" orientation="portrait" horizontalDpi="4294967294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9B5D0-735D-433A-B955-A822CEBC42D9}">
  <dimension ref="A8:N11"/>
  <sheetViews>
    <sheetView workbookViewId="0">
      <selection activeCell="H14" sqref="H14"/>
    </sheetView>
  </sheetViews>
  <sheetFormatPr baseColWidth="10" defaultRowHeight="12.75" x14ac:dyDescent="0.2"/>
  <cols>
    <col min="4" max="4" width="11.42578125" style="84"/>
  </cols>
  <sheetData>
    <row r="8" spans="1:14" x14ac:dyDescent="0.2">
      <c r="D8" s="84" t="s">
        <v>213</v>
      </c>
      <c r="E8" t="s">
        <v>214</v>
      </c>
      <c r="F8" t="s">
        <v>215</v>
      </c>
      <c r="G8" t="s">
        <v>216</v>
      </c>
      <c r="H8" t="s">
        <v>217</v>
      </c>
      <c r="I8" t="s">
        <v>0</v>
      </c>
      <c r="J8" t="s">
        <v>218</v>
      </c>
      <c r="K8" t="s">
        <v>219</v>
      </c>
      <c r="L8" t="s">
        <v>220</v>
      </c>
      <c r="M8" t="s">
        <v>221</v>
      </c>
      <c r="N8" t="s">
        <v>222</v>
      </c>
    </row>
    <row r="9" spans="1:14" ht="15" x14ac:dyDescent="0.2">
      <c r="A9" s="154" t="s">
        <v>212</v>
      </c>
      <c r="D9" s="84">
        <f>+[8]Recibo!$I$51</f>
        <v>3168.4548249999998</v>
      </c>
      <c r="E9" s="84">
        <f>+[8]Recibo!$I$51</f>
        <v>3168.4548249999998</v>
      </c>
      <c r="F9" s="84">
        <f>+[9]Recibo!$I$51</f>
        <v>3400.759</v>
      </c>
      <c r="G9" s="84">
        <f>+[10]Recibo!$I$103</f>
        <v>3820.1955000000003</v>
      </c>
      <c r="H9" s="84"/>
      <c r="I9" s="84">
        <f>SUM(D9:H9)</f>
        <v>13557.864149999999</v>
      </c>
    </row>
    <row r="10" spans="1:14" x14ac:dyDescent="0.2">
      <c r="D10" s="84">
        <f>-[8]Recibo!$J$51</f>
        <v>-675.25751324999987</v>
      </c>
      <c r="E10" s="84">
        <f>-[11]Recibo!$J$199</f>
        <v>-511.10797500000001</v>
      </c>
      <c r="F10" s="84">
        <f>-[9]Recibo!$J$51</f>
        <v>-723.30939000000001</v>
      </c>
      <c r="G10" s="84">
        <f>-[10]Recibo!$J$103</f>
        <v>-813.24105500000007</v>
      </c>
      <c r="H10" s="84"/>
      <c r="I10" s="84">
        <f>SUM(D10:H10)</f>
        <v>-2722.9159332499999</v>
      </c>
    </row>
    <row r="11" spans="1:14" x14ac:dyDescent="0.2">
      <c r="D11" s="84">
        <f>SUM(D9:D10)</f>
        <v>2493.1973117500002</v>
      </c>
      <c r="E11" s="84">
        <f>SUM(E9:E10)</f>
        <v>2657.3468499999999</v>
      </c>
      <c r="F11" s="84">
        <f>SUM(F9:F10)</f>
        <v>2677.4496100000001</v>
      </c>
      <c r="G11" s="84">
        <f>SUM(G9:G10)</f>
        <v>3006.9544450000003</v>
      </c>
      <c r="I11" s="84">
        <f>SUM(D11:H11)</f>
        <v>10834.948216749999</v>
      </c>
      <c r="J11">
        <v>-3125</v>
      </c>
      <c r="K11">
        <v>-3335</v>
      </c>
      <c r="L11">
        <f>-1665*4</f>
        <v>-6660</v>
      </c>
      <c r="N11">
        <v>-3125</v>
      </c>
    </row>
  </sheetData>
  <phoneticPr fontId="0" type="noConversion"/>
  <pageMargins left="0.75" right="0.75" top="1" bottom="1" header="0" footer="0"/>
  <pageSetup paperSize="9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E6557-3F10-4657-8A23-E45226F1A03C}">
  <dimension ref="A1:D15"/>
  <sheetViews>
    <sheetView workbookViewId="0">
      <selection activeCell="C5" sqref="C5"/>
    </sheetView>
  </sheetViews>
  <sheetFormatPr baseColWidth="10" defaultRowHeight="12.75" x14ac:dyDescent="0.2"/>
  <sheetData>
    <row r="1" spans="1:4" x14ac:dyDescent="0.2">
      <c r="A1" t="s">
        <v>183</v>
      </c>
    </row>
    <row r="2" spans="1:4" x14ac:dyDescent="0.2">
      <c r="A2" t="s">
        <v>176</v>
      </c>
      <c r="B2">
        <v>2002</v>
      </c>
      <c r="C2">
        <v>593</v>
      </c>
      <c r="D2">
        <v>2950</v>
      </c>
    </row>
    <row r="3" spans="1:4" x14ac:dyDescent="0.2">
      <c r="A3" t="s">
        <v>177</v>
      </c>
      <c r="C3">
        <v>720</v>
      </c>
      <c r="D3">
        <v>3589</v>
      </c>
    </row>
    <row r="4" spans="1:4" x14ac:dyDescent="0.2">
      <c r="A4" t="s">
        <v>178</v>
      </c>
      <c r="B4">
        <v>2002</v>
      </c>
      <c r="C4">
        <v>622</v>
      </c>
      <c r="D4">
        <v>3100</v>
      </c>
    </row>
    <row r="6" spans="1:4" x14ac:dyDescent="0.2">
      <c r="A6" t="s">
        <v>179</v>
      </c>
      <c r="C6">
        <v>697</v>
      </c>
      <c r="D6">
        <v>3472</v>
      </c>
    </row>
    <row r="7" spans="1:4" x14ac:dyDescent="0.2">
      <c r="A7" t="s">
        <v>180</v>
      </c>
      <c r="B7">
        <v>2002</v>
      </c>
      <c r="C7">
        <v>677</v>
      </c>
      <c r="D7">
        <v>3379</v>
      </c>
    </row>
    <row r="8" spans="1:4" x14ac:dyDescent="0.2">
      <c r="A8" t="s">
        <v>181</v>
      </c>
      <c r="C8">
        <v>689</v>
      </c>
      <c r="D8">
        <v>3430</v>
      </c>
    </row>
    <row r="9" spans="1:4" x14ac:dyDescent="0.2">
      <c r="A9" t="s">
        <v>182</v>
      </c>
      <c r="C9">
        <v>687</v>
      </c>
      <c r="D9">
        <v>3427</v>
      </c>
    </row>
    <row r="10" spans="1:4" x14ac:dyDescent="0.2">
      <c r="A10" t="s">
        <v>175</v>
      </c>
      <c r="B10">
        <v>2002</v>
      </c>
      <c r="C10">
        <v>667</v>
      </c>
      <c r="D10">
        <v>3327</v>
      </c>
    </row>
    <row r="11" spans="1:4" x14ac:dyDescent="0.2">
      <c r="A11" t="s">
        <v>176</v>
      </c>
      <c r="B11">
        <v>2003</v>
      </c>
      <c r="C11">
        <v>646</v>
      </c>
      <c r="D11">
        <v>3219</v>
      </c>
    </row>
    <row r="12" spans="1:4" x14ac:dyDescent="0.2">
      <c r="A12" t="s">
        <v>177</v>
      </c>
      <c r="C12">
        <v>881</v>
      </c>
      <c r="D12">
        <v>4391</v>
      </c>
    </row>
    <row r="13" spans="1:4" x14ac:dyDescent="0.2">
      <c r="A13" t="s">
        <v>184</v>
      </c>
      <c r="C13">
        <v>689</v>
      </c>
      <c r="D13">
        <v>3436</v>
      </c>
    </row>
    <row r="14" spans="1:4" x14ac:dyDescent="0.2">
      <c r="A14" t="s">
        <v>185</v>
      </c>
      <c r="C14">
        <v>680</v>
      </c>
    </row>
    <row r="15" spans="1:4" x14ac:dyDescent="0.2">
      <c r="A15" t="s">
        <v>179</v>
      </c>
      <c r="C15">
        <v>780</v>
      </c>
    </row>
  </sheetData>
  <phoneticPr fontId="0" type="noConversion"/>
  <pageMargins left="0.75" right="0.75" top="1" bottom="1" header="0" footer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18EB1-3885-47FC-881A-1D530DA63A2B}">
  <dimension ref="A2:G12"/>
  <sheetViews>
    <sheetView workbookViewId="0">
      <selection activeCell="D15" sqref="D15"/>
    </sheetView>
  </sheetViews>
  <sheetFormatPr baseColWidth="10" defaultRowHeight="12.75" x14ac:dyDescent="0.2"/>
  <cols>
    <col min="4" max="4" width="39.7109375" style="84" customWidth="1"/>
  </cols>
  <sheetData>
    <row r="2" spans="1:7" x14ac:dyDescent="0.2">
      <c r="A2" s="350" t="s">
        <v>164</v>
      </c>
      <c r="B2" s="350"/>
      <c r="C2" s="350"/>
      <c r="D2" s="350"/>
      <c r="E2" s="350"/>
      <c r="F2" s="350"/>
      <c r="G2" s="350"/>
    </row>
    <row r="4" spans="1:7" x14ac:dyDescent="0.2">
      <c r="A4" s="114" t="s">
        <v>168</v>
      </c>
    </row>
    <row r="7" spans="1:7" x14ac:dyDescent="0.2">
      <c r="A7" t="s">
        <v>165</v>
      </c>
      <c r="E7" s="84">
        <v>60393.599999999999</v>
      </c>
    </row>
    <row r="8" spans="1:7" x14ac:dyDescent="0.2">
      <c r="A8" t="s">
        <v>166</v>
      </c>
      <c r="E8" s="84">
        <f>-8052.31</f>
        <v>-8052.31</v>
      </c>
    </row>
    <row r="9" spans="1:7" x14ac:dyDescent="0.2">
      <c r="A9" t="s">
        <v>169</v>
      </c>
      <c r="E9" s="84">
        <v>-50960.07</v>
      </c>
    </row>
    <row r="10" spans="1:7" x14ac:dyDescent="0.2">
      <c r="A10" t="s">
        <v>170</v>
      </c>
      <c r="E10" s="84" t="e">
        <f>-'RES CUENTA'!#REF!+0.9</f>
        <v>#REF!</v>
      </c>
    </row>
    <row r="11" spans="1:7" x14ac:dyDescent="0.2">
      <c r="A11" t="s">
        <v>171</v>
      </c>
      <c r="E11" s="85">
        <v>100</v>
      </c>
    </row>
    <row r="12" spans="1:7" x14ac:dyDescent="0.2">
      <c r="A12" t="s">
        <v>167</v>
      </c>
      <c r="E12" s="84" t="e">
        <f>SUM(E7:E11)</f>
        <v>#REF!</v>
      </c>
    </row>
  </sheetData>
  <mergeCells count="1">
    <mergeCell ref="A2:G2"/>
  </mergeCells>
  <phoneticPr fontId="0" type="noConversion"/>
  <pageMargins left="0.75" right="0.75" top="1" bottom="1" header="0" footer="0"/>
  <pageSetup paperSize="9" orientation="portrait" horizontalDpi="0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8D78C-CFE5-4D0B-8E05-F4805454134B}">
  <dimension ref="C8:G19"/>
  <sheetViews>
    <sheetView workbookViewId="0">
      <selection activeCell="G19" sqref="G19"/>
    </sheetView>
  </sheetViews>
  <sheetFormatPr baseColWidth="10" defaultRowHeight="12.75" x14ac:dyDescent="0.2"/>
  <sheetData>
    <row r="8" spans="3:7" x14ac:dyDescent="0.2">
      <c r="C8" s="1">
        <v>44774</v>
      </c>
      <c r="D8">
        <v>560</v>
      </c>
      <c r="E8">
        <v>619</v>
      </c>
    </row>
    <row r="9" spans="3:7" x14ac:dyDescent="0.2">
      <c r="C9" s="1">
        <v>44805</v>
      </c>
      <c r="D9">
        <v>560</v>
      </c>
      <c r="E9">
        <v>637</v>
      </c>
    </row>
    <row r="10" spans="3:7" x14ac:dyDescent="0.2">
      <c r="C10" s="1">
        <v>44835</v>
      </c>
      <c r="D10">
        <v>680</v>
      </c>
      <c r="E10">
        <v>657</v>
      </c>
    </row>
    <row r="11" spans="3:7" x14ac:dyDescent="0.2">
      <c r="C11" s="1">
        <v>44866</v>
      </c>
      <c r="D11">
        <v>680</v>
      </c>
      <c r="E11">
        <v>706</v>
      </c>
    </row>
    <row r="12" spans="3:7" x14ac:dyDescent="0.2">
      <c r="C12" s="1">
        <v>44896</v>
      </c>
      <c r="D12">
        <v>925</v>
      </c>
      <c r="E12">
        <v>879</v>
      </c>
    </row>
    <row r="13" spans="3:7" x14ac:dyDescent="0.2">
      <c r="C13" s="1">
        <v>44927</v>
      </c>
      <c r="D13">
        <v>925</v>
      </c>
      <c r="E13">
        <v>940</v>
      </c>
    </row>
    <row r="14" spans="3:7" x14ac:dyDescent="0.2">
      <c r="C14" s="1">
        <v>44958</v>
      </c>
      <c r="D14">
        <v>925</v>
      </c>
      <c r="E14">
        <v>964</v>
      </c>
    </row>
    <row r="15" spans="3:7" x14ac:dyDescent="0.2">
      <c r="C15" t="s">
        <v>0</v>
      </c>
      <c r="D15">
        <f>SUM(D8:D14)</f>
        <v>5255</v>
      </c>
      <c r="E15">
        <f>SUM(E8:E14)</f>
        <v>5402</v>
      </c>
    </row>
    <row r="16" spans="3:7" x14ac:dyDescent="0.2">
      <c r="G16">
        <v>980</v>
      </c>
    </row>
    <row r="17" spans="7:7" x14ac:dyDescent="0.2">
      <c r="G17">
        <v>925</v>
      </c>
    </row>
    <row r="18" spans="7:7" x14ac:dyDescent="0.2">
      <c r="G18">
        <f>+G16-G17</f>
        <v>55</v>
      </c>
    </row>
    <row r="19" spans="7:7" x14ac:dyDescent="0.2">
      <c r="G19">
        <f>+G18/G17</f>
        <v>5.9459459459459463E-2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9</vt:i4>
      </vt:variant>
      <vt:variant>
        <vt:lpstr>Gráficos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14" baseType="lpstr">
      <vt:lpstr>LIQ</vt:lpstr>
      <vt:lpstr>RES CUENTA</vt:lpstr>
      <vt:lpstr>INTERESES</vt:lpstr>
      <vt:lpstr>SUELDO</vt:lpstr>
      <vt:lpstr>RECIBOS</vt:lpstr>
      <vt:lpstr>RET GCIA</vt:lpstr>
      <vt:lpstr>Hoja2</vt:lpstr>
      <vt:lpstr>Hoja1</vt:lpstr>
      <vt:lpstr>Hoja3</vt:lpstr>
      <vt:lpstr>Gráfico1</vt:lpstr>
      <vt:lpstr>LIQ!Área_de_impresión</vt:lpstr>
      <vt:lpstr>RECIBOS!Área_de_impresión</vt:lpstr>
      <vt:lpstr>'RES CUENTA'!Área_de_impresión</vt:lpstr>
      <vt:lpstr>SUELDO!Área_de_impresión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Karina Malito</cp:lastModifiedBy>
  <cp:lastPrinted>2026-05-29T17:39:07Z</cp:lastPrinted>
  <dcterms:created xsi:type="dcterms:W3CDTF">2002-09-08T00:47:01Z</dcterms:created>
  <dcterms:modified xsi:type="dcterms:W3CDTF">2026-05-29T17:41:01Z</dcterms:modified>
</cp:coreProperties>
</file>