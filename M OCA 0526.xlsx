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/>
  <mc:AlternateContent xmlns:mc="http://schemas.openxmlformats.org/markup-compatibility/2006">
    <mc:Choice Requires="x15">
      <x15ac:absPath xmlns:x15ac="http://schemas.microsoft.com/office/spreadsheetml/2010/11/ac" url="D:\PC KARINA 2026\MONTES DE OCA 2026\"/>
    </mc:Choice>
  </mc:AlternateContent>
  <xr:revisionPtr revIDLastSave="0" documentId="13_ncr:1_{663A2FFB-699A-4E89-BB55-2A2B478AB054}" xr6:coauthVersionLast="47" xr6:coauthVersionMax="47" xr10:uidLastSave="{00000000-0000-0000-0000-000000000000}"/>
  <bookViews>
    <workbookView xWindow="-120" yWindow="-120" windowWidth="20730" windowHeight="11160" xr2:uid="{11A00CAA-5636-46CB-82D2-2F6D048A7C06}"/>
  </bookViews>
  <sheets>
    <sheet name="LIQ" sheetId="1" r:id="rId1"/>
    <sheet name="RES CUENTA" sheetId="2" r:id="rId2"/>
    <sheet name="INTERESES" sheetId="8" r:id="rId3"/>
    <sheet name="RECIBOS" sheetId="4" r:id="rId4"/>
    <sheet name="SUELDO" sheetId="5" r:id="rId5"/>
    <sheet name="Hoja3" sheetId="9" r:id="rId6"/>
    <sheet name="Hoja4" sheetId="10" r:id="rId7"/>
    <sheet name="Hoja2" sheetId="7" r:id="rId8"/>
    <sheet name="Hoja 3" sheetId="3" r:id="rId9"/>
    <sheet name="Hoja1" sheetId="6" r:id="rId10"/>
    <sheet name="Hoja5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'RES CUENTA'!$P$4:$P$35</definedName>
    <definedName name="_xlnm.Print_Area" localSheetId="8">'Hoja 3'!#REF!</definedName>
    <definedName name="_xlnm.Print_Area" localSheetId="0">LIQ!$A$1:$J$73</definedName>
    <definedName name="_xlnm.Print_Area" localSheetId="3">RECIBOS!$A$793:$I$826</definedName>
    <definedName name="_xlnm.Print_Area" localSheetId="1">'RES CUENTA'!$A$1:$R$70</definedName>
    <definedName name="_xlnm.Print_Area" localSheetId="4">SUELDO!$A$1:$G$65</definedName>
  </definedNames>
  <calcPr calcId="191029"/>
</workbook>
</file>

<file path=xl/calcChain.xml><?xml version="1.0" encoding="utf-8"?>
<calcChain xmlns="http://schemas.openxmlformats.org/spreadsheetml/2006/main">
  <c r="N77" i="1" l="1"/>
  <c r="G57" i="1"/>
  <c r="N30" i="2"/>
  <c r="M30" i="2"/>
  <c r="I53" i="8"/>
  <c r="F51" i="8"/>
  <c r="I51" i="8" s="1"/>
  <c r="F38" i="8"/>
  <c r="I38" i="8" s="1"/>
  <c r="N71" i="1"/>
  <c r="I17" i="1"/>
  <c r="M17" i="1"/>
  <c r="N70" i="1"/>
  <c r="M30" i="1"/>
  <c r="M23" i="1"/>
  <c r="L30" i="1"/>
  <c r="I30" i="1"/>
  <c r="L44" i="1"/>
  <c r="L54" i="1"/>
  <c r="I55" i="1"/>
  <c r="Z27" i="2"/>
  <c r="Y28" i="2"/>
  <c r="I49" i="1"/>
  <c r="L57" i="1"/>
  <c r="O70" i="1" s="1"/>
  <c r="H57" i="1"/>
  <c r="I56" i="8"/>
  <c r="I23" i="1"/>
  <c r="M58" i="1" l="1"/>
  <c r="I16" i="8"/>
  <c r="H62" i="1" l="1"/>
  <c r="O72" i="1"/>
  <c r="O42" i="1"/>
  <c r="I45" i="1" l="1"/>
  <c r="M11" i="1" l="1"/>
  <c r="J59" i="5" l="1"/>
  <c r="L52" i="5"/>
  <c r="G72" i="1" l="1"/>
  <c r="P71" i="1"/>
  <c r="P77" i="1" s="1"/>
  <c r="N44" i="1"/>
  <c r="N57" i="1" s="1"/>
  <c r="P70" i="1" s="1"/>
  <c r="N79" i="1"/>
  <c r="N83" i="1" s="1"/>
  <c r="O38" i="1"/>
  <c r="AC27" i="2"/>
  <c r="G60" i="1"/>
  <c r="G62" i="1" s="1"/>
  <c r="G63" i="1" s="1"/>
  <c r="O23" i="1"/>
  <c r="M36" i="2"/>
  <c r="G617" i="4"/>
  <c r="G633" i="4" s="1"/>
  <c r="K36" i="2"/>
  <c r="S44" i="2" s="1"/>
  <c r="I67" i="8"/>
  <c r="I57" i="8"/>
  <c r="I49" i="8"/>
  <c r="Q66" i="1"/>
  <c r="AC28" i="2"/>
  <c r="N69" i="1"/>
  <c r="Q69" i="1" s="1"/>
  <c r="G426" i="4"/>
  <c r="G443" i="4" s="1"/>
  <c r="K45" i="1"/>
  <c r="I29" i="8"/>
  <c r="I30" i="8" s="1"/>
  <c r="Q72" i="1"/>
  <c r="S72" i="1" s="1"/>
  <c r="I47" i="8"/>
  <c r="I45" i="8"/>
  <c r="G92" i="4"/>
  <c r="G108" i="4" s="1"/>
  <c r="I12" i="8"/>
  <c r="C12" i="8"/>
  <c r="AC15" i="2"/>
  <c r="I10" i="8"/>
  <c r="F21" i="2"/>
  <c r="D8" i="4" s="1"/>
  <c r="E31" i="2"/>
  <c r="O74" i="1"/>
  <c r="D99" i="1"/>
  <c r="D98" i="1"/>
  <c r="G69" i="1"/>
  <c r="R68" i="1" s="1"/>
  <c r="AH15" i="2"/>
  <c r="AI15" i="2" s="1"/>
  <c r="Q68" i="1"/>
  <c r="E33" i="2"/>
  <c r="E30" i="2"/>
  <c r="G275" i="4"/>
  <c r="G292" i="4" s="1"/>
  <c r="E71" i="5"/>
  <c r="AC26" i="2"/>
  <c r="BA27" i="2"/>
  <c r="I65" i="8"/>
  <c r="C53" i="8"/>
  <c r="AH29" i="2"/>
  <c r="AI29" i="2" s="1"/>
  <c r="BA24" i="2"/>
  <c r="E127" i="4"/>
  <c r="O52" i="5"/>
  <c r="P63" i="5"/>
  <c r="N52" i="5"/>
  <c r="I40" i="1"/>
  <c r="M39" i="1" s="1"/>
  <c r="C16" i="8"/>
  <c r="C38" i="8"/>
  <c r="AP16" i="2"/>
  <c r="E35" i="2"/>
  <c r="E34" i="2"/>
  <c r="E32" i="2"/>
  <c r="E29" i="2"/>
  <c r="E25" i="2"/>
  <c r="E22" i="2"/>
  <c r="E21" i="2"/>
  <c r="E20" i="2"/>
  <c r="E19" i="2"/>
  <c r="E18" i="2"/>
  <c r="E17" i="2"/>
  <c r="E16" i="2"/>
  <c r="P16" i="1"/>
  <c r="P15" i="1"/>
  <c r="Q39" i="1"/>
  <c r="P37" i="1"/>
  <c r="P29" i="1"/>
  <c r="C819" i="4"/>
  <c r="C782" i="4"/>
  <c r="C743" i="4"/>
  <c r="C706" i="4"/>
  <c r="C667" i="4"/>
  <c r="C630" i="4"/>
  <c r="C591" i="4"/>
  <c r="C554" i="4"/>
  <c r="C515" i="4"/>
  <c r="C478" i="4"/>
  <c r="C440" i="4"/>
  <c r="C403" i="4"/>
  <c r="C364" i="4"/>
  <c r="C328" i="4"/>
  <c r="C289" i="4"/>
  <c r="C253" i="4"/>
  <c r="C214" i="4"/>
  <c r="C178" i="4"/>
  <c r="C140" i="4"/>
  <c r="C105" i="4"/>
  <c r="C66" i="4"/>
  <c r="F5" i="4"/>
  <c r="C744" i="4" s="1"/>
  <c r="L62" i="1"/>
  <c r="AX36" i="2"/>
  <c r="BA37" i="2"/>
  <c r="BA35" i="2"/>
  <c r="BA34" i="2"/>
  <c r="BA33" i="2"/>
  <c r="BA32" i="2"/>
  <c r="BA31" i="2"/>
  <c r="BA30" i="2"/>
  <c r="BA29" i="2"/>
  <c r="BA26" i="2"/>
  <c r="BA25" i="2"/>
  <c r="BA23" i="2"/>
  <c r="BA22" i="2"/>
  <c r="BA21" i="2"/>
  <c r="BA20" i="2"/>
  <c r="BA19" i="2"/>
  <c r="BA18" i="2"/>
  <c r="BA17" i="2"/>
  <c r="BA16" i="2"/>
  <c r="BA15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19" i="2"/>
  <c r="AZ18" i="2"/>
  <c r="AZ17" i="2"/>
  <c r="AZ16" i="2"/>
  <c r="AY21" i="2"/>
  <c r="AZ21" i="2" s="1"/>
  <c r="AY20" i="2"/>
  <c r="AZ20" i="2" s="1"/>
  <c r="AP35" i="2"/>
  <c r="AP34" i="2"/>
  <c r="G694" i="4"/>
  <c r="G710" i="4" s="1"/>
  <c r="G693" i="4"/>
  <c r="G709" i="4" s="1"/>
  <c r="G501" i="4"/>
  <c r="G518" i="4" s="1"/>
  <c r="G351" i="4"/>
  <c r="G368" i="4" s="1"/>
  <c r="G350" i="4"/>
  <c r="G367" i="4" s="1"/>
  <c r="G316" i="4"/>
  <c r="G332" i="4" s="1"/>
  <c r="G315" i="4"/>
  <c r="G331" i="4" s="1"/>
  <c r="G241" i="4"/>
  <c r="G257" i="4" s="1"/>
  <c r="G240" i="4"/>
  <c r="G256" i="4" s="1"/>
  <c r="G201" i="4"/>
  <c r="G218" i="4" s="1"/>
  <c r="G200" i="4"/>
  <c r="G217" i="4" s="1"/>
  <c r="G127" i="4"/>
  <c r="G145" i="4" s="1"/>
  <c r="G126" i="4"/>
  <c r="G144" i="4" s="1"/>
  <c r="F1" i="4"/>
  <c r="F1226" i="4" s="1"/>
  <c r="AT35" i="2"/>
  <c r="AS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0" i="2"/>
  <c r="AT19" i="2"/>
  <c r="AT18" i="2"/>
  <c r="AT17" i="2"/>
  <c r="AT16" i="2"/>
  <c r="AT1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S16" i="2"/>
  <c r="E72" i="5"/>
  <c r="C8" i="8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L5" i="2"/>
  <c r="L4" i="2"/>
  <c r="L3" i="2"/>
  <c r="G1420" i="4"/>
  <c r="I35" i="8"/>
  <c r="I59" i="8"/>
  <c r="I60" i="8" s="1"/>
  <c r="I19" i="8"/>
  <c r="I20" i="8" s="1"/>
  <c r="P33" i="8"/>
  <c r="Q33" i="8" s="1"/>
  <c r="J42" i="8"/>
  <c r="I24" i="8"/>
  <c r="I25" i="8" s="1"/>
  <c r="L1459" i="4"/>
  <c r="M1459" i="4" s="1"/>
  <c r="G1142" i="4"/>
  <c r="AE38" i="2"/>
  <c r="AG38" i="2"/>
  <c r="AF38" i="2"/>
  <c r="I32" i="8"/>
  <c r="AH25" i="2"/>
  <c r="AI25" i="2" s="1"/>
  <c r="E1401" i="4"/>
  <c r="G1401" i="4" s="1"/>
  <c r="E1252" i="4"/>
  <c r="G1252" i="4" s="1"/>
  <c r="G1270" i="4" s="1"/>
  <c r="E1102" i="4"/>
  <c r="G1102" i="4" s="1"/>
  <c r="E878" i="4"/>
  <c r="G878" i="4" s="1"/>
  <c r="AC35" i="2"/>
  <c r="AC34" i="2"/>
  <c r="AC32" i="2"/>
  <c r="AC31" i="2"/>
  <c r="AC30" i="2"/>
  <c r="AC29" i="2"/>
  <c r="AC25" i="2"/>
  <c r="AC24" i="2"/>
  <c r="AC23" i="2"/>
  <c r="AC22" i="2"/>
  <c r="AC21" i="2"/>
  <c r="AC20" i="2"/>
  <c r="AC19" i="2"/>
  <c r="AC18" i="2"/>
  <c r="AC17" i="2"/>
  <c r="E8" i="6"/>
  <c r="E10" i="6"/>
  <c r="F11" i="5"/>
  <c r="F12" i="5"/>
  <c r="F13" i="5"/>
  <c r="F14" i="5"/>
  <c r="I14" i="5"/>
  <c r="G16" i="5"/>
  <c r="G24" i="5" s="1"/>
  <c r="L16" i="5"/>
  <c r="G17" i="5"/>
  <c r="H17" i="5"/>
  <c r="O15" i="5" s="1"/>
  <c r="L17" i="5"/>
  <c r="G18" i="5"/>
  <c r="G19" i="5"/>
  <c r="G20" i="5"/>
  <c r="H20" i="5"/>
  <c r="G21" i="5"/>
  <c r="H21" i="5"/>
  <c r="L21" i="5"/>
  <c r="L22" i="5"/>
  <c r="A39" i="5"/>
  <c r="E41" i="5"/>
  <c r="F44" i="5"/>
  <c r="E45" i="5"/>
  <c r="F45" i="5"/>
  <c r="A46" i="5"/>
  <c r="E46" i="5"/>
  <c r="F46" i="5"/>
  <c r="F47" i="5"/>
  <c r="F48" i="5"/>
  <c r="F49" i="5"/>
  <c r="F50" i="5"/>
  <c r="G51" i="5"/>
  <c r="G52" i="5"/>
  <c r="G53" i="5"/>
  <c r="G54" i="5"/>
  <c r="G55" i="5"/>
  <c r="G56" i="5"/>
  <c r="R59" i="5"/>
  <c r="T59" i="5"/>
  <c r="R60" i="5"/>
  <c r="T60" i="5"/>
  <c r="D63" i="5"/>
  <c r="K64" i="5"/>
  <c r="M64" i="5"/>
  <c r="C1" i="4"/>
  <c r="F1986" i="4" s="1"/>
  <c r="C2" i="4"/>
  <c r="F60" i="4" s="1"/>
  <c r="D2" i="4"/>
  <c r="E2" i="4"/>
  <c r="I2" i="4"/>
  <c r="C3" i="4"/>
  <c r="C86" i="4" s="1"/>
  <c r="C99" i="4" s="1"/>
  <c r="D3" i="4"/>
  <c r="C4" i="4"/>
  <c r="C119" i="4" s="1"/>
  <c r="C134" i="4" s="1"/>
  <c r="F134" i="4" s="1"/>
  <c r="D4" i="4"/>
  <c r="C5" i="4"/>
  <c r="C158" i="4" s="1"/>
  <c r="F172" i="4" s="1"/>
  <c r="D5" i="4"/>
  <c r="C6" i="4"/>
  <c r="C193" i="4" s="1"/>
  <c r="C208" i="4" s="1"/>
  <c r="F208" i="4" s="1"/>
  <c r="D6" i="4"/>
  <c r="C7" i="4"/>
  <c r="C232" i="4" s="1"/>
  <c r="F247" i="4" s="1"/>
  <c r="D7" i="4"/>
  <c r="C8" i="4"/>
  <c r="C268" i="4" s="1"/>
  <c r="C283" i="4" s="1"/>
  <c r="F283" i="4" s="1"/>
  <c r="C9" i="4"/>
  <c r="C307" i="4" s="1"/>
  <c r="C322" i="4" s="1"/>
  <c r="D9" i="4"/>
  <c r="C10" i="4"/>
  <c r="C343" i="4" s="1"/>
  <c r="C358" i="4" s="1"/>
  <c r="F358" i="4" s="1"/>
  <c r="D10" i="4"/>
  <c r="C11" i="4"/>
  <c r="C382" i="4" s="1"/>
  <c r="D11" i="4"/>
  <c r="C12" i="4"/>
  <c r="C419" i="4" s="1"/>
  <c r="C434" i="4" s="1"/>
  <c r="F434" i="4" s="1"/>
  <c r="D12" i="4"/>
  <c r="C13" i="4"/>
  <c r="C458" i="4" s="1"/>
  <c r="D13" i="4"/>
  <c r="C14" i="4"/>
  <c r="C494" i="4" s="1"/>
  <c r="C509" i="4" s="1"/>
  <c r="F509" i="4" s="1"/>
  <c r="D14" i="4"/>
  <c r="C15" i="4"/>
  <c r="C535" i="4" s="1"/>
  <c r="F548" i="4" s="1"/>
  <c r="D15" i="4"/>
  <c r="C16" i="4"/>
  <c r="C570" i="4" s="1"/>
  <c r="C585" i="4" s="1"/>
  <c r="F585" i="4" s="1"/>
  <c r="D16" i="4"/>
  <c r="C17" i="4"/>
  <c r="C610" i="4" s="1"/>
  <c r="F624" i="4" s="1"/>
  <c r="D17" i="4"/>
  <c r="C18" i="4"/>
  <c r="C646" i="4" s="1"/>
  <c r="C661" i="4" s="1"/>
  <c r="F661" i="4" s="1"/>
  <c r="D18" i="4"/>
  <c r="C19" i="4"/>
  <c r="C686" i="4" s="1"/>
  <c r="D19" i="4"/>
  <c r="C20" i="4"/>
  <c r="C722" i="4" s="1"/>
  <c r="C737" i="4" s="1"/>
  <c r="F737" i="4" s="1"/>
  <c r="D20" i="4"/>
  <c r="C21" i="4"/>
  <c r="C762" i="4" s="1"/>
  <c r="F776" i="4" s="1"/>
  <c r="D21" i="4"/>
  <c r="C22" i="4"/>
  <c r="C798" i="4" s="1"/>
  <c r="C813" i="4" s="1"/>
  <c r="F813" i="4" s="1"/>
  <c r="D22" i="4"/>
  <c r="C23" i="4"/>
  <c r="C837" i="4" s="1"/>
  <c r="F850" i="4" s="1"/>
  <c r="D23" i="4"/>
  <c r="C24" i="4"/>
  <c r="C872" i="4" s="1"/>
  <c r="C887" i="4" s="1"/>
  <c r="F887" i="4" s="1"/>
  <c r="D24" i="4"/>
  <c r="C25" i="4"/>
  <c r="C912" i="4" s="1"/>
  <c r="C925" i="4" s="1"/>
  <c r="D25" i="4"/>
  <c r="C26" i="4"/>
  <c r="C947" i="4" s="1"/>
  <c r="C962" i="4" s="1"/>
  <c r="F962" i="4" s="1"/>
  <c r="D26" i="4"/>
  <c r="C27" i="4"/>
  <c r="C986" i="4" s="1"/>
  <c r="C1000" i="4" s="1"/>
  <c r="D27" i="4"/>
  <c r="C28" i="4"/>
  <c r="C1022" i="4" s="1"/>
  <c r="C1036" i="4" s="1"/>
  <c r="F1036" i="4" s="1"/>
  <c r="D28" i="4"/>
  <c r="C29" i="4"/>
  <c r="C1060" i="4" s="1"/>
  <c r="C1074" i="4" s="1"/>
  <c r="D29" i="4"/>
  <c r="C30" i="4"/>
  <c r="C1096" i="4" s="1"/>
  <c r="C1111" i="4" s="1"/>
  <c r="F1111" i="4" s="1"/>
  <c r="D30" i="4"/>
  <c r="C31" i="4"/>
  <c r="C1135" i="4" s="1"/>
  <c r="D31" i="4"/>
  <c r="C32" i="4"/>
  <c r="C1171" i="4" s="1"/>
  <c r="C1186" i="4" s="1"/>
  <c r="F1186" i="4" s="1"/>
  <c r="D32" i="4"/>
  <c r="C33" i="4"/>
  <c r="C1210" i="4" s="1"/>
  <c r="F1224" i="4" s="1"/>
  <c r="D33" i="4"/>
  <c r="C34" i="4"/>
  <c r="C1246" i="4" s="1"/>
  <c r="C1261" i="4" s="1"/>
  <c r="F1261" i="4" s="1"/>
  <c r="D34" i="4"/>
  <c r="C35" i="4"/>
  <c r="C1285" i="4" s="1"/>
  <c r="F1299" i="4" s="1"/>
  <c r="D35" i="4"/>
  <c r="C36" i="4"/>
  <c r="C1321" i="4" s="1"/>
  <c r="C1336" i="4" s="1"/>
  <c r="F1336" i="4" s="1"/>
  <c r="D36" i="4"/>
  <c r="C37" i="4"/>
  <c r="C1360" i="4" s="1"/>
  <c r="F1373" i="4" s="1"/>
  <c r="D37" i="4"/>
  <c r="C38" i="4"/>
  <c r="C1395" i="4" s="1"/>
  <c r="C1411" i="4" s="1"/>
  <c r="F1411" i="4" s="1"/>
  <c r="D38" i="4"/>
  <c r="C39" i="4"/>
  <c r="C1435" i="4" s="1"/>
  <c r="C1449" i="4" s="1"/>
  <c r="D39" i="4"/>
  <c r="C40" i="4"/>
  <c r="C1471" i="4" s="1"/>
  <c r="C1485" i="4" s="1"/>
  <c r="F1485" i="4" s="1"/>
  <c r="D40" i="4"/>
  <c r="H43" i="4"/>
  <c r="C220" i="4" s="1"/>
  <c r="I48" i="4"/>
  <c r="I63" i="4" s="1"/>
  <c r="E63" i="4" s="1"/>
  <c r="F50" i="4"/>
  <c r="F51" i="4"/>
  <c r="E62" i="4"/>
  <c r="I62" i="4" s="1"/>
  <c r="C64" i="4"/>
  <c r="C65" i="4"/>
  <c r="I67" i="4"/>
  <c r="H82" i="4"/>
  <c r="I86" i="4"/>
  <c r="I101" i="4" s="1"/>
  <c r="E102" i="4" s="1"/>
  <c r="F89" i="4"/>
  <c r="F90" i="4"/>
  <c r="I100" i="4"/>
  <c r="C103" i="4"/>
  <c r="C104" i="4"/>
  <c r="I106" i="4"/>
  <c r="H115" i="4"/>
  <c r="I120" i="4"/>
  <c r="I137" i="4" s="1"/>
  <c r="E137" i="4" s="1"/>
  <c r="F123" i="4"/>
  <c r="F124" i="4"/>
  <c r="E136" i="4"/>
  <c r="I136" i="4" s="1"/>
  <c r="C138" i="4"/>
  <c r="C139" i="4"/>
  <c r="I141" i="4"/>
  <c r="H155" i="4"/>
  <c r="I160" i="4"/>
  <c r="I174" i="4" s="1"/>
  <c r="E175" i="4" s="1"/>
  <c r="F162" i="4"/>
  <c r="F163" i="4"/>
  <c r="C176" i="4"/>
  <c r="C177" i="4"/>
  <c r="I179" i="4"/>
  <c r="H189" i="4"/>
  <c r="I194" i="4"/>
  <c r="I211" i="4" s="1"/>
  <c r="E211" i="4" s="1"/>
  <c r="F197" i="4"/>
  <c r="F198" i="4"/>
  <c r="E210" i="4"/>
  <c r="I210" i="4" s="1"/>
  <c r="C212" i="4"/>
  <c r="C213" i="4"/>
  <c r="I215" i="4"/>
  <c r="H230" i="4"/>
  <c r="I254" i="4" s="1"/>
  <c r="I234" i="4"/>
  <c r="I249" i="4" s="1"/>
  <c r="E250" i="4" s="1"/>
  <c r="F237" i="4"/>
  <c r="F238" i="4"/>
  <c r="C251" i="4"/>
  <c r="C252" i="4"/>
  <c r="H264" i="4"/>
  <c r="I269" i="4"/>
  <c r="I286" i="4" s="1"/>
  <c r="E286" i="4" s="1"/>
  <c r="F273" i="4"/>
  <c r="E285" i="4"/>
  <c r="I285" i="4" s="1"/>
  <c r="C287" i="4"/>
  <c r="C288" i="4"/>
  <c r="I290" i="4"/>
  <c r="H305" i="4"/>
  <c r="I309" i="4"/>
  <c r="I324" i="4" s="1"/>
  <c r="F312" i="4"/>
  <c r="F313" i="4"/>
  <c r="E324" i="4"/>
  <c r="C326" i="4"/>
  <c r="C327" i="4"/>
  <c r="I329" i="4"/>
  <c r="H339" i="4"/>
  <c r="I344" i="4"/>
  <c r="I361" i="4" s="1"/>
  <c r="E361" i="4" s="1"/>
  <c r="F347" i="4"/>
  <c r="F348" i="4"/>
  <c r="E360" i="4"/>
  <c r="I360" i="4" s="1"/>
  <c r="C362" i="4"/>
  <c r="C363" i="4"/>
  <c r="I365" i="4"/>
  <c r="H380" i="4"/>
  <c r="I384" i="4"/>
  <c r="I399" i="4" s="1"/>
  <c r="E400" i="4" s="1"/>
  <c r="F387" i="4"/>
  <c r="F388" i="4"/>
  <c r="I398" i="4"/>
  <c r="E399" i="4" s="1"/>
  <c r="C401" i="4"/>
  <c r="C402" i="4"/>
  <c r="I404" i="4"/>
  <c r="H415" i="4"/>
  <c r="I420" i="4"/>
  <c r="I437" i="4" s="1"/>
  <c r="E437" i="4" s="1"/>
  <c r="F423" i="4"/>
  <c r="F424" i="4"/>
  <c r="G427" i="4"/>
  <c r="G444" i="4" s="1"/>
  <c r="E436" i="4"/>
  <c r="I436" i="4" s="1"/>
  <c r="C438" i="4"/>
  <c r="C439" i="4"/>
  <c r="I441" i="4"/>
  <c r="H456" i="4"/>
  <c r="I460" i="4"/>
  <c r="I474" i="4" s="1"/>
  <c r="E475" i="4" s="1"/>
  <c r="F463" i="4"/>
  <c r="F464" i="4"/>
  <c r="I473" i="4"/>
  <c r="E474" i="4" s="1"/>
  <c r="C476" i="4"/>
  <c r="C477" i="4"/>
  <c r="I479" i="4"/>
  <c r="H490" i="4"/>
  <c r="I495" i="4"/>
  <c r="I512" i="4" s="1"/>
  <c r="E512" i="4" s="1"/>
  <c r="F498" i="4"/>
  <c r="F499" i="4"/>
  <c r="E511" i="4"/>
  <c r="I511" i="4" s="1"/>
  <c r="C513" i="4"/>
  <c r="C514" i="4"/>
  <c r="H531" i="4"/>
  <c r="I535" i="4"/>
  <c r="I550" i="4" s="1"/>
  <c r="E551" i="4" s="1"/>
  <c r="F538" i="4"/>
  <c r="F539" i="4"/>
  <c r="I549" i="4"/>
  <c r="E550" i="4" s="1"/>
  <c r="C552" i="4"/>
  <c r="C553" i="4"/>
  <c r="H566" i="4"/>
  <c r="I571" i="4"/>
  <c r="I588" i="4" s="1"/>
  <c r="E588" i="4" s="1"/>
  <c r="F574" i="4"/>
  <c r="F575" i="4"/>
  <c r="E587" i="4"/>
  <c r="I587" i="4" s="1"/>
  <c r="C589" i="4"/>
  <c r="C590" i="4"/>
  <c r="H607" i="4"/>
  <c r="I611" i="4"/>
  <c r="I626" i="4" s="1"/>
  <c r="E627" i="4" s="1"/>
  <c r="F614" i="4"/>
  <c r="F615" i="4"/>
  <c r="I625" i="4"/>
  <c r="E626" i="4" s="1"/>
  <c r="C628" i="4"/>
  <c r="C629" i="4"/>
  <c r="H642" i="4"/>
  <c r="I647" i="4"/>
  <c r="I664" i="4" s="1"/>
  <c r="F650" i="4"/>
  <c r="F651" i="4"/>
  <c r="E663" i="4"/>
  <c r="I663" i="4" s="1"/>
  <c r="C665" i="4"/>
  <c r="C666" i="4"/>
  <c r="H683" i="4"/>
  <c r="I687" i="4"/>
  <c r="I702" i="4" s="1"/>
  <c r="F690" i="4"/>
  <c r="F691" i="4"/>
  <c r="I701" i="4"/>
  <c r="E702" i="4" s="1"/>
  <c r="C704" i="4"/>
  <c r="C705" i="4"/>
  <c r="H718" i="4"/>
  <c r="I723" i="4"/>
  <c r="I740" i="4" s="1"/>
  <c r="E740" i="4" s="1"/>
  <c r="F726" i="4"/>
  <c r="F727" i="4"/>
  <c r="E739" i="4"/>
  <c r="I739" i="4" s="1"/>
  <c r="C741" i="4"/>
  <c r="C742" i="4"/>
  <c r="H759" i="4"/>
  <c r="I763" i="4"/>
  <c r="I778" i="4" s="1"/>
  <c r="E779" i="4" s="1"/>
  <c r="F766" i="4"/>
  <c r="F767" i="4"/>
  <c r="I777" i="4"/>
  <c r="E778" i="4" s="1"/>
  <c r="C780" i="4"/>
  <c r="C781" i="4"/>
  <c r="H794" i="4"/>
  <c r="I799" i="4"/>
  <c r="I816" i="4" s="1"/>
  <c r="E816" i="4" s="1"/>
  <c r="F802" i="4"/>
  <c r="F803" i="4"/>
  <c r="E815" i="4"/>
  <c r="I815" i="4" s="1"/>
  <c r="C817" i="4"/>
  <c r="C818" i="4"/>
  <c r="H834" i="4"/>
  <c r="I838" i="4"/>
  <c r="I852" i="4" s="1"/>
  <c r="E853" i="4" s="1"/>
  <c r="F841" i="4"/>
  <c r="F842" i="4"/>
  <c r="E843" i="4"/>
  <c r="G843" i="4" s="1"/>
  <c r="G844" i="4"/>
  <c r="E845" i="4"/>
  <c r="G845" i="4" s="1"/>
  <c r="G859" i="4" s="1"/>
  <c r="I851" i="4"/>
  <c r="E852" i="4" s="1"/>
  <c r="C855" i="4"/>
  <c r="C856" i="4"/>
  <c r="G860" i="4"/>
  <c r="H868" i="4"/>
  <c r="I873" i="4"/>
  <c r="I890" i="4" s="1"/>
  <c r="E890" i="4" s="1"/>
  <c r="F876" i="4"/>
  <c r="F877" i="4"/>
  <c r="G879" i="4"/>
  <c r="E889" i="4"/>
  <c r="I889" i="4" s="1"/>
  <c r="C892" i="4"/>
  <c r="C893" i="4"/>
  <c r="H908" i="4"/>
  <c r="I912" i="4"/>
  <c r="I927" i="4" s="1"/>
  <c r="E928" i="4" s="1"/>
  <c r="F915" i="4"/>
  <c r="F916" i="4"/>
  <c r="E917" i="4"/>
  <c r="G917" i="4" s="1"/>
  <c r="G918" i="4"/>
  <c r="I926" i="4"/>
  <c r="E927" i="4" s="1"/>
  <c r="C930" i="4"/>
  <c r="C931" i="4"/>
  <c r="G935" i="4"/>
  <c r="H943" i="4"/>
  <c r="I948" i="4"/>
  <c r="I965" i="4" s="1"/>
  <c r="E965" i="4" s="1"/>
  <c r="F951" i="4"/>
  <c r="F952" i="4"/>
  <c r="E953" i="4"/>
  <c r="G953" i="4" s="1"/>
  <c r="G954" i="4"/>
  <c r="E955" i="4"/>
  <c r="G955" i="4" s="1"/>
  <c r="G972" i="4" s="1"/>
  <c r="E964" i="4"/>
  <c r="I964" i="4" s="1"/>
  <c r="C967" i="4"/>
  <c r="C968" i="4"/>
  <c r="H983" i="4"/>
  <c r="I987" i="4"/>
  <c r="I1002" i="4" s="1"/>
  <c r="E1003" i="4" s="1"/>
  <c r="F990" i="4"/>
  <c r="F991" i="4"/>
  <c r="E992" i="4"/>
  <c r="G992" i="4" s="1"/>
  <c r="G993" i="4"/>
  <c r="I1001" i="4"/>
  <c r="E1002" i="4" s="1"/>
  <c r="C1005" i="4"/>
  <c r="C1006" i="4"/>
  <c r="G1010" i="4"/>
  <c r="H1018" i="4"/>
  <c r="I1023" i="4"/>
  <c r="I1039" i="4" s="1"/>
  <c r="E1039" i="4" s="1"/>
  <c r="F1026" i="4"/>
  <c r="F1027" i="4"/>
  <c r="E1028" i="4"/>
  <c r="G1028" i="4" s="1"/>
  <c r="G1029" i="4"/>
  <c r="E1038" i="4"/>
  <c r="I1038" i="4" s="1"/>
  <c r="C1041" i="4"/>
  <c r="C1042" i="4"/>
  <c r="H1057" i="4"/>
  <c r="I1061" i="4"/>
  <c r="I1076" i="4" s="1"/>
  <c r="E1077" i="4" s="1"/>
  <c r="F1064" i="4"/>
  <c r="F1065" i="4"/>
  <c r="E1066" i="4"/>
  <c r="G1066" i="4" s="1"/>
  <c r="F1066" i="4"/>
  <c r="G1067" i="4"/>
  <c r="F1068" i="4"/>
  <c r="I1075" i="4"/>
  <c r="E1076" i="4" s="1"/>
  <c r="C1079" i="4"/>
  <c r="C1080" i="4"/>
  <c r="G1084" i="4"/>
  <c r="H1092" i="4"/>
  <c r="I1097" i="4"/>
  <c r="I1114" i="4" s="1"/>
  <c r="E1114" i="4" s="1"/>
  <c r="F1100" i="4"/>
  <c r="F1101" i="4"/>
  <c r="G1103" i="4"/>
  <c r="E1113" i="4"/>
  <c r="I1113" i="4" s="1"/>
  <c r="C1116" i="4"/>
  <c r="C1117" i="4"/>
  <c r="H1132" i="4"/>
  <c r="I1136" i="4"/>
  <c r="I1151" i="4" s="1"/>
  <c r="E1152" i="4" s="1"/>
  <c r="F1139" i="4"/>
  <c r="F1140" i="4"/>
  <c r="E1141" i="4"/>
  <c r="G1141" i="4" s="1"/>
  <c r="F1141" i="4"/>
  <c r="F1143" i="4"/>
  <c r="I1150" i="4"/>
  <c r="E1151" i="4" s="1"/>
  <c r="C1154" i="4"/>
  <c r="C1155" i="4"/>
  <c r="G1159" i="4"/>
  <c r="H1167" i="4"/>
  <c r="I1172" i="4"/>
  <c r="I1189" i="4" s="1"/>
  <c r="F1175" i="4"/>
  <c r="F1176" i="4"/>
  <c r="E1177" i="4"/>
  <c r="G1177" i="4" s="1"/>
  <c r="G1178" i="4"/>
  <c r="G1179" i="4"/>
  <c r="G1196" i="4" s="1"/>
  <c r="E1188" i="4"/>
  <c r="I1188" i="4" s="1"/>
  <c r="C1191" i="4"/>
  <c r="C1192" i="4"/>
  <c r="H1207" i="4"/>
  <c r="I1211" i="4"/>
  <c r="I1226" i="4" s="1"/>
  <c r="E1227" i="4" s="1"/>
  <c r="F1214" i="4"/>
  <c r="F1215" i="4"/>
  <c r="E1216" i="4"/>
  <c r="G1216" i="4" s="1"/>
  <c r="F1216" i="4"/>
  <c r="G1217" i="4"/>
  <c r="F1218" i="4"/>
  <c r="I1225" i="4"/>
  <c r="E1226" i="4" s="1"/>
  <c r="C1229" i="4"/>
  <c r="C1230" i="4"/>
  <c r="H1242" i="4"/>
  <c r="I1247" i="4"/>
  <c r="I1264" i="4" s="1"/>
  <c r="E1264" i="4" s="1"/>
  <c r="F1250" i="4"/>
  <c r="F1251" i="4"/>
  <c r="G1253" i="4"/>
  <c r="E1254" i="4"/>
  <c r="G1254" i="4" s="1"/>
  <c r="G1271" i="4" s="1"/>
  <c r="E1263" i="4"/>
  <c r="I1263" i="4" s="1"/>
  <c r="C1266" i="4"/>
  <c r="C1267" i="4"/>
  <c r="H1282" i="4"/>
  <c r="I1286" i="4"/>
  <c r="E1302" i="4" s="1"/>
  <c r="F1289" i="4"/>
  <c r="F1290" i="4"/>
  <c r="E1291" i="4"/>
  <c r="G1291" i="4" s="1"/>
  <c r="F1291" i="4"/>
  <c r="G1292" i="4"/>
  <c r="E1293" i="4"/>
  <c r="G1293" i="4" s="1"/>
  <c r="G1309" i="4" s="1"/>
  <c r="F1293" i="4"/>
  <c r="I1300" i="4"/>
  <c r="E1301" i="4" s="1"/>
  <c r="C1304" i="4"/>
  <c r="C1305" i="4"/>
  <c r="H1317" i="4"/>
  <c r="I1322" i="4"/>
  <c r="I1339" i="4" s="1"/>
  <c r="E1339" i="4" s="1"/>
  <c r="F1325" i="4"/>
  <c r="F1326" i="4"/>
  <c r="E1327" i="4"/>
  <c r="G1327" i="4" s="1"/>
  <c r="G1328" i="4"/>
  <c r="E1329" i="4"/>
  <c r="G1329" i="4" s="1"/>
  <c r="G1346" i="4" s="1"/>
  <c r="E1338" i="4"/>
  <c r="I1338" i="4" s="1"/>
  <c r="C1341" i="4"/>
  <c r="C1342" i="4"/>
  <c r="H1357" i="4"/>
  <c r="I1361" i="4"/>
  <c r="I1375" i="4" s="1"/>
  <c r="F1364" i="4"/>
  <c r="F1365" i="4"/>
  <c r="E1366" i="4"/>
  <c r="G1366" i="4" s="1"/>
  <c r="F1366" i="4"/>
  <c r="G1367" i="4"/>
  <c r="F1368" i="4"/>
  <c r="I1374" i="4"/>
  <c r="E1375" i="4" s="1"/>
  <c r="C1378" i="4"/>
  <c r="C1379" i="4"/>
  <c r="H1391" i="4"/>
  <c r="I1396" i="4"/>
  <c r="I1414" i="4" s="1"/>
  <c r="F1399" i="4"/>
  <c r="F1400" i="4"/>
  <c r="G1402" i="4"/>
  <c r="E1413" i="4"/>
  <c r="I1413" i="4" s="1"/>
  <c r="C1416" i="4"/>
  <c r="C1417" i="4"/>
  <c r="H1432" i="4"/>
  <c r="I1436" i="4"/>
  <c r="I1451" i="4" s="1"/>
  <c r="E1452" i="4" s="1"/>
  <c r="F1439" i="4"/>
  <c r="F1440" i="4"/>
  <c r="E1441" i="4"/>
  <c r="G1441" i="4" s="1"/>
  <c r="F1441" i="4"/>
  <c r="G1442" i="4"/>
  <c r="F1443" i="4"/>
  <c r="G1443" i="4"/>
  <c r="G1458" i="4" s="1"/>
  <c r="I1450" i="4"/>
  <c r="E1451" i="4" s="1"/>
  <c r="C1454" i="4"/>
  <c r="C1455" i="4"/>
  <c r="H1467" i="4"/>
  <c r="I1472" i="4"/>
  <c r="E1488" i="4" s="1"/>
  <c r="F1475" i="4"/>
  <c r="F1476" i="4"/>
  <c r="E1477" i="4"/>
  <c r="G1477" i="4" s="1"/>
  <c r="G1478" i="4"/>
  <c r="E1479" i="4"/>
  <c r="G1479" i="4" s="1"/>
  <c r="G1494" i="4" s="1"/>
  <c r="E1487" i="4"/>
  <c r="I1487" i="4" s="1"/>
  <c r="C1490" i="4"/>
  <c r="C1491" i="4"/>
  <c r="H1506" i="4"/>
  <c r="C1508" i="4"/>
  <c r="F1523" i="4" s="1"/>
  <c r="E1513" i="4"/>
  <c r="F1513" i="4"/>
  <c r="E1514" i="4"/>
  <c r="F1514" i="4"/>
  <c r="E1515" i="4"/>
  <c r="G1515" i="4" s="1"/>
  <c r="G1532" i="4" s="1"/>
  <c r="F1515" i="4"/>
  <c r="E1516" i="4"/>
  <c r="G1516" i="4" s="1"/>
  <c r="G1533" i="4" s="1"/>
  <c r="F1516" i="4"/>
  <c r="I1524" i="4"/>
  <c r="E1525" i="4" s="1"/>
  <c r="C1528" i="4"/>
  <c r="C1529" i="4"/>
  <c r="H1541" i="4"/>
  <c r="C1544" i="4"/>
  <c r="C1559" i="4" s="1"/>
  <c r="F1559" i="4" s="1"/>
  <c r="E1549" i="4"/>
  <c r="F1549" i="4"/>
  <c r="E1550" i="4"/>
  <c r="F1550" i="4"/>
  <c r="E1551" i="4"/>
  <c r="G1551" i="4" s="1"/>
  <c r="G1568" i="4" s="1"/>
  <c r="E1552" i="4"/>
  <c r="G1552" i="4" s="1"/>
  <c r="G1569" i="4" s="1"/>
  <c r="E1561" i="4"/>
  <c r="I1561" i="4" s="1"/>
  <c r="C1564" i="4"/>
  <c r="C1565" i="4"/>
  <c r="H1580" i="4"/>
  <c r="C1582" i="4"/>
  <c r="F1597" i="4" s="1"/>
  <c r="E1587" i="4"/>
  <c r="F1587" i="4"/>
  <c r="E1588" i="4"/>
  <c r="F1588" i="4"/>
  <c r="E1589" i="4"/>
  <c r="G1589" i="4" s="1"/>
  <c r="G1606" i="4" s="1"/>
  <c r="F1589" i="4"/>
  <c r="E1590" i="4"/>
  <c r="G1590" i="4" s="1"/>
  <c r="G1607" i="4" s="1"/>
  <c r="F1590" i="4"/>
  <c r="I1598" i="4"/>
  <c r="E1599" i="4" s="1"/>
  <c r="C1602" i="4"/>
  <c r="C1603" i="4"/>
  <c r="H1616" i="4"/>
  <c r="C1619" i="4"/>
  <c r="C1634" i="4" s="1"/>
  <c r="F1634" i="4" s="1"/>
  <c r="E1624" i="4"/>
  <c r="F1624" i="4"/>
  <c r="E1625" i="4"/>
  <c r="F1625" i="4"/>
  <c r="E1626" i="4"/>
  <c r="G1626" i="4" s="1"/>
  <c r="G1643" i="4" s="1"/>
  <c r="E1627" i="4"/>
  <c r="G1627" i="4" s="1"/>
  <c r="G1644" i="4" s="1"/>
  <c r="E1636" i="4"/>
  <c r="I1636" i="4" s="1"/>
  <c r="C1639" i="4"/>
  <c r="C1640" i="4"/>
  <c r="H1655" i="4"/>
  <c r="C1657" i="4"/>
  <c r="C1672" i="4" s="1"/>
  <c r="E1662" i="4"/>
  <c r="F1662" i="4"/>
  <c r="E1663" i="4"/>
  <c r="F1663" i="4"/>
  <c r="E1664" i="4"/>
  <c r="G1664" i="4" s="1"/>
  <c r="G1681" i="4" s="1"/>
  <c r="F1664" i="4"/>
  <c r="E1665" i="4"/>
  <c r="G1665" i="4" s="1"/>
  <c r="G1682" i="4" s="1"/>
  <c r="F1665" i="4"/>
  <c r="I1673" i="4"/>
  <c r="E1674" i="4" s="1"/>
  <c r="C1677" i="4"/>
  <c r="C1678" i="4"/>
  <c r="H1690" i="4"/>
  <c r="C1693" i="4"/>
  <c r="C1708" i="4" s="1"/>
  <c r="F1708" i="4" s="1"/>
  <c r="E1698" i="4"/>
  <c r="F1698" i="4"/>
  <c r="E1699" i="4"/>
  <c r="F1699" i="4"/>
  <c r="E1700" i="4"/>
  <c r="G1700" i="4" s="1"/>
  <c r="G1717" i="4" s="1"/>
  <c r="E1701" i="4"/>
  <c r="G1701" i="4" s="1"/>
  <c r="G1718" i="4" s="1"/>
  <c r="E1710" i="4"/>
  <c r="I1710" i="4" s="1"/>
  <c r="C1713" i="4"/>
  <c r="C1714" i="4"/>
  <c r="H1729" i="4"/>
  <c r="C1731" i="4"/>
  <c r="F1746" i="4" s="1"/>
  <c r="E1736" i="4"/>
  <c r="F1736" i="4"/>
  <c r="E1737" i="4"/>
  <c r="F1737" i="4"/>
  <c r="E1738" i="4"/>
  <c r="G1738" i="4" s="1"/>
  <c r="G1755" i="4" s="1"/>
  <c r="F1738" i="4"/>
  <c r="E1739" i="4"/>
  <c r="G1739" i="4" s="1"/>
  <c r="G1756" i="4" s="1"/>
  <c r="F1739" i="4"/>
  <c r="I1747" i="4"/>
  <c r="E1748" i="4" s="1"/>
  <c r="C1751" i="4"/>
  <c r="C1752" i="4"/>
  <c r="H1764" i="4"/>
  <c r="C1767" i="4"/>
  <c r="C1782" i="4" s="1"/>
  <c r="F1782" i="4" s="1"/>
  <c r="E1772" i="4"/>
  <c r="F1772" i="4"/>
  <c r="E1773" i="4"/>
  <c r="F1773" i="4"/>
  <c r="E1774" i="4"/>
  <c r="G1774" i="4" s="1"/>
  <c r="G1791" i="4" s="1"/>
  <c r="E1775" i="4"/>
  <c r="G1775" i="4" s="1"/>
  <c r="G1792" i="4" s="1"/>
  <c r="E1784" i="4"/>
  <c r="I1784" i="4" s="1"/>
  <c r="C1787" i="4"/>
  <c r="C1788" i="4"/>
  <c r="H1803" i="4"/>
  <c r="C1805" i="4"/>
  <c r="C1820" i="4" s="1"/>
  <c r="E1810" i="4"/>
  <c r="F1810" i="4"/>
  <c r="E1811" i="4"/>
  <c r="F1811" i="4"/>
  <c r="E1812" i="4"/>
  <c r="G1812" i="4" s="1"/>
  <c r="G1829" i="4" s="1"/>
  <c r="F1812" i="4"/>
  <c r="E1813" i="4"/>
  <c r="G1813" i="4" s="1"/>
  <c r="G1830" i="4" s="1"/>
  <c r="F1813" i="4"/>
  <c r="I1821" i="4"/>
  <c r="E1822" i="4" s="1"/>
  <c r="C1825" i="4"/>
  <c r="C1826" i="4"/>
  <c r="H1838" i="4"/>
  <c r="C1841" i="4"/>
  <c r="C1856" i="4" s="1"/>
  <c r="F1856" i="4" s="1"/>
  <c r="E1846" i="4"/>
  <c r="F1846" i="4"/>
  <c r="E1847" i="4"/>
  <c r="F1847" i="4"/>
  <c r="E1848" i="4"/>
  <c r="G1848" i="4" s="1"/>
  <c r="G1865" i="4" s="1"/>
  <c r="E1849" i="4"/>
  <c r="G1849" i="4" s="1"/>
  <c r="G1866" i="4" s="1"/>
  <c r="E1858" i="4"/>
  <c r="I1858" i="4" s="1"/>
  <c r="C1861" i="4"/>
  <c r="C1862" i="4"/>
  <c r="H1877" i="4"/>
  <c r="C1879" i="4"/>
  <c r="C1894" i="4" s="1"/>
  <c r="E1884" i="4"/>
  <c r="F1884" i="4"/>
  <c r="E1885" i="4"/>
  <c r="F1885" i="4"/>
  <c r="E1886" i="4"/>
  <c r="G1886" i="4" s="1"/>
  <c r="G1903" i="4" s="1"/>
  <c r="F1886" i="4"/>
  <c r="E1887" i="4"/>
  <c r="G1887" i="4" s="1"/>
  <c r="G1904" i="4" s="1"/>
  <c r="F1887" i="4"/>
  <c r="I1895" i="4"/>
  <c r="E1896" i="4" s="1"/>
  <c r="C1899" i="4"/>
  <c r="C1900" i="4"/>
  <c r="H1912" i="4"/>
  <c r="C1915" i="4"/>
  <c r="C1930" i="4" s="1"/>
  <c r="F1930" i="4" s="1"/>
  <c r="M1918" i="4"/>
  <c r="M1919" i="4"/>
  <c r="E1920" i="4"/>
  <c r="F1920" i="4"/>
  <c r="E1921" i="4"/>
  <c r="F1921" i="4"/>
  <c r="E1922" i="4"/>
  <c r="G1922" i="4" s="1"/>
  <c r="G1939" i="4" s="1"/>
  <c r="E1923" i="4"/>
  <c r="G1923" i="4" s="1"/>
  <c r="G1940" i="4" s="1"/>
  <c r="E1932" i="4"/>
  <c r="I1932" i="4" s="1"/>
  <c r="C1935" i="4"/>
  <c r="C1936" i="4"/>
  <c r="H1951" i="4"/>
  <c r="C1953" i="4"/>
  <c r="F1968" i="4" s="1"/>
  <c r="E1958" i="4"/>
  <c r="F1958" i="4"/>
  <c r="E1959" i="4"/>
  <c r="F1959" i="4"/>
  <c r="E1960" i="4"/>
  <c r="G1960" i="4" s="1"/>
  <c r="G1977" i="4" s="1"/>
  <c r="F1960" i="4"/>
  <c r="E1961" i="4"/>
  <c r="G1961" i="4" s="1"/>
  <c r="G1978" i="4" s="1"/>
  <c r="F1961" i="4"/>
  <c r="I1969" i="4"/>
  <c r="E1970" i="4" s="1"/>
  <c r="C1973" i="4"/>
  <c r="C1974" i="4"/>
  <c r="H1986" i="4"/>
  <c r="C1989" i="4"/>
  <c r="C2004" i="4" s="1"/>
  <c r="F2004" i="4" s="1"/>
  <c r="E1994" i="4"/>
  <c r="F1994" i="4"/>
  <c r="E1995" i="4"/>
  <c r="F1995" i="4"/>
  <c r="E1996" i="4"/>
  <c r="G1996" i="4" s="1"/>
  <c r="G2013" i="4" s="1"/>
  <c r="E1997" i="4"/>
  <c r="G1997" i="4" s="1"/>
  <c r="G2014" i="4" s="1"/>
  <c r="E2006" i="4"/>
  <c r="I2006" i="4" s="1"/>
  <c r="C2009" i="4"/>
  <c r="C2010" i="4"/>
  <c r="H2025" i="4"/>
  <c r="C2027" i="4"/>
  <c r="F2042" i="4" s="1"/>
  <c r="E2032" i="4"/>
  <c r="F2032" i="4"/>
  <c r="E2033" i="4"/>
  <c r="F2033" i="4"/>
  <c r="E2034" i="4"/>
  <c r="G2034" i="4" s="1"/>
  <c r="G2051" i="4" s="1"/>
  <c r="F2034" i="4"/>
  <c r="E2035" i="4"/>
  <c r="G2035" i="4" s="1"/>
  <c r="G2052" i="4" s="1"/>
  <c r="F2035" i="4"/>
  <c r="I2043" i="4"/>
  <c r="E2044" i="4" s="1"/>
  <c r="C2047" i="4"/>
  <c r="C2048" i="4"/>
  <c r="H2060" i="4"/>
  <c r="C2063" i="4"/>
  <c r="C2078" i="4" s="1"/>
  <c r="F2078" i="4" s="1"/>
  <c r="E2068" i="4"/>
  <c r="F2068" i="4"/>
  <c r="E2069" i="4"/>
  <c r="F2069" i="4"/>
  <c r="E2070" i="4"/>
  <c r="G2070" i="4" s="1"/>
  <c r="G2087" i="4" s="1"/>
  <c r="E2071" i="4"/>
  <c r="G2071" i="4" s="1"/>
  <c r="G2088" i="4" s="1"/>
  <c r="E2080" i="4"/>
  <c r="I2080" i="4" s="1"/>
  <c r="C2083" i="4"/>
  <c r="C2084" i="4"/>
  <c r="H2099" i="4"/>
  <c r="C2101" i="4"/>
  <c r="F2116" i="4" s="1"/>
  <c r="E2106" i="4"/>
  <c r="F2106" i="4"/>
  <c r="E2107" i="4"/>
  <c r="F2107" i="4"/>
  <c r="E2108" i="4"/>
  <c r="G2108" i="4" s="1"/>
  <c r="G2125" i="4" s="1"/>
  <c r="F2108" i="4"/>
  <c r="E2109" i="4"/>
  <c r="G2109" i="4" s="1"/>
  <c r="G2126" i="4" s="1"/>
  <c r="F2109" i="4"/>
  <c r="I2117" i="4"/>
  <c r="E2118" i="4" s="1"/>
  <c r="C2121" i="4"/>
  <c r="C2122" i="4"/>
  <c r="H2134" i="4"/>
  <c r="C2137" i="4"/>
  <c r="C2152" i="4" s="1"/>
  <c r="F2152" i="4" s="1"/>
  <c r="E2142" i="4"/>
  <c r="F2142" i="4"/>
  <c r="E2143" i="4"/>
  <c r="F2143" i="4"/>
  <c r="E2144" i="4"/>
  <c r="G2144" i="4" s="1"/>
  <c r="G2161" i="4" s="1"/>
  <c r="E2145" i="4"/>
  <c r="G2145" i="4" s="1"/>
  <c r="G2162" i="4" s="1"/>
  <c r="E2154" i="4"/>
  <c r="I2154" i="4" s="1"/>
  <c r="C2157" i="4"/>
  <c r="C2158" i="4"/>
  <c r="H2173" i="4"/>
  <c r="C2175" i="4"/>
  <c r="F2190" i="4" s="1"/>
  <c r="E2180" i="4"/>
  <c r="F2180" i="4"/>
  <c r="E2181" i="4"/>
  <c r="F2181" i="4"/>
  <c r="E2182" i="4"/>
  <c r="G2182" i="4" s="1"/>
  <c r="G2199" i="4" s="1"/>
  <c r="F2182" i="4"/>
  <c r="E2183" i="4"/>
  <c r="G2183" i="4" s="1"/>
  <c r="G2200" i="4" s="1"/>
  <c r="F2183" i="4"/>
  <c r="I2191" i="4"/>
  <c r="E2192" i="4" s="1"/>
  <c r="C2195" i="4"/>
  <c r="C2196" i="4"/>
  <c r="H2208" i="4"/>
  <c r="C2211" i="4"/>
  <c r="C2226" i="4" s="1"/>
  <c r="F2226" i="4" s="1"/>
  <c r="E2216" i="4"/>
  <c r="F2216" i="4"/>
  <c r="E2217" i="4"/>
  <c r="F2217" i="4"/>
  <c r="E2218" i="4"/>
  <c r="G2218" i="4" s="1"/>
  <c r="G2235" i="4" s="1"/>
  <c r="E2219" i="4"/>
  <c r="G2219" i="4" s="1"/>
  <c r="G2236" i="4" s="1"/>
  <c r="E2228" i="4"/>
  <c r="I2228" i="4" s="1"/>
  <c r="C2231" i="4"/>
  <c r="C2232" i="4"/>
  <c r="H2247" i="4"/>
  <c r="C2249" i="4"/>
  <c r="C2264" i="4" s="1"/>
  <c r="E2254" i="4"/>
  <c r="F2254" i="4"/>
  <c r="E2255" i="4"/>
  <c r="F2255" i="4"/>
  <c r="E2256" i="4"/>
  <c r="G2256" i="4" s="1"/>
  <c r="G2273" i="4" s="1"/>
  <c r="F2256" i="4"/>
  <c r="E2257" i="4"/>
  <c r="G2257" i="4" s="1"/>
  <c r="G2274" i="4" s="1"/>
  <c r="F2257" i="4"/>
  <c r="I2265" i="4"/>
  <c r="E2266" i="4" s="1"/>
  <c r="C2269" i="4"/>
  <c r="C2270" i="4"/>
  <c r="H2282" i="4"/>
  <c r="C2285" i="4"/>
  <c r="C2300" i="4" s="1"/>
  <c r="F2300" i="4" s="1"/>
  <c r="E2290" i="4"/>
  <c r="F2290" i="4"/>
  <c r="E2291" i="4"/>
  <c r="F2291" i="4"/>
  <c r="E2292" i="4"/>
  <c r="G2292" i="4" s="1"/>
  <c r="G2309" i="4" s="1"/>
  <c r="E2293" i="4"/>
  <c r="G2293" i="4" s="1"/>
  <c r="G2310" i="4" s="1"/>
  <c r="E2302" i="4"/>
  <c r="I2302" i="4" s="1"/>
  <c r="C2305" i="4"/>
  <c r="C2306" i="4"/>
  <c r="H2321" i="4"/>
  <c r="C2323" i="4"/>
  <c r="C2338" i="4" s="1"/>
  <c r="E2328" i="4"/>
  <c r="F2328" i="4"/>
  <c r="E2329" i="4"/>
  <c r="F2329" i="4"/>
  <c r="E2330" i="4"/>
  <c r="G2330" i="4" s="1"/>
  <c r="G2347" i="4" s="1"/>
  <c r="F2330" i="4"/>
  <c r="E2331" i="4"/>
  <c r="G2331" i="4" s="1"/>
  <c r="G2348" i="4" s="1"/>
  <c r="F2331" i="4"/>
  <c r="I2339" i="4"/>
  <c r="E2340" i="4" s="1"/>
  <c r="C2343" i="4"/>
  <c r="C2344" i="4"/>
  <c r="H2356" i="4"/>
  <c r="C2359" i="4"/>
  <c r="C2374" i="4" s="1"/>
  <c r="F2374" i="4" s="1"/>
  <c r="E2364" i="4"/>
  <c r="F2364" i="4"/>
  <c r="E2365" i="4"/>
  <c r="F2365" i="4"/>
  <c r="E2366" i="4"/>
  <c r="G2366" i="4" s="1"/>
  <c r="G2383" i="4" s="1"/>
  <c r="E2367" i="4"/>
  <c r="G2367" i="4" s="1"/>
  <c r="G2384" i="4" s="1"/>
  <c r="E2376" i="4"/>
  <c r="I2376" i="4" s="1"/>
  <c r="C2379" i="4"/>
  <c r="C2380" i="4"/>
  <c r="H2395" i="4"/>
  <c r="C2397" i="4"/>
  <c r="C2412" i="4" s="1"/>
  <c r="E2402" i="4"/>
  <c r="F2402" i="4"/>
  <c r="E2403" i="4"/>
  <c r="F2403" i="4"/>
  <c r="E2404" i="4"/>
  <c r="G2404" i="4" s="1"/>
  <c r="G2421" i="4" s="1"/>
  <c r="F2404" i="4"/>
  <c r="E2405" i="4"/>
  <c r="G2405" i="4" s="1"/>
  <c r="G2422" i="4" s="1"/>
  <c r="F2405" i="4"/>
  <c r="I2413" i="4"/>
  <c r="E2414" i="4" s="1"/>
  <c r="C2417" i="4"/>
  <c r="C2418" i="4"/>
  <c r="H2430" i="4"/>
  <c r="C2433" i="4"/>
  <c r="C2448" i="4" s="1"/>
  <c r="F2448" i="4" s="1"/>
  <c r="E2438" i="4"/>
  <c r="F2438" i="4"/>
  <c r="E2439" i="4"/>
  <c r="F2439" i="4"/>
  <c r="E2440" i="4"/>
  <c r="G2440" i="4" s="1"/>
  <c r="G2457" i="4" s="1"/>
  <c r="E2441" i="4"/>
  <c r="G2441" i="4" s="1"/>
  <c r="G2458" i="4" s="1"/>
  <c r="E2450" i="4"/>
  <c r="I2450" i="4" s="1"/>
  <c r="C2453" i="4"/>
  <c r="C2454" i="4"/>
  <c r="H2469" i="4"/>
  <c r="C2471" i="4"/>
  <c r="C2486" i="4" s="1"/>
  <c r="E2476" i="4"/>
  <c r="F2476" i="4"/>
  <c r="E2477" i="4"/>
  <c r="F2477" i="4"/>
  <c r="E2478" i="4"/>
  <c r="G2478" i="4" s="1"/>
  <c r="G2495" i="4" s="1"/>
  <c r="F2478" i="4"/>
  <c r="E2479" i="4"/>
  <c r="G2479" i="4" s="1"/>
  <c r="G2496" i="4" s="1"/>
  <c r="F2479" i="4"/>
  <c r="I2487" i="4"/>
  <c r="E2488" i="4" s="1"/>
  <c r="C2491" i="4"/>
  <c r="C2492" i="4"/>
  <c r="H2504" i="4"/>
  <c r="C2507" i="4"/>
  <c r="C2522" i="4" s="1"/>
  <c r="F2522" i="4" s="1"/>
  <c r="E2512" i="4"/>
  <c r="F2512" i="4"/>
  <c r="E2513" i="4"/>
  <c r="F2513" i="4"/>
  <c r="E2514" i="4"/>
  <c r="G2514" i="4" s="1"/>
  <c r="G2531" i="4" s="1"/>
  <c r="E2515" i="4"/>
  <c r="G2515" i="4" s="1"/>
  <c r="G2532" i="4" s="1"/>
  <c r="E2524" i="4"/>
  <c r="I2524" i="4" s="1"/>
  <c r="C2527" i="4"/>
  <c r="C2528" i="4"/>
  <c r="H2543" i="4"/>
  <c r="C2545" i="4"/>
  <c r="C2560" i="4" s="1"/>
  <c r="E2550" i="4"/>
  <c r="F2550" i="4"/>
  <c r="E2551" i="4"/>
  <c r="F2551" i="4"/>
  <c r="E2552" i="4"/>
  <c r="G2552" i="4" s="1"/>
  <c r="G2569" i="4" s="1"/>
  <c r="F2552" i="4"/>
  <c r="E2553" i="4"/>
  <c r="G2553" i="4" s="1"/>
  <c r="G2570" i="4" s="1"/>
  <c r="F2553" i="4"/>
  <c r="I2561" i="4"/>
  <c r="E2562" i="4" s="1"/>
  <c r="C2565" i="4"/>
  <c r="C2566" i="4"/>
  <c r="H2578" i="4"/>
  <c r="C2581" i="4"/>
  <c r="C2596" i="4" s="1"/>
  <c r="F2596" i="4" s="1"/>
  <c r="E2586" i="4"/>
  <c r="F2586" i="4"/>
  <c r="E2587" i="4"/>
  <c r="F2587" i="4"/>
  <c r="E2588" i="4"/>
  <c r="G2588" i="4" s="1"/>
  <c r="G2605" i="4" s="1"/>
  <c r="E2589" i="4"/>
  <c r="G2589" i="4" s="1"/>
  <c r="G2606" i="4" s="1"/>
  <c r="E2598" i="4"/>
  <c r="I2598" i="4" s="1"/>
  <c r="C2601" i="4"/>
  <c r="C2602" i="4"/>
  <c r="H2617" i="4"/>
  <c r="C2619" i="4"/>
  <c r="F2634" i="4" s="1"/>
  <c r="E2624" i="4"/>
  <c r="F2624" i="4"/>
  <c r="E2625" i="4"/>
  <c r="F2625" i="4"/>
  <c r="E2626" i="4"/>
  <c r="G2626" i="4" s="1"/>
  <c r="G2643" i="4" s="1"/>
  <c r="F2626" i="4"/>
  <c r="E2627" i="4"/>
  <c r="G2627" i="4" s="1"/>
  <c r="G2644" i="4" s="1"/>
  <c r="F2627" i="4"/>
  <c r="I2635" i="4"/>
  <c r="E2636" i="4" s="1"/>
  <c r="C2639" i="4"/>
  <c r="C2640" i="4"/>
  <c r="H2652" i="4"/>
  <c r="C2655" i="4"/>
  <c r="C2670" i="4" s="1"/>
  <c r="F2670" i="4" s="1"/>
  <c r="E2660" i="4"/>
  <c r="F2660" i="4"/>
  <c r="E2661" i="4"/>
  <c r="F2661" i="4"/>
  <c r="E2662" i="4"/>
  <c r="G2662" i="4" s="1"/>
  <c r="G2679" i="4" s="1"/>
  <c r="E2663" i="4"/>
  <c r="G2663" i="4" s="1"/>
  <c r="G2680" i="4" s="1"/>
  <c r="E2672" i="4"/>
  <c r="I2672" i="4" s="1"/>
  <c r="C2675" i="4"/>
  <c r="C2676" i="4"/>
  <c r="H2691" i="4"/>
  <c r="C2693" i="4"/>
  <c r="E2698" i="4"/>
  <c r="F2698" i="4"/>
  <c r="E2699" i="4"/>
  <c r="F2699" i="4"/>
  <c r="E2700" i="4"/>
  <c r="G2700" i="4" s="1"/>
  <c r="G2717" i="4" s="1"/>
  <c r="F2700" i="4"/>
  <c r="E2701" i="4"/>
  <c r="G2701" i="4" s="1"/>
  <c r="G2718" i="4" s="1"/>
  <c r="F2701" i="4"/>
  <c r="I2709" i="4"/>
  <c r="E2710" i="4" s="1"/>
  <c r="C2713" i="4"/>
  <c r="C2714" i="4"/>
  <c r="H2726" i="4"/>
  <c r="C2729" i="4"/>
  <c r="C2744" i="4" s="1"/>
  <c r="F2744" i="4" s="1"/>
  <c r="E2734" i="4"/>
  <c r="F2734" i="4"/>
  <c r="E2735" i="4"/>
  <c r="F2735" i="4"/>
  <c r="E2736" i="4"/>
  <c r="G2736" i="4" s="1"/>
  <c r="G2753" i="4" s="1"/>
  <c r="E2737" i="4"/>
  <c r="G2737" i="4" s="1"/>
  <c r="G2754" i="4" s="1"/>
  <c r="E2746" i="4"/>
  <c r="I2746" i="4" s="1"/>
  <c r="C2749" i="4"/>
  <c r="C2750" i="4"/>
  <c r="H2765" i="4"/>
  <c r="C2767" i="4"/>
  <c r="C2782" i="4" s="1"/>
  <c r="E2772" i="4"/>
  <c r="F2772" i="4"/>
  <c r="E2773" i="4"/>
  <c r="F2773" i="4"/>
  <c r="E2774" i="4"/>
  <c r="G2774" i="4" s="1"/>
  <c r="G2791" i="4" s="1"/>
  <c r="F2774" i="4"/>
  <c r="E2775" i="4"/>
  <c r="G2775" i="4" s="1"/>
  <c r="G2792" i="4" s="1"/>
  <c r="F2775" i="4"/>
  <c r="I2783" i="4"/>
  <c r="E2784" i="4" s="1"/>
  <c r="C2787" i="4"/>
  <c r="C2788" i="4"/>
  <c r="H2800" i="4"/>
  <c r="C2803" i="4"/>
  <c r="C2818" i="4" s="1"/>
  <c r="F2818" i="4" s="1"/>
  <c r="E2808" i="4"/>
  <c r="F2808" i="4"/>
  <c r="E2809" i="4"/>
  <c r="F2809" i="4"/>
  <c r="E2810" i="4"/>
  <c r="G2810" i="4" s="1"/>
  <c r="G2827" i="4" s="1"/>
  <c r="E2811" i="4"/>
  <c r="G2811" i="4" s="1"/>
  <c r="G2828" i="4" s="1"/>
  <c r="E2820" i="4"/>
  <c r="I2820" i="4" s="1"/>
  <c r="C2823" i="4"/>
  <c r="C2824" i="4"/>
  <c r="H2839" i="4"/>
  <c r="C2841" i="4"/>
  <c r="C2856" i="4" s="1"/>
  <c r="E2846" i="4"/>
  <c r="F2846" i="4"/>
  <c r="E2847" i="4"/>
  <c r="F2847" i="4"/>
  <c r="E2848" i="4"/>
  <c r="G2848" i="4" s="1"/>
  <c r="G2865" i="4" s="1"/>
  <c r="F2848" i="4"/>
  <c r="E2849" i="4"/>
  <c r="G2849" i="4" s="1"/>
  <c r="G2866" i="4" s="1"/>
  <c r="F2849" i="4"/>
  <c r="I2857" i="4"/>
  <c r="E2858" i="4" s="1"/>
  <c r="C2861" i="4"/>
  <c r="C2862" i="4"/>
  <c r="H2874" i="4"/>
  <c r="C2877" i="4"/>
  <c r="C2892" i="4" s="1"/>
  <c r="F2892" i="4" s="1"/>
  <c r="E2882" i="4"/>
  <c r="F2882" i="4"/>
  <c r="E2883" i="4"/>
  <c r="F2883" i="4"/>
  <c r="E2884" i="4"/>
  <c r="G2884" i="4" s="1"/>
  <c r="G2901" i="4" s="1"/>
  <c r="E2885" i="4"/>
  <c r="G2885" i="4" s="1"/>
  <c r="G2902" i="4" s="1"/>
  <c r="E2894" i="4"/>
  <c r="I2894" i="4" s="1"/>
  <c r="C2897" i="4"/>
  <c r="C2898" i="4"/>
  <c r="H2913" i="4"/>
  <c r="C2915" i="4"/>
  <c r="C2930" i="4" s="1"/>
  <c r="E2920" i="4"/>
  <c r="F2920" i="4"/>
  <c r="E2921" i="4"/>
  <c r="F2921" i="4"/>
  <c r="E2922" i="4"/>
  <c r="G2922" i="4" s="1"/>
  <c r="G2939" i="4" s="1"/>
  <c r="F2922" i="4"/>
  <c r="E2923" i="4"/>
  <c r="G2923" i="4" s="1"/>
  <c r="G2940" i="4" s="1"/>
  <c r="F2923" i="4"/>
  <c r="I2931" i="4"/>
  <c r="E2932" i="4" s="1"/>
  <c r="C2935" i="4"/>
  <c r="C2936" i="4"/>
  <c r="H2948" i="4"/>
  <c r="C2951" i="4"/>
  <c r="C2966" i="4" s="1"/>
  <c r="F2966" i="4" s="1"/>
  <c r="E2956" i="4"/>
  <c r="F2956" i="4"/>
  <c r="E2957" i="4"/>
  <c r="F2957" i="4"/>
  <c r="E2958" i="4"/>
  <c r="G2958" i="4" s="1"/>
  <c r="G2975" i="4" s="1"/>
  <c r="E2959" i="4"/>
  <c r="G2959" i="4" s="1"/>
  <c r="G2976" i="4" s="1"/>
  <c r="E2968" i="4"/>
  <c r="I2968" i="4" s="1"/>
  <c r="C2971" i="4"/>
  <c r="C2972" i="4"/>
  <c r="H2987" i="4"/>
  <c r="C2989" i="4"/>
  <c r="F3004" i="4" s="1"/>
  <c r="E2994" i="4"/>
  <c r="F2994" i="4"/>
  <c r="E2995" i="4"/>
  <c r="F2995" i="4"/>
  <c r="E2996" i="4"/>
  <c r="G2996" i="4" s="1"/>
  <c r="G3013" i="4" s="1"/>
  <c r="F2996" i="4"/>
  <c r="E2997" i="4"/>
  <c r="G2997" i="4" s="1"/>
  <c r="G3014" i="4" s="1"/>
  <c r="F2997" i="4"/>
  <c r="I3005" i="4"/>
  <c r="E3006" i="4" s="1"/>
  <c r="C3009" i="4"/>
  <c r="C3010" i="4"/>
  <c r="A1" i="8"/>
  <c r="C14" i="8"/>
  <c r="I14" i="8"/>
  <c r="C18" i="8"/>
  <c r="C21" i="8"/>
  <c r="C26" i="8"/>
  <c r="J26" i="8"/>
  <c r="L26" i="8" s="1"/>
  <c r="L28" i="8" s="1"/>
  <c r="C32" i="8"/>
  <c r="C34" i="8"/>
  <c r="J34" i="8"/>
  <c r="C40" i="8"/>
  <c r="I40" i="8"/>
  <c r="C42" i="8"/>
  <c r="C47" i="8"/>
  <c r="C49" i="8"/>
  <c r="C51" i="8"/>
  <c r="C55" i="8"/>
  <c r="C58" i="8"/>
  <c r="J58" i="8"/>
  <c r="K58" i="8"/>
  <c r="C61" i="8"/>
  <c r="C64" i="8"/>
  <c r="J64" i="8"/>
  <c r="C67" i="8"/>
  <c r="A16" i="2"/>
  <c r="E3" i="4" s="1"/>
  <c r="W16" i="2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AC16" i="2"/>
  <c r="H36" i="2"/>
  <c r="O36" i="2"/>
  <c r="AA36" i="2"/>
  <c r="AB36" i="2"/>
  <c r="V37" i="2"/>
  <c r="V38" i="2"/>
  <c r="V41" i="2"/>
  <c r="V44" i="2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40" i="4"/>
  <c r="E39" i="4"/>
  <c r="G1368" i="4"/>
  <c r="G1383" i="4" s="1"/>
  <c r="AH22" i="2"/>
  <c r="AI22" i="2" s="1"/>
  <c r="E994" i="4"/>
  <c r="G994" i="4" s="1"/>
  <c r="G1009" i="4" s="1"/>
  <c r="G1083" i="4"/>
  <c r="E1068" i="4"/>
  <c r="G1068" i="4" s="1"/>
  <c r="G1233" i="4"/>
  <c r="E1030" i="4"/>
  <c r="G1030" i="4"/>
  <c r="G1046" i="4" s="1"/>
  <c r="G1234" i="4"/>
  <c r="E1218" i="4"/>
  <c r="G1218" i="4" s="1"/>
  <c r="K64" i="8"/>
  <c r="AH20" i="2"/>
  <c r="AI20" i="2" s="1"/>
  <c r="E1104" i="4"/>
  <c r="G1104" i="4" s="1"/>
  <c r="G1121" i="4" s="1"/>
  <c r="I34" i="8"/>
  <c r="I36" i="8" s="1"/>
  <c r="AH32" i="2"/>
  <c r="AI32" i="2" s="1"/>
  <c r="AH19" i="2"/>
  <c r="AI19" i="2" s="1"/>
  <c r="AH23" i="2"/>
  <c r="AI23" i="2" s="1"/>
  <c r="G1421" i="4"/>
  <c r="F919" i="4"/>
  <c r="E880" i="4"/>
  <c r="G880" i="4" s="1"/>
  <c r="G897" i="4" s="1"/>
  <c r="K34" i="8"/>
  <c r="K42" i="8"/>
  <c r="E1403" i="4"/>
  <c r="G1403" i="4" s="1"/>
  <c r="E1143" i="4"/>
  <c r="G1143" i="4" s="1"/>
  <c r="G1158" i="4" s="1"/>
  <c r="E919" i="4"/>
  <c r="G919" i="4" s="1"/>
  <c r="G934" i="4" s="1"/>
  <c r="K66" i="5"/>
  <c r="K61" i="5"/>
  <c r="I28" i="2"/>
  <c r="I16" i="2"/>
  <c r="I36" i="2" s="1"/>
  <c r="I33" i="2"/>
  <c r="I27" i="2"/>
  <c r="I22" i="2"/>
  <c r="I17" i="2"/>
  <c r="I20" i="2"/>
  <c r="I32" i="2"/>
  <c r="I31" i="2"/>
  <c r="I26" i="2"/>
  <c r="I24" i="2"/>
  <c r="I23" i="2"/>
  <c r="I34" i="2"/>
  <c r="I25" i="2"/>
  <c r="I35" i="2"/>
  <c r="AH33" i="2"/>
  <c r="AI33" i="2" s="1"/>
  <c r="G730" i="4"/>
  <c r="G747" i="4" s="1"/>
  <c r="G729" i="4"/>
  <c r="G746" i="4" s="1"/>
  <c r="F71" i="5"/>
  <c r="F73" i="5" s="1"/>
  <c r="I30" i="2"/>
  <c r="I29" i="2"/>
  <c r="I19" i="2"/>
  <c r="I18" i="2"/>
  <c r="AC33" i="2"/>
  <c r="G466" i="4"/>
  <c r="G481" i="4" s="1"/>
  <c r="AH26" i="2"/>
  <c r="AI26" i="2" s="1"/>
  <c r="G467" i="4"/>
  <c r="G482" i="4" s="1"/>
  <c r="AH17" i="2"/>
  <c r="AI17" i="2" s="1"/>
  <c r="E24" i="2"/>
  <c r="I31" i="8"/>
  <c r="G578" i="4"/>
  <c r="G595" i="4" s="1"/>
  <c r="G577" i="4"/>
  <c r="G594" i="4" s="1"/>
  <c r="G769" i="4"/>
  <c r="G785" i="4" s="1"/>
  <c r="G770" i="4"/>
  <c r="G786" i="4" s="1"/>
  <c r="AH34" i="2"/>
  <c r="AI34" i="2" s="1"/>
  <c r="E23" i="2"/>
  <c r="E26" i="2"/>
  <c r="I57" i="5"/>
  <c r="M57" i="5" s="1"/>
  <c r="N60" i="5" s="1"/>
  <c r="G653" i="4"/>
  <c r="G670" i="4" s="1"/>
  <c r="G390" i="4"/>
  <c r="G406" i="4" s="1"/>
  <c r="AH24" i="2"/>
  <c r="AI24" i="2" s="1"/>
  <c r="G391" i="4"/>
  <c r="G407" i="4" s="1"/>
  <c r="G53" i="4"/>
  <c r="G70" i="4" s="1"/>
  <c r="E15" i="2"/>
  <c r="AY15" i="2"/>
  <c r="AZ15" i="2" s="1"/>
  <c r="J9" i="8"/>
  <c r="L9" i="8" s="1"/>
  <c r="G54" i="4"/>
  <c r="G71" i="4" s="1"/>
  <c r="G502" i="4"/>
  <c r="G519" i="4" s="1"/>
  <c r="AH27" i="2"/>
  <c r="AI27" i="2" s="1"/>
  <c r="E93" i="4"/>
  <c r="AH16" i="2"/>
  <c r="AI16" i="2" s="1"/>
  <c r="G93" i="4"/>
  <c r="G109" i="4" s="1"/>
  <c r="AH21" i="2"/>
  <c r="AI21" i="2" s="1"/>
  <c r="G276" i="4"/>
  <c r="G293" i="4" s="1"/>
  <c r="G166" i="4"/>
  <c r="G183" i="4" s="1"/>
  <c r="AH18" i="2"/>
  <c r="AI18" i="2" s="1"/>
  <c r="G165" i="4"/>
  <c r="G182" i="4" s="1"/>
  <c r="E166" i="4"/>
  <c r="E1376" i="4"/>
  <c r="E28" i="2"/>
  <c r="BA28" i="2"/>
  <c r="Y36" i="2"/>
  <c r="N67" i="1" s="1"/>
  <c r="G806" i="4"/>
  <c r="G823" i="4" s="1"/>
  <c r="AH35" i="2"/>
  <c r="AI35" i="2" s="1"/>
  <c r="G542" i="4"/>
  <c r="G558" i="4" s="1"/>
  <c r="AH28" i="2"/>
  <c r="AI28" i="2" s="1"/>
  <c r="G541" i="4"/>
  <c r="G557" i="4" s="1"/>
  <c r="G805" i="4"/>
  <c r="G822" i="4" s="1"/>
  <c r="E804" i="4"/>
  <c r="G804" i="4" s="1"/>
  <c r="G824" i="4" s="1"/>
  <c r="G52" i="4"/>
  <c r="G69" i="4" s="1"/>
  <c r="E91" i="4"/>
  <c r="G91" i="4" s="1"/>
  <c r="G110" i="4" s="1"/>
  <c r="E125" i="4"/>
  <c r="G125" i="4" s="1"/>
  <c r="G143" i="4" s="1"/>
  <c r="E164" i="4"/>
  <c r="G164" i="4" s="1"/>
  <c r="G181" i="4" s="1"/>
  <c r="E199" i="4"/>
  <c r="G199" i="4" s="1"/>
  <c r="G219" i="4" s="1"/>
  <c r="E239" i="4"/>
  <c r="G239" i="4" s="1"/>
  <c r="G258" i="4" s="1"/>
  <c r="E274" i="4"/>
  <c r="G274" i="4" s="1"/>
  <c r="G294" i="4" s="1"/>
  <c r="E314" i="4"/>
  <c r="G314" i="4" s="1"/>
  <c r="G333" i="4" s="1"/>
  <c r="E349" i="4"/>
  <c r="G349" i="4" s="1"/>
  <c r="G369" i="4" s="1"/>
  <c r="E389" i="4"/>
  <c r="G389" i="4" s="1"/>
  <c r="G408" i="4" s="1"/>
  <c r="E425" i="4"/>
  <c r="G425" i="4" s="1"/>
  <c r="G445" i="4" s="1"/>
  <c r="E465" i="4"/>
  <c r="G465" i="4" s="1"/>
  <c r="G483" i="4" s="1"/>
  <c r="E500" i="4"/>
  <c r="G500" i="4" s="1"/>
  <c r="G520" i="4" s="1"/>
  <c r="E576" i="4"/>
  <c r="G576" i="4" s="1"/>
  <c r="G596" i="4" s="1"/>
  <c r="E540" i="4"/>
  <c r="G540" i="4" s="1"/>
  <c r="G559" i="4" s="1"/>
  <c r="E692" i="4"/>
  <c r="G692" i="4" s="1"/>
  <c r="G711" i="4" s="1"/>
  <c r="E652" i="4"/>
  <c r="G652" i="4" s="1"/>
  <c r="G672" i="4" s="1"/>
  <c r="E728" i="4"/>
  <c r="G728" i="4" s="1"/>
  <c r="G748" i="4" s="1"/>
  <c r="E768" i="4"/>
  <c r="G768" i="4" s="1"/>
  <c r="G787" i="4" s="1"/>
  <c r="E616" i="4"/>
  <c r="G616" i="4" s="1"/>
  <c r="G635" i="4" s="1"/>
  <c r="AH30" i="2"/>
  <c r="AI30" i="2" s="1"/>
  <c r="G618" i="4"/>
  <c r="G634" i="4" s="1"/>
  <c r="Z36" i="2"/>
  <c r="O67" i="1" s="1"/>
  <c r="I57" i="1" l="1"/>
  <c r="J43" i="1" s="1"/>
  <c r="I59" i="1"/>
  <c r="C1746" i="4"/>
  <c r="I21" i="2"/>
  <c r="BB28" i="2"/>
  <c r="E664" i="4"/>
  <c r="K67" i="5"/>
  <c r="F36" i="2"/>
  <c r="G2142" i="4"/>
  <c r="G2146" i="4" s="1"/>
  <c r="D2164" i="4" s="1"/>
  <c r="L18" i="5"/>
  <c r="AT21" i="2"/>
  <c r="E12" i="6"/>
  <c r="F272" i="4"/>
  <c r="F1894" i="4"/>
  <c r="G1624" i="4"/>
  <c r="G1641" i="4" s="1"/>
  <c r="BB21" i="2"/>
  <c r="E703" i="4"/>
  <c r="G861" i="4"/>
  <c r="F2486" i="4"/>
  <c r="C2116" i="4"/>
  <c r="G2403" i="4"/>
  <c r="G2420" i="4" s="1"/>
  <c r="G1496" i="4"/>
  <c r="G1384" i="4"/>
  <c r="G1310" i="4"/>
  <c r="C1497" i="4"/>
  <c r="I1492" i="4" s="1"/>
  <c r="C1597" i="4"/>
  <c r="E1414" i="4"/>
  <c r="G2661" i="4"/>
  <c r="G2678" i="4" s="1"/>
  <c r="C2571" i="4"/>
  <c r="I2567" i="4" s="1"/>
  <c r="G2846" i="4"/>
  <c r="G2863" i="4" s="1"/>
  <c r="G2402" i="4"/>
  <c r="G2419" i="4" s="1"/>
  <c r="C2312" i="4"/>
  <c r="I2307" i="4" s="1"/>
  <c r="F1672" i="4"/>
  <c r="C1236" i="4"/>
  <c r="I1231" i="4" s="1"/>
  <c r="C2941" i="4"/>
  <c r="I2937" i="4" s="1"/>
  <c r="C2275" i="4"/>
  <c r="I2271" i="4" s="1"/>
  <c r="C2164" i="4"/>
  <c r="I2159" i="4" s="1"/>
  <c r="C1311" i="4"/>
  <c r="I1306" i="4" s="1"/>
  <c r="C334" i="4"/>
  <c r="C2423" i="4"/>
  <c r="I2419" i="4" s="1"/>
  <c r="C673" i="4"/>
  <c r="I668" i="4" s="1"/>
  <c r="C2127" i="4"/>
  <c r="I2123" i="4" s="1"/>
  <c r="C899" i="4"/>
  <c r="I894" i="4" s="1"/>
  <c r="C2534" i="4"/>
  <c r="I2529" i="4" s="1"/>
  <c r="C72" i="4"/>
  <c r="C850" i="4"/>
  <c r="C1868" i="4"/>
  <c r="I1863" i="4" s="1"/>
  <c r="G2956" i="4"/>
  <c r="G2973" i="4" s="1"/>
  <c r="C937" i="4"/>
  <c r="I932" i="4" s="1"/>
  <c r="C974" i="4"/>
  <c r="I969" i="4" s="1"/>
  <c r="C2608" i="4"/>
  <c r="I2603" i="4" s="1"/>
  <c r="C1942" i="4"/>
  <c r="I1937" i="4" s="1"/>
  <c r="C1012" i="4"/>
  <c r="I1007" i="4" s="1"/>
  <c r="C521" i="4"/>
  <c r="I516" i="4" s="1"/>
  <c r="C3015" i="4"/>
  <c r="I3011" i="4" s="1"/>
  <c r="C1161" i="4"/>
  <c r="I1156" i="4" s="1"/>
  <c r="C1423" i="4"/>
  <c r="I1418" i="4" s="1"/>
  <c r="C2682" i="4"/>
  <c r="I2677" i="4" s="1"/>
  <c r="G2772" i="4"/>
  <c r="G2789" i="4" s="1"/>
  <c r="G1958" i="4"/>
  <c r="G1962" i="4" s="1"/>
  <c r="G1980" i="4" s="1"/>
  <c r="C1905" i="4"/>
  <c r="I1901" i="4" s="1"/>
  <c r="C1831" i="4"/>
  <c r="I1827" i="4" s="1"/>
  <c r="C484" i="4"/>
  <c r="C259" i="4"/>
  <c r="C146" i="4"/>
  <c r="C2867" i="4"/>
  <c r="I2863" i="4" s="1"/>
  <c r="C409" i="4"/>
  <c r="C2497" i="4"/>
  <c r="I2493" i="4" s="1"/>
  <c r="C1608" i="4"/>
  <c r="I1604" i="4" s="1"/>
  <c r="C184" i="4"/>
  <c r="C370" i="4"/>
  <c r="C2053" i="4"/>
  <c r="I2049" i="4" s="1"/>
  <c r="C597" i="4"/>
  <c r="I592" i="4" s="1"/>
  <c r="C1385" i="4"/>
  <c r="I1380" i="4" s="1"/>
  <c r="C1720" i="4"/>
  <c r="I1715" i="4" s="1"/>
  <c r="I1301" i="4"/>
  <c r="F925" i="4"/>
  <c r="L64" i="8"/>
  <c r="G2995" i="4"/>
  <c r="G3012" i="4" s="1"/>
  <c r="C3004" i="4"/>
  <c r="G2143" i="4"/>
  <c r="G2160" i="4" s="1"/>
  <c r="G2033" i="4"/>
  <c r="G2050" i="4" s="1"/>
  <c r="G1995" i="4"/>
  <c r="G2012" i="4" s="1"/>
  <c r="G1884" i="4"/>
  <c r="G1901" i="4" s="1"/>
  <c r="G1772" i="4"/>
  <c r="G1776" i="4" s="1"/>
  <c r="G1549" i="4"/>
  <c r="G1553" i="4" s="1"/>
  <c r="C788" i="4"/>
  <c r="I783" i="4" s="1"/>
  <c r="C636" i="4"/>
  <c r="I631" i="4" s="1"/>
  <c r="C2978" i="4"/>
  <c r="I2973" i="4" s="1"/>
  <c r="C1757" i="4"/>
  <c r="I1753" i="4" s="1"/>
  <c r="C2238" i="4"/>
  <c r="I2233" i="4" s="1"/>
  <c r="C446" i="4"/>
  <c r="G1811" i="4"/>
  <c r="G1828" i="4" s="1"/>
  <c r="G1737" i="4"/>
  <c r="G1754" i="4" s="1"/>
  <c r="C749" i="4"/>
  <c r="I744" i="4" s="1"/>
  <c r="C1794" i="4"/>
  <c r="I1789" i="4" s="1"/>
  <c r="C2756" i="4"/>
  <c r="I2751" i="4" s="1"/>
  <c r="C2793" i="4"/>
  <c r="I2789" i="4" s="1"/>
  <c r="C2645" i="4"/>
  <c r="I2641" i="4" s="1"/>
  <c r="C295" i="4"/>
  <c r="C1683" i="4"/>
  <c r="I1679" i="4" s="1"/>
  <c r="C111" i="4"/>
  <c r="C1571" i="4"/>
  <c r="I1566" i="4" s="1"/>
  <c r="C2349" i="4"/>
  <c r="I2345" i="4" s="1"/>
  <c r="C1123" i="4"/>
  <c r="I1118" i="4" s="1"/>
  <c r="C1979" i="4"/>
  <c r="I1975" i="4" s="1"/>
  <c r="C2904" i="4"/>
  <c r="I2899" i="4" s="1"/>
  <c r="C2460" i="4"/>
  <c r="I2455" i="4" s="1"/>
  <c r="C1646" i="4"/>
  <c r="I1641" i="4" s="1"/>
  <c r="F1820" i="4"/>
  <c r="G1625" i="4"/>
  <c r="G1642" i="4" s="1"/>
  <c r="G1587" i="4"/>
  <c r="G1591" i="4" s="1"/>
  <c r="D1608" i="4" s="1"/>
  <c r="C1373" i="4"/>
  <c r="F2560" i="4"/>
  <c r="F2264" i="4"/>
  <c r="C1523" i="4"/>
  <c r="C2190" i="4"/>
  <c r="G2551" i="4"/>
  <c r="G2568" i="4" s="1"/>
  <c r="G2477" i="4"/>
  <c r="G2494" i="4" s="1"/>
  <c r="G2181" i="4"/>
  <c r="G2198" i="4" s="1"/>
  <c r="G1959" i="4"/>
  <c r="G1976" i="4" s="1"/>
  <c r="G1662" i="4"/>
  <c r="G1666" i="4" s="1"/>
  <c r="C548" i="4"/>
  <c r="C1224" i="4"/>
  <c r="C776" i="4"/>
  <c r="G1197" i="4"/>
  <c r="G973" i="4"/>
  <c r="U60" i="5"/>
  <c r="I52" i="5"/>
  <c r="F58" i="5"/>
  <c r="A17" i="2"/>
  <c r="A18" i="2" s="1"/>
  <c r="A19" i="2" s="1"/>
  <c r="C2634" i="4"/>
  <c r="C1299" i="4"/>
  <c r="G2883" i="4"/>
  <c r="G2900" i="4" s="1"/>
  <c r="G2587" i="4"/>
  <c r="G2604" i="4" s="1"/>
  <c r="G2217" i="4"/>
  <c r="G2234" i="4" s="1"/>
  <c r="F23" i="5"/>
  <c r="G25" i="5" s="1"/>
  <c r="G26" i="5" s="1"/>
  <c r="G1122" i="4"/>
  <c r="I39" i="2"/>
  <c r="G2438" i="4"/>
  <c r="G2455" i="4" s="1"/>
  <c r="G2364" i="4"/>
  <c r="C2042" i="4"/>
  <c r="G2882" i="4"/>
  <c r="G2899" i="4" s="1"/>
  <c r="G2735" i="4"/>
  <c r="G2752" i="4" s="1"/>
  <c r="H22" i="5"/>
  <c r="H19" i="5"/>
  <c r="G2328" i="4"/>
  <c r="G2345" i="4" s="1"/>
  <c r="G2254" i="4"/>
  <c r="G2271" i="4" s="1"/>
  <c r="G2180" i="4"/>
  <c r="G2197" i="4" s="1"/>
  <c r="G1773" i="4"/>
  <c r="G1790" i="4" s="1"/>
  <c r="G1235" i="4"/>
  <c r="G2847" i="4"/>
  <c r="G2864" i="4" s="1"/>
  <c r="G1847" i="4"/>
  <c r="G1864" i="4" s="1"/>
  <c r="F472" i="4"/>
  <c r="C472" i="4"/>
  <c r="E325" i="4"/>
  <c r="F99" i="4"/>
  <c r="G2586" i="4"/>
  <c r="G2603" i="4" s="1"/>
  <c r="G2512" i="4"/>
  <c r="G2476" i="4"/>
  <c r="G2480" i="4" s="1"/>
  <c r="G2068" i="4"/>
  <c r="G2085" i="4" s="1"/>
  <c r="G1736" i="4"/>
  <c r="G1740" i="4" s="1"/>
  <c r="G1758" i="4" s="1"/>
  <c r="G1347" i="4"/>
  <c r="G936" i="4"/>
  <c r="G1867" i="4"/>
  <c r="C172" i="4"/>
  <c r="F1000" i="4"/>
  <c r="F1449" i="4"/>
  <c r="C1968" i="4"/>
  <c r="F2782" i="4"/>
  <c r="G2698" i="4"/>
  <c r="G2660" i="4"/>
  <c r="G2664" i="4" s="1"/>
  <c r="G2682" i="4" s="1"/>
  <c r="G2625" i="4"/>
  <c r="G2642" i="4" s="1"/>
  <c r="G2513" i="4"/>
  <c r="G2530" i="4" s="1"/>
  <c r="G2439" i="4"/>
  <c r="G2456" i="4" s="1"/>
  <c r="G2365" i="4"/>
  <c r="G2382" i="4" s="1"/>
  <c r="G2107" i="4"/>
  <c r="G2124" i="4" s="1"/>
  <c r="G1699" i="4"/>
  <c r="G1716" i="4" s="1"/>
  <c r="G1663" i="4"/>
  <c r="G1680" i="4" s="1"/>
  <c r="G1085" i="4"/>
  <c r="G898" i="4"/>
  <c r="F2412" i="4"/>
  <c r="F2338" i="4"/>
  <c r="G2809" i="4"/>
  <c r="G2826" i="4" s="1"/>
  <c r="C2708" i="4"/>
  <c r="F2708" i="4"/>
  <c r="G2329" i="4"/>
  <c r="G2346" i="4" s="1"/>
  <c r="G2291" i="4"/>
  <c r="G2308" i="4" s="1"/>
  <c r="G1810" i="4"/>
  <c r="G1814" i="4" s="1"/>
  <c r="G1514" i="4"/>
  <c r="G1531" i="4" s="1"/>
  <c r="I1488" i="4"/>
  <c r="G59" i="5"/>
  <c r="G1921" i="4"/>
  <c r="G1938" i="4" s="1"/>
  <c r="G1885" i="4"/>
  <c r="G1902" i="4" s="1"/>
  <c r="E1189" i="4"/>
  <c r="G1272" i="4"/>
  <c r="F2930" i="4"/>
  <c r="F2856" i="4"/>
  <c r="C2830" i="4"/>
  <c r="I2825" i="4" s="1"/>
  <c r="C1461" i="4"/>
  <c r="I1456" i="4" s="1"/>
  <c r="C1348" i="4"/>
  <c r="I1343" i="4" s="1"/>
  <c r="C2016" i="4"/>
  <c r="I2011" i="4" s="1"/>
  <c r="C1198" i="4"/>
  <c r="I1193" i="4" s="1"/>
  <c r="C2386" i="4"/>
  <c r="I2381" i="4" s="1"/>
  <c r="C2201" i="4"/>
  <c r="I2197" i="4" s="1"/>
  <c r="C712" i="4"/>
  <c r="I707" i="4" s="1"/>
  <c r="C2090" i="4"/>
  <c r="I2085" i="4" s="1"/>
  <c r="C2719" i="4"/>
  <c r="I2715" i="4" s="1"/>
  <c r="C560" i="4"/>
  <c r="I555" i="4" s="1"/>
  <c r="C1048" i="4"/>
  <c r="I1043" i="4" s="1"/>
  <c r="C1534" i="4"/>
  <c r="I1530" i="4" s="1"/>
  <c r="C825" i="4"/>
  <c r="I820" i="4" s="1"/>
  <c r="C1086" i="4"/>
  <c r="I1081" i="4" s="1"/>
  <c r="C862" i="4"/>
  <c r="I857" i="4" s="1"/>
  <c r="C1273" i="4"/>
  <c r="I1268" i="4" s="1"/>
  <c r="G1160" i="4"/>
  <c r="U59" i="5"/>
  <c r="G2734" i="4"/>
  <c r="G2699" i="4"/>
  <c r="G2716" i="4" s="1"/>
  <c r="G2550" i="4"/>
  <c r="G2255" i="4"/>
  <c r="G2272" i="4" s="1"/>
  <c r="G2032" i="4"/>
  <c r="G2049" i="4" s="1"/>
  <c r="G1920" i="4"/>
  <c r="H52" i="5"/>
  <c r="H53" i="5" s="1"/>
  <c r="AP36" i="2"/>
  <c r="G2957" i="4"/>
  <c r="G2974" i="4" s="1"/>
  <c r="G2921" i="4"/>
  <c r="G2938" i="4" s="1"/>
  <c r="G1550" i="4"/>
  <c r="G1567" i="4" s="1"/>
  <c r="G1047" i="4"/>
  <c r="G1011" i="4"/>
  <c r="BB16" i="2"/>
  <c r="BB25" i="2"/>
  <c r="BB31" i="2"/>
  <c r="BB35" i="2"/>
  <c r="BB24" i="2"/>
  <c r="G1422" i="4"/>
  <c r="BB17" i="2"/>
  <c r="BB26" i="2"/>
  <c r="BB32" i="2"/>
  <c r="G2994" i="4"/>
  <c r="G2998" i="4" s="1"/>
  <c r="G2920" i="4"/>
  <c r="G2808" i="4"/>
  <c r="G2812" i="4" s="1"/>
  <c r="G2773" i="4"/>
  <c r="G2790" i="4" s="1"/>
  <c r="G2290" i="4"/>
  <c r="G2307" i="4" s="1"/>
  <c r="G2216" i="4"/>
  <c r="G2220" i="4" s="1"/>
  <c r="G2069" i="4"/>
  <c r="G2086" i="4" s="1"/>
  <c r="G1846" i="4"/>
  <c r="G1850" i="4" s="1"/>
  <c r="G1698" i="4"/>
  <c r="G1702" i="4" s="1"/>
  <c r="G1460" i="4"/>
  <c r="BB18" i="2"/>
  <c r="BB22" i="2"/>
  <c r="BB29" i="2"/>
  <c r="BB33" i="2"/>
  <c r="BB27" i="2"/>
  <c r="BB19" i="2"/>
  <c r="BB23" i="2"/>
  <c r="BB30" i="2"/>
  <c r="BB34" i="2"/>
  <c r="N36" i="2"/>
  <c r="BB20" i="2"/>
  <c r="C668" i="4"/>
  <c r="O17" i="1"/>
  <c r="P17" i="1" s="1"/>
  <c r="H2131" i="4"/>
  <c r="F700" i="4"/>
  <c r="C700" i="4"/>
  <c r="C1149" i="4"/>
  <c r="F1149" i="4"/>
  <c r="F397" i="4"/>
  <c r="C397" i="4"/>
  <c r="G2624" i="4"/>
  <c r="G2106" i="4"/>
  <c r="G1513" i="4"/>
  <c r="C624" i="4"/>
  <c r="F322" i="4"/>
  <c r="F1074" i="4"/>
  <c r="C247" i="4"/>
  <c r="G1994" i="4"/>
  <c r="C47" i="4"/>
  <c r="C60" i="4"/>
  <c r="L42" i="8"/>
  <c r="G1588" i="4"/>
  <c r="G1605" i="4" s="1"/>
  <c r="D36" i="2"/>
  <c r="C479" i="4"/>
  <c r="C365" i="4"/>
  <c r="M48" i="1"/>
  <c r="C927" i="4"/>
  <c r="C707" i="4"/>
  <c r="C2968" i="4"/>
  <c r="O54" i="1"/>
  <c r="P54" i="1" s="1"/>
  <c r="F626" i="4"/>
  <c r="F101" i="4"/>
  <c r="F85" i="4"/>
  <c r="F834" i="4"/>
  <c r="F1151" i="4"/>
  <c r="F2842" i="4"/>
  <c r="F2176" i="4"/>
  <c r="F1113" i="4"/>
  <c r="F2208" i="4"/>
  <c r="F815" i="4"/>
  <c r="C360" i="4"/>
  <c r="F1375" i="4"/>
  <c r="C1487" i="4"/>
  <c r="F2524" i="4"/>
  <c r="F1580" i="4"/>
  <c r="F2080" i="4"/>
  <c r="C1636" i="4"/>
  <c r="F1636" i="4"/>
  <c r="F1451" i="4"/>
  <c r="F778" i="4"/>
  <c r="F1092" i="4"/>
  <c r="F249" i="4"/>
  <c r="F702" i="4"/>
  <c r="F2672" i="4"/>
  <c r="C1076" i="4"/>
  <c r="F739" i="4"/>
  <c r="C1188" i="4"/>
  <c r="C852" i="4"/>
  <c r="F1360" i="4"/>
  <c r="F2858" i="4"/>
  <c r="C2154" i="4"/>
  <c r="F2450" i="4"/>
  <c r="F1002" i="4"/>
  <c r="F307" i="4"/>
  <c r="C1710" i="4"/>
  <c r="C550" i="4"/>
  <c r="F1599" i="4"/>
  <c r="F2636" i="4"/>
  <c r="C2598" i="4"/>
  <c r="C2524" i="4"/>
  <c r="F1732" i="4"/>
  <c r="F663" i="4"/>
  <c r="F2356" i="4"/>
  <c r="F2765" i="4"/>
  <c r="F607" i="4"/>
  <c r="F415" i="4"/>
  <c r="C210" i="4"/>
  <c r="F2546" i="4"/>
  <c r="F1658" i="4"/>
  <c r="F158" i="4"/>
  <c r="F2324" i="4"/>
  <c r="C1226" i="4"/>
  <c r="C174" i="4"/>
  <c r="F1038" i="4"/>
  <c r="F1435" i="4"/>
  <c r="F2044" i="4"/>
  <c r="F2250" i="4"/>
  <c r="C2080" i="4"/>
  <c r="F889" i="4"/>
  <c r="C1113" i="4"/>
  <c r="C815" i="4"/>
  <c r="F2932" i="4"/>
  <c r="F2820" i="4"/>
  <c r="F1285" i="4"/>
  <c r="C964" i="4"/>
  <c r="C1822" i="4"/>
  <c r="F610" i="4"/>
  <c r="F983" i="4"/>
  <c r="F2247" i="4"/>
  <c r="F943" i="4"/>
  <c r="C2006" i="4"/>
  <c r="F534" i="4"/>
  <c r="F1748" i="4"/>
  <c r="F2916" i="4"/>
  <c r="C2044" i="4"/>
  <c r="C626" i="4"/>
  <c r="F1210" i="4"/>
  <c r="F2784" i="4"/>
  <c r="F1525" i="4"/>
  <c r="C1932" i="4"/>
  <c r="F1822" i="4"/>
  <c r="C1674" i="4"/>
  <c r="F927" i="4"/>
  <c r="C136" i="4"/>
  <c r="F2192" i="4"/>
  <c r="C739" i="4"/>
  <c r="F587" i="4"/>
  <c r="F382" i="4"/>
  <c r="F2398" i="4"/>
  <c r="C2820" i="4"/>
  <c r="F1509" i="4"/>
  <c r="F2173" i="4"/>
  <c r="F1282" i="4"/>
  <c r="F2376" i="4"/>
  <c r="F1301" i="4"/>
  <c r="P23" i="1"/>
  <c r="G71" i="1"/>
  <c r="C215" i="4"/>
  <c r="C179" i="4"/>
  <c r="D100" i="1"/>
  <c r="L53" i="5"/>
  <c r="J57" i="5" s="1"/>
  <c r="I60" i="5" s="1"/>
  <c r="C404" i="4"/>
  <c r="C820" i="4"/>
  <c r="C254" i="4"/>
  <c r="C631" i="4"/>
  <c r="O44" i="1"/>
  <c r="P74" i="1"/>
  <c r="Q74" i="1" s="1"/>
  <c r="F2469" i="4"/>
  <c r="F2543" i="4"/>
  <c r="F43" i="4"/>
  <c r="F1242" i="4"/>
  <c r="F1838" i="4"/>
  <c r="F1655" i="4"/>
  <c r="F1506" i="4"/>
  <c r="F2839" i="4"/>
  <c r="F566" i="4"/>
  <c r="F1357" i="4"/>
  <c r="F1317" i="4"/>
  <c r="F759" i="4"/>
  <c r="F868" i="4"/>
  <c r="F642" i="4"/>
  <c r="F189" i="4"/>
  <c r="F2578" i="4"/>
  <c r="F2134" i="4"/>
  <c r="F683" i="4"/>
  <c r="F264" i="4"/>
  <c r="F230" i="4"/>
  <c r="F2282" i="4"/>
  <c r="F908" i="4"/>
  <c r="F2800" i="4"/>
  <c r="F1467" i="4"/>
  <c r="F2430" i="4"/>
  <c r="F2025" i="4"/>
  <c r="F155" i="4"/>
  <c r="F2948" i="4"/>
  <c r="F339" i="4"/>
  <c r="F1057" i="4"/>
  <c r="F82" i="4"/>
  <c r="F1541" i="4"/>
  <c r="F2617" i="4"/>
  <c r="F2913" i="4"/>
  <c r="F2874" i="4"/>
  <c r="F2099" i="4"/>
  <c r="F380" i="4"/>
  <c r="F2504" i="4"/>
  <c r="F1764" i="4"/>
  <c r="F1729" i="4"/>
  <c r="F115" i="4"/>
  <c r="F1167" i="4"/>
  <c r="F2060" i="4"/>
  <c r="F2987" i="4"/>
  <c r="F1018" i="4"/>
  <c r="F305" i="4"/>
  <c r="F2691" i="4"/>
  <c r="F852" i="4"/>
  <c r="F2414" i="4"/>
  <c r="C285" i="4"/>
  <c r="C1784" i="4"/>
  <c r="C1451" i="4"/>
  <c r="C1151" i="4"/>
  <c r="F2228" i="4"/>
  <c r="C2192" i="4"/>
  <c r="F2768" i="4"/>
  <c r="F2472" i="4"/>
  <c r="F2154" i="4"/>
  <c r="F1060" i="4"/>
  <c r="F210" i="4"/>
  <c r="C436" i="4"/>
  <c r="C2636" i="4"/>
  <c r="F474" i="4"/>
  <c r="C2784" i="4"/>
  <c r="C1748" i="4"/>
  <c r="C101" i="4"/>
  <c r="F436" i="4"/>
  <c r="F1896" i="4"/>
  <c r="C1038" i="4"/>
  <c r="F986" i="4"/>
  <c r="F1710" i="4"/>
  <c r="F550" i="4"/>
  <c r="F837" i="4"/>
  <c r="F1858" i="4"/>
  <c r="C2488" i="4"/>
  <c r="F232" i="4"/>
  <c r="C1525" i="4"/>
  <c r="F285" i="4"/>
  <c r="F1784" i="4"/>
  <c r="F360" i="4"/>
  <c r="F1674" i="4"/>
  <c r="F1806" i="4"/>
  <c r="C2118" i="4"/>
  <c r="C1375" i="4"/>
  <c r="C1338" i="4"/>
  <c r="F1487" i="4"/>
  <c r="C2340" i="4"/>
  <c r="F686" i="4"/>
  <c r="F1263" i="4"/>
  <c r="C249" i="4"/>
  <c r="C2932" i="4"/>
  <c r="F458" i="4"/>
  <c r="F2598" i="4"/>
  <c r="F1338" i="4"/>
  <c r="F1954" i="4"/>
  <c r="C2302" i="4"/>
  <c r="F2694" i="4"/>
  <c r="C511" i="4"/>
  <c r="C2562" i="4"/>
  <c r="C2894" i="4"/>
  <c r="C2414" i="4"/>
  <c r="F1583" i="4"/>
  <c r="C2710" i="4"/>
  <c r="C2746" i="4"/>
  <c r="F2710" i="4"/>
  <c r="F136" i="4"/>
  <c r="F2302" i="4"/>
  <c r="C663" i="4"/>
  <c r="F1135" i="4"/>
  <c r="F1932" i="4"/>
  <c r="F1880" i="4"/>
  <c r="F2990" i="4"/>
  <c r="F2102" i="4"/>
  <c r="C587" i="4"/>
  <c r="F3006" i="4"/>
  <c r="F2894" i="4"/>
  <c r="C2858" i="4"/>
  <c r="F62" i="4"/>
  <c r="C1858" i="4"/>
  <c r="F2028" i="4"/>
  <c r="C1263" i="4"/>
  <c r="F399" i="4"/>
  <c r="C2228" i="4"/>
  <c r="C474" i="4"/>
  <c r="F1413" i="4"/>
  <c r="F174" i="4"/>
  <c r="F2266" i="4"/>
  <c r="F2562" i="4"/>
  <c r="C1599" i="4"/>
  <c r="C324" i="4"/>
  <c r="C399" i="4"/>
  <c r="C702" i="4"/>
  <c r="C62" i="4"/>
  <c r="C889" i="4"/>
  <c r="C1413" i="4"/>
  <c r="C1002" i="4"/>
  <c r="F1188" i="4"/>
  <c r="C3006" i="4"/>
  <c r="F964" i="4"/>
  <c r="F2340" i="4"/>
  <c r="F2006" i="4"/>
  <c r="F912" i="4"/>
  <c r="F2968" i="4"/>
  <c r="F2746" i="4"/>
  <c r="F1970" i="4"/>
  <c r="F762" i="4"/>
  <c r="F1076" i="4"/>
  <c r="F511" i="4"/>
  <c r="C2266" i="4"/>
  <c r="C778" i="4"/>
  <c r="F324" i="4"/>
  <c r="C1970" i="4"/>
  <c r="C2672" i="4"/>
  <c r="C2450" i="4"/>
  <c r="F2488" i="4"/>
  <c r="C1561" i="4"/>
  <c r="C1896" i="4"/>
  <c r="C1301" i="4"/>
  <c r="C2376" i="4"/>
  <c r="F2620" i="4"/>
  <c r="F1561" i="4"/>
  <c r="F2118" i="4"/>
  <c r="C555" i="4"/>
  <c r="O11" i="1"/>
  <c r="E73" i="5"/>
  <c r="G73" i="5" s="1"/>
  <c r="P73" i="1"/>
  <c r="L58" i="8"/>
  <c r="L34" i="8"/>
  <c r="L36" i="8" s="1"/>
  <c r="O30" i="1"/>
  <c r="H63" i="1"/>
  <c r="J36" i="2" s="1"/>
  <c r="E767" i="4" s="1"/>
  <c r="G767" i="4" s="1"/>
  <c r="G784" i="4" s="1"/>
  <c r="Q71" i="1"/>
  <c r="G68" i="1"/>
  <c r="R67" i="1" s="1"/>
  <c r="BB15" i="2"/>
  <c r="BA36" i="2"/>
  <c r="R39" i="1"/>
  <c r="S39" i="1" s="1"/>
  <c r="O39" i="1"/>
  <c r="P39" i="1" s="1"/>
  <c r="AY36" i="2"/>
  <c r="AC36" i="2"/>
  <c r="Q67" i="1"/>
  <c r="G70" i="1"/>
  <c r="R69" i="1" s="1"/>
  <c r="S69" i="1" s="1"/>
  <c r="C592" i="4"/>
  <c r="C106" i="4"/>
  <c r="C290" i="4"/>
  <c r="C329" i="4"/>
  <c r="H94" i="1"/>
  <c r="I94" i="1" s="1"/>
  <c r="Y38" i="2"/>
  <c r="Y40" i="2" s="1"/>
  <c r="E27" i="2"/>
  <c r="E36" i="2" s="1"/>
  <c r="C441" i="4"/>
  <c r="C141" i="4"/>
  <c r="C67" i="4"/>
  <c r="C516" i="4"/>
  <c r="C783" i="4"/>
  <c r="F718" i="4"/>
  <c r="F490" i="4"/>
  <c r="F1132" i="4"/>
  <c r="F1391" i="4"/>
  <c r="F1690" i="4"/>
  <c r="F456" i="4"/>
  <c r="F2395" i="4"/>
  <c r="F1877" i="4"/>
  <c r="F2726" i="4"/>
  <c r="F1912" i="4"/>
  <c r="F1207" i="4"/>
  <c r="F1951" i="4"/>
  <c r="F1432" i="4"/>
  <c r="F1803" i="4"/>
  <c r="F2652" i="4"/>
  <c r="F794" i="4"/>
  <c r="F531" i="4"/>
  <c r="F1616" i="4"/>
  <c r="F2321" i="4"/>
  <c r="P38" i="1"/>
  <c r="S68" i="1"/>
  <c r="O48" i="1" l="1"/>
  <c r="M57" i="1"/>
  <c r="M59" i="1" s="1"/>
  <c r="O57" i="1"/>
  <c r="G2164" i="4"/>
  <c r="G2159" i="4"/>
  <c r="G2406" i="4"/>
  <c r="D2423" i="4" s="1"/>
  <c r="G1604" i="4"/>
  <c r="G1789" i="4"/>
  <c r="G1609" i="4"/>
  <c r="G2184" i="4"/>
  <c r="G2202" i="4" s="1"/>
  <c r="G1628" i="4"/>
  <c r="G1646" i="4" s="1"/>
  <c r="G2850" i="4"/>
  <c r="G2868" i="4" s="1"/>
  <c r="G2493" i="4"/>
  <c r="I2131" i="4"/>
  <c r="G1566" i="4"/>
  <c r="G2294" i="4"/>
  <c r="D2312" i="4" s="1"/>
  <c r="G2776" i="4"/>
  <c r="G2794" i="4" s="1"/>
  <c r="G1975" i="4"/>
  <c r="G1863" i="4"/>
  <c r="G2960" i="4"/>
  <c r="G2978" i="4" s="1"/>
  <c r="G1794" i="4"/>
  <c r="D1794" i="4"/>
  <c r="G2233" i="4"/>
  <c r="G2258" i="4"/>
  <c r="G2276" i="4" s="1"/>
  <c r="D1683" i="4"/>
  <c r="G1684" i="4"/>
  <c r="G2072" i="4"/>
  <c r="G2090" i="4" s="1"/>
  <c r="E5" i="4"/>
  <c r="G2332" i="4"/>
  <c r="G2350" i="4" s="1"/>
  <c r="G1679" i="4"/>
  <c r="D2682" i="4"/>
  <c r="G60" i="5"/>
  <c r="G61" i="5" s="1"/>
  <c r="G1888" i="4"/>
  <c r="D1905" i="4" s="1"/>
  <c r="D1757" i="4"/>
  <c r="G2442" i="4"/>
  <c r="G1827" i="4"/>
  <c r="D1979" i="4"/>
  <c r="U61" i="5"/>
  <c r="G2886" i="4"/>
  <c r="G2904" i="4" s="1"/>
  <c r="E4" i="4"/>
  <c r="G2036" i="4"/>
  <c r="G2054" i="4" s="1"/>
  <c r="H23" i="5"/>
  <c r="G2368" i="4"/>
  <c r="G2381" i="4"/>
  <c r="G2516" i="4"/>
  <c r="G2529" i="4"/>
  <c r="G1715" i="4"/>
  <c r="G3011" i="4"/>
  <c r="G3016" i="4" s="1"/>
  <c r="D3015" i="4" s="1"/>
  <c r="G654" i="4"/>
  <c r="G671" i="4" s="1"/>
  <c r="G1753" i="4"/>
  <c r="G2590" i="4"/>
  <c r="D2608" i="4" s="1"/>
  <c r="G2702" i="4"/>
  <c r="G2715" i="4"/>
  <c r="AH31" i="2"/>
  <c r="AI31" i="2" s="1"/>
  <c r="AI36" i="2" s="1"/>
  <c r="G2677" i="4"/>
  <c r="D1571" i="4"/>
  <c r="G1571" i="4"/>
  <c r="G2825" i="4"/>
  <c r="G2567" i="4"/>
  <c r="G2554" i="4"/>
  <c r="G2498" i="4"/>
  <c r="D2497" i="4"/>
  <c r="G1937" i="4"/>
  <c r="G1924" i="4"/>
  <c r="G2751" i="4"/>
  <c r="G2738" i="4"/>
  <c r="G2924" i="4"/>
  <c r="G2937" i="4"/>
  <c r="E6" i="4"/>
  <c r="A20" i="2"/>
  <c r="G1868" i="4"/>
  <c r="D1868" i="4"/>
  <c r="G2123" i="4"/>
  <c r="G2110" i="4"/>
  <c r="G2641" i="4"/>
  <c r="G2628" i="4"/>
  <c r="G1530" i="4"/>
  <c r="G1517" i="4"/>
  <c r="G1998" i="4"/>
  <c r="G2011" i="4"/>
  <c r="G1832" i="4"/>
  <c r="D1831" i="4"/>
  <c r="D1720" i="4"/>
  <c r="G1720" i="4"/>
  <c r="D2238" i="4"/>
  <c r="G2238" i="4"/>
  <c r="D2830" i="4"/>
  <c r="G2830" i="4"/>
  <c r="N73" i="1"/>
  <c r="N75" i="1" s="1"/>
  <c r="Q70" i="1"/>
  <c r="G36" i="2"/>
  <c r="E498" i="4" s="1"/>
  <c r="G498" i="4" s="1"/>
  <c r="G516" i="4" s="1"/>
  <c r="I59" i="5"/>
  <c r="O57" i="5"/>
  <c r="P59" i="5" s="1"/>
  <c r="J34" i="2"/>
  <c r="J17" i="2"/>
  <c r="J18" i="2"/>
  <c r="E651" i="4"/>
  <c r="G651" i="4" s="1"/>
  <c r="G669" i="4" s="1"/>
  <c r="E842" i="4"/>
  <c r="G842" i="4" s="1"/>
  <c r="G858" i="4" s="1"/>
  <c r="E952" i="4"/>
  <c r="G952" i="4" s="1"/>
  <c r="G970" i="4" s="1"/>
  <c r="E238" i="4"/>
  <c r="G238" i="4" s="1"/>
  <c r="G255" i="4" s="1"/>
  <c r="J30" i="2"/>
  <c r="E1176" i="4"/>
  <c r="G1176" i="4" s="1"/>
  <c r="G1194" i="4" s="1"/>
  <c r="E615" i="4"/>
  <c r="G615" i="4" s="1"/>
  <c r="G632" i="4" s="1"/>
  <c r="E1400" i="4"/>
  <c r="G1400" i="4" s="1"/>
  <c r="G1419" i="4" s="1"/>
  <c r="E1140" i="4"/>
  <c r="G1140" i="4" s="1"/>
  <c r="G1157" i="4" s="1"/>
  <c r="E1365" i="4"/>
  <c r="G1365" i="4" s="1"/>
  <c r="G1381" i="4" s="1"/>
  <c r="J20" i="2"/>
  <c r="J16" i="2"/>
  <c r="E1326" i="4"/>
  <c r="G1326" i="4" s="1"/>
  <c r="G1344" i="4" s="1"/>
  <c r="E877" i="4"/>
  <c r="G877" i="4" s="1"/>
  <c r="G895" i="4" s="1"/>
  <c r="E1027" i="4"/>
  <c r="G1027" i="4" s="1"/>
  <c r="G1044" i="4" s="1"/>
  <c r="E1101" i="4"/>
  <c r="G1101" i="4" s="1"/>
  <c r="G1119" i="4" s="1"/>
  <c r="E273" i="4"/>
  <c r="G273" i="4" s="1"/>
  <c r="G291" i="4" s="1"/>
  <c r="J35" i="2"/>
  <c r="E198" i="4"/>
  <c r="G198" i="4" s="1"/>
  <c r="G216" i="4" s="1"/>
  <c r="E1440" i="4"/>
  <c r="G1440" i="4" s="1"/>
  <c r="G1457" i="4" s="1"/>
  <c r="J15" i="2"/>
  <c r="E348" i="4"/>
  <c r="G348" i="4" s="1"/>
  <c r="G366" i="4" s="1"/>
  <c r="E1065" i="4"/>
  <c r="G1065" i="4" s="1"/>
  <c r="G1082" i="4" s="1"/>
  <c r="P75" i="1"/>
  <c r="E499" i="4"/>
  <c r="G499" i="4" s="1"/>
  <c r="G517" i="4" s="1"/>
  <c r="E124" i="4"/>
  <c r="G124" i="4" s="1"/>
  <c r="G142" i="4" s="1"/>
  <c r="E1251" i="4"/>
  <c r="G1251" i="4" s="1"/>
  <c r="G1269" i="4" s="1"/>
  <c r="E575" i="4"/>
  <c r="G575" i="4" s="1"/>
  <c r="G593" i="4" s="1"/>
  <c r="J26" i="2"/>
  <c r="J19" i="2"/>
  <c r="E991" i="4"/>
  <c r="G991" i="4" s="1"/>
  <c r="G1008" i="4" s="1"/>
  <c r="E90" i="4"/>
  <c r="G90" i="4" s="1"/>
  <c r="G107" i="4" s="1"/>
  <c r="E313" i="4"/>
  <c r="G313" i="4" s="1"/>
  <c r="G330" i="4" s="1"/>
  <c r="J29" i="2"/>
  <c r="J33" i="2"/>
  <c r="J27" i="2"/>
  <c r="E691" i="4"/>
  <c r="G691" i="4" s="1"/>
  <c r="G708" i="4" s="1"/>
  <c r="J24" i="2"/>
  <c r="J32" i="2"/>
  <c r="E464" i="4"/>
  <c r="G464" i="4" s="1"/>
  <c r="G480" i="4" s="1"/>
  <c r="E1290" i="4"/>
  <c r="G1290" i="4" s="1"/>
  <c r="G1307" i="4" s="1"/>
  <c r="E916" i="4"/>
  <c r="G916" i="4" s="1"/>
  <c r="G933" i="4" s="1"/>
  <c r="S41" i="2"/>
  <c r="E1215" i="4"/>
  <c r="G1215" i="4" s="1"/>
  <c r="G1232" i="4" s="1"/>
  <c r="E51" i="4"/>
  <c r="G51" i="4" s="1"/>
  <c r="G68" i="4" s="1"/>
  <c r="E1476" i="4"/>
  <c r="G1476" i="4" s="1"/>
  <c r="G1493" i="4" s="1"/>
  <c r="E424" i="4"/>
  <c r="G424" i="4" s="1"/>
  <c r="G442" i="4" s="1"/>
  <c r="J25" i="2"/>
  <c r="J23" i="2"/>
  <c r="J22" i="2"/>
  <c r="E388" i="4"/>
  <c r="G388" i="4" s="1"/>
  <c r="G405" i="4" s="1"/>
  <c r="J31" i="2"/>
  <c r="E539" i="4"/>
  <c r="G539" i="4" s="1"/>
  <c r="G556" i="4" s="1"/>
  <c r="O73" i="1"/>
  <c r="O75" i="1" s="1"/>
  <c r="J21" i="2"/>
  <c r="E727" i="4"/>
  <c r="G727" i="4" s="1"/>
  <c r="G745" i="4" s="1"/>
  <c r="E803" i="4"/>
  <c r="G803" i="4" s="1"/>
  <c r="G821" i="4" s="1"/>
  <c r="J28" i="2"/>
  <c r="E163" i="4"/>
  <c r="G163" i="4" s="1"/>
  <c r="G180" i="4" s="1"/>
  <c r="S67" i="1"/>
  <c r="AZ36" i="2"/>
  <c r="BB36" i="2" s="1"/>
  <c r="BB37" i="2" s="1"/>
  <c r="BD37" i="2" s="1"/>
  <c r="BA38" i="2"/>
  <c r="R70" i="1"/>
  <c r="N57" i="5"/>
  <c r="J45" i="1"/>
  <c r="J38" i="1"/>
  <c r="J55" i="1"/>
  <c r="J23" i="1"/>
  <c r="J57" i="1"/>
  <c r="J49" i="1"/>
  <c r="I63" i="1"/>
  <c r="J30" i="1"/>
  <c r="J40" i="1"/>
  <c r="J17" i="1"/>
  <c r="J11" i="1"/>
  <c r="G2424" i="4" l="1"/>
  <c r="D2201" i="4"/>
  <c r="D2793" i="4"/>
  <c r="D2349" i="4"/>
  <c r="D1646" i="4"/>
  <c r="D2867" i="4"/>
  <c r="G2312" i="4"/>
  <c r="G1906" i="4"/>
  <c r="D2978" i="4"/>
  <c r="D2090" i="4"/>
  <c r="D2275" i="4"/>
  <c r="D2904" i="4"/>
  <c r="D2053" i="4"/>
  <c r="D2460" i="4"/>
  <c r="G2460" i="4"/>
  <c r="G2386" i="4"/>
  <c r="D2386" i="4"/>
  <c r="AH36" i="2"/>
  <c r="G2608" i="4"/>
  <c r="G2720" i="4"/>
  <c r="D2719" i="4"/>
  <c r="G2534" i="4"/>
  <c r="D2534" i="4"/>
  <c r="D2756" i="4"/>
  <c r="G2756" i="4"/>
  <c r="G1942" i="4"/>
  <c r="D1942" i="4"/>
  <c r="G2572" i="4"/>
  <c r="D2571" i="4"/>
  <c r="A21" i="2"/>
  <c r="E7" i="4"/>
  <c r="D2941" i="4"/>
  <c r="G2942" i="4"/>
  <c r="G1535" i="4"/>
  <c r="D1534" i="4"/>
  <c r="G2016" i="4"/>
  <c r="D2016" i="4"/>
  <c r="G2646" i="4"/>
  <c r="D2645" i="4"/>
  <c r="D2127" i="4"/>
  <c r="G2128" i="4"/>
  <c r="G2131" i="4" s="1"/>
  <c r="I61" i="5"/>
  <c r="G94" i="1" s="1"/>
  <c r="G26" i="2"/>
  <c r="L26" i="2" s="1"/>
  <c r="P26" i="2" s="1"/>
  <c r="E1026" i="4"/>
  <c r="G1026" i="4" s="1"/>
  <c r="G1043" i="4" s="1"/>
  <c r="E690" i="4"/>
  <c r="G690" i="4" s="1"/>
  <c r="G707" i="4" s="1"/>
  <c r="G24" i="2"/>
  <c r="L24" i="2" s="1"/>
  <c r="P24" i="2" s="1"/>
  <c r="G22" i="2"/>
  <c r="L22" i="2" s="1"/>
  <c r="AD22" i="2" s="1"/>
  <c r="AE22" i="2" s="1"/>
  <c r="E1475" i="4"/>
  <c r="G1475" i="4" s="1"/>
  <c r="G1480" i="4" s="1"/>
  <c r="G1497" i="4" s="1"/>
  <c r="G28" i="2"/>
  <c r="L28" i="2" s="1"/>
  <c r="AD28" i="2" s="1"/>
  <c r="AE28" i="2" s="1"/>
  <c r="E1439" i="4"/>
  <c r="G1439" i="4" s="1"/>
  <c r="G1456" i="4" s="1"/>
  <c r="G23" i="2"/>
  <c r="L23" i="2" s="1"/>
  <c r="P23" i="2" s="1"/>
  <c r="G34" i="2"/>
  <c r="L34" i="2" s="1"/>
  <c r="AD34" i="2" s="1"/>
  <c r="AE34" i="2" s="1"/>
  <c r="E347" i="4"/>
  <c r="G347" i="4" s="1"/>
  <c r="G352" i="4" s="1"/>
  <c r="G370" i="4" s="1"/>
  <c r="E1139" i="4"/>
  <c r="G1139" i="4" s="1"/>
  <c r="G1144" i="4" s="1"/>
  <c r="D1161" i="4" s="1"/>
  <c r="E312" i="4"/>
  <c r="G312" i="4" s="1"/>
  <c r="G317" i="4" s="1"/>
  <c r="D334" i="4" s="1"/>
  <c r="E1325" i="4"/>
  <c r="G1325" i="4" s="1"/>
  <c r="G1343" i="4" s="1"/>
  <c r="E123" i="4"/>
  <c r="G123" i="4" s="1"/>
  <c r="G128" i="4" s="1"/>
  <c r="D146" i="4" s="1"/>
  <c r="G30" i="2"/>
  <c r="L30" i="2" s="1"/>
  <c r="AD30" i="2" s="1"/>
  <c r="AE30" i="2" s="1"/>
  <c r="G32" i="2"/>
  <c r="L32" i="2" s="1"/>
  <c r="P32" i="2" s="1"/>
  <c r="E387" i="4"/>
  <c r="G387" i="4" s="1"/>
  <c r="G404" i="4" s="1"/>
  <c r="E1064" i="4"/>
  <c r="G1064" i="4" s="1"/>
  <c r="G1069" i="4" s="1"/>
  <c r="G1086" i="4" s="1"/>
  <c r="G20" i="2"/>
  <c r="L20" i="2" s="1"/>
  <c r="P20" i="2" s="1"/>
  <c r="E197" i="4"/>
  <c r="G197" i="4" s="1"/>
  <c r="G215" i="4" s="1"/>
  <c r="G29" i="2"/>
  <c r="L29" i="2" s="1"/>
  <c r="AD29" i="2" s="1"/>
  <c r="AE29" i="2" s="1"/>
  <c r="E272" i="4"/>
  <c r="G272" i="4" s="1"/>
  <c r="G290" i="4" s="1"/>
  <c r="E1214" i="4"/>
  <c r="G1214" i="4" s="1"/>
  <c r="G1219" i="4" s="1"/>
  <c r="D1236" i="4" s="1"/>
  <c r="E89" i="4"/>
  <c r="G89" i="4" s="1"/>
  <c r="G106" i="4" s="1"/>
  <c r="E876" i="4"/>
  <c r="G876" i="4" s="1"/>
  <c r="G881" i="4" s="1"/>
  <c r="D899" i="4" s="1"/>
  <c r="G27" i="2"/>
  <c r="L27" i="2" s="1"/>
  <c r="P27" i="2" s="1"/>
  <c r="E915" i="4"/>
  <c r="G915" i="4" s="1"/>
  <c r="G920" i="4" s="1"/>
  <c r="D937" i="4" s="1"/>
  <c r="G31" i="2"/>
  <c r="L31" i="2" s="1"/>
  <c r="P31" i="2" s="1"/>
  <c r="E1289" i="4"/>
  <c r="G1289" i="4" s="1"/>
  <c r="G1306" i="4" s="1"/>
  <c r="G19" i="2"/>
  <c r="L19" i="2" s="1"/>
  <c r="P19" i="2" s="1"/>
  <c r="E650" i="4"/>
  <c r="G650" i="4" s="1"/>
  <c r="G668" i="4" s="1"/>
  <c r="G16" i="2"/>
  <c r="L16" i="2" s="1"/>
  <c r="P16" i="2" s="1"/>
  <c r="E1100" i="4"/>
  <c r="G1100" i="4" s="1"/>
  <c r="G1118" i="4" s="1"/>
  <c r="G21" i="2"/>
  <c r="L21" i="2" s="1"/>
  <c r="AD21" i="2" s="1"/>
  <c r="AE21" i="2" s="1"/>
  <c r="E574" i="4"/>
  <c r="G574" i="4" s="1"/>
  <c r="G592" i="4" s="1"/>
  <c r="G17" i="2"/>
  <c r="L17" i="2" s="1"/>
  <c r="AD17" i="2" s="1"/>
  <c r="AE17" i="2" s="1"/>
  <c r="E802" i="4"/>
  <c r="G802" i="4" s="1"/>
  <c r="G820" i="4" s="1"/>
  <c r="E841" i="4"/>
  <c r="G841" i="4" s="1"/>
  <c r="G846" i="4" s="1"/>
  <c r="E50" i="4"/>
  <c r="G50" i="4" s="1"/>
  <c r="G67" i="4" s="1"/>
  <c r="G72" i="4" s="1"/>
  <c r="E990" i="4"/>
  <c r="G990" i="4" s="1"/>
  <c r="G995" i="4" s="1"/>
  <c r="D1012" i="4" s="1"/>
  <c r="E463" i="4"/>
  <c r="G463" i="4" s="1"/>
  <c r="G479" i="4" s="1"/>
  <c r="G484" i="4" s="1"/>
  <c r="G35" i="2"/>
  <c r="L35" i="2" s="1"/>
  <c r="S38" i="2"/>
  <c r="E1364" i="4"/>
  <c r="G1364" i="4" s="1"/>
  <c r="G1369" i="4" s="1"/>
  <c r="G1385" i="4" s="1"/>
  <c r="E951" i="4"/>
  <c r="G951" i="4" s="1"/>
  <c r="G956" i="4" s="1"/>
  <c r="D974" i="4" s="1"/>
  <c r="G25" i="2"/>
  <c r="L25" i="2" s="1"/>
  <c r="P25" i="2" s="1"/>
  <c r="E614" i="4"/>
  <c r="G614" i="4" s="1"/>
  <c r="G619" i="4" s="1"/>
  <c r="D636" i="4" s="1"/>
  <c r="E162" i="4"/>
  <c r="G162" i="4" s="1"/>
  <c r="G167" i="4" s="1"/>
  <c r="G184" i="4" s="1"/>
  <c r="G33" i="2"/>
  <c r="L33" i="2" s="1"/>
  <c r="AD33" i="2" s="1"/>
  <c r="AE33" i="2" s="1"/>
  <c r="E1175" i="4"/>
  <c r="G1175" i="4" s="1"/>
  <c r="G1180" i="4" s="1"/>
  <c r="G1198" i="4" s="1"/>
  <c r="G15" i="2"/>
  <c r="L15" i="2" s="1"/>
  <c r="P15" i="2" s="1"/>
  <c r="E1399" i="4"/>
  <c r="G1399" i="4" s="1"/>
  <c r="G1418" i="4" s="1"/>
  <c r="E538" i="4"/>
  <c r="G538" i="4" s="1"/>
  <c r="G555" i="4" s="1"/>
  <c r="G18" i="2"/>
  <c r="L18" i="2" s="1"/>
  <c r="E766" i="4"/>
  <c r="G766" i="4" s="1"/>
  <c r="G783" i="4" s="1"/>
  <c r="E726" i="4"/>
  <c r="G726" i="4" s="1"/>
  <c r="G731" i="4" s="1"/>
  <c r="E423" i="4"/>
  <c r="G423" i="4" s="1"/>
  <c r="G441" i="4" s="1"/>
  <c r="G446" i="4" s="1"/>
  <c r="E237" i="4"/>
  <c r="G237" i="4" s="1"/>
  <c r="G242" i="4" s="1"/>
  <c r="D259" i="4" s="1"/>
  <c r="E1250" i="4"/>
  <c r="G1250" i="4" s="1"/>
  <c r="G1255" i="4" s="1"/>
  <c r="D1273" i="4" s="1"/>
  <c r="Q75" i="1"/>
  <c r="S75" i="1" s="1"/>
  <c r="Q73" i="1"/>
  <c r="G503" i="4"/>
  <c r="D521" i="4" s="1"/>
  <c r="N58" i="5"/>
  <c r="N59" i="5"/>
  <c r="S70" i="1"/>
  <c r="A22" i="2" l="1"/>
  <c r="E8" i="4"/>
  <c r="G1031" i="4"/>
  <c r="G695" i="4"/>
  <c r="D712" i="4" s="1"/>
  <c r="G277" i="4"/>
  <c r="G295" i="4" s="1"/>
  <c r="G631" i="4"/>
  <c r="D370" i="4"/>
  <c r="G254" i="4"/>
  <c r="D1086" i="4"/>
  <c r="G365" i="4"/>
  <c r="D1497" i="4"/>
  <c r="G1492" i="4"/>
  <c r="G1236" i="4"/>
  <c r="G894" i="4"/>
  <c r="G146" i="4"/>
  <c r="AD26" i="2"/>
  <c r="AE26" i="2" s="1"/>
  <c r="AF26" i="2" s="1"/>
  <c r="AJ26" i="2" s="1"/>
  <c r="D1198" i="4"/>
  <c r="G141" i="4"/>
  <c r="G857" i="4"/>
  <c r="G969" i="4"/>
  <c r="G974" i="4" s="1"/>
  <c r="G428" i="4"/>
  <c r="D446" i="4" s="1"/>
  <c r="G1330" i="4"/>
  <c r="G937" i="4"/>
  <c r="G392" i="4"/>
  <c r="D409" i="4" s="1"/>
  <c r="G1294" i="4"/>
  <c r="G1311" i="4" s="1"/>
  <c r="G55" i="4"/>
  <c r="D72" i="4" s="1"/>
  <c r="G636" i="4"/>
  <c r="G1273" i="4"/>
  <c r="G1081" i="4"/>
  <c r="G1268" i="4"/>
  <c r="P30" i="2"/>
  <c r="AF30" i="2" s="1"/>
  <c r="AJ30" i="2" s="1"/>
  <c r="G1161" i="4"/>
  <c r="G1156" i="4"/>
  <c r="G1231" i="4"/>
  <c r="G579" i="4"/>
  <c r="D597" i="4" s="1"/>
  <c r="G771" i="4"/>
  <c r="D788" i="4" s="1"/>
  <c r="G1007" i="4"/>
  <c r="G1444" i="4"/>
  <c r="D1461" i="4" s="1"/>
  <c r="AD24" i="2"/>
  <c r="AE24" i="2" s="1"/>
  <c r="AF24" i="2" s="1"/>
  <c r="AJ24" i="2" s="1"/>
  <c r="G655" i="4"/>
  <c r="G673" i="4" s="1"/>
  <c r="G899" i="4"/>
  <c r="G1012" i="4"/>
  <c r="D184" i="4"/>
  <c r="G94" i="4"/>
  <c r="D111" i="4" s="1"/>
  <c r="G329" i="4"/>
  <c r="D1385" i="4"/>
  <c r="P17" i="2"/>
  <c r="AF17" i="2" s="1"/>
  <c r="AJ17" i="2" s="1"/>
  <c r="G744" i="4"/>
  <c r="G932" i="4"/>
  <c r="AD20" i="2"/>
  <c r="AE20" i="2" s="1"/>
  <c r="AF20" i="2" s="1"/>
  <c r="AJ20" i="2" s="1"/>
  <c r="G202" i="4"/>
  <c r="D220" i="4" s="1"/>
  <c r="AD16" i="2"/>
  <c r="AE16" i="2" s="1"/>
  <c r="AF16" i="2" s="1"/>
  <c r="AJ16" i="2" s="1"/>
  <c r="G1193" i="4"/>
  <c r="G1404" i="4"/>
  <c r="D1423" i="4" s="1"/>
  <c r="G179" i="4"/>
  <c r="P35" i="2"/>
  <c r="AD35" i="2"/>
  <c r="AE35" i="2" s="1"/>
  <c r="G807" i="4"/>
  <c r="D825" i="4" s="1"/>
  <c r="P34" i="2"/>
  <c r="AF34" i="2" s="1"/>
  <c r="AJ34" i="2" s="1"/>
  <c r="P33" i="2"/>
  <c r="AF33" i="2" s="1"/>
  <c r="AJ33" i="2" s="1"/>
  <c r="G468" i="4"/>
  <c r="D484" i="4" s="1"/>
  <c r="G543" i="4"/>
  <c r="G560" i="4" s="1"/>
  <c r="G1105" i="4"/>
  <c r="D1123" i="4" s="1"/>
  <c r="G1380" i="4"/>
  <c r="G259" i="4"/>
  <c r="AD25" i="2"/>
  <c r="AE25" i="2" s="1"/>
  <c r="AF25" i="2" s="1"/>
  <c r="AJ25" i="2" s="1"/>
  <c r="P18" i="2"/>
  <c r="AD18" i="2"/>
  <c r="AE18" i="2" s="1"/>
  <c r="P22" i="2"/>
  <c r="AF22" i="2" s="1"/>
  <c r="AJ22" i="2" s="1"/>
  <c r="G334" i="4"/>
  <c r="P29" i="2"/>
  <c r="AF29" i="2" s="1"/>
  <c r="AJ29" i="2" s="1"/>
  <c r="AD15" i="2"/>
  <c r="AE15" i="2" s="1"/>
  <c r="AF15" i="2" s="1"/>
  <c r="AD19" i="2"/>
  <c r="AE19" i="2" s="1"/>
  <c r="AF19" i="2" s="1"/>
  <c r="AJ19" i="2" s="1"/>
  <c r="AD31" i="2"/>
  <c r="AE31" i="2" s="1"/>
  <c r="AF31" i="2" s="1"/>
  <c r="AJ31" i="2" s="1"/>
  <c r="AD32" i="2"/>
  <c r="AE32" i="2" s="1"/>
  <c r="AF32" i="2" s="1"/>
  <c r="AJ32" i="2" s="1"/>
  <c r="AD27" i="2"/>
  <c r="AE27" i="2" s="1"/>
  <c r="AF27" i="2" s="1"/>
  <c r="AJ27" i="2" s="1"/>
  <c r="AD23" i="2"/>
  <c r="AE23" i="2" s="1"/>
  <c r="AF23" i="2" s="1"/>
  <c r="AJ23" i="2" s="1"/>
  <c r="P21" i="2"/>
  <c r="AF21" i="2" s="1"/>
  <c r="AJ21" i="2" s="1"/>
  <c r="G521" i="4"/>
  <c r="P28" i="2"/>
  <c r="AF28" i="2" s="1"/>
  <c r="AJ28" i="2" s="1"/>
  <c r="L36" i="2"/>
  <c r="G862" i="4"/>
  <c r="D862" i="4"/>
  <c r="G749" i="4"/>
  <c r="D749" i="4"/>
  <c r="N61" i="5"/>
  <c r="G1048" i="4" l="1"/>
  <c r="D1048" i="4"/>
  <c r="G1348" i="4"/>
  <c r="D1348" i="4"/>
  <c r="A23" i="2"/>
  <c r="E9" i="4"/>
  <c r="G712" i="4"/>
  <c r="D295" i="4"/>
  <c r="D1311" i="4"/>
  <c r="G409" i="4"/>
  <c r="G788" i="4"/>
  <c r="G1461" i="4"/>
  <c r="D673" i="4"/>
  <c r="G597" i="4"/>
  <c r="G111" i="4"/>
  <c r="G220" i="4"/>
  <c r="AF35" i="2"/>
  <c r="AJ35" i="2" s="1"/>
  <c r="G1423" i="4"/>
  <c r="G825" i="4"/>
  <c r="G1123" i="4"/>
  <c r="D560" i="4"/>
  <c r="AF18" i="2"/>
  <c r="AJ18" i="2" s="1"/>
  <c r="AE36" i="2"/>
  <c r="AD36" i="2"/>
  <c r="P36" i="2"/>
  <c r="AJ15" i="2"/>
  <c r="E10" i="4" l="1"/>
  <c r="A24" i="2"/>
  <c r="AF36" i="2"/>
  <c r="AJ36" i="2"/>
  <c r="A25" i="2" l="1"/>
  <c r="E11" i="4"/>
  <c r="A26" i="2" l="1"/>
  <c r="E12" i="4"/>
  <c r="A27" i="2" l="1"/>
  <c r="E13" i="4"/>
  <c r="A28" i="2" l="1"/>
  <c r="E14" i="4"/>
  <c r="G67" i="1" l="1"/>
  <c r="A29" i="2"/>
  <c r="E15" i="4"/>
  <c r="G73" i="1" l="1"/>
  <c r="N84" i="1" s="1"/>
  <c r="N85" i="1" s="1"/>
  <c r="R66" i="1"/>
  <c r="E16" i="4"/>
  <c r="A30" i="2"/>
  <c r="R73" i="1" l="1"/>
  <c r="S66" i="1"/>
  <c r="S73" i="1" s="1"/>
  <c r="E17" i="4"/>
  <c r="A31" i="2"/>
  <c r="E18" i="4" l="1"/>
  <c r="A32" i="2"/>
  <c r="E19" i="4" l="1"/>
  <c r="A33" i="2"/>
  <c r="A34" i="2" l="1"/>
  <c r="E20" i="4"/>
  <c r="A35" i="2" l="1"/>
  <c r="E22" i="4" s="1"/>
  <c r="E21" i="4"/>
</calcChain>
</file>

<file path=xl/sharedStrings.xml><?xml version="1.0" encoding="utf-8"?>
<sst xmlns="http://schemas.openxmlformats.org/spreadsheetml/2006/main" count="1397" uniqueCount="417">
  <si>
    <t>MES:</t>
  </si>
  <si>
    <t>TOTAL</t>
  </si>
  <si>
    <t>U.F.</t>
  </si>
  <si>
    <t>DTO</t>
  </si>
  <si>
    <t>NOMBRE</t>
  </si>
  <si>
    <t>EXP. B</t>
  </si>
  <si>
    <t>%</t>
  </si>
  <si>
    <t>Recibo: 1 ORIGINAL</t>
  </si>
  <si>
    <t>PERIODO</t>
  </si>
  <si>
    <t>APELLIDO Y NOMBRES</t>
  </si>
  <si>
    <t>Categoria</t>
  </si>
  <si>
    <t>Legajo</t>
  </si>
  <si>
    <t>0-03</t>
  </si>
  <si>
    <t xml:space="preserve">BANCO </t>
  </si>
  <si>
    <t>PERIODO DEPOSITADO</t>
  </si>
  <si>
    <t>FECHA</t>
  </si>
  <si>
    <t>TAREA</t>
  </si>
  <si>
    <t>INGRESO</t>
  </si>
  <si>
    <t>Enc.Perm c/viv</t>
  </si>
  <si>
    <t>CONCEPTOS</t>
  </si>
  <si>
    <t>UNIDADES</t>
  </si>
  <si>
    <t>REMUNERAC.</t>
  </si>
  <si>
    <t>DESCUENT.</t>
  </si>
  <si>
    <t xml:space="preserve">BASICO </t>
  </si>
  <si>
    <t>feriados,dom</t>
  </si>
  <si>
    <t>RETIRO DE RESIDUOS</t>
  </si>
  <si>
    <t>DIAS</t>
  </si>
  <si>
    <t>RET. JUBILACION</t>
  </si>
  <si>
    <t xml:space="preserve"> -</t>
  </si>
  <si>
    <t>LEY N 19032</t>
  </si>
  <si>
    <t>OBRA SOCIAL</t>
  </si>
  <si>
    <t>ANSSAL</t>
  </si>
  <si>
    <t>CUOTA SINDICAL</t>
  </si>
  <si>
    <t>CAJA PROT FAMILIA</t>
  </si>
  <si>
    <t>TOTAL BRUTO</t>
  </si>
  <si>
    <t>TOTAL DESCUENTOS</t>
  </si>
  <si>
    <t>TOTAL NETO</t>
  </si>
  <si>
    <t>REDONDEO</t>
  </si>
  <si>
    <t xml:space="preserve">SON PESOS: </t>
  </si>
  <si>
    <t>FIRMA DEL EMPLEADO</t>
  </si>
  <si>
    <t>Recibí de la firma cuyo rubro se indica arriba el importe neto de esta liquidación en pago de mi</t>
  </si>
  <si>
    <t>remuneración correspondiente al período indicado y duplicado de la misma.</t>
  </si>
  <si>
    <t>art</t>
  </si>
  <si>
    <t>fija</t>
  </si>
  <si>
    <t>porcenta</t>
  </si>
  <si>
    <t>por empleado</t>
  </si>
  <si>
    <t>EMPLEADOR: CONS. DE PROP. BERUTI 4575/77</t>
  </si>
  <si>
    <t>CUIT: 30-70807291-1</t>
  </si>
  <si>
    <t>Cuil: 23-11424220-9</t>
  </si>
  <si>
    <t>OSUNA CLAUDIO R.</t>
  </si>
  <si>
    <t>PLUS JARDIN</t>
  </si>
  <si>
    <t>PLUS COCHERA</t>
  </si>
  <si>
    <t>1425 - Capital Federal</t>
  </si>
  <si>
    <t>GRATIFICACION</t>
  </si>
  <si>
    <t>DS NORMALES</t>
  </si>
  <si>
    <t>HS EXTRAS</t>
  </si>
  <si>
    <t>SETIEMBRE</t>
  </si>
  <si>
    <t>HORAS EXTRAS 100%</t>
  </si>
  <si>
    <t>FIRMA DEL EMPLEADOR</t>
  </si>
  <si>
    <t>FONDO</t>
  </si>
  <si>
    <t>Nación</t>
  </si>
  <si>
    <t>DEC.2641/02</t>
  </si>
  <si>
    <t>Domicilio:                               Beruti 4575/77</t>
  </si>
  <si>
    <t>LEY Nº 19032</t>
  </si>
  <si>
    <t>Recibo: 2 DUPLICADO</t>
  </si>
  <si>
    <t>SEICIENTOS OCHENTA Y OCHO</t>
  </si>
  <si>
    <t>Febrero 2003</t>
  </si>
  <si>
    <t>OBSERVACIONES</t>
  </si>
  <si>
    <t>Expensas Gastos A</t>
  </si>
  <si>
    <t>Expensas Gastos B</t>
  </si>
  <si>
    <t>G A</t>
  </si>
  <si>
    <t>G B</t>
  </si>
  <si>
    <t>D A</t>
  </si>
  <si>
    <t>INT</t>
  </si>
  <si>
    <t>TOT</t>
  </si>
  <si>
    <t>Unid. 1</t>
  </si>
  <si>
    <t>Unid. 2</t>
  </si>
  <si>
    <t>Unid. 3</t>
  </si>
  <si>
    <t>Unid. 4</t>
  </si>
  <si>
    <t>Unid. 5</t>
  </si>
  <si>
    <t>Unid. 6</t>
  </si>
  <si>
    <t>Unid. 7</t>
  </si>
  <si>
    <t>Unid. 8</t>
  </si>
  <si>
    <t>Unid. 9</t>
  </si>
  <si>
    <t>Unid. 10</t>
  </si>
  <si>
    <t>Unid. 11</t>
  </si>
  <si>
    <t>Unid. 12</t>
  </si>
  <si>
    <t>Unid. 13</t>
  </si>
  <si>
    <t>Unid. 14</t>
  </si>
  <si>
    <t>Unid. 15</t>
  </si>
  <si>
    <t>Unid. 16</t>
  </si>
  <si>
    <t>Unid. 17</t>
  </si>
  <si>
    <t>Unid. 18</t>
  </si>
  <si>
    <t>Unid. 19</t>
  </si>
  <si>
    <t>Unid. 20</t>
  </si>
  <si>
    <t>Unid. 21</t>
  </si>
  <si>
    <t>Unid. 22</t>
  </si>
  <si>
    <t>Unid. 23</t>
  </si>
  <si>
    <t>Unid. 24</t>
  </si>
  <si>
    <t>Unid. 25</t>
  </si>
  <si>
    <t>Unid. 26</t>
  </si>
  <si>
    <t>Unid. 27</t>
  </si>
  <si>
    <t>Unid. 28</t>
  </si>
  <si>
    <t>Unid. 29</t>
  </si>
  <si>
    <t>Unid. 30</t>
  </si>
  <si>
    <t>Unid. 31</t>
  </si>
  <si>
    <t>Unid. 32</t>
  </si>
  <si>
    <t>Unid. 33</t>
  </si>
  <si>
    <t>Unid. 34</t>
  </si>
  <si>
    <t>Unid. 35</t>
  </si>
  <si>
    <t>Unid. 36</t>
  </si>
  <si>
    <t>Unid. 37</t>
  </si>
  <si>
    <t>Unid. 38</t>
  </si>
  <si>
    <t>Unid. 39</t>
  </si>
  <si>
    <t>Unid. 40</t>
  </si>
  <si>
    <t>Unid. 41</t>
  </si>
  <si>
    <t>Unid. 42</t>
  </si>
  <si>
    <t>Unid. 43</t>
  </si>
  <si>
    <t>Unid. 44</t>
  </si>
  <si>
    <t>Unid. 45</t>
  </si>
  <si>
    <t>Unid. 46</t>
  </si>
  <si>
    <t>Unid. 47</t>
  </si>
  <si>
    <t>Unid. 48</t>
  </si>
  <si>
    <t>Unid. 49</t>
  </si>
  <si>
    <t>Unid. 50</t>
  </si>
  <si>
    <t>Unid. 51</t>
  </si>
  <si>
    <t>Unid. 52</t>
  </si>
  <si>
    <t>Unid. 53</t>
  </si>
  <si>
    <t>Unid. 54</t>
  </si>
  <si>
    <t>Unid. 55</t>
  </si>
  <si>
    <t>Unid. 56</t>
  </si>
  <si>
    <t>Unid. 57</t>
  </si>
  <si>
    <t>Unid. 58</t>
  </si>
  <si>
    <t>Unid. 59</t>
  </si>
  <si>
    <t>Unid. 60</t>
  </si>
  <si>
    <t>Unid. 61</t>
  </si>
  <si>
    <t>Unid. 62</t>
  </si>
  <si>
    <t>Unid. 63</t>
  </si>
  <si>
    <t>Unid. 64</t>
  </si>
  <si>
    <t>Unid. 65</t>
  </si>
  <si>
    <t>Unid. 66</t>
  </si>
  <si>
    <t>Unid. 67</t>
  </si>
  <si>
    <t>Unid. 68</t>
  </si>
  <si>
    <t>Unid. 69</t>
  </si>
  <si>
    <t>Unid. 70</t>
  </si>
  <si>
    <t>Unid. 71</t>
  </si>
  <si>
    <t>Unid. 72</t>
  </si>
  <si>
    <t>Unid. 73</t>
  </si>
  <si>
    <t>Unid. 74</t>
  </si>
  <si>
    <t>Unid. 75</t>
  </si>
  <si>
    <t>Unid. 76</t>
  </si>
  <si>
    <t>Unid. 77</t>
  </si>
  <si>
    <t>Unid. 78</t>
  </si>
  <si>
    <t>Unid. 79</t>
  </si>
  <si>
    <t>Unid. 80</t>
  </si>
  <si>
    <t>CONSORCIO SANTIAGO DEL ESTERO 338</t>
  </si>
  <si>
    <t>Deuda anterior incluye intereses</t>
  </si>
  <si>
    <t>Cobrado</t>
  </si>
  <si>
    <t>Control</t>
  </si>
  <si>
    <t>DETERMINACIÓN DE LAS COBRANZAS Y DE LOS SALDOS PENDIENTES DE COBRO AL 06/06/03</t>
  </si>
  <si>
    <t>Deuda anterior (solamente capital)</t>
  </si>
  <si>
    <t>Intereses pedientes de cobro correspondiente a deuda anterior</t>
  </si>
  <si>
    <t>Importe incluido en Cobranzas y no en resumen de cuenta por no haber sido identificado</t>
  </si>
  <si>
    <t>Banco</t>
  </si>
  <si>
    <t>Efvo</t>
  </si>
  <si>
    <t xml:space="preserve"> S/ liquid</t>
  </si>
  <si>
    <t>Dif</t>
  </si>
  <si>
    <t>dic</t>
  </si>
  <si>
    <t xml:space="preserve">enero </t>
  </si>
  <si>
    <t>feb</t>
  </si>
  <si>
    <t>abrul</t>
  </si>
  <si>
    <t>mayo</t>
  </si>
  <si>
    <t>julio</t>
  </si>
  <si>
    <t>agost</t>
  </si>
  <si>
    <t>set</t>
  </si>
  <si>
    <t>Local</t>
  </si>
  <si>
    <t>marz</t>
  </si>
  <si>
    <t>abruil</t>
  </si>
  <si>
    <t>TASA</t>
  </si>
  <si>
    <t>INTERES</t>
  </si>
  <si>
    <t>Liquid</t>
  </si>
  <si>
    <t>Deuda</t>
  </si>
  <si>
    <t>Mes</t>
  </si>
  <si>
    <t>Subtotal</t>
  </si>
  <si>
    <t>Interes del mes</t>
  </si>
  <si>
    <t>INT A 06/05</t>
  </si>
  <si>
    <t>CONSORCIO DE PROPIETARIOS:</t>
  </si>
  <si>
    <t>1 A</t>
  </si>
  <si>
    <t>1 B</t>
  </si>
  <si>
    <t>2 A</t>
  </si>
  <si>
    <t>2 B</t>
  </si>
  <si>
    <t>3 A</t>
  </si>
  <si>
    <t>3 B</t>
  </si>
  <si>
    <t>4 A</t>
  </si>
  <si>
    <t>4 B</t>
  </si>
  <si>
    <t>5 A</t>
  </si>
  <si>
    <t>5 B</t>
  </si>
  <si>
    <t>6 A</t>
  </si>
  <si>
    <t>6 B</t>
  </si>
  <si>
    <t>7 A</t>
  </si>
  <si>
    <t>7 B</t>
  </si>
  <si>
    <t>8 A</t>
  </si>
  <si>
    <t>8 B</t>
  </si>
  <si>
    <t>9 A</t>
  </si>
  <si>
    <t>9 B</t>
  </si>
  <si>
    <t>10 A</t>
  </si>
  <si>
    <t>OBSERVAC</t>
  </si>
  <si>
    <t>Cobranza Exp</t>
  </si>
  <si>
    <t>Cobranza Cuota Ext</t>
  </si>
  <si>
    <t>Gastos del mes</t>
  </si>
  <si>
    <t>Gastos del mes ant</t>
  </si>
  <si>
    <t>Saldo act</t>
  </si>
  <si>
    <t xml:space="preserve">CAJA </t>
  </si>
  <si>
    <t>Deuda anterior e ints.</t>
  </si>
  <si>
    <t>OTROS</t>
  </si>
  <si>
    <t>Otros</t>
  </si>
  <si>
    <t xml:space="preserve"> </t>
  </si>
  <si>
    <t>Cobrado sin ident</t>
  </si>
  <si>
    <t>20-16975070-0</t>
  </si>
  <si>
    <t>Saldo inicial</t>
  </si>
  <si>
    <t>BANCO</t>
  </si>
  <si>
    <t>EFVO</t>
  </si>
  <si>
    <t>Ingreso por cobranzas aplicadas</t>
  </si>
  <si>
    <t>SEGUROS</t>
  </si>
  <si>
    <t>Cob ident</t>
  </si>
  <si>
    <t>Ingreso por cobranzas bancarias sin identificar</t>
  </si>
  <si>
    <t>Cobranza aplicada este período sin identificar en meses anteriores</t>
  </si>
  <si>
    <t>pend debito</t>
  </si>
  <si>
    <t>ADMINISTRACION:</t>
  </si>
  <si>
    <t>MARIANO CAUVIN</t>
  </si>
  <si>
    <t>AV.BELGRANO 1270 5°A C.A.B.A.</t>
  </si>
  <si>
    <t>R.P.A. N° 470</t>
  </si>
  <si>
    <t>4381-0014</t>
  </si>
  <si>
    <t>Responsable Monotributo</t>
  </si>
  <si>
    <t>GASTOS A</t>
  </si>
  <si>
    <t>GASTOS B</t>
  </si>
  <si>
    <t>SERVICIOS PUBLICOS Y TASAS</t>
  </si>
  <si>
    <t>ABONOS DE SERVICIOS</t>
  </si>
  <si>
    <t>MANTENIMIENTO DE PARTES COMUNES</t>
  </si>
  <si>
    <t>TRABAJOS DE REPARACIONES EN UNIDADES</t>
  </si>
  <si>
    <t>GASTOS BANCARIOS</t>
  </si>
  <si>
    <t>GASTOS DE LIMPIEZA</t>
  </si>
  <si>
    <t>GASTOS DE ADMINISTRACIÓN Y LEGALES</t>
  </si>
  <si>
    <t>masoca_administraciones@hotmail.com</t>
  </si>
  <si>
    <t>Pagos del período gastos A</t>
  </si>
  <si>
    <t>Pagos del período gastos B</t>
  </si>
  <si>
    <t>URG 155248-3729</t>
  </si>
  <si>
    <t>URGENCIAS 155248-3729</t>
  </si>
  <si>
    <t>REMUNERACIONES AL PERSONAL Y CARGAS SOCIALES</t>
  </si>
  <si>
    <t>DETALLE DE SUELDOS Y CARGAS SOCIALES:</t>
  </si>
  <si>
    <t>ESTADO FINANCIERO</t>
  </si>
  <si>
    <t xml:space="preserve"> DEUDA </t>
  </si>
  <si>
    <t xml:space="preserve">INTERE-SES </t>
  </si>
  <si>
    <t xml:space="preserve">MIS EXPENSAS- Liquidación de  </t>
  </si>
  <si>
    <t>Conf. Art. 10 inc.d Ley N°941</t>
  </si>
  <si>
    <t>Conf. Art. 10 inc. e y f  Ley N°941</t>
  </si>
  <si>
    <t>Conf. Art. 10 inc. c Ley N°941</t>
  </si>
  <si>
    <t>Conf. Art. 10 inc. h Ley N°941</t>
  </si>
  <si>
    <t>Saldo s/ extracto</t>
  </si>
  <si>
    <t>EFECTIVO</t>
  </si>
  <si>
    <t>PEND</t>
  </si>
  <si>
    <t>cobrado</t>
  </si>
  <si>
    <t>AL 31/03</t>
  </si>
  <si>
    <t>AL 30/04</t>
  </si>
  <si>
    <t>AL 31/05</t>
  </si>
  <si>
    <t>Gas cuota 4/4</t>
  </si>
  <si>
    <t>CUIT: 30-66148861-8</t>
  </si>
  <si>
    <t>C XX</t>
  </si>
  <si>
    <t>DEGROSSI VICTORIO</t>
  </si>
  <si>
    <t>NIETO MANUEL</t>
  </si>
  <si>
    <t>IRAOLA-RODRIGUEZ SORI</t>
  </si>
  <si>
    <t>GOMEZ ANTONIO</t>
  </si>
  <si>
    <t>PECYNER GUILLERMO</t>
  </si>
  <si>
    <t>ATAMANIUK ROMAN</t>
  </si>
  <si>
    <t>DELLA BELLA-BIDINOST</t>
  </si>
  <si>
    <t>LETTIERI PAULA</t>
  </si>
  <si>
    <t>RODRIGUEZ GERMAN</t>
  </si>
  <si>
    <t>DEGROSSI HERNAN</t>
  </si>
  <si>
    <t>FERNANDEZ MANUEL</t>
  </si>
  <si>
    <t>KUZIW ANTONIO</t>
  </si>
  <si>
    <t>VITA NORBERTO</t>
  </si>
  <si>
    <t>LOMBARDI EDUARDO</t>
  </si>
  <si>
    <t>RAMIREZ PATRICIA G. D.</t>
  </si>
  <si>
    <t>EXP. A</t>
  </si>
  <si>
    <t>SALDO ANTERIOR</t>
  </si>
  <si>
    <t>Saldo al cierre</t>
  </si>
  <si>
    <t>Sin movimientos</t>
  </si>
  <si>
    <t>DATOS DE JUICIOS:</t>
  </si>
  <si>
    <t xml:space="preserve">PAGOS POR SUMINISTROS, SERVICIOS, ABONOS Y SEGUROS </t>
  </si>
  <si>
    <t>Intereses</t>
  </si>
  <si>
    <t>CLAVE SUTERH: 23883</t>
  </si>
  <si>
    <t>sac</t>
  </si>
  <si>
    <t>bonificacion</t>
  </si>
  <si>
    <t>MONTES DE OCA 1068/1070 C.A.B.A.</t>
  </si>
  <si>
    <t>SUP TOTAL</t>
  </si>
  <si>
    <t>SUP CUBIERTA</t>
  </si>
  <si>
    <t xml:space="preserve">PB </t>
  </si>
  <si>
    <t>SUP BAULERA</t>
  </si>
  <si>
    <t>TOTAL CUBIERTA</t>
  </si>
  <si>
    <t>SUP GUARDACOCHE</t>
  </si>
  <si>
    <t>% BAULERA</t>
  </si>
  <si>
    <t>CAPRIA MARIA ESTHER</t>
  </si>
  <si>
    <t>SEIGNEUR ULISES</t>
  </si>
  <si>
    <t>s/acta N°7 18/06/1976</t>
  </si>
  <si>
    <t>clave</t>
  </si>
  <si>
    <t>SUTERH</t>
  </si>
  <si>
    <t>FATERYH</t>
  </si>
  <si>
    <t>LAS EXPENSAS VENCEN EL DIA 10. PAGO FUERA DE TERMINO 3% DE INTERÉS MENSUAL</t>
  </si>
  <si>
    <t>TOTAL DEL MES</t>
  </si>
  <si>
    <t>ENERO</t>
  </si>
  <si>
    <t>INTERESES</t>
  </si>
  <si>
    <t xml:space="preserve">Deuda </t>
  </si>
  <si>
    <t>Deuda y FR</t>
  </si>
  <si>
    <t>Interes mes anterior</t>
  </si>
  <si>
    <t>ROELA</t>
  </si>
  <si>
    <t>RIO</t>
  </si>
  <si>
    <t>Saldo anterior</t>
  </si>
  <si>
    <t>AGOSTINI A- Y DI MARZO</t>
  </si>
  <si>
    <t xml:space="preserve">eduardo </t>
  </si>
  <si>
    <t>pedro</t>
  </si>
  <si>
    <t>pouso</t>
  </si>
  <si>
    <t xml:space="preserve">SU PAGO </t>
  </si>
  <si>
    <t>PAGOS DEL PERIODO</t>
  </si>
  <si>
    <t>Total de pagos</t>
  </si>
  <si>
    <t>PENDIENTE</t>
  </si>
  <si>
    <t>TOTAL LIQU</t>
  </si>
  <si>
    <t>DIF</t>
  </si>
  <si>
    <t>P/Depósito o transferencia en Banco Santander Rio</t>
  </si>
  <si>
    <t xml:space="preserve">Cta. Cte. $ N° 558-000162/1 </t>
  </si>
  <si>
    <t>CBU: 0720558320000000016218</t>
  </si>
  <si>
    <t>SANTANDER RIO</t>
  </si>
  <si>
    <t>Banco Santander</t>
  </si>
  <si>
    <t>BANCO SANTANDER</t>
  </si>
  <si>
    <t xml:space="preserve"> Originante Gaggero/amanda O 27061516196 </t>
  </si>
  <si>
    <t>suplente</t>
  </si>
  <si>
    <t>Total de previsiones</t>
  </si>
  <si>
    <t>barcelona</t>
  </si>
  <si>
    <t>SERACARH- Capacitación</t>
  </si>
  <si>
    <t>iraola</t>
  </si>
  <si>
    <t>Total prorrateo</t>
  </si>
  <si>
    <t xml:space="preserve">Transferencia Recibida  - De Aguilar, Marta Nora / 11042021 - Exp / 27054612805 </t>
  </si>
  <si>
    <t>LEINADO MIRTA ALCIRA Y OTROS</t>
  </si>
  <si>
    <t>2° aguinaldo y bonif</t>
  </si>
  <si>
    <t>CHEQUE</t>
  </si>
  <si>
    <t>Patricia C. ARgañaraz</t>
  </si>
  <si>
    <t>FORMAS DE PAGO:</t>
  </si>
  <si>
    <t>Depósito o transferencia:</t>
  </si>
  <si>
    <t>Titular:</t>
  </si>
  <si>
    <t>Banco:</t>
  </si>
  <si>
    <t>N°Cuenta:</t>
  </si>
  <si>
    <t>CBU:</t>
  </si>
  <si>
    <t>CONS AV MONTES DE OCA 1068</t>
  </si>
  <si>
    <t>mbelach@hotmail.com</t>
  </si>
  <si>
    <t xml:space="preserve">CAMBIO HONORARIOS </t>
  </si>
  <si>
    <t>Retiro</t>
  </si>
  <si>
    <t xml:space="preserve">Transferencia Recibida  - De Menendez,maria Silvina / Expensas - Exp / 27310510675 </t>
  </si>
  <si>
    <t>fondo art 19 bis</t>
  </si>
  <si>
    <t>SOLIS</t>
  </si>
  <si>
    <t>RAMIREZ</t>
  </si>
  <si>
    <t>estefania peñalva</t>
  </si>
  <si>
    <t>PREVISIONES/PROVISIONES</t>
  </si>
  <si>
    <t>YA PAGADO</t>
  </si>
  <si>
    <t>Alias:</t>
  </si>
  <si>
    <t>CUADRO.LONJA.MUELLE</t>
  </si>
  <si>
    <t>Para morosos- estimado</t>
  </si>
  <si>
    <t xml:space="preserve">Transferencia Recibida  - De Messina/brunella / 3b - Exp / 27333140050 </t>
  </si>
  <si>
    <t>ABOSSIO GONZALES MATIAS y OTRA (GONZALES PLATAS MARIANGELES)</t>
  </si>
  <si>
    <t>MANUAL DE BUENAS PRÁCTICAS CONSORCIALES</t>
  </si>
  <si>
    <t>https://buenosaires.gob.ar/sites/default/files/2025-02/Manual%20buenas%20pr%C3%A1cticas%20consorciales_0.pdf</t>
  </si>
  <si>
    <t>REGLAMENTO DE COPROPIEDAD</t>
  </si>
  <si>
    <t xml:space="preserve">BRUNELLA </t>
  </si>
  <si>
    <t>EN ´OTROS´SE CARGAN GASTOS PARTICULARES</t>
  </si>
  <si>
    <t>https://drive.google.com/file/d/10PKMJPxLlI6o6yFzsBTHdpc___4RrHMU/view?usp=drive_link</t>
  </si>
  <si>
    <t>Por Metrogas. Reversión anterior</t>
  </si>
  <si>
    <t>APORTES Y CONTRIBUCIONES</t>
  </si>
  <si>
    <t>https://www.afip.gob.ar/aportesenlinea</t>
  </si>
  <si>
    <t>Disposición Nro: DI-2024-1146-GCABA-DGDYPC</t>
  </si>
  <si>
    <t xml:space="preserve">ACCESO A LA DOCUMENTACIÓN </t>
  </si>
  <si>
    <t>Permite el acceso directo a los aportes, sin clave fiscal y con el CUIL del Personal</t>
  </si>
  <si>
    <t>SANTANDER</t>
  </si>
  <si>
    <t>AFIP F. 931: Cargas sociales: SIJP y Obra social 11/25</t>
  </si>
  <si>
    <t xml:space="preserve">AFIP F. 931: ART 11/25 </t>
  </si>
  <si>
    <t>AFIP F. 931: SCVO 11/25</t>
  </si>
  <si>
    <t xml:space="preserve">Transferencia Recibida  - De Calcagno Luis Enrique / - Var / 20276582454 </t>
  </si>
  <si>
    <t>ALLIANZ (30-50003721-7): seguro integal de consorcio. Póliza N° 250230774049</t>
  </si>
  <si>
    <t>EN MARZO 2026</t>
  </si>
  <si>
    <t>MCH Conexiones (30-66148861-8): instalación de cámaras de seguridad, grabadora y acceso-</t>
  </si>
  <si>
    <t>rios de metal para resguardos de equipos y configuración a la red para la visualización en</t>
  </si>
  <si>
    <t>Gastos bancarios e imptos. cuenta corriente BANCO SANTANDER N° 558-000162/1 05/26</t>
  </si>
  <si>
    <t>Honorarios por administración 05/26</t>
  </si>
  <si>
    <t>MAFRAP Desinf. urbanas SRL (30-64714402-7): serv. desinsectación abono sábado 04/26</t>
  </si>
  <si>
    <t>HACER RECLASIF DE GASTO DE REP ASC 04/26</t>
  </si>
  <si>
    <t>SUTERH 04/26</t>
  </si>
  <si>
    <t>FATERYH 04/26</t>
  </si>
  <si>
    <t>FATERYH- SERACARH 04/26</t>
  </si>
  <si>
    <t>celulares FC 850. Saldo</t>
  </si>
  <si>
    <t>vigencia 06/12/2025 al 06/12/2026. Cuota 05/10</t>
  </si>
  <si>
    <t>vigencia 03/03/2026 al 06/12/2026. Endoso Cuota 2/7</t>
  </si>
  <si>
    <t>ESTADO DE CUENTAS Y PRORRATEO DE GASTOS AL 31/05/2026</t>
  </si>
  <si>
    <t>AVISO DE PAGO : FECHA DE VENCIMIENTO 10/06/2026</t>
  </si>
  <si>
    <t>https://drive.google.com/drive/folders/1eLlJb92KSUf0V6371_OAUJcwLexBF2-w?usp=drive_link</t>
  </si>
  <si>
    <t>EDESUR Medidor N° 073069158. Cliente N° 03271281. Débito 19/05</t>
  </si>
  <si>
    <t>EDESUR cliente 163281 Débito 19/05</t>
  </si>
  <si>
    <t>SMART KLEANING (30-71561737-0): servicio de limpieza 04/26 FC 1395</t>
  </si>
  <si>
    <t>GULLY (20-32919704-3): instalación térmica 04/26 FC 2566</t>
  </si>
  <si>
    <t>FC 180557</t>
  </si>
  <si>
    <t>LEFERTEK ASCENSORES SRL (30-71842952-4): abono ascensores 04/26 FC 329</t>
  </si>
  <si>
    <t>METROGAS Portería Cliente 10454407000 Medidor 4788767 7-02 al 10-03 Liq 2/2</t>
  </si>
  <si>
    <t>METROGAS Cliente 10454393600 Medidor N° 31034348 7-02 al 10-03 Liq 2/2</t>
  </si>
  <si>
    <t>TODOGOMA (30-70875969-0): 1 felpudo FC 15239</t>
  </si>
  <si>
    <t>Fotocopias liquidación de expensas 04/26 FC 7639</t>
  </si>
  <si>
    <t>ELECTROMEC (23-12801742-9): 10 bulboled 12w FC 993</t>
  </si>
  <si>
    <t>LEFERTEK ASCENSORES SRL (30-71842952-4): cuota 1/2 por reemplazo de cables</t>
  </si>
  <si>
    <t>colgantes en ascensor de servicio s/Pto. FC 379</t>
  </si>
  <si>
    <t>Por Metrogas. Vto 01/06</t>
  </si>
  <si>
    <t>0720558320000000016218</t>
  </si>
  <si>
    <t>Cta. Cte. $ N°558-000162/1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</si>
</sst>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&quot;$&quot;\ #,##0;&quot;$&quot;\ \-#,##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0.000"/>
    <numFmt numFmtId="168" formatCode="#,##0.00_ ;\-#,##0.00\ "/>
    <numFmt numFmtId="169" formatCode="0.0000"/>
    <numFmt numFmtId="170" formatCode="#,##0.0"/>
    <numFmt numFmtId="171" formatCode="#,##0.000"/>
    <numFmt numFmtId="172" formatCode="#,##0.00000"/>
    <numFmt numFmtId="173" formatCode="_ * #,##0_ ;_ * \-#,##0_ ;_ * &quot;-&quot;??_ ;_ @_ "/>
  </numFmts>
  <fonts count="3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indexed="63"/>
      <name val="Calibri"/>
      <family val="2"/>
    </font>
    <font>
      <b/>
      <sz val="10"/>
      <color indexed="63"/>
      <name val="Trebuchet MS"/>
      <family val="2"/>
    </font>
    <font>
      <u/>
      <sz val="11"/>
      <color indexed="12"/>
      <name val="Arial"/>
      <family val="2"/>
    </font>
    <font>
      <sz val="11"/>
      <color indexed="63"/>
      <name val="Calibri"/>
      <family val="2"/>
    </font>
    <font>
      <sz val="9"/>
      <name val="Arial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B050"/>
      <name val="Calibri"/>
      <family val="2"/>
      <scheme val="minor"/>
    </font>
    <font>
      <sz val="9"/>
      <color rgb="FF000000"/>
      <name val="Arial"/>
      <family val="2"/>
    </font>
    <font>
      <sz val="10"/>
      <color rgb="FF00B0F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53">
    <xf numFmtId="0" fontId="0" fillId="0" borderId="0" xfId="0"/>
    <xf numFmtId="17" fontId="0" fillId="0" borderId="0" xfId="0" applyNumberFormat="1"/>
    <xf numFmtId="0" fontId="0" fillId="0" borderId="1" xfId="0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0" xfId="0" applyNumberFormat="1"/>
    <xf numFmtId="1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0" borderId="0" xfId="0" applyFont="1"/>
    <xf numFmtId="0" fontId="0" fillId="0" borderId="14" xfId="0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16" xfId="0" applyBorder="1"/>
    <xf numFmtId="0" fontId="7" fillId="2" borderId="17" xfId="0" applyFont="1" applyFill="1" applyBorder="1"/>
    <xf numFmtId="14" fontId="7" fillId="2" borderId="17" xfId="0" applyNumberFormat="1" applyFont="1" applyFill="1" applyBorder="1" applyAlignment="1">
      <alignment horizontal="center"/>
    </xf>
    <xf numFmtId="0" fontId="0" fillId="0" borderId="18" xfId="0" applyBorder="1"/>
    <xf numFmtId="2" fontId="0" fillId="0" borderId="4" xfId="0" applyNumberFormat="1" applyBorder="1"/>
    <xf numFmtId="2" fontId="0" fillId="0" borderId="18" xfId="0" applyNumberFormat="1" applyBorder="1"/>
    <xf numFmtId="0" fontId="0" fillId="0" borderId="18" xfId="0" applyBorder="1" applyAlignment="1">
      <alignment horizontal="center"/>
    </xf>
    <xf numFmtId="0" fontId="8" fillId="0" borderId="0" xfId="0" applyFont="1"/>
    <xf numFmtId="0" fontId="0" fillId="0" borderId="19" xfId="0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0" fillId="0" borderId="14" xfId="0" applyBorder="1"/>
    <xf numFmtId="2" fontId="0" fillId="0" borderId="15" xfId="0" applyNumberFormat="1" applyBorder="1"/>
    <xf numFmtId="0" fontId="7" fillId="2" borderId="20" xfId="0" applyFont="1" applyFill="1" applyBorder="1"/>
    <xf numFmtId="0" fontId="0" fillId="2" borderId="2" xfId="0" applyFill="1" applyBorder="1"/>
    <xf numFmtId="0" fontId="7" fillId="2" borderId="5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7" fontId="7" fillId="2" borderId="22" xfId="0" applyNumberFormat="1" applyFont="1" applyFill="1" applyBorder="1"/>
    <xf numFmtId="0" fontId="7" fillId="2" borderId="23" xfId="0" applyFont="1" applyFill="1" applyBorder="1" applyAlignment="1">
      <alignment horizontal="center"/>
    </xf>
    <xf numFmtId="0" fontId="0" fillId="0" borderId="27" xfId="0" applyBorder="1"/>
    <xf numFmtId="0" fontId="7" fillId="2" borderId="28" xfId="0" applyFont="1" applyFill="1" applyBorder="1"/>
    <xf numFmtId="14" fontId="7" fillId="2" borderId="23" xfId="0" applyNumberFormat="1" applyFont="1" applyFill="1" applyBorder="1"/>
    <xf numFmtId="0" fontId="0" fillId="0" borderId="29" xfId="0" applyBorder="1"/>
    <xf numFmtId="0" fontId="0" fillId="0" borderId="30" xfId="0" applyBorder="1"/>
    <xf numFmtId="2" fontId="0" fillId="0" borderId="30" xfId="0" applyNumberFormat="1" applyBorder="1"/>
    <xf numFmtId="0" fontId="0" fillId="0" borderId="31" xfId="0" applyBorder="1"/>
    <xf numFmtId="2" fontId="0" fillId="0" borderId="32" xfId="0" applyNumberFormat="1" applyBorder="1"/>
    <xf numFmtId="0" fontId="8" fillId="0" borderId="12" xfId="0" applyFont="1" applyBorder="1"/>
    <xf numFmtId="0" fontId="8" fillId="0" borderId="13" xfId="0" applyFont="1" applyBorder="1"/>
    <xf numFmtId="0" fontId="0" fillId="0" borderId="9" xfId="0" applyBorder="1" applyAlignment="1">
      <alignment horizontal="center"/>
    </xf>
    <xf numFmtId="0" fontId="8" fillId="0" borderId="9" xfId="0" applyFont="1" applyBorder="1"/>
    <xf numFmtId="2" fontId="0" fillId="0" borderId="23" xfId="0" applyNumberFormat="1" applyBorder="1"/>
    <xf numFmtId="0" fontId="0" fillId="2" borderId="26" xfId="0" applyFill="1" applyBorder="1"/>
    <xf numFmtId="0" fontId="8" fillId="0" borderId="8" xfId="0" applyFont="1" applyBorder="1"/>
    <xf numFmtId="0" fontId="0" fillId="2" borderId="33" xfId="0" applyFill="1" applyBorder="1"/>
    <xf numFmtId="0" fontId="8" fillId="0" borderId="24" xfId="0" applyFont="1" applyBorder="1"/>
    <xf numFmtId="2" fontId="8" fillId="0" borderId="9" xfId="0" applyNumberFormat="1" applyFont="1" applyBorder="1"/>
    <xf numFmtId="0" fontId="0" fillId="0" borderId="34" xfId="0" applyBorder="1"/>
    <xf numFmtId="0" fontId="8" fillId="0" borderId="34" xfId="0" applyFont="1" applyBorder="1"/>
    <xf numFmtId="0" fontId="8" fillId="0" borderId="10" xfId="0" applyFont="1" applyBorder="1"/>
    <xf numFmtId="0" fontId="9" fillId="0" borderId="2" xfId="0" applyFont="1" applyBorder="1"/>
    <xf numFmtId="0" fontId="5" fillId="0" borderId="3" xfId="0" applyFont="1" applyBorder="1"/>
    <xf numFmtId="0" fontId="9" fillId="0" borderId="0" xfId="0" applyFont="1"/>
    <xf numFmtId="0" fontId="9" fillId="0" borderId="3" xfId="0" applyFont="1" applyBorder="1"/>
    <xf numFmtId="2" fontId="9" fillId="0" borderId="3" xfId="0" applyNumberFormat="1" applyFont="1" applyBorder="1"/>
    <xf numFmtId="4" fontId="0" fillId="0" borderId="4" xfId="0" applyNumberFormat="1" applyBorder="1"/>
    <xf numFmtId="4" fontId="0" fillId="0" borderId="6" xfId="0" applyNumberFormat="1" applyBorder="1"/>
    <xf numFmtId="0" fontId="6" fillId="0" borderId="20" xfId="0" applyFont="1" applyBorder="1"/>
    <xf numFmtId="2" fontId="8" fillId="0" borderId="11" xfId="0" applyNumberFormat="1" applyFont="1" applyBorder="1"/>
    <xf numFmtId="49" fontId="0" fillId="0" borderId="25" xfId="0" applyNumberFormat="1" applyBorder="1"/>
    <xf numFmtId="0" fontId="4" fillId="0" borderId="0" xfId="0" applyFont="1"/>
    <xf numFmtId="4" fontId="0" fillId="0" borderId="0" xfId="0" applyNumberFormat="1"/>
    <xf numFmtId="4" fontId="0" fillId="0" borderId="1" xfId="0" applyNumberFormat="1" applyBorder="1"/>
    <xf numFmtId="165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165" fontId="11" fillId="0" borderId="0" xfId="4" applyFont="1" applyBorder="1"/>
    <xf numFmtId="4" fontId="11" fillId="0" borderId="0" xfId="0" applyNumberFormat="1" applyFont="1"/>
    <xf numFmtId="165" fontId="11" fillId="0" borderId="0" xfId="4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5" fontId="11" fillId="0" borderId="0" xfId="0" applyNumberFormat="1" applyFont="1"/>
    <xf numFmtId="0" fontId="10" fillId="0" borderId="0" xfId="0" applyFont="1" applyAlignment="1">
      <alignment horizontal="right" vertical="top"/>
    </xf>
    <xf numFmtId="17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17" fontId="11" fillId="0" borderId="0" xfId="0" applyNumberFormat="1" applyFont="1"/>
    <xf numFmtId="164" fontId="11" fillId="0" borderId="0" xfId="4" applyNumberFormat="1" applyFont="1" applyBorder="1"/>
    <xf numFmtId="164" fontId="11" fillId="0" borderId="0" xfId="0" applyNumberFormat="1" applyFont="1"/>
    <xf numFmtId="164" fontId="11" fillId="0" borderId="0" xfId="4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center" vertical="center"/>
    </xf>
    <xf numFmtId="0" fontId="3" fillId="0" borderId="0" xfId="0" applyFont="1"/>
    <xf numFmtId="0" fontId="13" fillId="0" borderId="0" xfId="0" applyFont="1"/>
    <xf numFmtId="0" fontId="14" fillId="0" borderId="0" xfId="0" applyFont="1"/>
    <xf numFmtId="4" fontId="14" fillId="0" borderId="0" xfId="0" applyNumberFormat="1" applyFont="1"/>
    <xf numFmtId="3" fontId="14" fillId="0" borderId="0" xfId="0" applyNumberFormat="1" applyFont="1"/>
    <xf numFmtId="3" fontId="14" fillId="0" borderId="0" xfId="2" applyNumberFormat="1" applyFont="1" applyFill="1"/>
    <xf numFmtId="0" fontId="14" fillId="0" borderId="1" xfId="0" applyFont="1" applyBorder="1"/>
    <xf numFmtId="3" fontId="14" fillId="0" borderId="1" xfId="0" applyNumberFormat="1" applyFont="1" applyBorder="1"/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3" fontId="13" fillId="0" borderId="0" xfId="0" applyNumberFormat="1" applyFont="1"/>
    <xf numFmtId="166" fontId="14" fillId="0" borderId="0" xfId="0" applyNumberFormat="1" applyFont="1"/>
    <xf numFmtId="4" fontId="13" fillId="0" borderId="35" xfId="0" applyNumberFormat="1" applyFont="1" applyBorder="1" applyAlignment="1">
      <alignment horizontal="center"/>
    </xf>
    <xf numFmtId="2" fontId="0" fillId="3" borderId="0" xfId="0" applyNumberFormat="1" applyFill="1"/>
    <xf numFmtId="0" fontId="13" fillId="0" borderId="37" xfId="0" applyFont="1" applyBorder="1" applyAlignment="1">
      <alignment horizontal="center"/>
    </xf>
    <xf numFmtId="3" fontId="0" fillId="0" borderId="14" xfId="0" applyNumberFormat="1" applyBorder="1"/>
    <xf numFmtId="4" fontId="0" fillId="0" borderId="14" xfId="0" applyNumberFormat="1" applyBorder="1"/>
    <xf numFmtId="3" fontId="0" fillId="0" borderId="1" xfId="0" applyNumberFormat="1" applyBorder="1"/>
    <xf numFmtId="3" fontId="2" fillId="0" borderId="0" xfId="0" applyNumberFormat="1" applyFont="1" applyAlignment="1">
      <alignment horizontal="center"/>
    </xf>
    <xf numFmtId="14" fontId="11" fillId="0" borderId="0" xfId="0" applyNumberFormat="1" applyFont="1"/>
    <xf numFmtId="0" fontId="13" fillId="0" borderId="0" xfId="0" applyFont="1" applyAlignment="1">
      <alignment horizontal="center"/>
    </xf>
    <xf numFmtId="165" fontId="11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right" vertical="top"/>
    </xf>
    <xf numFmtId="0" fontId="16" fillId="0" borderId="0" xfId="0" applyFont="1" applyAlignment="1">
      <alignment horizontal="right"/>
    </xf>
    <xf numFmtId="0" fontId="14" fillId="0" borderId="2" xfId="0" applyFont="1" applyBorder="1"/>
    <xf numFmtId="0" fontId="18" fillId="0" borderId="0" xfId="0" applyFont="1"/>
    <xf numFmtId="2" fontId="14" fillId="0" borderId="0" xfId="5" applyNumberFormat="1" applyFont="1" applyFill="1" applyBorder="1"/>
    <xf numFmtId="164" fontId="11" fillId="0" borderId="1" xfId="4" applyNumberFormat="1" applyFont="1" applyBorder="1"/>
    <xf numFmtId="164" fontId="11" fillId="0" borderId="1" xfId="0" applyNumberFormat="1" applyFont="1" applyBorder="1"/>
    <xf numFmtId="164" fontId="11" fillId="0" borderId="1" xfId="4" applyNumberFormat="1" applyFont="1" applyBorder="1" applyAlignment="1">
      <alignment horizontal="right"/>
    </xf>
    <xf numFmtId="0" fontId="20" fillId="0" borderId="0" xfId="0" applyFont="1"/>
    <xf numFmtId="166" fontId="20" fillId="0" borderId="0" xfId="2" applyFont="1" applyFill="1"/>
    <xf numFmtId="4" fontId="20" fillId="0" borderId="0" xfId="0" applyNumberFormat="1" applyFont="1"/>
    <xf numFmtId="9" fontId="20" fillId="0" borderId="0" xfId="5" applyFont="1" applyFill="1"/>
    <xf numFmtId="3" fontId="20" fillId="0" borderId="0" xfId="0" applyNumberFormat="1" applyFont="1"/>
    <xf numFmtId="166" fontId="20" fillId="0" borderId="0" xfId="0" applyNumberFormat="1" applyFont="1"/>
    <xf numFmtId="0" fontId="19" fillId="0" borderId="0" xfId="0" applyFont="1"/>
    <xf numFmtId="166" fontId="19" fillId="0" borderId="0" xfId="2" applyFont="1" applyFill="1" applyBorder="1"/>
    <xf numFmtId="4" fontId="19" fillId="0" borderId="0" xfId="0" applyNumberFormat="1" applyFont="1"/>
    <xf numFmtId="3" fontId="11" fillId="0" borderId="0" xfId="0" applyNumberFormat="1" applyFont="1"/>
    <xf numFmtId="0" fontId="22" fillId="0" borderId="0" xfId="0" applyFont="1"/>
    <xf numFmtId="3" fontId="22" fillId="0" borderId="0" xfId="0" applyNumberFormat="1" applyFont="1"/>
    <xf numFmtId="0" fontId="22" fillId="0" borderId="1" xfId="0" applyFont="1" applyBorder="1"/>
    <xf numFmtId="4" fontId="22" fillId="0" borderId="0" xfId="0" applyNumberFormat="1" applyFont="1"/>
    <xf numFmtId="169" fontId="8" fillId="0" borderId="0" xfId="0" applyNumberFormat="1" applyFont="1"/>
    <xf numFmtId="14" fontId="19" fillId="4" borderId="0" xfId="0" applyNumberFormat="1" applyFont="1" applyFill="1"/>
    <xf numFmtId="166" fontId="21" fillId="0" borderId="0" xfId="2" applyFont="1" applyFill="1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4" fontId="13" fillId="0" borderId="0" xfId="0" applyNumberFormat="1" applyFont="1" applyAlignment="1">
      <alignment horizontal="center"/>
    </xf>
    <xf numFmtId="0" fontId="17" fillId="0" borderId="0" xfId="0" applyFont="1"/>
    <xf numFmtId="9" fontId="22" fillId="0" borderId="0" xfId="5" applyFont="1"/>
    <xf numFmtId="3" fontId="13" fillId="0" borderId="0" xfId="0" applyNumberFormat="1" applyFont="1" applyAlignment="1">
      <alignment horizontal="center"/>
    </xf>
    <xf numFmtId="4" fontId="17" fillId="0" borderId="0" xfId="0" applyNumberFormat="1" applyFont="1"/>
    <xf numFmtId="3" fontId="17" fillId="0" borderId="0" xfId="0" applyNumberFormat="1" applyFont="1"/>
    <xf numFmtId="0" fontId="19" fillId="2" borderId="5" xfId="0" applyFont="1" applyFill="1" applyBorder="1"/>
    <xf numFmtId="0" fontId="19" fillId="2" borderId="1" xfId="0" applyFont="1" applyFill="1" applyBorder="1"/>
    <xf numFmtId="166" fontId="19" fillId="2" borderId="1" xfId="2" applyFont="1" applyFill="1" applyBorder="1"/>
    <xf numFmtId="4" fontId="19" fillId="2" borderId="1" xfId="0" applyNumberFormat="1" applyFont="1" applyFill="1" applyBorder="1"/>
    <xf numFmtId="0" fontId="19" fillId="2" borderId="6" xfId="0" applyFont="1" applyFill="1" applyBorder="1"/>
    <xf numFmtId="0" fontId="19" fillId="2" borderId="19" xfId="0" applyFont="1" applyFill="1" applyBorder="1"/>
    <xf numFmtId="3" fontId="14" fillId="0" borderId="0" xfId="2" applyNumberFormat="1" applyFont="1" applyFill="1" applyBorder="1"/>
    <xf numFmtId="2" fontId="14" fillId="0" borderId="1" xfId="5" applyNumberFormat="1" applyFont="1" applyFill="1" applyBorder="1"/>
    <xf numFmtId="0" fontId="0" fillId="4" borderId="0" xfId="0" applyFill="1"/>
    <xf numFmtId="0" fontId="24" fillId="0" borderId="0" xfId="0" applyFont="1" applyAlignment="1">
      <alignment wrapText="1"/>
    </xf>
    <xf numFmtId="166" fontId="20" fillId="0" borderId="4" xfId="0" applyNumberFormat="1" applyFont="1" applyBorder="1"/>
    <xf numFmtId="9" fontId="20" fillId="0" borderId="18" xfId="5" applyFont="1" applyFill="1" applyBorder="1"/>
    <xf numFmtId="4" fontId="14" fillId="0" borderId="2" xfId="0" applyNumberFormat="1" applyFont="1" applyBorder="1"/>
    <xf numFmtId="3" fontId="14" fillId="0" borderId="2" xfId="0" applyNumberFormat="1" applyFont="1" applyBorder="1"/>
    <xf numFmtId="2" fontId="14" fillId="0" borderId="2" xfId="5" applyNumberFormat="1" applyFont="1" applyFill="1" applyBorder="1"/>
    <xf numFmtId="4" fontId="14" fillId="0" borderId="1" xfId="0" applyNumberFormat="1" applyFont="1" applyBorder="1"/>
    <xf numFmtId="9" fontId="14" fillId="0" borderId="0" xfId="5" applyFont="1" applyFill="1"/>
    <xf numFmtId="0" fontId="4" fillId="0" borderId="3" xfId="0" applyFont="1" applyBorder="1"/>
    <xf numFmtId="0" fontId="0" fillId="5" borderId="0" xfId="0" applyFill="1"/>
    <xf numFmtId="166" fontId="14" fillId="0" borderId="0" xfId="2" applyFont="1" applyFill="1" applyBorder="1"/>
    <xf numFmtId="166" fontId="14" fillId="0" borderId="0" xfId="2" applyFont="1" applyFill="1"/>
    <xf numFmtId="0" fontId="26" fillId="0" borderId="0" xfId="1" applyFont="1" applyFill="1" applyAlignment="1" applyProtection="1"/>
    <xf numFmtId="0" fontId="14" fillId="0" borderId="0" xfId="0" applyFont="1" applyAlignment="1">
      <alignment horizontal="left"/>
    </xf>
    <xf numFmtId="0" fontId="20" fillId="6" borderId="3" xfId="0" applyFont="1" applyFill="1" applyBorder="1"/>
    <xf numFmtId="166" fontId="4" fillId="0" borderId="0" xfId="2" applyFont="1" applyFill="1" applyBorder="1"/>
    <xf numFmtId="4" fontId="4" fillId="0" borderId="0" xfId="0" applyNumberFormat="1" applyFont="1"/>
    <xf numFmtId="166" fontId="4" fillId="0" borderId="4" xfId="0" applyNumberFormat="1" applyFont="1" applyBorder="1"/>
    <xf numFmtId="9" fontId="4" fillId="0" borderId="18" xfId="5" applyFont="1" applyFill="1" applyBorder="1"/>
    <xf numFmtId="166" fontId="4" fillId="0" borderId="0" xfId="0" applyNumberFormat="1" applyFont="1"/>
    <xf numFmtId="0" fontId="14" fillId="0" borderId="4" xfId="0" applyFont="1" applyBorder="1"/>
    <xf numFmtId="0" fontId="27" fillId="0" borderId="0" xfId="0" applyFont="1" applyAlignment="1">
      <alignment wrapText="1"/>
    </xf>
    <xf numFmtId="166" fontId="14" fillId="0" borderId="1" xfId="2" applyFont="1" applyFill="1" applyBorder="1"/>
    <xf numFmtId="166" fontId="0" fillId="0" borderId="0" xfId="2" applyFont="1"/>
    <xf numFmtId="166" fontId="0" fillId="0" borderId="0" xfId="0" applyNumberFormat="1"/>
    <xf numFmtId="0" fontId="17" fillId="2" borderId="20" xfId="0" applyFont="1" applyFill="1" applyBorder="1"/>
    <xf numFmtId="0" fontId="20" fillId="2" borderId="2" xfId="0" applyFont="1" applyFill="1" applyBorder="1"/>
    <xf numFmtId="166" fontId="20" fillId="2" borderId="2" xfId="2" applyFont="1" applyFill="1" applyBorder="1" applyAlignment="1">
      <alignment horizontal="center"/>
    </xf>
    <xf numFmtId="4" fontId="20" fillId="2" borderId="2" xfId="0" applyNumberFormat="1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16" xfId="0" applyFont="1" applyFill="1" applyBorder="1" applyAlignment="1">
      <alignment horizontal="center"/>
    </xf>
    <xf numFmtId="4" fontId="14" fillId="7" borderId="1" xfId="0" applyNumberFormat="1" applyFont="1" applyFill="1" applyBorder="1"/>
    <xf numFmtId="0" fontId="14" fillId="7" borderId="0" xfId="0" applyFont="1" applyFill="1"/>
    <xf numFmtId="4" fontId="14" fillId="7" borderId="2" xfId="0" applyNumberFormat="1" applyFont="1" applyFill="1" applyBorder="1"/>
    <xf numFmtId="4" fontId="14" fillId="7" borderId="0" xfId="0" applyNumberFormat="1" applyFont="1" applyFill="1"/>
    <xf numFmtId="0" fontId="10" fillId="7" borderId="0" xfId="0" applyFont="1" applyFill="1" applyAlignment="1">
      <alignment horizontal="center"/>
    </xf>
    <xf numFmtId="4" fontId="22" fillId="7" borderId="0" xfId="0" applyNumberFormat="1" applyFont="1" applyFill="1"/>
    <xf numFmtId="4" fontId="17" fillId="7" borderId="0" xfId="0" applyNumberFormat="1" applyFont="1" applyFill="1"/>
    <xf numFmtId="4" fontId="20" fillId="7" borderId="0" xfId="0" applyNumberFormat="1" applyFont="1" applyFill="1"/>
    <xf numFmtId="0" fontId="4" fillId="0" borderId="20" xfId="0" applyFont="1" applyBorder="1"/>
    <xf numFmtId="0" fontId="8" fillId="0" borderId="4" xfId="0" applyFont="1" applyBorder="1"/>
    <xf numFmtId="2" fontId="0" fillId="0" borderId="5" xfId="0" applyNumberFormat="1" applyBorder="1"/>
    <xf numFmtId="0" fontId="2" fillId="0" borderId="20" xfId="0" applyFont="1" applyBorder="1"/>
    <xf numFmtId="2" fontId="0" fillId="0" borderId="3" xfId="0" applyNumberFormat="1" applyBorder="1"/>
    <xf numFmtId="2" fontId="29" fillId="0" borderId="3" xfId="0" applyNumberFormat="1" applyFont="1" applyBorder="1"/>
    <xf numFmtId="0" fontId="29" fillId="0" borderId="4" xfId="0" applyFont="1" applyBorder="1"/>
    <xf numFmtId="0" fontId="29" fillId="0" borderId="38" xfId="0" applyFont="1" applyBorder="1"/>
    <xf numFmtId="4" fontId="0" fillId="0" borderId="5" xfId="0" applyNumberFormat="1" applyBorder="1"/>
    <xf numFmtId="0" fontId="8" fillId="0" borderId="3" xfId="0" applyFont="1" applyBorder="1"/>
    <xf numFmtId="166" fontId="0" fillId="0" borderId="5" xfId="0" applyNumberFormat="1" applyBorder="1"/>
    <xf numFmtId="2" fontId="0" fillId="0" borderId="6" xfId="0" applyNumberFormat="1" applyBorder="1"/>
    <xf numFmtId="9" fontId="11" fillId="0" borderId="0" xfId="5" applyFont="1" applyFill="1"/>
    <xf numFmtId="0" fontId="14" fillId="7" borderId="1" xfId="0" applyFont="1" applyFill="1" applyBorder="1"/>
    <xf numFmtId="0" fontId="13" fillId="0" borderId="35" xfId="0" applyFont="1" applyBorder="1" applyAlignment="1">
      <alignment horizontal="center" vertical="top"/>
    </xf>
    <xf numFmtId="0" fontId="13" fillId="0" borderId="36" xfId="0" applyFont="1" applyBorder="1" applyAlignment="1">
      <alignment horizontal="center" vertical="top"/>
    </xf>
    <xf numFmtId="3" fontId="13" fillId="0" borderId="36" xfId="0" applyNumberFormat="1" applyFont="1" applyBorder="1" applyAlignment="1">
      <alignment horizontal="center" vertical="top" wrapText="1"/>
    </xf>
    <xf numFmtId="4" fontId="13" fillId="0" borderId="36" xfId="0" applyNumberFormat="1" applyFont="1" applyBorder="1" applyAlignment="1">
      <alignment horizontal="center" vertical="top"/>
    </xf>
    <xf numFmtId="4" fontId="13" fillId="7" borderId="36" xfId="0" applyNumberFormat="1" applyFont="1" applyFill="1" applyBorder="1" applyAlignment="1">
      <alignment horizontal="center" vertical="top"/>
    </xf>
    <xf numFmtId="3" fontId="13" fillId="0" borderId="36" xfId="0" applyNumberFormat="1" applyFont="1" applyBorder="1" applyAlignment="1">
      <alignment horizontal="center" vertical="top"/>
    </xf>
    <xf numFmtId="3" fontId="13" fillId="0" borderId="39" xfId="0" applyNumberFormat="1" applyFont="1" applyBorder="1" applyAlignment="1">
      <alignment horizontal="center" vertical="top" wrapText="1"/>
    </xf>
    <xf numFmtId="0" fontId="13" fillId="0" borderId="39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3" fontId="13" fillId="0" borderId="0" xfId="0" applyNumberFormat="1" applyFont="1" applyAlignment="1">
      <alignment horizontal="center" vertical="top"/>
    </xf>
    <xf numFmtId="3" fontId="13" fillId="0" borderId="37" xfId="0" applyNumberFormat="1" applyFont="1" applyBorder="1" applyAlignment="1">
      <alignment horizontal="center" vertical="top"/>
    </xf>
    <xf numFmtId="0" fontId="13" fillId="0" borderId="40" xfId="0" applyFont="1" applyBorder="1" applyAlignment="1">
      <alignment horizontal="center" vertical="top"/>
    </xf>
    <xf numFmtId="0" fontId="13" fillId="0" borderId="37" xfId="0" applyFont="1" applyBorder="1" applyAlignment="1">
      <alignment horizontal="center" vertical="top"/>
    </xf>
    <xf numFmtId="0" fontId="13" fillId="0" borderId="37" xfId="0" applyFont="1" applyBorder="1" applyAlignment="1">
      <alignment horizontal="center" vertical="top" wrapText="1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 wrapText="1"/>
    </xf>
    <xf numFmtId="0" fontId="14" fillId="0" borderId="7" xfId="0" applyFont="1" applyBorder="1"/>
    <xf numFmtId="3" fontId="14" fillId="8" borderId="3" xfId="0" applyNumberFormat="1" applyFont="1" applyFill="1" applyBorder="1"/>
    <xf numFmtId="3" fontId="14" fillId="0" borderId="4" xfId="0" applyNumberFormat="1" applyFont="1" applyBorder="1"/>
    <xf numFmtId="2" fontId="29" fillId="6" borderId="41" xfId="0" applyNumberFormat="1" applyFont="1" applyFill="1" applyBorder="1"/>
    <xf numFmtId="2" fontId="0" fillId="6" borderId="4" xfId="0" applyNumberFormat="1" applyFill="1" applyBorder="1"/>
    <xf numFmtId="0" fontId="0" fillId="7" borderId="0" xfId="0" applyFill="1"/>
    <xf numFmtId="49" fontId="0" fillId="7" borderId="42" xfId="0" applyNumberFormat="1" applyFill="1" applyBorder="1" applyAlignment="1">
      <alignment horizontal="left"/>
    </xf>
    <xf numFmtId="1" fontId="25" fillId="7" borderId="42" xfId="0" applyNumberFormat="1" applyFont="1" applyFill="1" applyBorder="1"/>
    <xf numFmtId="3" fontId="14" fillId="0" borderId="6" xfId="0" applyNumberFormat="1" applyFont="1" applyBorder="1"/>
    <xf numFmtId="173" fontId="14" fillId="0" borderId="0" xfId="2" applyNumberFormat="1" applyFont="1"/>
    <xf numFmtId="173" fontId="14" fillId="0" borderId="0" xfId="2" applyNumberFormat="1" applyFont="1" applyBorder="1"/>
    <xf numFmtId="173" fontId="20" fillId="0" borderId="0" xfId="2" applyNumberFormat="1" applyFont="1"/>
    <xf numFmtId="173" fontId="11" fillId="0" borderId="0" xfId="2" applyNumberFormat="1" applyFont="1"/>
    <xf numFmtId="173" fontId="14" fillId="6" borderId="0" xfId="2" applyNumberFormat="1" applyFont="1" applyFill="1"/>
    <xf numFmtId="173" fontId="14" fillId="0" borderId="0" xfId="2" applyNumberFormat="1" applyFont="1" applyFill="1" applyBorder="1"/>
    <xf numFmtId="173" fontId="14" fillId="0" borderId="1" xfId="2" applyNumberFormat="1" applyFont="1" applyBorder="1"/>
    <xf numFmtId="173" fontId="22" fillId="0" borderId="0" xfId="2" applyNumberFormat="1" applyFont="1"/>
    <xf numFmtId="173" fontId="17" fillId="0" borderId="0" xfId="2" applyNumberFormat="1" applyFont="1"/>
    <xf numFmtId="173" fontId="14" fillId="0" borderId="0" xfId="2" applyNumberFormat="1" applyFont="1" applyFill="1"/>
    <xf numFmtId="173" fontId="13" fillId="0" borderId="0" xfId="2" applyNumberFormat="1" applyFont="1" applyAlignment="1">
      <alignment horizontal="center" vertical="top"/>
    </xf>
    <xf numFmtId="173" fontId="14" fillId="0" borderId="0" xfId="0" applyNumberFormat="1" applyFont="1"/>
    <xf numFmtId="166" fontId="4" fillId="0" borderId="0" xfId="2" applyFont="1" applyFill="1"/>
    <xf numFmtId="173" fontId="30" fillId="9" borderId="0" xfId="2" applyNumberFormat="1" applyFont="1" applyFill="1"/>
    <xf numFmtId="173" fontId="14" fillId="9" borderId="0" xfId="2" applyNumberFormat="1" applyFont="1" applyFill="1"/>
    <xf numFmtId="173" fontId="14" fillId="9" borderId="0" xfId="2" applyNumberFormat="1" applyFont="1" applyFill="1" applyBorder="1"/>
    <xf numFmtId="49" fontId="11" fillId="0" borderId="0" xfId="0" applyNumberFormat="1" applyFont="1"/>
    <xf numFmtId="1" fontId="4" fillId="0" borderId="0" xfId="0" applyNumberFormat="1" applyFont="1"/>
    <xf numFmtId="0" fontId="4" fillId="7" borderId="0" xfId="0" applyFont="1" applyFill="1"/>
    <xf numFmtId="1" fontId="11" fillId="0" borderId="0" xfId="0" applyNumberFormat="1" applyFont="1"/>
    <xf numFmtId="167" fontId="0" fillId="0" borderId="3" xfId="0" applyNumberFormat="1" applyBorder="1"/>
    <xf numFmtId="0" fontId="3" fillId="0" borderId="3" xfId="0" applyFont="1" applyBorder="1"/>
    <xf numFmtId="0" fontId="4" fillId="0" borderId="21" xfId="0" applyFont="1" applyBorder="1"/>
    <xf numFmtId="0" fontId="4" fillId="0" borderId="14" xfId="0" applyFont="1" applyBorder="1"/>
    <xf numFmtId="166" fontId="4" fillId="0" borderId="14" xfId="2" applyFont="1" applyFill="1" applyBorder="1"/>
    <xf numFmtId="9" fontId="4" fillId="0" borderId="15" xfId="5" applyFont="1" applyFill="1" applyBorder="1"/>
    <xf numFmtId="9" fontId="4" fillId="0" borderId="0" xfId="5" applyFont="1" applyFill="1" applyBorder="1"/>
    <xf numFmtId="0" fontId="2" fillId="2" borderId="21" xfId="0" applyFont="1" applyFill="1" applyBorder="1"/>
    <xf numFmtId="0" fontId="4" fillId="2" borderId="14" xfId="0" applyFont="1" applyFill="1" applyBorder="1" applyAlignment="1">
      <alignment vertical="center"/>
    </xf>
    <xf numFmtId="4" fontId="2" fillId="2" borderId="17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6" fontId="4" fillId="0" borderId="1" xfId="2" applyFont="1" applyFill="1" applyBorder="1"/>
    <xf numFmtId="168" fontId="4" fillId="0" borderId="0" xfId="2" applyNumberFormat="1" applyFont="1" applyFill="1" applyBorder="1"/>
    <xf numFmtId="9" fontId="4" fillId="0" borderId="0" xfId="5" applyFont="1" applyFill="1"/>
    <xf numFmtId="0" fontId="28" fillId="0" borderId="0" xfId="0" applyFont="1"/>
    <xf numFmtId="0" fontId="2" fillId="0" borderId="0" xfId="0" applyFont="1"/>
    <xf numFmtId="0" fontId="15" fillId="0" borderId="0" xfId="1" applyFill="1" applyAlignment="1" applyProtection="1"/>
    <xf numFmtId="0" fontId="4" fillId="0" borderId="0" xfId="0" applyFont="1" applyAlignment="1">
      <alignment horizontal="left"/>
    </xf>
    <xf numFmtId="17" fontId="4" fillId="0" borderId="0" xfId="0" applyNumberFormat="1" applyFont="1"/>
    <xf numFmtId="4" fontId="17" fillId="0" borderId="1" xfId="0" applyNumberFormat="1" applyFont="1" applyBorder="1"/>
    <xf numFmtId="166" fontId="4" fillId="0" borderId="15" xfId="2" applyFont="1" applyFill="1" applyBorder="1"/>
    <xf numFmtId="166" fontId="4" fillId="0" borderId="0" xfId="2" applyFont="1" applyFill="1" applyAlignment="1"/>
    <xf numFmtId="17" fontId="11" fillId="0" borderId="1" xfId="0" applyNumberFormat="1" applyFont="1" applyBorder="1"/>
    <xf numFmtId="3" fontId="14" fillId="8" borderId="0" xfId="0" applyNumberFormat="1" applyFont="1" applyFill="1"/>
    <xf numFmtId="3" fontId="14" fillId="8" borderId="1" xfId="0" applyNumberFormat="1" applyFont="1" applyFill="1" applyBorder="1"/>
    <xf numFmtId="0" fontId="31" fillId="0" borderId="3" xfId="0" applyFont="1" applyBorder="1" applyAlignment="1">
      <alignment vertical="center" wrapText="1"/>
    </xf>
    <xf numFmtId="0" fontId="0" fillId="6" borderId="0" xfId="0" applyFill="1"/>
    <xf numFmtId="0" fontId="20" fillId="7" borderId="3" xfId="0" applyFont="1" applyFill="1" applyBorder="1"/>
    <xf numFmtId="0" fontId="20" fillId="10" borderId="3" xfId="0" applyFont="1" applyFill="1" applyBorder="1"/>
    <xf numFmtId="0" fontId="4" fillId="0" borderId="0" xfId="0" applyFont="1" applyAlignment="1">
      <alignment horizontal="right"/>
    </xf>
    <xf numFmtId="0" fontId="20" fillId="2" borderId="2" xfId="0" applyFont="1" applyFill="1" applyBorder="1" applyAlignment="1">
      <alignment horizontal="right"/>
    </xf>
    <xf numFmtId="0" fontId="19" fillId="2" borderId="1" xfId="0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0" fontId="4" fillId="0" borderId="14" xfId="0" applyFont="1" applyBorder="1" applyAlignment="1">
      <alignment horizontal="right"/>
    </xf>
    <xf numFmtId="0" fontId="4" fillId="2" borderId="14" xfId="0" applyFont="1" applyFill="1" applyBorder="1" applyAlignment="1">
      <alignment horizontal="right" vertic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17" fontId="13" fillId="0" borderId="35" xfId="0" applyNumberFormat="1" applyFont="1" applyBorder="1" applyAlignment="1">
      <alignment horizontal="center" wrapText="1"/>
    </xf>
    <xf numFmtId="0" fontId="4" fillId="10" borderId="0" xfId="0" applyFont="1" applyFill="1"/>
    <xf numFmtId="0" fontId="4" fillId="10" borderId="0" xfId="0" applyFont="1" applyFill="1" applyAlignment="1">
      <alignment horizontal="right"/>
    </xf>
    <xf numFmtId="166" fontId="4" fillId="10" borderId="0" xfId="2" applyFont="1" applyFill="1"/>
    <xf numFmtId="4" fontId="4" fillId="10" borderId="0" xfId="0" applyNumberFormat="1" applyFont="1" applyFill="1"/>
    <xf numFmtId="9" fontId="4" fillId="10" borderId="0" xfId="5" applyFont="1" applyFill="1"/>
    <xf numFmtId="166" fontId="11" fillId="10" borderId="0" xfId="2" applyFont="1" applyFill="1"/>
    <xf numFmtId="166" fontId="18" fillId="10" borderId="0" xfId="2" applyFont="1" applyFill="1"/>
    <xf numFmtId="166" fontId="20" fillId="10" borderId="0" xfId="2" applyFont="1" applyFill="1"/>
    <xf numFmtId="166" fontId="19" fillId="10" borderId="0" xfId="2" applyFont="1" applyFill="1"/>
    <xf numFmtId="166" fontId="14" fillId="10" borderId="0" xfId="2" applyFont="1" applyFill="1"/>
    <xf numFmtId="173" fontId="18" fillId="0" borderId="0" xfId="2" applyNumberFormat="1" applyFont="1" applyFill="1"/>
    <xf numFmtId="173" fontId="20" fillId="0" borderId="0" xfId="0" applyNumberFormat="1" applyFont="1"/>
    <xf numFmtId="166" fontId="19" fillId="0" borderId="0" xfId="0" applyNumberFormat="1" applyFont="1"/>
    <xf numFmtId="9" fontId="14" fillId="0" borderId="0" xfId="5" applyFont="1" applyFill="1" applyBorder="1"/>
    <xf numFmtId="0" fontId="4" fillId="11" borderId="0" xfId="0" applyFont="1" applyFill="1"/>
    <xf numFmtId="12" fontId="14" fillId="0" borderId="0" xfId="2" applyNumberFormat="1" applyFont="1" applyFill="1"/>
    <xf numFmtId="172" fontId="14" fillId="0" borderId="0" xfId="0" applyNumberFormat="1" applyFont="1"/>
    <xf numFmtId="9" fontId="14" fillId="0" borderId="0" xfId="6" applyFont="1" applyFill="1" applyBorder="1"/>
    <xf numFmtId="10" fontId="14" fillId="0" borderId="0" xfId="5" applyNumberFormat="1" applyFont="1"/>
    <xf numFmtId="0" fontId="14" fillId="0" borderId="45" xfId="0" applyFont="1" applyBorder="1"/>
    <xf numFmtId="3" fontId="14" fillId="0" borderId="45" xfId="0" applyNumberFormat="1" applyFont="1" applyBorder="1"/>
    <xf numFmtId="4" fontId="14" fillId="0" borderId="45" xfId="0" applyNumberFormat="1" applyFont="1" applyBorder="1"/>
    <xf numFmtId="171" fontId="14" fillId="0" borderId="45" xfId="0" applyNumberFormat="1" applyFont="1" applyBorder="1"/>
    <xf numFmtId="171" fontId="14" fillId="9" borderId="45" xfId="0" applyNumberFormat="1" applyFont="1" applyFill="1" applyBorder="1"/>
    <xf numFmtId="49" fontId="14" fillId="0" borderId="14" xfId="0" applyNumberFormat="1" applyFont="1" applyBorder="1"/>
    <xf numFmtId="0" fontId="14" fillId="0" borderId="14" xfId="0" applyFont="1" applyBorder="1"/>
    <xf numFmtId="3" fontId="14" fillId="0" borderId="14" xfId="0" applyNumberFormat="1" applyFont="1" applyBorder="1"/>
    <xf numFmtId="4" fontId="14" fillId="0" borderId="14" xfId="0" applyNumberFormat="1" applyFont="1" applyBorder="1"/>
    <xf numFmtId="171" fontId="14" fillId="0" borderId="14" xfId="0" applyNumberFormat="1" applyFont="1" applyBorder="1"/>
    <xf numFmtId="171" fontId="14" fillId="7" borderId="14" xfId="0" applyNumberFormat="1" applyFont="1" applyFill="1" applyBorder="1"/>
    <xf numFmtId="171" fontId="14" fillId="9" borderId="14" xfId="0" applyNumberFormat="1" applyFont="1" applyFill="1" applyBorder="1"/>
    <xf numFmtId="9" fontId="4" fillId="0" borderId="18" xfId="6" applyFont="1" applyFill="1" applyBorder="1"/>
    <xf numFmtId="0" fontId="15" fillId="0" borderId="0" xfId="1" applyAlignment="1" applyProtection="1"/>
    <xf numFmtId="0" fontId="4" fillId="6" borderId="0" xfId="0" applyFont="1" applyFill="1"/>
    <xf numFmtId="43" fontId="4" fillId="0" borderId="0" xfId="2" applyNumberFormat="1" applyFont="1" applyFill="1"/>
    <xf numFmtId="43" fontId="4" fillId="0" borderId="0" xfId="0" applyNumberFormat="1" applyFont="1" applyAlignment="1">
      <alignment horizontal="center"/>
    </xf>
    <xf numFmtId="166" fontId="4" fillId="0" borderId="4" xfId="2" applyFont="1" applyFill="1" applyBorder="1"/>
    <xf numFmtId="9" fontId="4" fillId="0" borderId="4" xfId="5" applyFont="1" applyFill="1" applyBorder="1"/>
    <xf numFmtId="0" fontId="4" fillId="7" borderId="1" xfId="0" applyFont="1" applyFill="1" applyBorder="1"/>
    <xf numFmtId="14" fontId="0" fillId="0" borderId="0" xfId="0" applyNumberFormat="1"/>
    <xf numFmtId="3" fontId="32" fillId="0" borderId="0" xfId="0" applyNumberFormat="1" applyFont="1"/>
    <xf numFmtId="166" fontId="4" fillId="0" borderId="0" xfId="3" applyFont="1" applyFill="1" applyBorder="1"/>
    <xf numFmtId="166" fontId="4" fillId="0" borderId="14" xfId="3" applyFont="1" applyFill="1" applyBorder="1"/>
    <xf numFmtId="166" fontId="4" fillId="0" borderId="15" xfId="3" applyFont="1" applyFill="1" applyBorder="1"/>
    <xf numFmtId="9" fontId="4" fillId="0" borderId="15" xfId="6" applyFont="1" applyFill="1" applyBorder="1"/>
    <xf numFmtId="9" fontId="4" fillId="0" borderId="17" xfId="6" applyFont="1" applyFill="1" applyBorder="1"/>
    <xf numFmtId="4" fontId="2" fillId="0" borderId="0" xfId="0" applyNumberFormat="1" applyFont="1" applyAlignment="1">
      <alignment horizontal="center" vertical="center"/>
    </xf>
    <xf numFmtId="0" fontId="4" fillId="0" borderId="4" xfId="0" applyFont="1" applyBorder="1"/>
    <xf numFmtId="166" fontId="4" fillId="0" borderId="18" xfId="3" applyFont="1" applyFill="1" applyBorder="1"/>
    <xf numFmtId="166" fontId="4" fillId="0" borderId="19" xfId="3" applyFont="1" applyFill="1" applyBorder="1"/>
    <xf numFmtId="0" fontId="4" fillId="0" borderId="5" xfId="0" applyFont="1" applyBorder="1"/>
    <xf numFmtId="0" fontId="4" fillId="0" borderId="1" xfId="0" applyFont="1" applyBorder="1" applyAlignment="1">
      <alignment horizontal="right"/>
    </xf>
    <xf numFmtId="0" fontId="4" fillId="0" borderId="6" xfId="0" applyFont="1" applyBorder="1"/>
    <xf numFmtId="0" fontId="20" fillId="12" borderId="3" xfId="0" applyFont="1" applyFill="1" applyBorder="1"/>
    <xf numFmtId="166" fontId="4" fillId="10" borderId="0" xfId="3" applyFont="1" applyFill="1"/>
    <xf numFmtId="43" fontId="4" fillId="0" borderId="0" xfId="0" applyNumberFormat="1" applyFont="1"/>
    <xf numFmtId="0" fontId="33" fillId="0" borderId="0" xfId="0" applyFont="1"/>
    <xf numFmtId="0" fontId="20" fillId="13" borderId="3" xfId="0" applyFont="1" applyFill="1" applyBorder="1"/>
    <xf numFmtId="0" fontId="20" fillId="14" borderId="3" xfId="0" applyFont="1" applyFill="1" applyBorder="1"/>
    <xf numFmtId="0" fontId="15" fillId="0" borderId="0" xfId="1" applyAlignment="1" applyProtection="1">
      <alignment horizontal="left"/>
    </xf>
    <xf numFmtId="166" fontId="0" fillId="0" borderId="0" xfId="2" applyFont="1" applyFill="1" applyBorder="1"/>
    <xf numFmtId="4" fontId="22" fillId="9" borderId="0" xfId="0" applyNumberFormat="1" applyFont="1" applyFill="1"/>
    <xf numFmtId="3" fontId="20" fillId="15" borderId="0" xfId="0" applyNumberFormat="1" applyFont="1" applyFill="1"/>
    <xf numFmtId="166" fontId="4" fillId="7" borderId="0" xfId="2" applyFont="1" applyFill="1"/>
    <xf numFmtId="17" fontId="4" fillId="6" borderId="0" xfId="0" applyNumberFormat="1" applyFont="1" applyFill="1"/>
    <xf numFmtId="0" fontId="15" fillId="0" borderId="0" xfId="1" applyFill="1" applyBorder="1" applyAlignment="1" applyProtection="1"/>
    <xf numFmtId="0" fontId="1" fillId="0" borderId="3" xfId="0" applyFont="1" applyBorder="1"/>
    <xf numFmtId="0" fontId="1" fillId="0" borderId="0" xfId="0" applyFont="1"/>
    <xf numFmtId="166" fontId="1" fillId="0" borderId="0" xfId="0" applyNumberFormat="1" applyFont="1"/>
    <xf numFmtId="9" fontId="1" fillId="0" borderId="18" xfId="6" applyFont="1" applyFill="1" applyBorder="1"/>
    <xf numFmtId="10" fontId="14" fillId="0" borderId="0" xfId="5" applyNumberFormat="1" applyFont="1" applyFill="1"/>
    <xf numFmtId="0" fontId="28" fillId="0" borderId="0" xfId="0" applyFont="1" applyAlignment="1">
      <alignment horizontal="left"/>
    </xf>
    <xf numFmtId="0" fontId="13" fillId="2" borderId="21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left"/>
    </xf>
    <xf numFmtId="166" fontId="1" fillId="0" borderId="0" xfId="3" applyFont="1" applyFill="1" applyBorder="1"/>
    <xf numFmtId="166" fontId="1" fillId="0" borderId="0" xfId="3" applyFont="1" applyFill="1"/>
    <xf numFmtId="0" fontId="13" fillId="0" borderId="43" xfId="0" applyFont="1" applyBorder="1"/>
    <xf numFmtId="3" fontId="13" fillId="0" borderId="43" xfId="0" applyNumberFormat="1" applyFont="1" applyBorder="1"/>
    <xf numFmtId="4" fontId="13" fillId="0" borderId="43" xfId="0" applyNumberFormat="1" applyFont="1" applyBorder="1"/>
    <xf numFmtId="170" fontId="13" fillId="7" borderId="43" xfId="0" applyNumberFormat="1" applyFont="1" applyFill="1" applyBorder="1"/>
    <xf numFmtId="4" fontId="13" fillId="0" borderId="0" xfId="0" applyNumberFormat="1" applyFont="1"/>
    <xf numFmtId="3" fontId="13" fillId="0" borderId="44" xfId="0" applyNumberFormat="1" applyFont="1" applyBorder="1"/>
    <xf numFmtId="4" fontId="13" fillId="0" borderId="44" xfId="0" applyNumberFormat="1" applyFont="1" applyBorder="1"/>
    <xf numFmtId="173" fontId="13" fillId="0" borderId="0" xfId="0" applyNumberFormat="1" applyFont="1"/>
    <xf numFmtId="0" fontId="1" fillId="6" borderId="0" xfId="0" applyFont="1" applyFill="1"/>
    <xf numFmtId="166" fontId="1" fillId="0" borderId="0" xfId="2" applyFont="1" applyFill="1" applyBorder="1"/>
    <xf numFmtId="166" fontId="0" fillId="0" borderId="4" xfId="0" applyNumberFormat="1" applyBorder="1"/>
    <xf numFmtId="0" fontId="34" fillId="15" borderId="0" xfId="0" applyFont="1" applyFill="1"/>
    <xf numFmtId="166" fontId="1" fillId="7" borderId="0" xfId="0" applyNumberFormat="1" applyFont="1" applyFill="1"/>
    <xf numFmtId="0" fontId="1" fillId="0" borderId="0" xfId="0" applyFont="1" applyAlignment="1">
      <alignment horizontal="right"/>
    </xf>
    <xf numFmtId="9" fontId="1" fillId="0" borderId="18" xfId="5" applyFont="1" applyFill="1" applyBorder="1"/>
    <xf numFmtId="166" fontId="1" fillId="10" borderId="0" xfId="2" applyFont="1" applyFill="1"/>
    <xf numFmtId="3" fontId="14" fillId="5" borderId="0" xfId="0" applyNumberFormat="1" applyFont="1" applyFill="1"/>
    <xf numFmtId="0" fontId="17" fillId="0" borderId="1" xfId="0" applyFont="1" applyBorder="1" applyAlignment="1">
      <alignment horizontal="center"/>
    </xf>
    <xf numFmtId="166" fontId="21" fillId="0" borderId="2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2" borderId="21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left"/>
    </xf>
    <xf numFmtId="0" fontId="17" fillId="2" borderId="20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right"/>
    </xf>
    <xf numFmtId="17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left"/>
    </xf>
    <xf numFmtId="165" fontId="11" fillId="0" borderId="0" xfId="4" applyFont="1" applyBorder="1" applyAlignment="1">
      <alignment horizontal="center"/>
    </xf>
    <xf numFmtId="17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17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14" fillId="0" borderId="0" xfId="0" applyNumberFormat="1" applyFont="1"/>
  </cellXfs>
  <cellStyles count="7">
    <cellStyle name="Hipervínculo" xfId="1" builtinId="8"/>
    <cellStyle name="Millares" xfId="2" builtinId="3"/>
    <cellStyle name="Millares 2" xfId="3" xr:uid="{03A14679-B211-46C1-B3F2-42832F3D2932}"/>
    <cellStyle name="Moneda" xfId="4" builtinId="4"/>
    <cellStyle name="Normal" xfId="0" builtinId="0"/>
    <cellStyle name="Porcentaje" xfId="5" builtinId="5"/>
    <cellStyle name="Porcentaje 2" xfId="6" xr:uid="{5F0C9B1E-4062-4F51-92BD-30EB0DFA71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MONTES%20DE%20OCA%202026\M%20OCA%200426.xlsx" TargetMode="External"/><Relationship Id="rId1" Type="http://schemas.openxmlformats.org/officeDocument/2006/relationships/externalLinkPath" Target="M%20OCA%2004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pmal\OneDrive\Escritorio\PC%20KARINA\MONTES%20DE%20OCA%202024\M%20OCA%200324.xls" TargetMode="External"/><Relationship Id="rId1" Type="http://schemas.openxmlformats.org/officeDocument/2006/relationships/externalLinkPath" Target="file:///C:\Users\kpmal\OneDrive\Escritorio\PC%20KARINA\MONTES%20DE%20OCA%202024\M%20OCA%20032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BROWN%202010\alte%20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BROWN%202019\BROWN%20021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BROWN%202019\BROWN%20041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BROWN%202019\BROWN%20091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BROWN%202015\BROWN%20041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BROWN%202017\BROWN%2011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RECIBOS"/>
      <sheetName val="SUELDO"/>
      <sheetName val="Hoja3"/>
      <sheetName val="Hoja4"/>
      <sheetName val="Hoja2"/>
      <sheetName val="Hoja 3"/>
      <sheetName val="Hoja1"/>
      <sheetName val="Hoja5"/>
    </sheetNames>
    <sheetDataSet>
      <sheetData sheetId="0">
        <row r="78">
          <cell r="G78">
            <v>4434802.3762824992</v>
          </cell>
        </row>
      </sheetData>
      <sheetData sheetId="1">
        <row r="24">
          <cell r="P24">
            <v>387667.21006399998</v>
          </cell>
        </row>
        <row r="29">
          <cell r="L29">
            <v>305366.99595760001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Hoja3"/>
      <sheetName val="Hoja4"/>
      <sheetName val="Hoja 3"/>
      <sheetName val="Hoja2"/>
      <sheetName val="Hoja1"/>
      <sheetName val="Hoja5"/>
    </sheetNames>
    <sheetDataSet>
      <sheetData sheetId="0">
        <row r="17">
          <cell r="E17">
            <v>164201</v>
          </cell>
        </row>
        <row r="30">
          <cell r="E30">
            <v>270630.61</v>
          </cell>
        </row>
      </sheetData>
      <sheetData sheetId="1">
        <row r="31">
          <cell r="L31">
            <v>96103.950488000002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RECIBOS"/>
      <sheetName val="SUELDO"/>
      <sheetName val="Hoja3"/>
      <sheetName val="Hoja 3"/>
      <sheetName val="Hoja2"/>
      <sheetName val="Hoja1"/>
    </sheetNames>
    <sheetDataSet>
      <sheetData sheetId="0"/>
      <sheetData sheetId="1" refreshError="1">
        <row r="50">
          <cell r="F50">
            <v>8125</v>
          </cell>
          <cell r="H50">
            <v>940</v>
          </cell>
          <cell r="J50">
            <v>1988.0172000000007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Hoja3"/>
      <sheetName val="Hoja4"/>
      <sheetName val="Hoja 3"/>
      <sheetName val="Hoja2"/>
      <sheetName val="Hoja1"/>
    </sheetNames>
    <sheetDataSet>
      <sheetData sheetId="0"/>
      <sheetData sheetId="1">
        <row r="23">
          <cell r="K23">
            <v>3775.4506375999999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Hoja3"/>
      <sheetName val="Hoja4"/>
      <sheetName val="Hoja 3"/>
      <sheetName val="Hoja2"/>
      <sheetName val="Hoja1"/>
    </sheetNames>
    <sheetDataSet>
      <sheetData sheetId="0"/>
      <sheetData sheetId="1">
        <row r="23">
          <cell r="M23">
            <v>230.87083749600004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Hoja3"/>
      <sheetName val="Hoja4"/>
      <sheetName val="Hoja 3"/>
      <sheetName val="Hoja2"/>
      <sheetName val="Hoja1"/>
    </sheetNames>
    <sheetDataSet>
      <sheetData sheetId="0"/>
      <sheetData sheetId="1">
        <row r="26">
          <cell r="K26">
            <v>3789.365104</v>
          </cell>
          <cell r="M26">
            <v>154.73406983199999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RECIBOS"/>
      <sheetName val="SUELDO"/>
      <sheetName val="Hoja3"/>
      <sheetName val="Hoja4"/>
      <sheetName val="Hoja 3"/>
      <sheetName val="Hoja2"/>
      <sheetName val="Hoja1"/>
    </sheetNames>
    <sheetDataSet>
      <sheetData sheetId="0"/>
      <sheetData sheetId="1">
        <row r="32">
          <cell r="M32">
            <v>34.261073176000011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RECIBOS"/>
      <sheetName val="SUELDO"/>
      <sheetName val="Hoja3"/>
      <sheetName val="Hoja4"/>
      <sheetName val="Hoja 3"/>
      <sheetName val="Hoja2"/>
      <sheetName val="Hoja1"/>
    </sheetNames>
    <sheetDataSet>
      <sheetData sheetId="0"/>
      <sheetData sheetId="1">
        <row r="34">
          <cell r="M34">
            <v>168.86629290399998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oca_administraciones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uenosaires.gob.ar/sites/default/files/2025-02/Manual%20buenas%20pr%C3%A1cticas%20consorciales_0.pdf" TargetMode="External"/><Relationship Id="rId2" Type="http://schemas.openxmlformats.org/officeDocument/2006/relationships/hyperlink" Target="mailto:mbelach@hotmail.com" TargetMode="External"/><Relationship Id="rId1" Type="http://schemas.openxmlformats.org/officeDocument/2006/relationships/hyperlink" Target="mailto:masoca_administraciones@hot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drive.google.com/file/d/10PKMJPxLlI6o6yFzsBTHdpc___4RrHMU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3100-4976-41EE-8F83-C6CB22D9C90D}">
  <dimension ref="A1:AB118"/>
  <sheetViews>
    <sheetView tabSelected="1" topLeftCell="A14" zoomScaleNormal="100" workbookViewId="0">
      <selection activeCell="G63" sqref="G63:H63"/>
    </sheetView>
  </sheetViews>
  <sheetFormatPr baseColWidth="10" defaultRowHeight="15" x14ac:dyDescent="0.2"/>
  <cols>
    <col min="1" max="1" width="3" style="132" customWidth="1"/>
    <col min="2" max="3" width="11.42578125" style="137"/>
    <col min="4" max="4" width="10.7109375" style="137" customWidth="1"/>
    <col min="5" max="5" width="15.28515625" style="311" customWidth="1"/>
    <col min="6" max="6" width="30.85546875" style="137" customWidth="1"/>
    <col min="7" max="7" width="14.85546875" style="138" customWidth="1"/>
    <col min="8" max="8" width="14.42578125" style="139" customWidth="1"/>
    <col min="9" max="9" width="14.5703125" style="139" customWidth="1"/>
    <col min="10" max="10" width="10.28515625" style="137" bestFit="1" customWidth="1"/>
    <col min="11" max="11" width="18.7109375" style="140" customWidth="1"/>
    <col min="12" max="12" width="15.140625" style="132" bestFit="1" customWidth="1"/>
    <col min="13" max="13" width="13.85546875" style="132" bestFit="1" customWidth="1"/>
    <col min="14" max="14" width="19" style="132" customWidth="1"/>
    <col min="15" max="15" width="15.140625" style="132" bestFit="1" customWidth="1"/>
    <col min="16" max="16" width="14.28515625" style="132" customWidth="1"/>
    <col min="17" max="17" width="14.5703125" style="132" bestFit="1" customWidth="1"/>
    <col min="18" max="18" width="13.85546875" style="132" bestFit="1" customWidth="1"/>
    <col min="19" max="19" width="15.140625" style="132" bestFit="1" customWidth="1"/>
    <col min="20" max="20" width="3.140625" style="319" customWidth="1"/>
    <col min="21" max="21" width="12.140625" style="132" bestFit="1" customWidth="1"/>
    <col min="22" max="22" width="15.140625" style="132" bestFit="1" customWidth="1"/>
    <col min="23" max="23" width="14.140625" style="132" bestFit="1" customWidth="1"/>
    <col min="24" max="24" width="12" style="132" bestFit="1" customWidth="1"/>
    <col min="25" max="26" width="11.42578125" style="132"/>
    <col min="27" max="27" width="12" style="132" bestFit="1" customWidth="1"/>
    <col min="28" max="16384" width="11.42578125" style="132"/>
  </cols>
  <sheetData>
    <row r="1" spans="1:20" s="83" customFormat="1" ht="16.5" customHeight="1" x14ac:dyDescent="0.25">
      <c r="A1" s="406" t="s">
        <v>253</v>
      </c>
      <c r="B1" s="406"/>
      <c r="C1" s="406"/>
      <c r="D1" s="406"/>
      <c r="E1" s="406"/>
      <c r="F1" s="406"/>
      <c r="G1" s="406"/>
      <c r="H1" s="406"/>
      <c r="I1" s="293" t="s">
        <v>0</v>
      </c>
      <c r="J1" s="296">
        <v>46143</v>
      </c>
      <c r="K1" s="227"/>
      <c r="T1" s="318"/>
    </row>
    <row r="2" spans="1:20" s="79" customFormat="1" ht="12.95" customHeight="1" x14ac:dyDescent="0.2">
      <c r="A2" s="289" t="s">
        <v>228</v>
      </c>
      <c r="E2" s="303"/>
      <c r="G2" s="266"/>
      <c r="H2" s="289" t="s">
        <v>186</v>
      </c>
      <c r="I2" s="192"/>
      <c r="K2" s="287"/>
      <c r="T2" s="315"/>
    </row>
    <row r="3" spans="1:20" s="79" customFormat="1" ht="12.95" customHeight="1" x14ac:dyDescent="0.2">
      <c r="A3" s="79" t="s">
        <v>229</v>
      </c>
      <c r="E3" s="303"/>
      <c r="G3" s="266"/>
      <c r="H3" s="79" t="s">
        <v>293</v>
      </c>
      <c r="T3" s="315"/>
    </row>
    <row r="4" spans="1:20" s="79" customFormat="1" ht="12.95" customHeight="1" x14ac:dyDescent="0.2">
      <c r="A4" s="79" t="s">
        <v>230</v>
      </c>
      <c r="E4" s="303"/>
      <c r="G4" s="266"/>
      <c r="H4" s="79" t="s">
        <v>266</v>
      </c>
      <c r="T4" s="315"/>
    </row>
    <row r="5" spans="1:20" s="79" customFormat="1" ht="12.95" customHeight="1" x14ac:dyDescent="0.2">
      <c r="A5" s="290" t="s">
        <v>243</v>
      </c>
      <c r="E5" s="303"/>
      <c r="F5" s="291" t="s">
        <v>232</v>
      </c>
      <c r="G5" s="266"/>
      <c r="H5" s="79" t="s">
        <v>290</v>
      </c>
      <c r="I5" s="292"/>
      <c r="K5" s="327">
        <v>23883</v>
      </c>
      <c r="L5" s="327" t="s">
        <v>304</v>
      </c>
      <c r="M5" s="327">
        <v>1068</v>
      </c>
      <c r="T5" s="315"/>
    </row>
    <row r="6" spans="1:20" s="79" customFormat="1" ht="12.95" customHeight="1" x14ac:dyDescent="0.2">
      <c r="A6" s="79" t="s">
        <v>218</v>
      </c>
      <c r="E6" s="303"/>
      <c r="F6" s="79" t="s">
        <v>233</v>
      </c>
      <c r="G6" s="266"/>
      <c r="I6" s="292"/>
      <c r="T6" s="315"/>
    </row>
    <row r="7" spans="1:20" s="79" customFormat="1" ht="12.95" customHeight="1" x14ac:dyDescent="0.2">
      <c r="A7" s="284" t="s">
        <v>231</v>
      </c>
      <c r="E7" s="303"/>
      <c r="F7" s="79" t="s">
        <v>246</v>
      </c>
      <c r="G7" s="266"/>
      <c r="I7" s="292"/>
      <c r="J7" s="284"/>
      <c r="T7" s="315"/>
    </row>
    <row r="8" spans="1:20" ht="17.25" customHeight="1" x14ac:dyDescent="0.3">
      <c r="B8" s="407"/>
      <c r="C8" s="407"/>
      <c r="D8" s="407"/>
      <c r="E8" s="407"/>
      <c r="F8" s="407"/>
      <c r="G8" s="407"/>
      <c r="H8" s="407"/>
      <c r="I8" s="407"/>
      <c r="J8" s="153"/>
    </row>
    <row r="9" spans="1:20" s="137" customFormat="1" ht="16.5" customHeight="1" x14ac:dyDescent="0.25">
      <c r="B9" s="201" t="s">
        <v>322</v>
      </c>
      <c r="C9" s="202"/>
      <c r="D9" s="202"/>
      <c r="E9" s="304"/>
      <c r="F9" s="202"/>
      <c r="G9" s="203" t="s">
        <v>234</v>
      </c>
      <c r="H9" s="204" t="s">
        <v>235</v>
      </c>
      <c r="I9" s="205" t="s">
        <v>1</v>
      </c>
      <c r="J9" s="206" t="s">
        <v>6</v>
      </c>
      <c r="L9" s="137" t="s">
        <v>259</v>
      </c>
      <c r="M9" s="137" t="s">
        <v>220</v>
      </c>
      <c r="N9" s="137" t="s">
        <v>324</v>
      </c>
      <c r="T9" s="320"/>
    </row>
    <row r="10" spans="1:20" s="143" customFormat="1" ht="1.5" customHeight="1" x14ac:dyDescent="0.25">
      <c r="B10" s="167"/>
      <c r="C10" s="168"/>
      <c r="D10" s="168"/>
      <c r="E10" s="305"/>
      <c r="F10" s="168"/>
      <c r="G10" s="169"/>
      <c r="H10" s="170"/>
      <c r="I10" s="171"/>
      <c r="J10" s="172"/>
      <c r="L10" s="83" t="s">
        <v>259</v>
      </c>
      <c r="M10" s="83" t="s">
        <v>220</v>
      </c>
      <c r="N10" s="83" t="s">
        <v>260</v>
      </c>
      <c r="T10" s="321"/>
    </row>
    <row r="11" spans="1:20" s="79" customFormat="1" ht="14.1" customHeight="1" x14ac:dyDescent="0.2">
      <c r="B11" s="275" t="s">
        <v>248</v>
      </c>
      <c r="E11" s="303"/>
      <c r="G11" s="191"/>
      <c r="H11" s="192"/>
      <c r="I11" s="193">
        <v>0</v>
      </c>
      <c r="J11" s="194">
        <f>+I11/$I$57</f>
        <v>0</v>
      </c>
      <c r="K11" s="195"/>
      <c r="L11" s="195">
        <v>0</v>
      </c>
      <c r="M11" s="195">
        <f>+I11</f>
        <v>0</v>
      </c>
      <c r="N11" s="195">
        <v>0</v>
      </c>
      <c r="O11" s="295">
        <f>SUM(L11:N11)</f>
        <v>0</v>
      </c>
      <c r="T11" s="315"/>
    </row>
    <row r="12" spans="1:20" s="143" customFormat="1" ht="14.1" customHeight="1" x14ac:dyDescent="0.25">
      <c r="A12" s="137"/>
      <c r="B12" s="184" t="s">
        <v>254</v>
      </c>
      <c r="E12" s="306"/>
      <c r="G12" s="144"/>
      <c r="H12" s="145"/>
      <c r="I12" s="177"/>
      <c r="J12" s="178"/>
      <c r="K12" s="325"/>
      <c r="L12" s="142"/>
      <c r="M12" s="142"/>
      <c r="N12" s="142"/>
      <c r="O12" s="142"/>
      <c r="T12" s="321"/>
    </row>
    <row r="13" spans="1:20" s="79" customFormat="1" ht="14.1" customHeight="1" x14ac:dyDescent="0.2">
      <c r="A13" s="79">
        <v>1</v>
      </c>
      <c r="B13" s="275" t="s">
        <v>249</v>
      </c>
      <c r="E13" s="303"/>
      <c r="G13" s="191"/>
      <c r="H13" s="191"/>
      <c r="I13" s="191"/>
      <c r="J13" s="194"/>
      <c r="K13" s="195"/>
      <c r="L13" s="195"/>
      <c r="M13" s="195"/>
      <c r="N13" s="195"/>
      <c r="O13" s="195"/>
      <c r="P13" s="195"/>
      <c r="T13" s="315"/>
    </row>
    <row r="14" spans="1:20" s="79" customFormat="1" ht="14.1" customHeight="1" x14ac:dyDescent="0.2">
      <c r="B14" s="275"/>
      <c r="E14" s="303"/>
      <c r="G14" s="191"/>
      <c r="H14" s="192"/>
      <c r="I14" s="195"/>
      <c r="J14" s="194"/>
      <c r="T14" s="315"/>
    </row>
    <row r="15" spans="1:20" s="79" customFormat="1" ht="14.1" customHeight="1" x14ac:dyDescent="0.2">
      <c r="B15" s="275" t="s">
        <v>288</v>
      </c>
      <c r="E15" s="303"/>
      <c r="G15" s="191"/>
      <c r="H15" s="191"/>
      <c r="I15" s="191"/>
      <c r="J15" s="194"/>
      <c r="L15" s="195"/>
      <c r="O15" s="195"/>
      <c r="P15" s="195">
        <f>+I15-O15</f>
        <v>0</v>
      </c>
      <c r="T15" s="315"/>
    </row>
    <row r="16" spans="1:20" s="79" customFormat="1" ht="14.1" customHeight="1" x14ac:dyDescent="0.2">
      <c r="B16" s="184" t="s">
        <v>255</v>
      </c>
      <c r="E16" s="303"/>
      <c r="G16" s="191"/>
      <c r="H16" s="191"/>
      <c r="I16" s="191"/>
      <c r="J16" s="194"/>
      <c r="L16" s="195"/>
      <c r="O16" s="195"/>
      <c r="P16" s="195">
        <f>+I16-O16</f>
        <v>0</v>
      </c>
      <c r="T16" s="315"/>
    </row>
    <row r="17" spans="1:25" s="79" customFormat="1" ht="14.1" customHeight="1" x14ac:dyDescent="0.2">
      <c r="A17" s="79">
        <v>2</v>
      </c>
      <c r="B17" s="275" t="s">
        <v>236</v>
      </c>
      <c r="E17" s="303"/>
      <c r="G17" s="191"/>
      <c r="H17" s="191"/>
      <c r="I17" s="191">
        <f>++G20+G21+H18+G19</f>
        <v>335602.5</v>
      </c>
      <c r="J17" s="194">
        <f>+I17/$I$57</f>
        <v>6.0838256684547315E-2</v>
      </c>
      <c r="L17" s="195">
        <v>0</v>
      </c>
      <c r="M17" s="195">
        <f>+I17</f>
        <v>335602.5</v>
      </c>
      <c r="N17" s="195">
        <v>0</v>
      </c>
      <c r="O17" s="195">
        <f>SUM(L17:N17)</f>
        <v>335602.5</v>
      </c>
      <c r="P17" s="195">
        <f>+I17-O17</f>
        <v>0</v>
      </c>
      <c r="T17" s="315"/>
    </row>
    <row r="18" spans="1:25" s="79" customFormat="1" ht="14.1" customHeight="1" x14ac:dyDescent="0.2">
      <c r="B18" s="379" t="s">
        <v>401</v>
      </c>
      <c r="E18" s="303"/>
      <c r="G18" s="191">
        <v>0</v>
      </c>
      <c r="H18" s="191">
        <v>307018.96000000002</v>
      </c>
      <c r="I18" s="191"/>
      <c r="J18" s="194"/>
      <c r="L18" s="195"/>
      <c r="M18" s="195"/>
      <c r="N18" s="195"/>
      <c r="O18" s="195"/>
      <c r="P18" s="195"/>
      <c r="T18" s="315"/>
    </row>
    <row r="19" spans="1:25" s="380" customFormat="1" ht="14.1" customHeight="1" x14ac:dyDescent="0.2">
      <c r="B19" s="379" t="s">
        <v>402</v>
      </c>
      <c r="E19" s="402"/>
      <c r="G19" s="398">
        <v>1157.75</v>
      </c>
      <c r="H19" s="398">
        <v>0</v>
      </c>
      <c r="I19" s="398"/>
      <c r="J19" s="403"/>
      <c r="L19" s="381"/>
      <c r="M19" s="381"/>
      <c r="N19" s="381"/>
      <c r="O19" s="381"/>
      <c r="P19" s="381"/>
      <c r="T19" s="404"/>
    </row>
    <row r="20" spans="1:25" s="79" customFormat="1" ht="14.1" customHeight="1" x14ac:dyDescent="0.2">
      <c r="B20" s="379" t="s">
        <v>407</v>
      </c>
      <c r="E20" s="303"/>
      <c r="G20" s="191">
        <v>4784.68</v>
      </c>
      <c r="H20" s="191">
        <v>0</v>
      </c>
      <c r="I20" s="191"/>
      <c r="J20" s="194"/>
      <c r="L20" s="195"/>
      <c r="M20" s="195"/>
      <c r="N20" s="195"/>
      <c r="O20" s="195"/>
      <c r="P20" s="195"/>
      <c r="T20" s="315"/>
    </row>
    <row r="21" spans="1:25" s="79" customFormat="1" ht="14.1" customHeight="1" x14ac:dyDescent="0.2">
      <c r="B21" s="379" t="s">
        <v>408</v>
      </c>
      <c r="E21" s="303"/>
      <c r="G21" s="191">
        <v>22641.11</v>
      </c>
      <c r="H21" s="191">
        <v>0</v>
      </c>
      <c r="I21" s="191"/>
      <c r="J21" s="194"/>
      <c r="K21" s="266"/>
      <c r="L21" s="195"/>
      <c r="M21" s="195"/>
      <c r="N21" s="195"/>
      <c r="O21" s="195"/>
      <c r="P21" s="195"/>
      <c r="T21" s="315"/>
    </row>
    <row r="22" spans="1:25" s="79" customFormat="1" ht="14.1" customHeight="1" x14ac:dyDescent="0.2">
      <c r="B22" s="299"/>
      <c r="E22" s="303"/>
      <c r="G22" s="191"/>
      <c r="H22" s="192"/>
      <c r="I22" s="193"/>
      <c r="J22" s="194"/>
      <c r="T22" s="315"/>
    </row>
    <row r="23" spans="1:25" s="79" customFormat="1" ht="14.1" customHeight="1" x14ac:dyDescent="0.2">
      <c r="A23" s="79">
        <v>3</v>
      </c>
      <c r="B23" s="275" t="s">
        <v>237</v>
      </c>
      <c r="E23" s="303"/>
      <c r="G23" s="191"/>
      <c r="H23" s="191"/>
      <c r="I23" s="191">
        <f>SUM(G25:G25)+H24+G26+G28</f>
        <v>2194615.17</v>
      </c>
      <c r="J23" s="194">
        <f>+I23/$I$57</f>
        <v>0.3978413779285358</v>
      </c>
      <c r="L23" s="195"/>
      <c r="M23" s="195">
        <f>+H24+G25+G26+G28</f>
        <v>2194615.17</v>
      </c>
      <c r="N23" s="195">
        <v>0</v>
      </c>
      <c r="O23" s="195">
        <f>SUM(L23:N23)</f>
        <v>2194615.17</v>
      </c>
      <c r="P23" s="195">
        <f>+I23-O23</f>
        <v>0</v>
      </c>
      <c r="T23" s="315"/>
    </row>
    <row r="24" spans="1:25" s="79" customFormat="1" ht="14.1" customHeight="1" x14ac:dyDescent="0.2">
      <c r="B24" s="379" t="s">
        <v>406</v>
      </c>
      <c r="E24" s="303"/>
      <c r="G24" s="191">
        <v>0</v>
      </c>
      <c r="H24" s="191">
        <v>159999.99</v>
      </c>
      <c r="I24" s="191"/>
      <c r="J24" s="194"/>
      <c r="L24" s="195"/>
      <c r="M24" s="195"/>
      <c r="N24" s="195"/>
      <c r="O24" s="195"/>
      <c r="P24" s="195"/>
      <c r="T24" s="315"/>
      <c r="Y24" s="79">
        <v>2504180.81</v>
      </c>
    </row>
    <row r="25" spans="1:25" s="79" customFormat="1" ht="14.1" customHeight="1" x14ac:dyDescent="0.2">
      <c r="B25" s="379" t="s">
        <v>404</v>
      </c>
      <c r="E25" s="303"/>
      <c r="G25" s="191">
        <v>56000</v>
      </c>
      <c r="H25" s="191">
        <v>0</v>
      </c>
      <c r="I25" s="191"/>
      <c r="J25" s="194"/>
      <c r="L25" s="195"/>
      <c r="M25" s="195"/>
      <c r="N25" s="195"/>
      <c r="O25" s="195"/>
      <c r="P25" s="195"/>
      <c r="T25" s="315"/>
    </row>
    <row r="26" spans="1:25" s="79" customFormat="1" ht="14.1" customHeight="1" x14ac:dyDescent="0.2">
      <c r="B26" s="379" t="s">
        <v>403</v>
      </c>
      <c r="E26" s="303"/>
      <c r="G26" s="191">
        <v>1889465.18</v>
      </c>
      <c r="H26" s="191">
        <v>0</v>
      </c>
      <c r="I26" s="191"/>
      <c r="J26" s="194"/>
      <c r="L26" s="195"/>
      <c r="M26" s="195"/>
      <c r="N26" s="195"/>
      <c r="O26" s="195"/>
      <c r="P26" s="195"/>
      <c r="T26" s="315"/>
    </row>
    <row r="27" spans="1:25" s="79" customFormat="1" ht="14.1" customHeight="1" x14ac:dyDescent="0.2">
      <c r="B27" s="379" t="s">
        <v>390</v>
      </c>
      <c r="E27" s="303"/>
      <c r="I27" s="354"/>
      <c r="J27" s="344"/>
      <c r="L27" s="195"/>
      <c r="M27" s="195"/>
      <c r="N27" s="195"/>
      <c r="O27" s="195"/>
      <c r="P27" s="195"/>
      <c r="T27" s="367"/>
    </row>
    <row r="28" spans="1:25" s="79" customFormat="1" ht="14.1" customHeight="1" x14ac:dyDescent="0.2">
      <c r="B28" s="379" t="s">
        <v>405</v>
      </c>
      <c r="E28" s="303"/>
      <c r="G28" s="354">
        <v>89150</v>
      </c>
      <c r="H28" s="354">
        <v>0</v>
      </c>
      <c r="I28" s="354"/>
      <c r="J28" s="344"/>
      <c r="L28" s="195"/>
      <c r="M28" s="195"/>
      <c r="N28" s="195"/>
      <c r="O28" s="195"/>
      <c r="P28" s="195"/>
      <c r="T28" s="367"/>
    </row>
    <row r="29" spans="1:25" s="79" customFormat="1" ht="14.1" customHeight="1" x14ac:dyDescent="0.2">
      <c r="B29" s="184"/>
      <c r="E29" s="303"/>
      <c r="G29" s="191"/>
      <c r="H29" s="191"/>
      <c r="I29" s="193"/>
      <c r="J29" s="194"/>
      <c r="P29" s="195">
        <f>+I29-O29</f>
        <v>0</v>
      </c>
      <c r="T29" s="315"/>
    </row>
    <row r="30" spans="1:25" s="79" customFormat="1" ht="14.1" customHeight="1" x14ac:dyDescent="0.2">
      <c r="A30" s="79">
        <v>4</v>
      </c>
      <c r="B30" s="275" t="s">
        <v>238</v>
      </c>
      <c r="E30" s="303"/>
      <c r="G30" s="191"/>
      <c r="H30" s="191"/>
      <c r="I30" s="191">
        <f>SUM(G32:G36)+H32</f>
        <v>1877606.8</v>
      </c>
      <c r="J30" s="194">
        <f>+I30/$I$57</f>
        <v>0.34037387817746145</v>
      </c>
      <c r="L30" s="195">
        <f>+G36</f>
        <v>13000</v>
      </c>
      <c r="M30" s="195">
        <f>+H32+G35</f>
        <v>1864606.8</v>
      </c>
      <c r="N30" s="195">
        <v>0</v>
      </c>
      <c r="O30" s="195">
        <f>SUM(L30:N30)</f>
        <v>1877606.8</v>
      </c>
      <c r="P30" s="195"/>
      <c r="Q30" s="192"/>
      <c r="T30" s="315"/>
    </row>
    <row r="31" spans="1:25" s="79" customFormat="1" ht="14.1" customHeight="1" x14ac:dyDescent="0.2">
      <c r="B31" s="379" t="s">
        <v>412</v>
      </c>
      <c r="E31" s="303"/>
      <c r="G31" s="191"/>
      <c r="H31" s="191"/>
      <c r="I31" s="191"/>
      <c r="J31" s="194"/>
      <c r="L31" s="195"/>
      <c r="M31" s="195"/>
      <c r="N31" s="195"/>
      <c r="O31" s="195"/>
      <c r="P31" s="195"/>
      <c r="Q31" s="368"/>
      <c r="T31" s="315"/>
    </row>
    <row r="32" spans="1:25" customFormat="1" ht="12.75" x14ac:dyDescent="0.2">
      <c r="B32" s="379" t="s">
        <v>413</v>
      </c>
      <c r="G32" s="398">
        <v>0</v>
      </c>
      <c r="H32" s="373">
        <v>713406.8</v>
      </c>
      <c r="I32" s="399"/>
      <c r="J32" s="26"/>
      <c r="L32" s="401" t="s">
        <v>391</v>
      </c>
      <c r="S32" s="400"/>
    </row>
    <row r="33" spans="1:20" s="79" customFormat="1" ht="14.1" customHeight="1" x14ac:dyDescent="0.2">
      <c r="B33" s="379" t="s">
        <v>386</v>
      </c>
      <c r="E33" s="303"/>
      <c r="G33" s="191"/>
      <c r="H33" s="191"/>
      <c r="I33" s="191"/>
      <c r="J33" s="194"/>
      <c r="L33" s="195"/>
      <c r="M33" s="195"/>
      <c r="N33" s="195"/>
      <c r="O33" s="195"/>
      <c r="P33" s="195"/>
      <c r="T33" s="266"/>
    </row>
    <row r="34" spans="1:20" s="79" customFormat="1" ht="14.1" customHeight="1" x14ac:dyDescent="0.2">
      <c r="B34" s="379" t="s">
        <v>387</v>
      </c>
      <c r="E34" s="303"/>
      <c r="G34" s="191"/>
      <c r="H34" s="191"/>
      <c r="I34" s="191"/>
      <c r="J34" s="194"/>
      <c r="L34" s="195"/>
      <c r="M34" s="195"/>
      <c r="N34" s="195"/>
      <c r="O34" s="195"/>
      <c r="P34" s="195"/>
      <c r="T34" s="266"/>
    </row>
    <row r="35" spans="1:20" s="79" customFormat="1" ht="14.1" customHeight="1" x14ac:dyDescent="0.2">
      <c r="B35" s="379" t="s">
        <v>395</v>
      </c>
      <c r="E35" s="303"/>
      <c r="G35" s="191">
        <v>1151200</v>
      </c>
      <c r="H35" s="191">
        <v>0</v>
      </c>
      <c r="I35" s="191"/>
      <c r="J35" s="194"/>
      <c r="M35" s="195"/>
      <c r="N35" s="195"/>
      <c r="O35" s="195"/>
      <c r="P35" s="195"/>
      <c r="T35" s="266"/>
    </row>
    <row r="36" spans="1:20" s="79" customFormat="1" ht="14.1" customHeight="1" x14ac:dyDescent="0.2">
      <c r="B36" s="379" t="s">
        <v>411</v>
      </c>
      <c r="E36" s="303"/>
      <c r="G36" s="191">
        <v>13000</v>
      </c>
      <c r="H36" s="191">
        <v>0</v>
      </c>
      <c r="I36" s="191"/>
      <c r="J36" s="194"/>
      <c r="M36" s="195"/>
      <c r="N36" s="195"/>
      <c r="O36" s="195"/>
      <c r="P36" s="195"/>
      <c r="T36" s="266"/>
    </row>
    <row r="37" spans="1:20" s="79" customFormat="1" ht="14.1" customHeight="1" x14ac:dyDescent="0.2">
      <c r="B37" s="379"/>
      <c r="E37" s="303"/>
      <c r="I37" s="193"/>
      <c r="J37" s="194"/>
      <c r="P37" s="195">
        <f>+I37-O37</f>
        <v>0</v>
      </c>
      <c r="T37" s="315"/>
    </row>
    <row r="38" spans="1:20" s="79" customFormat="1" ht="14.1" customHeight="1" x14ac:dyDescent="0.2">
      <c r="A38" s="79">
        <v>5</v>
      </c>
      <c r="B38" s="275" t="s">
        <v>239</v>
      </c>
      <c r="E38" s="303"/>
      <c r="G38" s="191"/>
      <c r="H38" s="191"/>
      <c r="I38" s="191">
        <v>0</v>
      </c>
      <c r="J38" s="194">
        <f>+I38/$I$57</f>
        <v>0</v>
      </c>
      <c r="L38" s="195">
        <v>0</v>
      </c>
      <c r="M38" s="195">
        <v>0</v>
      </c>
      <c r="N38" s="195"/>
      <c r="O38" s="195">
        <f>SUM(L38:N38)</f>
        <v>0</v>
      </c>
      <c r="P38" s="195">
        <f>+I38-O38</f>
        <v>0</v>
      </c>
      <c r="T38" s="315"/>
    </row>
    <row r="39" spans="1:20" s="79" customFormat="1" ht="14.1" customHeight="1" x14ac:dyDescent="0.2">
      <c r="B39" s="184"/>
      <c r="E39" s="303"/>
      <c r="G39" s="387"/>
      <c r="H39" s="387"/>
      <c r="I39" s="195"/>
      <c r="J39" s="194"/>
      <c r="L39" s="195">
        <v>0</v>
      </c>
      <c r="M39" s="195">
        <f>+I40</f>
        <v>174071.42</v>
      </c>
      <c r="N39" s="195">
        <v>0</v>
      </c>
      <c r="O39" s="195">
        <f>SUM(L39:N39)</f>
        <v>174071.42</v>
      </c>
      <c r="P39" s="195">
        <f>+I40-O39</f>
        <v>0</v>
      </c>
      <c r="Q39" s="79">
        <f>811.1+170.33+4.87+1.02+10.46+60.14+6.83+4.59+200.59+42+223.5+308.57+128.4+197.52+220.19+36.96+338.7+210.73+18.55+0.71+28.54+40.35+62.07+6.83+52.79+81.21+52.36+80.54+22.38+6.43+43.55+43.55+15.48+74.24+5.88+41.52</f>
        <v>3653.4800000000005</v>
      </c>
      <c r="R39" s="79">
        <f>+M39</f>
        <v>174071.42</v>
      </c>
      <c r="S39" s="79">
        <f>+Q39-R39</f>
        <v>-170417.94</v>
      </c>
      <c r="T39" s="315"/>
    </row>
    <row r="40" spans="1:20" s="79" customFormat="1" ht="14.1" customHeight="1" x14ac:dyDescent="0.2">
      <c r="A40" s="79">
        <v>6</v>
      </c>
      <c r="B40" s="275" t="s">
        <v>240</v>
      </c>
      <c r="E40" s="303"/>
      <c r="G40" s="191"/>
      <c r="H40" s="191"/>
      <c r="I40" s="191">
        <f>SUM(G41:G41)</f>
        <v>174071.42</v>
      </c>
      <c r="J40" s="194">
        <f>+I40/$I$57</f>
        <v>3.1555789159507588E-2</v>
      </c>
      <c r="L40" s="195"/>
      <c r="M40" s="195"/>
      <c r="N40" s="195"/>
      <c r="O40" s="195"/>
      <c r="P40" s="195"/>
      <c r="T40" s="315"/>
    </row>
    <row r="41" spans="1:20" s="79" customFormat="1" ht="14.1" customHeight="1" x14ac:dyDescent="0.2">
      <c r="B41" s="379" t="s">
        <v>388</v>
      </c>
      <c r="E41" s="303"/>
      <c r="G41" s="191">
        <v>174071.42</v>
      </c>
      <c r="H41" s="191">
        <v>0</v>
      </c>
      <c r="I41" s="191"/>
      <c r="J41" s="194"/>
      <c r="P41" s="195"/>
      <c r="T41" s="315"/>
    </row>
    <row r="42" spans="1:20" s="79" customFormat="1" ht="14.1" customHeight="1" x14ac:dyDescent="0.2">
      <c r="B42" s="184"/>
      <c r="E42" s="303"/>
      <c r="G42" s="191"/>
      <c r="H42" s="191"/>
      <c r="I42" s="193"/>
      <c r="J42" s="194"/>
      <c r="L42" s="195">
        <v>0</v>
      </c>
      <c r="M42" s="195">
        <v>0</v>
      </c>
      <c r="N42" s="195">
        <v>0</v>
      </c>
      <c r="O42" s="195">
        <f>SUM(L42:N42)</f>
        <v>0</v>
      </c>
      <c r="T42" s="315"/>
    </row>
    <row r="43" spans="1:20" s="79" customFormat="1" ht="14.1" customHeight="1" x14ac:dyDescent="0.2">
      <c r="A43" s="79">
        <v>7</v>
      </c>
      <c r="B43" s="275" t="s">
        <v>241</v>
      </c>
      <c r="E43" s="303"/>
      <c r="G43" s="191"/>
      <c r="H43" s="191"/>
      <c r="I43" s="193">
        <v>0</v>
      </c>
      <c r="J43" s="194">
        <f>+I43/$I$57</f>
        <v>0</v>
      </c>
      <c r="T43" s="315"/>
    </row>
    <row r="44" spans="1:20" s="79" customFormat="1" ht="14.1" customHeight="1" x14ac:dyDescent="0.2">
      <c r="B44" s="184"/>
      <c r="E44" s="303"/>
      <c r="G44" s="191"/>
      <c r="H44" s="191"/>
      <c r="I44" s="195"/>
      <c r="J44" s="194"/>
      <c r="K44" s="377">
        <v>46082</v>
      </c>
      <c r="L44" s="195">
        <f>+G47</f>
        <v>2400</v>
      </c>
      <c r="M44" s="195">
        <v>0</v>
      </c>
      <c r="N44" s="195">
        <f>+G46</f>
        <v>605000</v>
      </c>
      <c r="O44" s="195">
        <f>SUM(L44:N44)</f>
        <v>607400</v>
      </c>
      <c r="Q44" s="346" t="s">
        <v>353</v>
      </c>
      <c r="T44" s="315"/>
    </row>
    <row r="45" spans="1:20" s="79" customFormat="1" ht="14.1" customHeight="1" x14ac:dyDescent="0.2">
      <c r="A45" s="79">
        <v>8</v>
      </c>
      <c r="B45" s="275" t="s">
        <v>242</v>
      </c>
      <c r="E45" s="303"/>
      <c r="G45" s="191"/>
      <c r="H45" s="191"/>
      <c r="I45" s="191">
        <f>SUM(G46:G47)</f>
        <v>607400</v>
      </c>
      <c r="J45" s="194">
        <f>+I45/$I$57</f>
        <v>0.11010989819859518</v>
      </c>
      <c r="K45" s="79">
        <f>+G46/3</f>
        <v>201666.66666666666</v>
      </c>
      <c r="L45" s="195"/>
      <c r="M45" s="195"/>
      <c r="N45" s="195"/>
      <c r="O45" s="195"/>
      <c r="P45" s="195"/>
      <c r="Q45" s="397" t="s">
        <v>385</v>
      </c>
      <c r="T45" s="315"/>
    </row>
    <row r="46" spans="1:20" s="79" customFormat="1" ht="14.1" customHeight="1" x14ac:dyDescent="0.2">
      <c r="B46" s="379" t="s">
        <v>389</v>
      </c>
      <c r="E46" s="303"/>
      <c r="G46" s="191">
        <v>605000</v>
      </c>
      <c r="H46" s="191">
        <v>0</v>
      </c>
      <c r="I46" s="191"/>
      <c r="J46" s="194"/>
      <c r="L46" s="195"/>
      <c r="M46" s="195"/>
      <c r="N46" s="195"/>
      <c r="O46" s="195"/>
      <c r="P46" s="195"/>
      <c r="T46" s="315"/>
    </row>
    <row r="47" spans="1:20" s="79" customFormat="1" ht="14.1" customHeight="1" x14ac:dyDescent="0.2">
      <c r="B47" s="379" t="s">
        <v>410</v>
      </c>
      <c r="E47" s="303"/>
      <c r="G47" s="191">
        <v>2400</v>
      </c>
      <c r="H47" s="191">
        <v>0</v>
      </c>
      <c r="I47" s="191"/>
      <c r="J47" s="194"/>
      <c r="T47" s="315"/>
    </row>
    <row r="48" spans="1:20" s="79" customFormat="1" ht="14.1" customHeight="1" x14ac:dyDescent="0.2">
      <c r="B48" s="184"/>
      <c r="E48" s="303"/>
      <c r="G48" s="191"/>
      <c r="H48" s="191"/>
      <c r="I48" s="193"/>
      <c r="J48" s="194"/>
      <c r="L48" s="195">
        <v>0</v>
      </c>
      <c r="M48" s="195">
        <f>+I49</f>
        <v>306511.09000000003</v>
      </c>
      <c r="N48" s="195">
        <v>0</v>
      </c>
      <c r="O48" s="195">
        <f>SUM(L48:N48)</f>
        <v>306511.09000000003</v>
      </c>
      <c r="T48" s="315"/>
    </row>
    <row r="49" spans="1:24" s="380" customFormat="1" ht="14.1" customHeight="1" x14ac:dyDescent="0.2">
      <c r="A49" s="79">
        <v>9</v>
      </c>
      <c r="B49" s="275" t="s">
        <v>223</v>
      </c>
      <c r="G49" s="191"/>
      <c r="H49" s="191"/>
      <c r="I49" s="193">
        <f>SUM(G51:G53)</f>
        <v>306511.09000000003</v>
      </c>
      <c r="J49" s="194">
        <f>+I49/$I$57</f>
        <v>5.556454546697473E-2</v>
      </c>
      <c r="L49" s="381"/>
      <c r="M49" s="381"/>
      <c r="N49" s="381"/>
      <c r="O49" s="381"/>
      <c r="P49" s="381"/>
      <c r="T49" s="388"/>
    </row>
    <row r="50" spans="1:24" s="380" customFormat="1" ht="14.1" customHeight="1" x14ac:dyDescent="0.2">
      <c r="B50" s="379" t="s">
        <v>384</v>
      </c>
      <c r="G50" s="387"/>
      <c r="H50" s="387"/>
      <c r="I50" s="387"/>
      <c r="J50" s="382"/>
      <c r="L50" s="381"/>
      <c r="M50" s="381"/>
      <c r="N50" s="381"/>
      <c r="O50" s="381"/>
      <c r="P50" s="381"/>
      <c r="T50" s="388"/>
    </row>
    <row r="51" spans="1:24" s="79" customFormat="1" ht="14.1" customHeight="1" x14ac:dyDescent="0.2">
      <c r="A51" s="380"/>
      <c r="B51" s="379" t="s">
        <v>396</v>
      </c>
      <c r="E51" s="303"/>
      <c r="G51" s="387">
        <v>299502.09000000003</v>
      </c>
      <c r="H51" s="387">
        <v>0</v>
      </c>
      <c r="I51" s="387"/>
      <c r="J51" s="382"/>
      <c r="T51" s="315"/>
    </row>
    <row r="52" spans="1:24" s="380" customFormat="1" ht="14.1" customHeight="1" x14ac:dyDescent="0.2">
      <c r="B52" s="379" t="s">
        <v>384</v>
      </c>
      <c r="G52" s="387"/>
      <c r="H52" s="387"/>
      <c r="I52" s="387"/>
      <c r="J52" s="382"/>
      <c r="L52" s="381"/>
      <c r="M52" s="381"/>
      <c r="N52" s="381"/>
      <c r="O52" s="381"/>
      <c r="P52" s="381"/>
      <c r="T52" s="388"/>
    </row>
    <row r="53" spans="1:24" s="79" customFormat="1" ht="14.1" customHeight="1" x14ac:dyDescent="0.2">
      <c r="A53" s="380"/>
      <c r="B53" s="379" t="s">
        <v>397</v>
      </c>
      <c r="E53" s="303"/>
      <c r="G53" s="387">
        <v>7009</v>
      </c>
      <c r="H53" s="387">
        <v>0</v>
      </c>
      <c r="I53" s="387"/>
      <c r="J53" s="382"/>
      <c r="T53" s="315"/>
    </row>
    <row r="54" spans="1:24" s="79" customFormat="1" ht="14.1" customHeight="1" x14ac:dyDescent="0.2">
      <c r="B54" s="184"/>
      <c r="E54" s="303"/>
      <c r="G54" s="191"/>
      <c r="H54" s="191"/>
      <c r="I54" s="195"/>
      <c r="J54" s="194"/>
      <c r="L54" s="195">
        <f>+G56</f>
        <v>20500</v>
      </c>
      <c r="M54" s="195">
        <v>0</v>
      </c>
      <c r="N54" s="195">
        <v>0</v>
      </c>
      <c r="O54" s="195">
        <f>SUM(L54:N54)</f>
        <v>20500</v>
      </c>
      <c r="P54" s="79">
        <f>+I55-O54</f>
        <v>0</v>
      </c>
      <c r="T54" s="315"/>
    </row>
    <row r="55" spans="1:24" s="79" customFormat="1" ht="14.1" customHeight="1" x14ac:dyDescent="0.2">
      <c r="A55" s="79">
        <v>10</v>
      </c>
      <c r="B55" s="275" t="s">
        <v>214</v>
      </c>
      <c r="E55" s="303"/>
      <c r="G55" s="191"/>
      <c r="H55" s="191"/>
      <c r="I55" s="193">
        <f>+G56</f>
        <v>20500</v>
      </c>
      <c r="J55" s="194">
        <f>+I55/$I$57</f>
        <v>3.7162543843780069E-3</v>
      </c>
      <c r="L55" s="195"/>
      <c r="M55" s="195"/>
      <c r="N55" s="195"/>
      <c r="O55" s="195"/>
      <c r="T55" s="315"/>
    </row>
    <row r="56" spans="1:24" s="79" customFormat="1" ht="14.1" customHeight="1" x14ac:dyDescent="0.2">
      <c r="B56" s="379" t="s">
        <v>409</v>
      </c>
      <c r="E56" s="303"/>
      <c r="G56" s="191">
        <v>20500</v>
      </c>
      <c r="H56" s="191">
        <v>0</v>
      </c>
      <c r="I56" s="193"/>
      <c r="J56" s="350"/>
      <c r="L56" s="195"/>
      <c r="M56" s="195"/>
      <c r="N56" s="195"/>
      <c r="O56" s="195"/>
      <c r="T56" s="315"/>
    </row>
    <row r="57" spans="1:24" s="79" customFormat="1" ht="14.1" customHeight="1" x14ac:dyDescent="0.2">
      <c r="B57" s="276" t="s">
        <v>323</v>
      </c>
      <c r="C57" s="277"/>
      <c r="D57" s="277"/>
      <c r="E57" s="307"/>
      <c r="F57" s="277"/>
      <c r="G57" s="278">
        <f>SUM(G11:G56)</f>
        <v>4335881.2299999995</v>
      </c>
      <c r="H57" s="278">
        <f>SUM(H11:H55)</f>
        <v>1180425.75</v>
      </c>
      <c r="I57" s="294">
        <f>SUM(I11:I55)</f>
        <v>5516306.9799999995</v>
      </c>
      <c r="J57" s="279">
        <f>+I57/I57</f>
        <v>1</v>
      </c>
      <c r="L57" s="294">
        <f>SUM(L11:L55)</f>
        <v>35900</v>
      </c>
      <c r="M57" s="294">
        <f>SUM(M11:M55)</f>
        <v>4875406.9799999995</v>
      </c>
      <c r="N57" s="294">
        <f>SUM(N11:N55)</f>
        <v>605000</v>
      </c>
      <c r="O57" s="294">
        <f>SUM(O11:O55)</f>
        <v>5516306.9799999995</v>
      </c>
      <c r="P57" s="195"/>
      <c r="T57" s="315"/>
      <c r="V57" s="195"/>
      <c r="X57" s="195"/>
    </row>
    <row r="58" spans="1:24" s="79" customFormat="1" ht="14.1" customHeight="1" x14ac:dyDescent="0.2">
      <c r="B58" s="184"/>
      <c r="E58" s="303"/>
      <c r="G58" s="191"/>
      <c r="H58" s="191"/>
      <c r="I58" s="349"/>
      <c r="J58" s="350"/>
      <c r="L58" s="195"/>
      <c r="M58" s="195">
        <f>+N70</f>
        <v>-4875406.9799999995</v>
      </c>
      <c r="N58" s="195"/>
      <c r="O58" s="195"/>
      <c r="T58" s="315"/>
    </row>
    <row r="59" spans="1:24" s="79" customFormat="1" ht="14.1" customHeight="1" x14ac:dyDescent="0.2">
      <c r="B59" s="275" t="s">
        <v>360</v>
      </c>
      <c r="E59" s="303"/>
      <c r="G59" s="191"/>
      <c r="H59" s="191"/>
      <c r="I59" s="193">
        <f>SUM(G60:G61)</f>
        <v>287968.49</v>
      </c>
      <c r="J59" s="194"/>
      <c r="L59" s="195"/>
      <c r="M59" s="195">
        <f>+M57+M58</f>
        <v>0</v>
      </c>
      <c r="N59" s="195"/>
      <c r="O59" s="195"/>
      <c r="T59" s="315"/>
    </row>
    <row r="60" spans="1:24" s="79" customFormat="1" ht="14.1" customHeight="1" x14ac:dyDescent="0.2">
      <c r="B60" s="379" t="s">
        <v>373</v>
      </c>
      <c r="E60" s="303"/>
      <c r="G60" s="191">
        <f>-G21</f>
        <v>-22641.11</v>
      </c>
      <c r="H60" s="191">
        <v>0</v>
      </c>
      <c r="I60" s="195"/>
      <c r="J60" s="194"/>
      <c r="L60" s="195"/>
      <c r="M60" s="195"/>
      <c r="N60" s="195"/>
      <c r="O60" s="195"/>
      <c r="T60" s="315"/>
    </row>
    <row r="61" spans="1:24" s="79" customFormat="1" ht="14.1" customHeight="1" x14ac:dyDescent="0.2">
      <c r="B61" s="379" t="s">
        <v>414</v>
      </c>
      <c r="E61" s="303"/>
      <c r="G61" s="191">
        <v>310609.59999999998</v>
      </c>
      <c r="H61" s="191">
        <v>0</v>
      </c>
      <c r="I61" s="193"/>
      <c r="J61" s="350"/>
      <c r="L61" s="195"/>
      <c r="M61" s="195"/>
      <c r="N61" s="195"/>
      <c r="O61" s="195"/>
      <c r="T61" s="266"/>
    </row>
    <row r="62" spans="1:24" s="79" customFormat="1" ht="14.1" customHeight="1" x14ac:dyDescent="0.2">
      <c r="B62" s="276" t="s">
        <v>335</v>
      </c>
      <c r="C62" s="277"/>
      <c r="D62" s="277"/>
      <c r="E62" s="307"/>
      <c r="F62" s="277"/>
      <c r="G62" s="355">
        <f>SUM(G60:G61)</f>
        <v>287968.49</v>
      </c>
      <c r="H62" s="355">
        <f>SUM(H60:H61)</f>
        <v>0</v>
      </c>
      <c r="I62" s="356"/>
      <c r="J62" s="357"/>
      <c r="L62" s="192">
        <f>-30000-7000-37250-30000-52000</f>
        <v>-156250</v>
      </c>
      <c r="M62" s="195"/>
      <c r="N62" s="195"/>
      <c r="O62" s="195"/>
      <c r="P62" s="195"/>
      <c r="Q62" s="195"/>
      <c r="T62" s="315"/>
      <c r="V62" s="195"/>
      <c r="X62" s="195"/>
    </row>
    <row r="63" spans="1:24" s="79" customFormat="1" ht="13.5" customHeight="1" x14ac:dyDescent="0.2">
      <c r="B63" s="276" t="s">
        <v>339</v>
      </c>
      <c r="C63" s="277"/>
      <c r="D63" s="277"/>
      <c r="E63" s="307"/>
      <c r="F63" s="277"/>
      <c r="G63" s="355">
        <f>+G62+G57</f>
        <v>4623849.72</v>
      </c>
      <c r="H63" s="355">
        <f>+H62+H57</f>
        <v>1180425.75</v>
      </c>
      <c r="I63" s="355">
        <f>+I57+I59</f>
        <v>5804275.4699999997</v>
      </c>
      <c r="J63" s="358"/>
      <c r="K63" s="280"/>
      <c r="T63" s="315"/>
    </row>
    <row r="64" spans="1:24" s="79" customFormat="1" ht="16.5" customHeight="1" x14ac:dyDescent="0.2">
      <c r="E64" s="303"/>
      <c r="G64" s="354"/>
      <c r="H64" s="192"/>
      <c r="I64" s="192"/>
      <c r="M64" s="195"/>
      <c r="N64" s="79" t="s">
        <v>330</v>
      </c>
      <c r="O64" s="195" t="s">
        <v>259</v>
      </c>
      <c r="P64" s="195" t="s">
        <v>324</v>
      </c>
      <c r="Q64" s="195" t="s">
        <v>1</v>
      </c>
      <c r="R64" s="195" t="s">
        <v>325</v>
      </c>
      <c r="S64" s="195" t="s">
        <v>326</v>
      </c>
      <c r="T64" s="313"/>
    </row>
    <row r="65" spans="2:28" s="79" customFormat="1" ht="14.1" customHeight="1" x14ac:dyDescent="0.2">
      <c r="B65" s="281" t="s">
        <v>250</v>
      </c>
      <c r="C65" s="282"/>
      <c r="D65" s="282"/>
      <c r="E65" s="308"/>
      <c r="F65" s="282"/>
      <c r="G65" s="283" t="s">
        <v>212</v>
      </c>
      <c r="H65" s="359"/>
      <c r="I65" s="195"/>
      <c r="J65" s="195"/>
      <c r="N65" s="266"/>
      <c r="O65" s="266"/>
      <c r="P65" s="266"/>
      <c r="Q65" s="266"/>
      <c r="R65" s="266"/>
      <c r="S65" s="266"/>
      <c r="T65" s="313"/>
    </row>
    <row r="66" spans="2:28" s="79" customFormat="1" ht="14.1" customHeight="1" x14ac:dyDescent="0.2">
      <c r="B66" s="184" t="s">
        <v>256</v>
      </c>
      <c r="E66" s="303"/>
      <c r="F66" s="360"/>
      <c r="G66" s="361"/>
      <c r="H66" s="354"/>
      <c r="L66" s="79" t="s">
        <v>219</v>
      </c>
      <c r="N66" s="266">
        <v>5479092.6900000004</v>
      </c>
      <c r="O66" s="376">
        <v>422570</v>
      </c>
      <c r="P66" s="266">
        <v>-1465000</v>
      </c>
      <c r="Q66" s="266">
        <f t="shared" ref="Q66:Q71" si="0">SUM(N66:P66)</f>
        <v>4436662.6900000004</v>
      </c>
      <c r="R66" s="266">
        <f>+G67</f>
        <v>4434802.3762824992</v>
      </c>
      <c r="S66" s="266">
        <f t="shared" ref="S66:S72" si="1">+Q66-R66</f>
        <v>1860.313717501238</v>
      </c>
      <c r="T66" s="313"/>
    </row>
    <row r="67" spans="2:28" s="79" customFormat="1" ht="14.1" customHeight="1" x14ac:dyDescent="0.2">
      <c r="B67" s="184" t="s">
        <v>316</v>
      </c>
      <c r="E67" s="303"/>
      <c r="F67" s="360"/>
      <c r="G67" s="361">
        <f>+[1]LIQ!$G$78</f>
        <v>4434802.3762824992</v>
      </c>
      <c r="H67" s="354"/>
      <c r="K67" s="368"/>
      <c r="L67" s="79" t="s">
        <v>157</v>
      </c>
      <c r="N67" s="266">
        <f>+'RES CUENTA'!Y36</f>
        <v>6320160</v>
      </c>
      <c r="O67" s="266">
        <f>+'RES CUENTA'!Z36</f>
        <v>705000</v>
      </c>
      <c r="P67" s="266">
        <v>0</v>
      </c>
      <c r="Q67" s="266">
        <f t="shared" si="0"/>
        <v>7025160</v>
      </c>
      <c r="R67" s="266">
        <f>+G68</f>
        <v>7025160</v>
      </c>
      <c r="S67" s="266">
        <f t="shared" si="1"/>
        <v>0</v>
      </c>
      <c r="T67" s="313"/>
      <c r="Y67" s="195"/>
    </row>
    <row r="68" spans="2:28" s="79" customFormat="1" ht="14.1" customHeight="1" x14ac:dyDescent="0.2">
      <c r="B68" s="184" t="s">
        <v>222</v>
      </c>
      <c r="E68" s="303"/>
      <c r="F68" s="360"/>
      <c r="G68" s="361">
        <f>+'RES CUENTA'!Y36+'RES CUENTA'!Z36</f>
        <v>7025160</v>
      </c>
      <c r="H68" s="354"/>
      <c r="L68" s="79" t="s">
        <v>217</v>
      </c>
      <c r="N68" s="266">
        <v>0</v>
      </c>
      <c r="O68" s="266">
        <v>0</v>
      </c>
      <c r="P68" s="266">
        <v>0</v>
      </c>
      <c r="Q68" s="266">
        <f t="shared" si="0"/>
        <v>0</v>
      </c>
      <c r="R68" s="266">
        <f>+G69</f>
        <v>0</v>
      </c>
      <c r="S68" s="266">
        <f t="shared" si="1"/>
        <v>0</v>
      </c>
      <c r="T68" s="313"/>
    </row>
    <row r="69" spans="2:28" s="79" customFormat="1" ht="14.1" customHeight="1" x14ac:dyDescent="0.2">
      <c r="B69" s="184" t="s">
        <v>225</v>
      </c>
      <c r="E69" s="303"/>
      <c r="F69" s="360"/>
      <c r="G69" s="361">
        <f>+N68</f>
        <v>0</v>
      </c>
      <c r="H69" s="354"/>
      <c r="K69" s="368"/>
      <c r="L69" s="79" t="s">
        <v>224</v>
      </c>
      <c r="N69" s="266">
        <f>+'RES CUENTA'!Y37</f>
        <v>0</v>
      </c>
      <c r="O69" s="266"/>
      <c r="P69" s="266"/>
      <c r="Q69" s="266">
        <f t="shared" si="0"/>
        <v>0</v>
      </c>
      <c r="R69" s="266">
        <f>+G70</f>
        <v>0</v>
      </c>
      <c r="S69" s="266">
        <f t="shared" si="1"/>
        <v>0</v>
      </c>
      <c r="T69" s="313"/>
    </row>
    <row r="70" spans="2:28" s="79" customFormat="1" ht="14.1" customHeight="1" x14ac:dyDescent="0.2">
      <c r="B70" s="184" t="s">
        <v>226</v>
      </c>
      <c r="E70" s="303"/>
      <c r="F70" s="360"/>
      <c r="G70" s="361">
        <f>+N69</f>
        <v>0</v>
      </c>
      <c r="H70" s="354"/>
      <c r="L70" s="79" t="s">
        <v>209</v>
      </c>
      <c r="N70" s="347">
        <f>-G41-G26-G20-G21-G53-H24-G25-G28-G35-G51-G19-H18-H32</f>
        <v>-4875406.9799999995</v>
      </c>
      <c r="O70" s="266">
        <f>-L57</f>
        <v>-35900</v>
      </c>
      <c r="P70" s="266">
        <f>-N57</f>
        <v>-605000</v>
      </c>
      <c r="Q70" s="266">
        <f t="shared" si="0"/>
        <v>-5516306.9799999995</v>
      </c>
      <c r="R70" s="266">
        <f>+G71+G72</f>
        <v>-5516306.9799999995</v>
      </c>
      <c r="S70" s="266">
        <f t="shared" si="1"/>
        <v>0</v>
      </c>
      <c r="T70" s="313"/>
    </row>
    <row r="71" spans="2:28" s="79" customFormat="1" ht="14.1" customHeight="1" x14ac:dyDescent="0.2">
      <c r="B71" s="184" t="s">
        <v>244</v>
      </c>
      <c r="E71" s="303"/>
      <c r="F71" s="360"/>
      <c r="G71" s="361">
        <f>-G57</f>
        <v>-4335881.2299999995</v>
      </c>
      <c r="H71" s="354"/>
      <c r="L71" s="79" t="s">
        <v>210</v>
      </c>
      <c r="N71" s="266">
        <f>-605000-860000</f>
        <v>-1465000</v>
      </c>
      <c r="O71" s="266"/>
      <c r="P71" s="266">
        <f>-O71-N71</f>
        <v>1465000</v>
      </c>
      <c r="Q71" s="266">
        <f t="shared" si="0"/>
        <v>0</v>
      </c>
      <c r="R71" s="266">
        <v>0</v>
      </c>
      <c r="S71" s="266">
        <v>0</v>
      </c>
      <c r="T71" s="313"/>
    </row>
    <row r="72" spans="2:28" s="79" customFormat="1" ht="14.1" customHeight="1" x14ac:dyDescent="0.2">
      <c r="B72" s="184" t="s">
        <v>245</v>
      </c>
      <c r="E72" s="303"/>
      <c r="F72" s="360"/>
      <c r="G72" s="362">
        <f>-H57</f>
        <v>-1180425.75</v>
      </c>
      <c r="H72" s="354"/>
      <c r="I72" s="408"/>
      <c r="J72" s="408"/>
      <c r="L72" s="79" t="s">
        <v>354</v>
      </c>
      <c r="N72" s="351">
        <v>0</v>
      </c>
      <c r="O72" s="285">
        <f>-P72</f>
        <v>0</v>
      </c>
      <c r="P72" s="285">
        <v>0</v>
      </c>
      <c r="Q72" s="285">
        <f>SUM(N72:P72)</f>
        <v>0</v>
      </c>
      <c r="R72" s="285">
        <v>0</v>
      </c>
      <c r="S72" s="285">
        <f t="shared" si="1"/>
        <v>0</v>
      </c>
      <c r="T72" s="313"/>
    </row>
    <row r="73" spans="2:28" s="79" customFormat="1" ht="14.25" customHeight="1" x14ac:dyDescent="0.2">
      <c r="B73" s="363" t="s">
        <v>285</v>
      </c>
      <c r="C73" s="284"/>
      <c r="D73" s="284"/>
      <c r="E73" s="364"/>
      <c r="F73" s="365"/>
      <c r="G73" s="362">
        <f>SUM(G67:G72)</f>
        <v>5943655.3962824987</v>
      </c>
      <c r="H73" s="354"/>
      <c r="I73" s="408"/>
      <c r="J73" s="408"/>
      <c r="K73" s="195"/>
      <c r="L73" s="79" t="s">
        <v>211</v>
      </c>
      <c r="N73" s="266">
        <f>SUM(N66:N72)</f>
        <v>5458845.7100000018</v>
      </c>
      <c r="O73" s="266">
        <f>SUM(O66:O72)</f>
        <v>1091670</v>
      </c>
      <c r="P73" s="266">
        <f>SUM(P66:P72)</f>
        <v>-605000</v>
      </c>
      <c r="Q73" s="266">
        <f>SUM(N73:P73)</f>
        <v>5945515.7100000018</v>
      </c>
      <c r="R73" s="266">
        <f>SUM(R66:R72)</f>
        <v>5943655.3962824987</v>
      </c>
      <c r="S73" s="266">
        <f>SUM(S66:S72)</f>
        <v>1860.313717501238</v>
      </c>
      <c r="T73" s="313"/>
    </row>
    <row r="74" spans="2:28" s="79" customFormat="1" x14ac:dyDescent="0.25">
      <c r="B74" s="352"/>
      <c r="C74"/>
      <c r="D74"/>
      <c r="E74"/>
      <c r="F74" s="80"/>
      <c r="G74" s="353"/>
      <c r="H74" s="191"/>
      <c r="J74" s="195"/>
      <c r="K74" s="195"/>
      <c r="L74" s="79" t="s">
        <v>258</v>
      </c>
      <c r="N74" s="285">
        <v>5458845.71</v>
      </c>
      <c r="O74" s="285">
        <f>SUM(N80:N82)</f>
        <v>1091650</v>
      </c>
      <c r="P74" s="285">
        <f>+N77+N78</f>
        <v>-605000</v>
      </c>
      <c r="Q74" s="285">
        <f>SUM(N74:P74)</f>
        <v>5945495.71</v>
      </c>
      <c r="R74" s="285"/>
      <c r="S74" s="285">
        <v>0</v>
      </c>
      <c r="T74" s="313"/>
    </row>
    <row r="75" spans="2:28" s="79" customFormat="1" x14ac:dyDescent="0.25">
      <c r="B75" s="352"/>
      <c r="C75"/>
      <c r="D75"/>
      <c r="E75"/>
      <c r="F75" s="80"/>
      <c r="G75" s="353"/>
      <c r="H75" s="191"/>
      <c r="J75" s="195"/>
      <c r="K75" s="195"/>
      <c r="L75" s="79" t="s">
        <v>166</v>
      </c>
      <c r="N75" s="266">
        <f>+N73-N74</f>
        <v>0</v>
      </c>
      <c r="O75" s="266">
        <f>+O73-O74</f>
        <v>20</v>
      </c>
      <c r="P75" s="266">
        <f>+P73-P74</f>
        <v>0</v>
      </c>
      <c r="Q75" s="266">
        <f>SUM(N75:P75)</f>
        <v>20</v>
      </c>
      <c r="R75" s="266"/>
      <c r="S75" s="266">
        <f>+Q75-R75</f>
        <v>20</v>
      </c>
      <c r="T75" s="313"/>
      <c r="Z75" s="195"/>
      <c r="AA75" s="195"/>
      <c r="AB75" s="195"/>
    </row>
    <row r="76" spans="2:28" s="79" customFormat="1" x14ac:dyDescent="0.25">
      <c r="B76" s="352"/>
      <c r="C76"/>
      <c r="D76"/>
      <c r="E76"/>
      <c r="F76" s="80"/>
      <c r="G76" s="353"/>
      <c r="H76" s="191"/>
      <c r="J76" s="195"/>
      <c r="K76" s="195"/>
      <c r="O76" s="195"/>
      <c r="P76" s="195"/>
      <c r="S76" s="192"/>
      <c r="T76" s="316"/>
    </row>
    <row r="77" spans="2:28" s="79" customFormat="1" x14ac:dyDescent="0.25">
      <c r="B77" s="352"/>
      <c r="C77"/>
      <c r="D77"/>
      <c r="E77"/>
      <c r="F77" s="80"/>
      <c r="G77" s="353"/>
      <c r="H77" s="191"/>
      <c r="J77" s="195"/>
      <c r="K77" s="195"/>
      <c r="M77" s="79" t="s">
        <v>227</v>
      </c>
      <c r="N77" s="195">
        <f>-605000</f>
        <v>-605000</v>
      </c>
      <c r="O77" s="195"/>
      <c r="P77" s="195">
        <f>+P66+P71</f>
        <v>0</v>
      </c>
      <c r="S77" s="192"/>
      <c r="T77" s="316"/>
    </row>
    <row r="78" spans="2:28" s="79" customFormat="1" x14ac:dyDescent="0.25">
      <c r="B78" s="352"/>
      <c r="C78"/>
      <c r="D78"/>
      <c r="E78"/>
      <c r="F78" s="80"/>
      <c r="G78" s="353"/>
      <c r="H78" s="191"/>
      <c r="J78" s="195"/>
      <c r="K78" s="195"/>
      <c r="L78" s="195"/>
      <c r="N78" s="195"/>
      <c r="O78" s="195"/>
      <c r="P78" s="195"/>
      <c r="T78" s="315"/>
      <c r="U78" s="195"/>
    </row>
    <row r="79" spans="2:28" s="79" customFormat="1" x14ac:dyDescent="0.25">
      <c r="B79" s="352"/>
      <c r="C79"/>
      <c r="D79"/>
      <c r="E79"/>
      <c r="F79" s="80"/>
      <c r="G79" s="353"/>
      <c r="H79" s="286"/>
      <c r="I79" s="159"/>
      <c r="K79" s="195"/>
      <c r="L79" s="195"/>
      <c r="M79" s="79" t="s">
        <v>332</v>
      </c>
      <c r="N79" s="195">
        <f>+N74+N77</f>
        <v>4853845.71</v>
      </c>
      <c r="P79" s="195"/>
      <c r="T79" s="315"/>
      <c r="U79" s="195"/>
    </row>
    <row r="80" spans="2:28" s="79" customFormat="1" x14ac:dyDescent="0.25">
      <c r="B80" s="352"/>
      <c r="C80"/>
      <c r="D80"/>
      <c r="E80"/>
      <c r="F80" s="80"/>
      <c r="G80" s="353"/>
      <c r="H80" s="286"/>
      <c r="I80" s="159"/>
      <c r="K80" s="195"/>
      <c r="L80" s="195"/>
      <c r="M80" s="79" t="s">
        <v>221</v>
      </c>
      <c r="N80" s="195">
        <v>891650</v>
      </c>
      <c r="O80" s="195"/>
      <c r="T80" s="315"/>
      <c r="U80" s="195"/>
    </row>
    <row r="81" spans="1:21" s="79" customFormat="1" x14ac:dyDescent="0.25">
      <c r="B81" s="352"/>
      <c r="C81"/>
      <c r="D81"/>
      <c r="E81"/>
      <c r="F81" s="80"/>
      <c r="G81" s="353"/>
      <c r="H81" s="286"/>
      <c r="I81" s="159"/>
      <c r="L81" s="195"/>
      <c r="M81" s="79" t="s">
        <v>343</v>
      </c>
      <c r="N81" s="195">
        <v>200000</v>
      </c>
      <c r="O81" s="195"/>
      <c r="P81" s="195"/>
      <c r="T81" s="315"/>
      <c r="U81" s="195"/>
    </row>
    <row r="82" spans="1:21" s="79" customFormat="1" x14ac:dyDescent="0.25">
      <c r="B82" s="352"/>
      <c r="C82"/>
      <c r="D82"/>
      <c r="E82"/>
      <c r="F82" s="80"/>
      <c r="G82" s="353"/>
      <c r="H82" s="286"/>
      <c r="I82" s="159"/>
      <c r="L82" s="195"/>
      <c r="M82" s="79" t="s">
        <v>361</v>
      </c>
      <c r="N82" s="195">
        <v>0</v>
      </c>
      <c r="O82" s="195"/>
      <c r="T82" s="315"/>
      <c r="U82" s="195"/>
    </row>
    <row r="83" spans="1:21" s="79" customFormat="1" x14ac:dyDescent="0.25">
      <c r="B83" s="352"/>
      <c r="C83"/>
      <c r="D83"/>
      <c r="E83"/>
      <c r="F83" s="80"/>
      <c r="G83" s="353"/>
      <c r="H83" s="286"/>
      <c r="I83" s="159"/>
      <c r="L83" s="195"/>
      <c r="N83" s="195">
        <f>SUM(N78:N82)</f>
        <v>5945495.71</v>
      </c>
      <c r="O83" s="195"/>
      <c r="T83" s="315"/>
      <c r="U83" s="195"/>
    </row>
    <row r="84" spans="1:21" s="79" customFormat="1" x14ac:dyDescent="0.25">
      <c r="B84" s="352"/>
      <c r="C84"/>
      <c r="D84"/>
      <c r="E84"/>
      <c r="F84" s="80"/>
      <c r="G84" s="353"/>
      <c r="H84" s="286"/>
      <c r="I84" s="159"/>
      <c r="L84" s="195"/>
      <c r="N84" s="195">
        <f>+G73</f>
        <v>5943655.3962824987</v>
      </c>
      <c r="O84" s="195"/>
      <c r="T84" s="315"/>
      <c r="U84" s="195"/>
    </row>
    <row r="85" spans="1:21" s="79" customFormat="1" x14ac:dyDescent="0.25">
      <c r="B85" s="352"/>
      <c r="C85"/>
      <c r="D85"/>
      <c r="E85"/>
      <c r="F85" s="80"/>
      <c r="G85" s="353"/>
      <c r="H85" s="286"/>
      <c r="I85" s="348"/>
      <c r="L85" s="195"/>
      <c r="M85" s="195"/>
      <c r="N85" s="195">
        <f>+N83-N84</f>
        <v>1840.313717501238</v>
      </c>
      <c r="O85" s="195"/>
      <c r="P85" s="195"/>
      <c r="T85" s="315"/>
    </row>
    <row r="86" spans="1:21" s="79" customFormat="1" ht="12.75" x14ac:dyDescent="0.2">
      <c r="B86" s="184" t="s">
        <v>380</v>
      </c>
      <c r="E86" s="303"/>
      <c r="G86" s="354"/>
      <c r="H86" s="354">
        <v>0</v>
      </c>
      <c r="I86" s="191"/>
      <c r="J86" s="194"/>
      <c r="L86" s="195"/>
      <c r="M86" s="195"/>
      <c r="N86" s="195"/>
      <c r="O86" s="195"/>
      <c r="P86" s="195"/>
      <c r="T86" s="315"/>
    </row>
    <row r="87" spans="1:21" s="79" customFormat="1" ht="12.75" x14ac:dyDescent="0.2">
      <c r="B87" s="184" t="s">
        <v>381</v>
      </c>
      <c r="E87" s="303"/>
      <c r="G87" s="354"/>
      <c r="H87" s="354">
        <v>0</v>
      </c>
      <c r="I87" s="191"/>
      <c r="J87" s="194"/>
      <c r="K87" s="79" t="s">
        <v>309</v>
      </c>
      <c r="L87" s="195"/>
      <c r="M87" s="195"/>
      <c r="N87" s="195"/>
      <c r="O87" s="195"/>
      <c r="P87" s="195"/>
      <c r="T87" s="315"/>
    </row>
    <row r="88" spans="1:21" s="79" customFormat="1" ht="12.75" x14ac:dyDescent="0.2">
      <c r="B88" s="184" t="s">
        <v>382</v>
      </c>
      <c r="E88" s="303"/>
      <c r="G88" s="354"/>
      <c r="H88" s="354">
        <v>0</v>
      </c>
      <c r="I88" s="191"/>
      <c r="J88" s="194"/>
      <c r="L88" s="195"/>
      <c r="M88" s="195"/>
      <c r="N88" s="195"/>
      <c r="O88" s="195"/>
      <c r="P88" s="195"/>
      <c r="T88" s="315"/>
    </row>
    <row r="89" spans="1:21" s="79" customFormat="1" ht="12.75" x14ac:dyDescent="0.2">
      <c r="B89" s="184" t="s">
        <v>392</v>
      </c>
      <c r="E89" s="303"/>
      <c r="G89" s="191"/>
      <c r="H89" s="191">
        <v>0</v>
      </c>
      <c r="I89" s="191"/>
      <c r="J89" s="194"/>
      <c r="L89" s="195"/>
      <c r="M89" s="195"/>
      <c r="N89" s="195"/>
      <c r="O89" s="195"/>
      <c r="P89" s="195"/>
      <c r="T89" s="315"/>
    </row>
    <row r="90" spans="1:21" s="79" customFormat="1" ht="12.75" x14ac:dyDescent="0.2">
      <c r="B90" s="184" t="s">
        <v>393</v>
      </c>
      <c r="E90" s="303"/>
      <c r="G90" s="191"/>
      <c r="H90" s="191">
        <v>0</v>
      </c>
      <c r="I90" s="191"/>
      <c r="J90" s="194"/>
      <c r="L90" s="195"/>
      <c r="M90" s="195"/>
      <c r="N90" s="195"/>
      <c r="O90" s="195"/>
      <c r="P90" s="195"/>
      <c r="T90" s="315"/>
    </row>
    <row r="91" spans="1:21" s="79" customFormat="1" ht="12.75" x14ac:dyDescent="0.2">
      <c r="B91" s="184" t="s">
        <v>394</v>
      </c>
      <c r="E91" s="303"/>
      <c r="G91" s="191"/>
      <c r="H91" s="191">
        <v>0</v>
      </c>
      <c r="I91" s="191"/>
      <c r="J91" s="194"/>
      <c r="L91" s="195"/>
      <c r="M91" s="195"/>
      <c r="N91" s="195"/>
      <c r="O91" s="195"/>
      <c r="P91" s="195"/>
      <c r="T91" s="315"/>
    </row>
    <row r="92" spans="1:21" s="79" customFormat="1" ht="12.75" x14ac:dyDescent="0.2">
      <c r="B92" s="184" t="s">
        <v>337</v>
      </c>
      <c r="E92" s="303"/>
      <c r="G92" s="191">
        <v>0</v>
      </c>
      <c r="H92" s="191">
        <v>0</v>
      </c>
      <c r="I92" s="191"/>
      <c r="J92" s="194"/>
      <c r="L92" s="195"/>
      <c r="M92" s="195"/>
      <c r="N92" s="195"/>
      <c r="O92" s="195"/>
      <c r="P92" s="195"/>
      <c r="T92" s="315"/>
    </row>
    <row r="93" spans="1:21" s="79" customFormat="1" ht="12.75" x14ac:dyDescent="0.2">
      <c r="B93" s="184" t="s">
        <v>342</v>
      </c>
      <c r="E93" s="303"/>
      <c r="G93" s="191"/>
      <c r="H93" s="191">
        <v>0</v>
      </c>
      <c r="I93" s="191"/>
      <c r="J93" s="194"/>
      <c r="L93" s="195"/>
      <c r="M93" s="195"/>
      <c r="N93" s="195"/>
      <c r="O93" s="195"/>
      <c r="P93" s="195"/>
      <c r="T93" s="315"/>
    </row>
    <row r="94" spans="1:21" s="313" customFormat="1" ht="12.75" x14ac:dyDescent="0.2">
      <c r="A94" s="79"/>
      <c r="B94" s="79"/>
      <c r="C94" s="79"/>
      <c r="D94" s="79"/>
      <c r="E94" s="303"/>
      <c r="F94" s="79"/>
      <c r="G94" s="191">
        <f>SUM(G86:G93)</f>
        <v>0</v>
      </c>
      <c r="H94" s="191" t="e">
        <f>+#REF!+#REF!+#REF!</f>
        <v>#REF!</v>
      </c>
      <c r="I94" s="191" t="e">
        <f>+H94*0.65</f>
        <v>#REF!</v>
      </c>
      <c r="J94" s="280"/>
      <c r="K94" s="317"/>
      <c r="T94" s="315"/>
    </row>
    <row r="95" spans="1:21" s="108" customFormat="1" ht="14.25" x14ac:dyDescent="0.2">
      <c r="A95" s="313"/>
      <c r="B95" s="313"/>
      <c r="C95" s="313"/>
      <c r="D95" s="313"/>
      <c r="E95" s="314"/>
      <c r="F95" s="313"/>
      <c r="G95" s="315"/>
      <c r="H95" s="316"/>
      <c r="I95" s="316"/>
      <c r="J95" s="313"/>
      <c r="K95" s="183"/>
      <c r="T95" s="322"/>
    </row>
    <row r="96" spans="1:21" s="108" customFormat="1" ht="14.25" x14ac:dyDescent="0.2">
      <c r="E96" s="309"/>
      <c r="G96" s="187"/>
      <c r="H96" s="109"/>
      <c r="I96" s="109"/>
      <c r="K96" s="183"/>
      <c r="T96" s="322"/>
    </row>
    <row r="97" spans="1:20" s="108" customFormat="1" x14ac:dyDescent="0.25">
      <c r="C97" s="263"/>
      <c r="E97" s="309"/>
      <c r="G97" s="328"/>
      <c r="H97" s="109"/>
      <c r="I97" s="109"/>
      <c r="K97" s="183"/>
      <c r="R97" s="197"/>
      <c r="T97" s="322"/>
    </row>
    <row r="98" spans="1:20" s="108" customFormat="1" ht="14.25" x14ac:dyDescent="0.2">
      <c r="B98" s="108" t="s">
        <v>356</v>
      </c>
      <c r="C98" s="263"/>
      <c r="D98" s="108">
        <f>+[2]LIQ!$E$30*0.02</f>
        <v>5412.6121999999996</v>
      </c>
      <c r="E98" s="309" t="s">
        <v>357</v>
      </c>
      <c r="G98" s="187"/>
      <c r="H98" s="109"/>
      <c r="I98" s="109"/>
      <c r="K98" s="183"/>
      <c r="T98" s="322"/>
    </row>
    <row r="99" spans="1:20" s="108" customFormat="1" ht="14.25" x14ac:dyDescent="0.2">
      <c r="B99" s="108" t="s">
        <v>356</v>
      </c>
      <c r="C99" s="263"/>
      <c r="D99" s="108">
        <f>+[2]LIQ!$E$17*0.02</f>
        <v>3284.02</v>
      </c>
      <c r="E99" s="309" t="s">
        <v>358</v>
      </c>
      <c r="G99" s="187"/>
      <c r="H99" s="109"/>
      <c r="I99" s="109"/>
      <c r="K99" s="183"/>
      <c r="T99" s="322"/>
    </row>
    <row r="100" spans="1:20" s="108" customFormat="1" ht="14.25" x14ac:dyDescent="0.2">
      <c r="B100" s="108" t="s">
        <v>356</v>
      </c>
      <c r="C100" s="263"/>
      <c r="D100" s="108">
        <f>SUM(D98:D99)</f>
        <v>8696.6322</v>
      </c>
      <c r="E100" s="309" t="s">
        <v>1</v>
      </c>
      <c r="G100" s="187"/>
      <c r="H100" s="109"/>
      <c r="I100" s="109"/>
      <c r="K100" s="183"/>
      <c r="T100" s="322"/>
    </row>
    <row r="101" spans="1:20" s="108" customFormat="1" ht="14.25" x14ac:dyDescent="0.2">
      <c r="C101" s="263"/>
      <c r="E101" s="309"/>
      <c r="G101" s="187"/>
      <c r="H101" s="109"/>
      <c r="I101" s="109"/>
      <c r="K101" s="183"/>
      <c r="T101" s="322"/>
    </row>
    <row r="102" spans="1:20" s="108" customFormat="1" ht="14.25" x14ac:dyDescent="0.2">
      <c r="C102" s="263"/>
      <c r="E102" s="309"/>
      <c r="G102" s="187"/>
      <c r="H102" s="109"/>
      <c r="I102" s="109"/>
      <c r="T102" s="322"/>
    </row>
    <row r="103" spans="1:20" s="108" customFormat="1" x14ac:dyDescent="0.25">
      <c r="C103" s="263"/>
      <c r="E103" s="309"/>
      <c r="R103" s="197"/>
      <c r="T103" s="322"/>
    </row>
    <row r="104" spans="1:20" s="108" customFormat="1" ht="14.25" x14ac:dyDescent="0.2">
      <c r="C104" s="263"/>
      <c r="E104" s="309"/>
      <c r="T104" s="322"/>
    </row>
    <row r="105" spans="1:20" s="108" customFormat="1" x14ac:dyDescent="0.25">
      <c r="C105" s="263"/>
      <c r="E105" s="309"/>
      <c r="R105" s="197"/>
      <c r="T105" s="322"/>
    </row>
    <row r="106" spans="1:20" s="108" customFormat="1" ht="14.25" x14ac:dyDescent="0.2">
      <c r="C106" s="263"/>
      <c r="E106" s="309"/>
      <c r="T106" s="322"/>
    </row>
    <row r="107" spans="1:20" s="108" customFormat="1" x14ac:dyDescent="0.25">
      <c r="C107" s="263"/>
      <c r="E107" s="309"/>
      <c r="R107" s="197"/>
      <c r="T107" s="322"/>
    </row>
    <row r="108" spans="1:20" ht="14.25" x14ac:dyDescent="0.2">
      <c r="A108" s="108"/>
      <c r="B108" s="108"/>
      <c r="C108" s="263"/>
      <c r="D108" s="108"/>
      <c r="E108" s="309"/>
      <c r="F108" s="108"/>
      <c r="G108" s="108"/>
      <c r="H108" s="108"/>
      <c r="I108" s="108"/>
      <c r="J108" s="108"/>
      <c r="K108" s="132"/>
      <c r="R108"/>
    </row>
    <row r="109" spans="1:20" ht="15.75" x14ac:dyDescent="0.25">
      <c r="B109" s="108"/>
      <c r="C109" s="323"/>
      <c r="D109" s="132"/>
      <c r="E109" s="310"/>
      <c r="F109" s="132"/>
      <c r="G109" s="132"/>
      <c r="H109" s="132"/>
      <c r="I109" s="132"/>
      <c r="J109" s="132"/>
      <c r="K109" s="132"/>
      <c r="R109" s="176"/>
    </row>
    <row r="110" spans="1:20" ht="14.25" x14ac:dyDescent="0.2">
      <c r="B110" s="108"/>
      <c r="C110" s="323"/>
      <c r="D110" s="132"/>
      <c r="E110" s="310"/>
      <c r="F110" s="132"/>
      <c r="G110" s="132"/>
      <c r="H110" s="132"/>
      <c r="I110" s="132"/>
      <c r="J110" s="132"/>
      <c r="K110" s="132"/>
      <c r="R110"/>
    </row>
    <row r="111" spans="1:20" ht="15.75" x14ac:dyDescent="0.25">
      <c r="B111" s="108"/>
      <c r="C111" s="323"/>
      <c r="D111" s="132"/>
      <c r="E111" s="310"/>
      <c r="F111" s="132"/>
      <c r="G111" s="132"/>
      <c r="H111" s="132"/>
      <c r="I111" s="132"/>
      <c r="J111" s="132"/>
      <c r="K111" s="132"/>
      <c r="R111" s="176"/>
    </row>
    <row r="112" spans="1:20" x14ac:dyDescent="0.2">
      <c r="B112" s="108"/>
      <c r="C112" s="323"/>
      <c r="D112" s="132"/>
      <c r="E112" s="310"/>
      <c r="F112" s="132"/>
      <c r="G112" s="108"/>
      <c r="H112" s="132"/>
      <c r="I112" s="132"/>
      <c r="J112" s="132"/>
    </row>
    <row r="113" spans="2:3" x14ac:dyDescent="0.2">
      <c r="B113" s="108"/>
    </row>
    <row r="114" spans="2:3" x14ac:dyDescent="0.2">
      <c r="B114" s="108"/>
    </row>
    <row r="115" spans="2:3" x14ac:dyDescent="0.2">
      <c r="B115" s="108"/>
    </row>
    <row r="116" spans="2:3" x14ac:dyDescent="0.2">
      <c r="B116" s="108"/>
    </row>
    <row r="117" spans="2:3" x14ac:dyDescent="0.2">
      <c r="B117" s="108"/>
    </row>
    <row r="118" spans="2:3" x14ac:dyDescent="0.2">
      <c r="C118" s="324"/>
    </row>
  </sheetData>
  <mergeCells count="4">
    <mergeCell ref="A1:H1"/>
    <mergeCell ref="B8:I8"/>
    <mergeCell ref="I73:J73"/>
    <mergeCell ref="I72:J72"/>
  </mergeCells>
  <phoneticPr fontId="0" type="noConversion"/>
  <hyperlinks>
    <hyperlink ref="A5" r:id="rId1" xr:uid="{DA96DE2D-3883-4418-82E9-6EE3EB646D9A}"/>
  </hyperlinks>
  <pageMargins left="0.39370078740157483" right="0.19685039370078741" top="0.19685039370078741" bottom="7.874015748031496E-2" header="0.11811023622047245" footer="0"/>
  <pageSetup paperSize="9" scale="73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36F3-03D8-4CC0-942E-FE0773A40232}">
  <sheetPr>
    <pageSetUpPr fitToPage="1"/>
  </sheetPr>
  <dimension ref="A1:BD316"/>
  <sheetViews>
    <sheetView topLeftCell="A31" zoomScaleNormal="100" workbookViewId="0">
      <selection activeCell="G63" sqref="G63:H63"/>
    </sheetView>
  </sheetViews>
  <sheetFormatPr baseColWidth="10" defaultRowHeight="14.25" x14ac:dyDescent="0.2"/>
  <cols>
    <col min="1" max="1" width="3.5703125" style="108" customWidth="1"/>
    <col min="2" max="2" width="6.7109375" style="108" customWidth="1"/>
    <col min="3" max="3" width="27.7109375" style="108" customWidth="1"/>
    <col min="4" max="4" width="12.140625" style="108" customWidth="1"/>
    <col min="5" max="5" width="12" style="108" bestFit="1" customWidth="1"/>
    <col min="6" max="6" width="8.140625" style="109" customWidth="1"/>
    <col min="7" max="7" width="11.85546875" style="110" bestFit="1" customWidth="1"/>
    <col min="8" max="8" width="9.28515625" style="109" customWidth="1"/>
    <col min="9" max="9" width="7" style="210" hidden="1" customWidth="1"/>
    <col min="10" max="10" width="9.85546875" style="110" customWidth="1"/>
    <col min="11" max="11" width="9.5703125" style="110" customWidth="1"/>
    <col min="12" max="12" width="12" style="110" customWidth="1"/>
    <col min="13" max="13" width="10.5703125" style="110" customWidth="1"/>
    <col min="14" max="14" width="11" style="110" customWidth="1"/>
    <col min="15" max="15" width="11" style="110" hidden="1" customWidth="1"/>
    <col min="16" max="16" width="12" style="110" customWidth="1"/>
    <col min="17" max="17" width="9.5703125" style="108" hidden="1" customWidth="1"/>
    <col min="18" max="18" width="0.140625" style="108" customWidth="1"/>
    <col min="19" max="21" width="18.42578125" style="108" hidden="1" customWidth="1"/>
    <col min="22" max="22" width="0" style="110" hidden="1" customWidth="1"/>
    <col min="23" max="23" width="8" style="108" customWidth="1"/>
    <col min="24" max="24" width="11.42578125" style="110"/>
    <col min="25" max="25" width="12.7109375" style="108" bestFit="1" customWidth="1"/>
    <col min="26" max="29" width="11.42578125" style="108"/>
    <col min="31" max="37" width="11.42578125" style="108"/>
    <col min="38" max="38" width="11" style="108" customWidth="1"/>
    <col min="39" max="44" width="11.42578125" style="108"/>
    <col min="45" max="45" width="12.85546875" style="108" bestFit="1" customWidth="1"/>
    <col min="46" max="49" width="11.42578125" style="108"/>
    <col min="50" max="50" width="13.5703125" style="254" bestFit="1" customWidth="1"/>
    <col min="51" max="16384" width="11.42578125" style="108"/>
  </cols>
  <sheetData>
    <row r="1" spans="1:54" x14ac:dyDescent="0.2">
      <c r="A1" s="112"/>
      <c r="B1" s="112"/>
      <c r="C1" s="112"/>
      <c r="D1" s="112"/>
      <c r="E1" s="112"/>
      <c r="F1" s="182"/>
      <c r="G1" s="113"/>
      <c r="H1" s="182"/>
      <c r="I1" s="207"/>
      <c r="J1" s="113"/>
      <c r="K1" s="113"/>
      <c r="L1" s="113"/>
      <c r="M1" s="113"/>
      <c r="N1" s="113"/>
      <c r="O1" s="113"/>
      <c r="P1" s="113"/>
      <c r="Q1" s="112"/>
      <c r="R1" s="112"/>
    </row>
    <row r="2" spans="1:54" ht="14.1" customHeight="1" x14ac:dyDescent="0.25">
      <c r="A2" s="107" t="s">
        <v>228</v>
      </c>
      <c r="B2" s="147"/>
      <c r="C2" s="147"/>
      <c r="D2" s="147"/>
      <c r="E2" s="147"/>
      <c r="F2" s="108"/>
      <c r="G2" s="187"/>
      <c r="H2" s="108"/>
      <c r="I2" s="208"/>
      <c r="L2" s="107" t="s">
        <v>186</v>
      </c>
    </row>
    <row r="3" spans="1:54" ht="14.1" customHeight="1" x14ac:dyDescent="0.2">
      <c r="A3" s="108" t="s">
        <v>229</v>
      </c>
      <c r="B3" s="147"/>
      <c r="C3" s="147"/>
      <c r="D3" s="147"/>
      <c r="E3" s="147"/>
      <c r="F3" s="108"/>
      <c r="G3" s="187"/>
      <c r="H3" s="108"/>
      <c r="I3" s="208"/>
      <c r="L3" s="108" t="str">
        <f>+LIQ!H3</f>
        <v>MONTES DE OCA 1068/1070 C.A.B.A.</v>
      </c>
    </row>
    <row r="4" spans="1:54" ht="14.1" customHeight="1" x14ac:dyDescent="0.25">
      <c r="A4" s="108" t="s">
        <v>230</v>
      </c>
      <c r="B4" s="147"/>
      <c r="C4" s="147"/>
      <c r="D4" s="147"/>
      <c r="E4" s="147"/>
      <c r="F4" s="108"/>
      <c r="G4" s="187"/>
      <c r="H4" s="108"/>
      <c r="I4" s="208"/>
      <c r="J4" s="111"/>
      <c r="L4" s="108" t="str">
        <f>+LIQ!H4</f>
        <v>CUIT: 30-66148861-8</v>
      </c>
      <c r="W4" s="116"/>
      <c r="Z4" s="110"/>
    </row>
    <row r="5" spans="1:54" ht="14.1" customHeight="1" x14ac:dyDescent="0.2">
      <c r="A5" s="188" t="s">
        <v>243</v>
      </c>
      <c r="B5" s="147"/>
      <c r="C5" s="147"/>
      <c r="D5" s="147"/>
      <c r="E5" s="147"/>
      <c r="F5" s="189" t="s">
        <v>232</v>
      </c>
      <c r="G5" s="187"/>
      <c r="H5" s="108"/>
      <c r="I5" s="208"/>
      <c r="J5" s="173"/>
      <c r="L5" s="108" t="str">
        <f>+LIQ!H5</f>
        <v>CLAVE SUTERH: 23883</v>
      </c>
      <c r="W5" s="110"/>
      <c r="Z5" s="110"/>
    </row>
    <row r="6" spans="1:54" ht="14.1" customHeight="1" x14ac:dyDescent="0.2">
      <c r="A6" s="108" t="s">
        <v>218</v>
      </c>
      <c r="B6" s="147"/>
      <c r="C6" s="147"/>
      <c r="D6" s="147"/>
      <c r="E6" s="147"/>
      <c r="F6" s="108" t="s">
        <v>233</v>
      </c>
      <c r="G6" s="186"/>
      <c r="H6" s="108"/>
      <c r="I6" s="208"/>
      <c r="J6" s="133"/>
      <c r="K6" s="133"/>
      <c r="X6" s="109"/>
      <c r="AX6" s="255"/>
    </row>
    <row r="7" spans="1:54" ht="14.1" customHeight="1" x14ac:dyDescent="0.2">
      <c r="A7" s="112" t="s">
        <v>231</v>
      </c>
      <c r="B7" s="149"/>
      <c r="C7" s="149"/>
      <c r="D7" s="149"/>
      <c r="E7" s="149"/>
      <c r="F7" s="112" t="s">
        <v>247</v>
      </c>
      <c r="G7" s="198"/>
      <c r="H7" s="112"/>
      <c r="I7" s="228"/>
      <c r="J7" s="174"/>
      <c r="K7" s="174"/>
      <c r="L7" s="113"/>
      <c r="M7" s="113"/>
      <c r="N7" s="113"/>
      <c r="O7" s="113"/>
      <c r="P7" s="113"/>
    </row>
    <row r="8" spans="1:54" ht="18" x14ac:dyDescent="0.25">
      <c r="A8" s="131"/>
      <c r="B8" s="131"/>
      <c r="C8" s="131"/>
      <c r="D8" s="131"/>
      <c r="E8" s="131"/>
      <c r="F8" s="179"/>
      <c r="G8" s="180"/>
      <c r="H8" s="179"/>
      <c r="I8" s="209"/>
      <c r="J8" s="181"/>
      <c r="K8" s="181"/>
      <c r="L8" s="180"/>
      <c r="M8" s="180"/>
      <c r="N8" s="180"/>
      <c r="O8" s="180"/>
      <c r="P8" s="180"/>
      <c r="X8" s="183"/>
      <c r="Y8" s="146"/>
      <c r="Z8" s="141"/>
    </row>
    <row r="9" spans="1:54" ht="15" x14ac:dyDescent="0.2">
      <c r="J9" s="133"/>
      <c r="K9" s="133"/>
      <c r="Y9" s="137"/>
      <c r="Z9" s="141"/>
      <c r="AA9" s="110"/>
      <c r="AB9" s="110"/>
    </row>
    <row r="10" spans="1:54" s="137" customFormat="1" ht="16.5" customHeight="1" x14ac:dyDescent="0.25">
      <c r="A10" s="411" t="s">
        <v>398</v>
      </c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3"/>
      <c r="Q10" s="162"/>
      <c r="R10" s="162"/>
      <c r="S10" s="162"/>
      <c r="T10" s="162"/>
      <c r="U10" s="162"/>
      <c r="V10" s="141"/>
      <c r="X10" s="141"/>
      <c r="AX10" s="256"/>
    </row>
    <row r="11" spans="1:54" s="137" customFormat="1" ht="16.5" customHeight="1" x14ac:dyDescent="0.25">
      <c r="A11" s="414" t="s">
        <v>399</v>
      </c>
      <c r="B11" s="415"/>
      <c r="C11" s="415"/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5"/>
      <c r="O11" s="415"/>
      <c r="P11" s="416"/>
      <c r="Q11" s="162"/>
      <c r="R11" s="162"/>
      <c r="S11" s="162"/>
      <c r="T11" s="162"/>
      <c r="U11" s="162"/>
      <c r="V11" s="141"/>
      <c r="W11" s="141"/>
      <c r="X11" s="141"/>
      <c r="AA11" s="141"/>
      <c r="AX11" s="256"/>
    </row>
    <row r="12" spans="1:54" s="83" customFormat="1" ht="18.75" thickBot="1" x14ac:dyDescent="0.3">
      <c r="A12" s="91"/>
      <c r="B12" s="91"/>
      <c r="C12" s="91"/>
      <c r="D12" s="91"/>
      <c r="E12" s="91"/>
      <c r="F12" s="91"/>
      <c r="G12" s="91"/>
      <c r="H12" s="91"/>
      <c r="I12" s="21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146"/>
      <c r="W12" s="146"/>
      <c r="X12" s="146"/>
      <c r="AX12" s="257"/>
    </row>
    <row r="13" spans="1:54" ht="15.75" thickBot="1" x14ac:dyDescent="0.3">
      <c r="X13" s="120" t="s">
        <v>180</v>
      </c>
      <c r="Y13" s="417" t="s">
        <v>207</v>
      </c>
      <c r="Z13" s="418"/>
      <c r="AA13" s="419" t="s">
        <v>208</v>
      </c>
      <c r="AB13" s="420"/>
      <c r="AC13" s="126"/>
    </row>
    <row r="14" spans="1:54" s="243" customFormat="1" ht="45.75" thickBot="1" x14ac:dyDescent="0.25">
      <c r="A14" s="229" t="s">
        <v>2</v>
      </c>
      <c r="B14" s="230" t="s">
        <v>3</v>
      </c>
      <c r="C14" s="230" t="s">
        <v>4</v>
      </c>
      <c r="D14" s="231" t="s">
        <v>284</v>
      </c>
      <c r="E14" s="231" t="s">
        <v>321</v>
      </c>
      <c r="F14" s="232" t="s">
        <v>6</v>
      </c>
      <c r="G14" s="231" t="s">
        <v>283</v>
      </c>
      <c r="H14" s="232" t="s">
        <v>6</v>
      </c>
      <c r="I14" s="233"/>
      <c r="J14" s="234" t="s">
        <v>5</v>
      </c>
      <c r="K14" s="231" t="s">
        <v>214</v>
      </c>
      <c r="L14" s="231" t="s">
        <v>308</v>
      </c>
      <c r="M14" s="231" t="s">
        <v>251</v>
      </c>
      <c r="N14" s="231" t="s">
        <v>252</v>
      </c>
      <c r="O14" s="231" t="s">
        <v>214</v>
      </c>
      <c r="P14" s="235" t="s">
        <v>1</v>
      </c>
      <c r="Q14" s="230" t="s">
        <v>59</v>
      </c>
      <c r="R14" s="230" t="s">
        <v>67</v>
      </c>
      <c r="S14" s="236" t="s">
        <v>206</v>
      </c>
      <c r="T14" s="237"/>
      <c r="U14" s="237"/>
      <c r="V14" s="238"/>
      <c r="W14" s="230" t="s">
        <v>2</v>
      </c>
      <c r="X14" s="239" t="s">
        <v>165</v>
      </c>
      <c r="Y14" s="231" t="s">
        <v>331</v>
      </c>
      <c r="Z14" s="240" t="s">
        <v>164</v>
      </c>
      <c r="AA14" s="240" t="s">
        <v>163</v>
      </c>
      <c r="AB14" s="240" t="s">
        <v>164</v>
      </c>
      <c r="AC14" s="241" t="s">
        <v>181</v>
      </c>
      <c r="AD14" s="241" t="s">
        <v>182</v>
      </c>
      <c r="AE14" s="241" t="s">
        <v>183</v>
      </c>
      <c r="AF14" s="242" t="s">
        <v>184</v>
      </c>
      <c r="AG14" s="242" t="s">
        <v>313</v>
      </c>
      <c r="AH14" s="242" t="s">
        <v>185</v>
      </c>
      <c r="AI14" s="242" t="s">
        <v>166</v>
      </c>
      <c r="AL14" s="242" t="s">
        <v>295</v>
      </c>
      <c r="AM14" s="242" t="s">
        <v>294</v>
      </c>
      <c r="AN14" s="242" t="s">
        <v>297</v>
      </c>
      <c r="AO14" s="244" t="s">
        <v>299</v>
      </c>
      <c r="AP14" s="244" t="s">
        <v>298</v>
      </c>
      <c r="AQ14" s="243" t="s">
        <v>6</v>
      </c>
      <c r="AR14" s="243" t="s">
        <v>300</v>
      </c>
      <c r="AX14" s="264" t="s">
        <v>314</v>
      </c>
      <c r="AY14" s="237" t="s">
        <v>315</v>
      </c>
      <c r="AZ14" s="243" t="s">
        <v>1</v>
      </c>
    </row>
    <row r="15" spans="1:54" ht="15.95" customHeight="1" x14ac:dyDescent="0.2">
      <c r="A15" s="332">
        <v>1</v>
      </c>
      <c r="B15" s="332" t="s">
        <v>296</v>
      </c>
      <c r="C15" s="332" t="s">
        <v>301</v>
      </c>
      <c r="D15" s="333">
        <f>+X15</f>
        <v>569251.460158</v>
      </c>
      <c r="E15" s="333">
        <f t="shared" ref="E15:E35" si="0">-Y15-Z15</f>
        <v>-569251</v>
      </c>
      <c r="F15" s="334">
        <v>10.52</v>
      </c>
      <c r="G15" s="333">
        <f t="shared" ref="G15:G34" si="1">+$G$36*F15/100</f>
        <v>486428.99054399994</v>
      </c>
      <c r="H15" s="335">
        <v>1.1100000000000001</v>
      </c>
      <c r="I15" s="336">
        <v>0</v>
      </c>
      <c r="J15" s="333">
        <f t="shared" ref="J15:J35" si="2">+$J$36*H15/100</f>
        <v>13102.725825</v>
      </c>
      <c r="K15" s="333">
        <v>0</v>
      </c>
      <c r="L15" s="333">
        <f>+G15+J15+K15</f>
        <v>499531.71636899991</v>
      </c>
      <c r="M15" s="333">
        <v>0</v>
      </c>
      <c r="N15" s="333">
        <v>0</v>
      </c>
      <c r="O15" s="333">
        <v>0</v>
      </c>
      <c r="P15" s="333">
        <f>+L15+M15+N15+O15</f>
        <v>499531.71636899991</v>
      </c>
      <c r="Q15" s="110">
        <v>0</v>
      </c>
      <c r="S15" s="110">
        <v>210.6</v>
      </c>
      <c r="T15" s="110">
        <v>0</v>
      </c>
      <c r="U15" s="110">
        <v>26.516159999999999</v>
      </c>
      <c r="V15" s="109">
        <v>0</v>
      </c>
      <c r="W15" s="108">
        <v>1</v>
      </c>
      <c r="X15" s="110">
        <v>569251.460158</v>
      </c>
      <c r="Y15" s="190">
        <v>569251</v>
      </c>
      <c r="Z15" s="131"/>
      <c r="AA15" s="131"/>
      <c r="AB15" s="245"/>
      <c r="AC15" s="110">
        <f t="shared" ref="AC15:AC35" si="3">+X15-Y15-Z15-AA15-AB15</f>
        <v>0.46015800000168383</v>
      </c>
      <c r="AD15" s="110">
        <f t="shared" ref="AD15:AD35" si="4">+L15</f>
        <v>499531.71636899991</v>
      </c>
      <c r="AE15" s="110">
        <f>+AC15+AD15</f>
        <v>499532.17652699992</v>
      </c>
      <c r="AF15" s="110">
        <f t="shared" ref="AF15:AF35" si="5">+P15-AE15</f>
        <v>-0.46015800000168383</v>
      </c>
      <c r="AG15" s="110">
        <v>3418.0887695399997</v>
      </c>
      <c r="AH15" s="110">
        <f t="shared" ref="AH15:AH35" si="6">+N15</f>
        <v>0</v>
      </c>
      <c r="AI15" s="110">
        <f>+AG15-AH15</f>
        <v>3418.0887695399997</v>
      </c>
      <c r="AJ15" s="110">
        <f>+AF15+AI15</f>
        <v>3417.628611539998</v>
      </c>
      <c r="AK15" s="108" t="s">
        <v>261</v>
      </c>
      <c r="AL15" s="108">
        <v>304.69</v>
      </c>
      <c r="AM15" s="108">
        <v>304.69</v>
      </c>
      <c r="AQ15" s="108">
        <v>10.52</v>
      </c>
      <c r="AT15" s="109">
        <f t="shared" ref="AT15:AT35" si="7">+F15</f>
        <v>10.52</v>
      </c>
      <c r="AX15" s="258"/>
      <c r="AY15" s="108">
        <f>+Y15</f>
        <v>569251</v>
      </c>
      <c r="AZ15" s="265">
        <f>+AX15+AY15</f>
        <v>569251</v>
      </c>
      <c r="BA15" s="108">
        <f t="shared" ref="BA15:BA36" si="8">+Y15</f>
        <v>569251</v>
      </c>
      <c r="BB15" s="265">
        <f>+AZ15-BA15</f>
        <v>0</v>
      </c>
    </row>
    <row r="16" spans="1:54" ht="15.95" customHeight="1" x14ac:dyDescent="0.2">
      <c r="A16" s="338">
        <f>+A15+1</f>
        <v>2</v>
      </c>
      <c r="B16" s="337" t="s">
        <v>187</v>
      </c>
      <c r="C16" s="338" t="s">
        <v>268</v>
      </c>
      <c r="D16" s="339">
        <f t="shared" ref="D16:D35" si="9">+X16</f>
        <v>399441.07266739995</v>
      </c>
      <c r="E16" s="339">
        <f t="shared" si="0"/>
        <v>-399441</v>
      </c>
      <c r="F16" s="340">
        <v>5.52</v>
      </c>
      <c r="G16" s="339">
        <f t="shared" si="1"/>
        <v>255236.50454399997</v>
      </c>
      <c r="H16" s="341">
        <v>6.1689999999999996</v>
      </c>
      <c r="I16" s="342" t="e">
        <f>+F16/#REF!*100</f>
        <v>#REF!</v>
      </c>
      <c r="J16" s="339">
        <f t="shared" si="2"/>
        <v>72820.46451749999</v>
      </c>
      <c r="K16" s="339">
        <v>0</v>
      </c>
      <c r="L16" s="339">
        <f>+G16+J16+K16</f>
        <v>328056.96906149993</v>
      </c>
      <c r="M16" s="339">
        <v>0</v>
      </c>
      <c r="N16" s="339">
        <v>0</v>
      </c>
      <c r="O16" s="339">
        <v>0</v>
      </c>
      <c r="P16" s="339">
        <f t="shared" ref="P16:P35" si="10">+L16+M16+N16+O16</f>
        <v>328056.96906149993</v>
      </c>
      <c r="Q16" s="110">
        <v>0</v>
      </c>
      <c r="S16" s="110">
        <v>127.72499999999999</v>
      </c>
      <c r="T16" s="110">
        <v>0</v>
      </c>
      <c r="U16" s="110">
        <v>16.08156</v>
      </c>
      <c r="V16" s="109">
        <v>0</v>
      </c>
      <c r="W16" s="108">
        <f>+W15+1</f>
        <v>2</v>
      </c>
      <c r="X16" s="110">
        <v>399441.07266739995</v>
      </c>
      <c r="Y16" s="301"/>
      <c r="Z16" s="301">
        <v>399441</v>
      </c>
      <c r="AB16" s="196"/>
      <c r="AC16" s="110">
        <f t="shared" si="3"/>
        <v>7.2667399945203215E-2</v>
      </c>
      <c r="AD16" s="110">
        <f t="shared" si="4"/>
        <v>328056.96906149993</v>
      </c>
      <c r="AE16" s="110">
        <f t="shared" ref="AE16:AE35" si="11">+AC16+AD16</f>
        <v>328057.04172889987</v>
      </c>
      <c r="AF16" s="110">
        <f t="shared" si="5"/>
        <v>-7.2667399945203215E-2</v>
      </c>
      <c r="AG16" s="110">
        <v>0</v>
      </c>
      <c r="AH16" s="110">
        <f t="shared" si="6"/>
        <v>0</v>
      </c>
      <c r="AI16" s="110">
        <f t="shared" ref="AI16:AI35" si="12">+AG16-AH16</f>
        <v>0</v>
      </c>
      <c r="AJ16" s="110">
        <f t="shared" ref="AJ16:AJ35" si="13">+AF16+AI16</f>
        <v>-7.2667399945203215E-2</v>
      </c>
      <c r="AK16" s="110"/>
      <c r="AL16" s="108">
        <v>125.7</v>
      </c>
      <c r="AM16" s="108">
        <v>146.93</v>
      </c>
      <c r="AN16" s="108">
        <v>1.74</v>
      </c>
      <c r="AP16" s="108">
        <f>+AM16+AN16</f>
        <v>148.67000000000002</v>
      </c>
      <c r="AQ16" s="108">
        <v>5.45</v>
      </c>
      <c r="AR16" s="108">
        <v>7.0000000000000007E-2</v>
      </c>
      <c r="AS16" s="108">
        <f>+AQ16+AR16</f>
        <v>5.5200000000000005</v>
      </c>
      <c r="AT16" s="109">
        <f t="shared" si="7"/>
        <v>5.52</v>
      </c>
      <c r="AX16" s="254">
        <v>13034</v>
      </c>
      <c r="AZ16" s="265">
        <f t="shared" ref="AZ16:AZ36" si="14">+AX16+AY16</f>
        <v>13034</v>
      </c>
      <c r="BA16" s="108">
        <f t="shared" si="8"/>
        <v>0</v>
      </c>
      <c r="BB16" s="265">
        <f t="shared" ref="BB16:BB35" si="15">+AZ16-BA16</f>
        <v>13034</v>
      </c>
    </row>
    <row r="17" spans="1:56" ht="15.95" customHeight="1" x14ac:dyDescent="0.2">
      <c r="A17" s="338">
        <f t="shared" ref="A17:A35" si="16">+A16+1</f>
        <v>3</v>
      </c>
      <c r="B17" s="338" t="s">
        <v>188</v>
      </c>
      <c r="C17" s="338" t="s">
        <v>269</v>
      </c>
      <c r="D17" s="339">
        <f t="shared" si="9"/>
        <v>305366.99595760001</v>
      </c>
      <c r="E17" s="339">
        <f t="shared" si="0"/>
        <v>-305367</v>
      </c>
      <c r="F17" s="340">
        <v>4.22</v>
      </c>
      <c r="G17" s="339">
        <f t="shared" si="1"/>
        <v>195126.45818399999</v>
      </c>
      <c r="H17" s="341">
        <v>4.7160000000000002</v>
      </c>
      <c r="I17" s="342" t="e">
        <f>+F17/#REF!*100</f>
        <v>#REF!</v>
      </c>
      <c r="J17" s="339">
        <f t="shared" si="2"/>
        <v>55668.878370000006</v>
      </c>
      <c r="K17" s="339">
        <v>0</v>
      </c>
      <c r="L17" s="339">
        <f t="shared" ref="L17:L34" si="17">+G17+J17+K17</f>
        <v>250795.33655399998</v>
      </c>
      <c r="M17" s="339">
        <v>0</v>
      </c>
      <c r="N17" s="339">
        <v>0</v>
      </c>
      <c r="O17" s="339">
        <v>0</v>
      </c>
      <c r="P17" s="339">
        <f t="shared" si="10"/>
        <v>250795.33655399998</v>
      </c>
      <c r="Q17" s="110">
        <v>0</v>
      </c>
      <c r="S17" s="110">
        <v>221.32499999999999</v>
      </c>
      <c r="T17" s="110">
        <v>20.814893199999997</v>
      </c>
      <c r="U17" s="110">
        <v>27.866519999999994</v>
      </c>
      <c r="V17" s="109">
        <v>22.184000000000001</v>
      </c>
      <c r="W17" s="108">
        <f t="shared" ref="W17:W35" si="18">+W16+1</f>
        <v>3</v>
      </c>
      <c r="X17" s="110">
        <v>305366.99595760001</v>
      </c>
      <c r="Y17" s="190">
        <v>305367</v>
      </c>
      <c r="AB17" s="196"/>
      <c r="AC17" s="110">
        <f t="shared" si="3"/>
        <v>-4.0423999889753759E-3</v>
      </c>
      <c r="AD17" s="110">
        <f t="shared" si="4"/>
        <v>250795.33655399998</v>
      </c>
      <c r="AE17" s="110">
        <f t="shared" si="11"/>
        <v>250795.33251159999</v>
      </c>
      <c r="AF17" s="110">
        <f t="shared" si="5"/>
        <v>4.0423999889753759E-3</v>
      </c>
      <c r="AG17" s="110">
        <v>0</v>
      </c>
      <c r="AH17" s="110">
        <f t="shared" si="6"/>
        <v>0</v>
      </c>
      <c r="AI17" s="110">
        <f t="shared" si="12"/>
        <v>0</v>
      </c>
      <c r="AJ17" s="110">
        <f t="shared" si="13"/>
        <v>4.0423999889753759E-3</v>
      </c>
      <c r="AL17" s="108">
        <v>98.03</v>
      </c>
      <c r="AM17" s="108">
        <v>119.92</v>
      </c>
      <c r="AN17" s="108">
        <v>1.78</v>
      </c>
      <c r="AP17" s="108">
        <f t="shared" ref="AP17:AP34" si="19">+AM17+AN17</f>
        <v>121.7</v>
      </c>
      <c r="AQ17" s="108">
        <v>4.1500000000000004</v>
      </c>
      <c r="AR17" s="108">
        <v>7.0000000000000007E-2</v>
      </c>
      <c r="AS17" s="108">
        <f t="shared" ref="AS17:AS35" si="20">+AQ17+AR17</f>
        <v>4.2200000000000006</v>
      </c>
      <c r="AT17" s="109">
        <f t="shared" si="7"/>
        <v>4.22</v>
      </c>
      <c r="AU17" t="s">
        <v>340</v>
      </c>
      <c r="AX17" s="254">
        <v>9964</v>
      </c>
      <c r="AZ17" s="265">
        <f t="shared" si="14"/>
        <v>9964</v>
      </c>
      <c r="BA17" s="108">
        <f t="shared" si="8"/>
        <v>305367</v>
      </c>
      <c r="BB17" s="265">
        <f t="shared" si="15"/>
        <v>-295403</v>
      </c>
    </row>
    <row r="18" spans="1:56" ht="15.95" customHeight="1" x14ac:dyDescent="0.2">
      <c r="A18" s="338">
        <f t="shared" si="16"/>
        <v>4</v>
      </c>
      <c r="B18" s="337" t="s">
        <v>189</v>
      </c>
      <c r="C18" s="338" t="s">
        <v>270</v>
      </c>
      <c r="D18" s="339">
        <f t="shared" si="9"/>
        <v>399441.07266739995</v>
      </c>
      <c r="E18" s="339">
        <f t="shared" si="0"/>
        <v>-400000</v>
      </c>
      <c r="F18" s="340">
        <v>5.52</v>
      </c>
      <c r="G18" s="339">
        <f t="shared" si="1"/>
        <v>255236.50454399997</v>
      </c>
      <c r="H18" s="341">
        <v>6.1689999999999996</v>
      </c>
      <c r="I18" s="342" t="e">
        <f>+F18/#REF!*100</f>
        <v>#REF!</v>
      </c>
      <c r="J18" s="339">
        <f t="shared" si="2"/>
        <v>72820.46451749999</v>
      </c>
      <c r="K18" s="339">
        <v>0</v>
      </c>
      <c r="L18" s="339">
        <f t="shared" si="17"/>
        <v>328056.96906149993</v>
      </c>
      <c r="M18" s="339">
        <v>-559</v>
      </c>
      <c r="N18" s="339">
        <v>0</v>
      </c>
      <c r="O18" s="339">
        <v>0</v>
      </c>
      <c r="P18" s="339">
        <f t="shared" si="10"/>
        <v>327497.96906149993</v>
      </c>
      <c r="Q18" s="110">
        <v>0</v>
      </c>
      <c r="S18" s="110">
        <v>375.375</v>
      </c>
      <c r="T18" s="110">
        <v>35.1912813</v>
      </c>
      <c r="U18" s="110">
        <v>47.262599999999992</v>
      </c>
      <c r="V18" s="109">
        <v>37.506</v>
      </c>
      <c r="W18" s="108">
        <f t="shared" si="18"/>
        <v>4</v>
      </c>
      <c r="X18" s="110">
        <v>399441.07266739995</v>
      </c>
      <c r="Y18" s="190">
        <v>400000</v>
      </c>
      <c r="AB18" s="196"/>
      <c r="AC18" s="110">
        <f t="shared" si="3"/>
        <v>-558.9273326000548</v>
      </c>
      <c r="AD18" s="110">
        <f t="shared" si="4"/>
        <v>328056.96906149993</v>
      </c>
      <c r="AE18" s="110">
        <f t="shared" si="11"/>
        <v>327498.04172889987</v>
      </c>
      <c r="AF18" s="110">
        <f t="shared" si="5"/>
        <v>-7.2667399945203215E-2</v>
      </c>
      <c r="AG18" s="110">
        <v>0</v>
      </c>
      <c r="AH18" s="110">
        <f t="shared" si="6"/>
        <v>0</v>
      </c>
      <c r="AI18" s="110">
        <f t="shared" si="12"/>
        <v>0</v>
      </c>
      <c r="AJ18" s="110">
        <f t="shared" si="13"/>
        <v>-7.2667399945203215E-2</v>
      </c>
      <c r="AL18" s="108">
        <v>125.75</v>
      </c>
      <c r="AM18" s="108">
        <v>142.94999999999999</v>
      </c>
      <c r="AN18" s="108">
        <v>1.78</v>
      </c>
      <c r="AP18" s="108">
        <f t="shared" si="19"/>
        <v>144.72999999999999</v>
      </c>
      <c r="AQ18" s="108">
        <v>5.45</v>
      </c>
      <c r="AR18" s="108">
        <v>7.0000000000000007E-2</v>
      </c>
      <c r="AS18" s="108">
        <f t="shared" si="20"/>
        <v>5.5200000000000005</v>
      </c>
      <c r="AT18" s="109">
        <f t="shared" si="7"/>
        <v>5.52</v>
      </c>
      <c r="AX18" s="267">
        <v>13229.51</v>
      </c>
      <c r="AZ18" s="265">
        <f t="shared" si="14"/>
        <v>13229.51</v>
      </c>
      <c r="BA18" s="108">
        <f t="shared" si="8"/>
        <v>400000</v>
      </c>
      <c r="BB18" s="265">
        <f t="shared" si="15"/>
        <v>-386770.49</v>
      </c>
    </row>
    <row r="19" spans="1:56" ht="15.95" customHeight="1" x14ac:dyDescent="0.2">
      <c r="A19" s="338">
        <f t="shared" si="16"/>
        <v>5</v>
      </c>
      <c r="B19" s="338" t="s">
        <v>190</v>
      </c>
      <c r="C19" s="338" t="s">
        <v>271</v>
      </c>
      <c r="D19" s="339">
        <f t="shared" si="9"/>
        <v>305302.99595760001</v>
      </c>
      <c r="E19" s="339">
        <f t="shared" si="0"/>
        <v>-305303</v>
      </c>
      <c r="F19" s="340">
        <v>4.22</v>
      </c>
      <c r="G19" s="339">
        <f t="shared" si="1"/>
        <v>195126.45818399999</v>
      </c>
      <c r="H19" s="341">
        <v>4.7160000000000002</v>
      </c>
      <c r="I19" s="342" t="e">
        <f>+F19/#REF!*100</f>
        <v>#REF!</v>
      </c>
      <c r="J19" s="339">
        <f t="shared" si="2"/>
        <v>55668.878370000006</v>
      </c>
      <c r="K19" s="339">
        <v>0</v>
      </c>
      <c r="L19" s="339">
        <f t="shared" si="17"/>
        <v>250795.33655399998</v>
      </c>
      <c r="M19" s="339">
        <v>0</v>
      </c>
      <c r="N19" s="339">
        <v>0</v>
      </c>
      <c r="O19" s="339">
        <v>0</v>
      </c>
      <c r="P19" s="339">
        <f t="shared" si="10"/>
        <v>250795.33655399998</v>
      </c>
      <c r="Q19" s="110">
        <v>0</v>
      </c>
      <c r="S19" s="110">
        <v>177.45</v>
      </c>
      <c r="T19" s="110">
        <v>16.581355599999998</v>
      </c>
      <c r="U19" s="110">
        <v>22.342320000000001</v>
      </c>
      <c r="V19" s="109">
        <v>17.671999999999997</v>
      </c>
      <c r="W19" s="108">
        <f t="shared" si="18"/>
        <v>5</v>
      </c>
      <c r="X19" s="110">
        <v>305302.99595760001</v>
      </c>
      <c r="Y19" s="190">
        <v>305303</v>
      </c>
      <c r="AB19" s="196"/>
      <c r="AC19" s="110">
        <f t="shared" si="3"/>
        <v>-4.0423999889753759E-3</v>
      </c>
      <c r="AD19" s="110">
        <f t="shared" si="4"/>
        <v>250795.33655399998</v>
      </c>
      <c r="AE19" s="110">
        <f t="shared" si="11"/>
        <v>250795.33251159999</v>
      </c>
      <c r="AF19" s="110">
        <f t="shared" si="5"/>
        <v>4.0423999889753759E-3</v>
      </c>
      <c r="AG19" s="110">
        <v>0</v>
      </c>
      <c r="AH19" s="110">
        <f t="shared" si="6"/>
        <v>0</v>
      </c>
      <c r="AI19" s="110">
        <f t="shared" si="12"/>
        <v>0</v>
      </c>
      <c r="AJ19" s="110">
        <f t="shared" si="13"/>
        <v>4.0423999889753759E-3</v>
      </c>
      <c r="AL19" s="108">
        <v>97.58</v>
      </c>
      <c r="AM19" s="108">
        <v>108.66</v>
      </c>
      <c r="AN19" s="108">
        <v>1.78</v>
      </c>
      <c r="AP19" s="108">
        <f t="shared" si="19"/>
        <v>110.44</v>
      </c>
      <c r="AQ19" s="108">
        <v>4.1500000000000004</v>
      </c>
      <c r="AR19" s="108">
        <v>7.0000000000000007E-2</v>
      </c>
      <c r="AS19" s="108">
        <f t="shared" si="20"/>
        <v>4.2200000000000006</v>
      </c>
      <c r="AT19" s="109">
        <f t="shared" si="7"/>
        <v>4.22</v>
      </c>
      <c r="AU19" s="108" t="s">
        <v>320</v>
      </c>
      <c r="AX19" s="254">
        <v>9964</v>
      </c>
      <c r="AZ19" s="265">
        <f t="shared" si="14"/>
        <v>9964</v>
      </c>
      <c r="BA19" s="108">
        <f t="shared" si="8"/>
        <v>305303</v>
      </c>
      <c r="BB19" s="265">
        <f t="shared" si="15"/>
        <v>-295339</v>
      </c>
    </row>
    <row r="20" spans="1:56" ht="15.95" customHeight="1" x14ac:dyDescent="0.2">
      <c r="A20" s="338">
        <f t="shared" si="16"/>
        <v>6</v>
      </c>
      <c r="B20" s="337" t="s">
        <v>191</v>
      </c>
      <c r="C20" s="338" t="s">
        <v>272</v>
      </c>
      <c r="D20" s="339">
        <f t="shared" si="9"/>
        <v>399441.07266739995</v>
      </c>
      <c r="E20" s="339">
        <f t="shared" si="0"/>
        <v>-399441</v>
      </c>
      <c r="F20" s="340">
        <v>5.52</v>
      </c>
      <c r="G20" s="339">
        <f t="shared" si="1"/>
        <v>255236.50454399997</v>
      </c>
      <c r="H20" s="341">
        <v>6.1689999999999996</v>
      </c>
      <c r="I20" s="342" t="e">
        <f>+F20/#REF!*100</f>
        <v>#REF!</v>
      </c>
      <c r="J20" s="339">
        <f t="shared" si="2"/>
        <v>72820.46451749999</v>
      </c>
      <c r="K20" s="339">
        <v>0</v>
      </c>
      <c r="L20" s="339">
        <f t="shared" si="17"/>
        <v>328056.96906149993</v>
      </c>
      <c r="M20" s="339">
        <v>0</v>
      </c>
      <c r="N20" s="339">
        <v>0</v>
      </c>
      <c r="O20" s="339">
        <v>0</v>
      </c>
      <c r="P20" s="339">
        <f t="shared" si="10"/>
        <v>328056.96906149993</v>
      </c>
      <c r="Q20" s="110">
        <v>0</v>
      </c>
      <c r="S20" s="110">
        <v>267.14999999999998</v>
      </c>
      <c r="T20" s="110">
        <v>25.048430799999995</v>
      </c>
      <c r="U20" s="110">
        <v>33.636240000000001</v>
      </c>
      <c r="V20" s="109">
        <v>26.695999999999998</v>
      </c>
      <c r="W20" s="108">
        <f t="shared" si="18"/>
        <v>6</v>
      </c>
      <c r="X20" s="110">
        <v>399441.07266739995</v>
      </c>
      <c r="Y20" s="190">
        <v>399441</v>
      </c>
      <c r="Z20" s="297"/>
      <c r="AA20" s="110"/>
      <c r="AB20" s="247"/>
      <c r="AC20" s="110">
        <f t="shared" si="3"/>
        <v>7.2667399945203215E-2</v>
      </c>
      <c r="AD20" s="110">
        <f t="shared" si="4"/>
        <v>328056.96906149993</v>
      </c>
      <c r="AE20" s="110">
        <f t="shared" si="11"/>
        <v>328057.04172889987</v>
      </c>
      <c r="AF20" s="110">
        <f t="shared" si="5"/>
        <v>-7.2667399945203215E-2</v>
      </c>
      <c r="AG20" s="110">
        <v>0</v>
      </c>
      <c r="AH20" s="110">
        <f t="shared" si="6"/>
        <v>0</v>
      </c>
      <c r="AI20" s="110">
        <f t="shared" si="12"/>
        <v>0</v>
      </c>
      <c r="AJ20" s="110">
        <f t="shared" si="13"/>
        <v>-7.2667399945203215E-2</v>
      </c>
      <c r="AL20" s="108">
        <v>125.75</v>
      </c>
      <c r="AM20" s="108">
        <v>142.94999999999999</v>
      </c>
      <c r="AN20" s="108">
        <v>1.78</v>
      </c>
      <c r="AP20" s="108">
        <f t="shared" si="19"/>
        <v>144.72999999999999</v>
      </c>
      <c r="AQ20" s="108">
        <v>5.45</v>
      </c>
      <c r="AR20" s="108">
        <v>7.0000000000000007E-2</v>
      </c>
      <c r="AS20" s="108">
        <f t="shared" si="20"/>
        <v>5.5200000000000005</v>
      </c>
      <c r="AT20" s="109">
        <f t="shared" si="7"/>
        <v>5.52</v>
      </c>
      <c r="AX20" s="258"/>
      <c r="AY20" s="108">
        <f>+Y20</f>
        <v>399441</v>
      </c>
      <c r="AZ20" s="265">
        <f t="shared" si="14"/>
        <v>399441</v>
      </c>
      <c r="BA20" s="108">
        <f t="shared" si="8"/>
        <v>399441</v>
      </c>
      <c r="BB20" s="265">
        <f t="shared" si="15"/>
        <v>0</v>
      </c>
    </row>
    <row r="21" spans="1:56" ht="15.95" customHeight="1" x14ac:dyDescent="0.2">
      <c r="A21" s="338">
        <f t="shared" si="16"/>
        <v>7</v>
      </c>
      <c r="B21" s="338" t="s">
        <v>192</v>
      </c>
      <c r="C21" s="338" t="s">
        <v>273</v>
      </c>
      <c r="D21" s="339">
        <f t="shared" si="9"/>
        <v>305366.99595760007</v>
      </c>
      <c r="E21" s="339">
        <f t="shared" si="0"/>
        <v>-305367</v>
      </c>
      <c r="F21" s="340">
        <f>4.15+0.07</f>
        <v>4.2200000000000006</v>
      </c>
      <c r="G21" s="339">
        <f t="shared" si="1"/>
        <v>195126.45818400002</v>
      </c>
      <c r="H21" s="341">
        <v>4.7160000000000002</v>
      </c>
      <c r="I21" s="342" t="e">
        <f>+F21/#REF!*100</f>
        <v>#REF!</v>
      </c>
      <c r="J21" s="339">
        <f t="shared" si="2"/>
        <v>55668.878370000006</v>
      </c>
      <c r="K21" s="339">
        <v>0</v>
      </c>
      <c r="L21" s="339">
        <f t="shared" si="17"/>
        <v>250795.33655400004</v>
      </c>
      <c r="M21" s="339">
        <v>0</v>
      </c>
      <c r="N21" s="339">
        <v>0</v>
      </c>
      <c r="O21" s="339">
        <v>0</v>
      </c>
      <c r="P21" s="339">
        <f t="shared" si="10"/>
        <v>250795.33655400004</v>
      </c>
      <c r="Q21" s="110">
        <v>0</v>
      </c>
      <c r="S21" s="110">
        <v>375.375</v>
      </c>
      <c r="T21" s="110">
        <v>35.1912813</v>
      </c>
      <c r="U21" s="110">
        <v>47.262599999999992</v>
      </c>
      <c r="V21" s="109">
        <v>37.506</v>
      </c>
      <c r="W21" s="108">
        <f t="shared" si="18"/>
        <v>7</v>
      </c>
      <c r="X21" s="110">
        <v>305366.99595760007</v>
      </c>
      <c r="Y21" s="190">
        <v>305367</v>
      </c>
      <c r="Z21" s="110"/>
      <c r="AA21" s="110"/>
      <c r="AB21" s="247"/>
      <c r="AC21" s="110">
        <f t="shared" si="3"/>
        <v>-4.042399930767715E-3</v>
      </c>
      <c r="AD21" s="110">
        <f t="shared" si="4"/>
        <v>250795.33655400004</v>
      </c>
      <c r="AE21" s="110">
        <f t="shared" si="11"/>
        <v>250795.33251160011</v>
      </c>
      <c r="AF21" s="110">
        <f t="shared" si="5"/>
        <v>4.042399930767715E-3</v>
      </c>
      <c r="AG21" s="110">
        <v>0</v>
      </c>
      <c r="AH21" s="110">
        <f t="shared" si="6"/>
        <v>0</v>
      </c>
      <c r="AI21" s="110">
        <f t="shared" si="12"/>
        <v>0</v>
      </c>
      <c r="AJ21" s="110">
        <f t="shared" si="13"/>
        <v>4.042399930767715E-3</v>
      </c>
      <c r="AL21" s="108">
        <v>97.58</v>
      </c>
      <c r="AM21" s="108">
        <v>108.66</v>
      </c>
      <c r="AN21" s="108">
        <v>1.78</v>
      </c>
      <c r="AP21" s="108">
        <f t="shared" si="19"/>
        <v>110.44</v>
      </c>
      <c r="AQ21" s="108">
        <v>4.1500000000000004</v>
      </c>
      <c r="AR21" s="108">
        <v>7.0000000000000007E-2</v>
      </c>
      <c r="AS21" s="108">
        <f t="shared" si="20"/>
        <v>4.2200000000000006</v>
      </c>
      <c r="AT21" s="109">
        <f t="shared" si="7"/>
        <v>4.2200000000000006</v>
      </c>
      <c r="AU21" s="108" t="s">
        <v>370</v>
      </c>
      <c r="AX21" s="258"/>
      <c r="AY21" s="108">
        <f>+Y21</f>
        <v>305367</v>
      </c>
      <c r="AZ21" s="265">
        <f t="shared" si="14"/>
        <v>305367</v>
      </c>
      <c r="BA21" s="108">
        <f t="shared" si="8"/>
        <v>305367</v>
      </c>
      <c r="BB21" s="265">
        <f t="shared" si="15"/>
        <v>0</v>
      </c>
      <c r="BD21" s="108" t="s">
        <v>365</v>
      </c>
    </row>
    <row r="22" spans="1:56" ht="15.95" customHeight="1" x14ac:dyDescent="0.2">
      <c r="A22" s="338">
        <f t="shared" si="16"/>
        <v>8</v>
      </c>
      <c r="B22" s="337" t="s">
        <v>193</v>
      </c>
      <c r="C22" s="338" t="s">
        <v>341</v>
      </c>
      <c r="D22" s="339">
        <f t="shared" si="9"/>
        <v>399264.07266739995</v>
      </c>
      <c r="E22" s="339">
        <f t="shared" si="0"/>
        <v>-399300</v>
      </c>
      <c r="F22" s="340">
        <v>5.52</v>
      </c>
      <c r="G22" s="339">
        <f t="shared" si="1"/>
        <v>255236.50454399997</v>
      </c>
      <c r="H22" s="341">
        <v>6.1689999999999996</v>
      </c>
      <c r="I22" s="342" t="e">
        <f>+F22/#REF!*100</f>
        <v>#REF!</v>
      </c>
      <c r="J22" s="339">
        <f t="shared" si="2"/>
        <v>72820.46451749999</v>
      </c>
      <c r="K22" s="339">
        <v>0</v>
      </c>
      <c r="L22" s="339">
        <f t="shared" si="17"/>
        <v>328056.96906149993</v>
      </c>
      <c r="M22" s="339">
        <v>-36</v>
      </c>
      <c r="N22" s="339">
        <v>0</v>
      </c>
      <c r="O22" s="339">
        <v>0</v>
      </c>
      <c r="P22" s="339">
        <f t="shared" si="10"/>
        <v>328020.96906149993</v>
      </c>
      <c r="Q22" s="110">
        <v>0</v>
      </c>
      <c r="S22" s="110">
        <v>177.45</v>
      </c>
      <c r="T22" s="110">
        <v>16.581355599999998</v>
      </c>
      <c r="U22" s="110">
        <v>22.342320000000001</v>
      </c>
      <c r="V22" s="109">
        <v>17.671999999999997</v>
      </c>
      <c r="W22" s="108">
        <f t="shared" si="18"/>
        <v>8</v>
      </c>
      <c r="X22" s="110">
        <v>399264.07266739995</v>
      </c>
      <c r="Y22" s="246">
        <v>399300</v>
      </c>
      <c r="Z22" s="297"/>
      <c r="AB22" s="196"/>
      <c r="AC22" s="110">
        <f t="shared" si="3"/>
        <v>-35.927332600054797</v>
      </c>
      <c r="AD22" s="110">
        <f t="shared" si="4"/>
        <v>328056.96906149993</v>
      </c>
      <c r="AE22" s="110">
        <f t="shared" si="11"/>
        <v>328021.04172889987</v>
      </c>
      <c r="AF22" s="110">
        <f t="shared" si="5"/>
        <v>-7.2667399945203215E-2</v>
      </c>
      <c r="AG22" s="110">
        <v>0</v>
      </c>
      <c r="AH22" s="110">
        <f t="shared" si="6"/>
        <v>0</v>
      </c>
      <c r="AI22" s="110">
        <f t="shared" si="12"/>
        <v>0</v>
      </c>
      <c r="AJ22" s="110">
        <f t="shared" si="13"/>
        <v>-7.2667399945203215E-2</v>
      </c>
      <c r="AL22" s="108">
        <v>125.75</v>
      </c>
      <c r="AM22" s="108">
        <v>142.94999999999999</v>
      </c>
      <c r="AN22" s="108">
        <v>1.78</v>
      </c>
      <c r="AP22" s="108">
        <f t="shared" si="19"/>
        <v>144.72999999999999</v>
      </c>
      <c r="AQ22" s="108">
        <v>5.45</v>
      </c>
      <c r="AR22" s="108">
        <v>7.0000000000000007E-2</v>
      </c>
      <c r="AS22" s="108">
        <f t="shared" si="20"/>
        <v>5.5200000000000005</v>
      </c>
      <c r="AT22" s="109">
        <f t="shared" si="7"/>
        <v>5.52</v>
      </c>
      <c r="AX22" s="254">
        <v>13034</v>
      </c>
      <c r="AZ22" s="265">
        <f t="shared" si="14"/>
        <v>13034</v>
      </c>
      <c r="BA22" s="108">
        <f t="shared" si="8"/>
        <v>399300</v>
      </c>
      <c r="BB22" s="265">
        <f t="shared" si="15"/>
        <v>-386266</v>
      </c>
    </row>
    <row r="23" spans="1:56" ht="15.95" customHeight="1" x14ac:dyDescent="0.2">
      <c r="A23" s="338">
        <f t="shared" si="16"/>
        <v>9</v>
      </c>
      <c r="B23" s="338" t="s">
        <v>194</v>
      </c>
      <c r="C23" s="338" t="s">
        <v>274</v>
      </c>
      <c r="D23" s="339">
        <f t="shared" si="9"/>
        <v>305366.99595760001</v>
      </c>
      <c r="E23" s="339">
        <f t="shared" si="0"/>
        <v>-305367</v>
      </c>
      <c r="F23" s="340">
        <v>4.22</v>
      </c>
      <c r="G23" s="339">
        <f t="shared" si="1"/>
        <v>195126.45818399999</v>
      </c>
      <c r="H23" s="341">
        <v>4.7160000000000002</v>
      </c>
      <c r="I23" s="342" t="e">
        <f>+F23/#REF!*100</f>
        <v>#REF!</v>
      </c>
      <c r="J23" s="339">
        <f t="shared" si="2"/>
        <v>55668.878370000006</v>
      </c>
      <c r="K23" s="339">
        <v>0</v>
      </c>
      <c r="L23" s="339">
        <f t="shared" si="17"/>
        <v>250795.33655399998</v>
      </c>
      <c r="M23" s="339">
        <v>0</v>
      </c>
      <c r="N23" s="339">
        <v>0</v>
      </c>
      <c r="O23" s="339">
        <v>0</v>
      </c>
      <c r="P23" s="339">
        <f t="shared" si="10"/>
        <v>250795.33655399998</v>
      </c>
      <c r="Q23" s="110">
        <v>0</v>
      </c>
      <c r="S23" s="110">
        <v>267.14999999999998</v>
      </c>
      <c r="T23" s="110">
        <v>25.048430799999995</v>
      </c>
      <c r="U23" s="110">
        <v>33.636240000000001</v>
      </c>
      <c r="V23" s="109">
        <v>26.695999999999998</v>
      </c>
      <c r="W23" s="108">
        <f t="shared" si="18"/>
        <v>9</v>
      </c>
      <c r="X23" s="110">
        <v>305366.99595760001</v>
      </c>
      <c r="Y23" s="190">
        <v>305367</v>
      </c>
      <c r="Z23" s="110"/>
      <c r="AA23" s="110"/>
      <c r="AB23" s="247"/>
      <c r="AC23" s="110">
        <f t="shared" si="3"/>
        <v>-4.0423999889753759E-3</v>
      </c>
      <c r="AD23" s="110">
        <f t="shared" si="4"/>
        <v>250795.33655399998</v>
      </c>
      <c r="AE23" s="110">
        <f t="shared" si="11"/>
        <v>250795.33251159999</v>
      </c>
      <c r="AF23" s="110">
        <f t="shared" si="5"/>
        <v>4.0423999889753759E-3</v>
      </c>
      <c r="AG23" s="110">
        <v>0</v>
      </c>
      <c r="AH23" s="110">
        <f t="shared" si="6"/>
        <v>0</v>
      </c>
      <c r="AI23" s="110">
        <f t="shared" si="12"/>
        <v>0</v>
      </c>
      <c r="AJ23" s="110">
        <f t="shared" si="13"/>
        <v>4.0423999889753759E-3</v>
      </c>
      <c r="AL23" s="108">
        <v>97.58</v>
      </c>
      <c r="AM23" s="108">
        <v>108.66</v>
      </c>
      <c r="AN23" s="108">
        <v>1.78</v>
      </c>
      <c r="AP23" s="108">
        <f t="shared" si="19"/>
        <v>110.44</v>
      </c>
      <c r="AQ23" s="108">
        <v>4.1500000000000004</v>
      </c>
      <c r="AR23" s="108">
        <v>7.0000000000000007E-2</v>
      </c>
      <c r="AS23" s="108">
        <f t="shared" si="20"/>
        <v>4.2200000000000006</v>
      </c>
      <c r="AT23" s="109">
        <f t="shared" si="7"/>
        <v>4.22</v>
      </c>
      <c r="AX23" s="254">
        <v>9964</v>
      </c>
      <c r="AZ23" s="265">
        <f t="shared" si="14"/>
        <v>9964</v>
      </c>
      <c r="BA23" s="108">
        <f t="shared" si="8"/>
        <v>305367</v>
      </c>
      <c r="BB23" s="265">
        <f t="shared" si="15"/>
        <v>-295403</v>
      </c>
    </row>
    <row r="24" spans="1:56" ht="15.95" customHeight="1" x14ac:dyDescent="0.2">
      <c r="A24" s="338">
        <f t="shared" si="16"/>
        <v>10</v>
      </c>
      <c r="B24" s="337" t="s">
        <v>195</v>
      </c>
      <c r="C24" s="338" t="s">
        <v>317</v>
      </c>
      <c r="D24" s="339">
        <f t="shared" si="9"/>
        <v>387667.21006399998</v>
      </c>
      <c r="E24" s="339">
        <f t="shared" si="0"/>
        <v>-387667</v>
      </c>
      <c r="F24" s="340">
        <v>5.52</v>
      </c>
      <c r="G24" s="339">
        <f t="shared" si="1"/>
        <v>255236.50454399997</v>
      </c>
      <c r="H24" s="341">
        <v>5.52</v>
      </c>
      <c r="I24" s="343" t="e">
        <f>+F24/#REF!*100</f>
        <v>#REF!</v>
      </c>
      <c r="J24" s="339">
        <f t="shared" si="2"/>
        <v>65159.501399999994</v>
      </c>
      <c r="K24" s="339">
        <v>0</v>
      </c>
      <c r="L24" s="339">
        <f t="shared" si="17"/>
        <v>320396.00594399997</v>
      </c>
      <c r="M24" s="339">
        <v>0</v>
      </c>
      <c r="N24" s="339">
        <v>0</v>
      </c>
      <c r="O24" s="339">
        <v>0</v>
      </c>
      <c r="P24" s="339">
        <f t="shared" si="10"/>
        <v>320396.00594399997</v>
      </c>
      <c r="Q24" s="110">
        <v>0</v>
      </c>
      <c r="S24" s="110">
        <v>375.375</v>
      </c>
      <c r="T24" s="110">
        <v>35.1912813</v>
      </c>
      <c r="U24" s="110">
        <v>47.262599999999992</v>
      </c>
      <c r="V24" s="109">
        <v>37.506</v>
      </c>
      <c r="W24" s="108">
        <f t="shared" si="18"/>
        <v>10</v>
      </c>
      <c r="X24" s="110">
        <v>387667.21006399998</v>
      </c>
      <c r="Y24" s="370">
        <v>387667</v>
      </c>
      <c r="AB24" s="196"/>
      <c r="AC24" s="110">
        <f t="shared" si="3"/>
        <v>0.21006399998441339</v>
      </c>
      <c r="AD24" s="110">
        <f t="shared" si="4"/>
        <v>320396.00594399997</v>
      </c>
      <c r="AE24" s="110">
        <f t="shared" si="11"/>
        <v>320396.21600799996</v>
      </c>
      <c r="AF24" s="110">
        <f t="shared" si="5"/>
        <v>-0.21006399998441339</v>
      </c>
      <c r="AG24" s="110">
        <v>0</v>
      </c>
      <c r="AH24" s="110">
        <f t="shared" si="6"/>
        <v>0</v>
      </c>
      <c r="AI24" s="110">
        <f t="shared" si="12"/>
        <v>0</v>
      </c>
      <c r="AJ24" s="110">
        <f t="shared" si="13"/>
        <v>-0.21006399998441339</v>
      </c>
      <c r="AL24" s="108">
        <v>125.75</v>
      </c>
      <c r="AM24" s="108">
        <v>142.94999999999999</v>
      </c>
      <c r="AN24" s="108">
        <v>1.78</v>
      </c>
      <c r="AP24" s="108">
        <f t="shared" si="19"/>
        <v>144.72999999999999</v>
      </c>
      <c r="AQ24" s="108">
        <v>5.45</v>
      </c>
      <c r="AR24" s="108">
        <v>7.0000000000000007E-2</v>
      </c>
      <c r="AS24" s="108">
        <f t="shared" si="20"/>
        <v>5.5200000000000005</v>
      </c>
      <c r="AT24" s="109">
        <f t="shared" si="7"/>
        <v>5.52</v>
      </c>
      <c r="AX24" s="268">
        <v>13121.92</v>
      </c>
      <c r="AZ24" s="265">
        <f t="shared" si="14"/>
        <v>13121.92</v>
      </c>
      <c r="BA24" s="108">
        <f t="shared" si="8"/>
        <v>387667</v>
      </c>
      <c r="BB24" s="265">
        <f t="shared" si="15"/>
        <v>-374545.08</v>
      </c>
    </row>
    <row r="25" spans="1:56" ht="15.95" customHeight="1" x14ac:dyDescent="0.2">
      <c r="A25" s="338">
        <f t="shared" si="16"/>
        <v>11</v>
      </c>
      <c r="B25" s="338" t="s">
        <v>196</v>
      </c>
      <c r="C25" s="338" t="s">
        <v>275</v>
      </c>
      <c r="D25" s="339">
        <f t="shared" si="9"/>
        <v>308266.85431860003</v>
      </c>
      <c r="E25" s="339">
        <f t="shared" si="0"/>
        <v>-308267</v>
      </c>
      <c r="F25" s="340">
        <v>4.26</v>
      </c>
      <c r="G25" s="339">
        <f t="shared" si="1"/>
        <v>196975.99807199999</v>
      </c>
      <c r="H25" s="341">
        <v>4.7610000000000001</v>
      </c>
      <c r="I25" s="342" t="e">
        <f>+F25/#REF!*100</f>
        <v>#REF!</v>
      </c>
      <c r="J25" s="339">
        <f t="shared" si="2"/>
        <v>56200.069957499996</v>
      </c>
      <c r="K25" s="339">
        <v>0</v>
      </c>
      <c r="L25" s="339">
        <f t="shared" si="17"/>
        <v>253176.06802949999</v>
      </c>
      <c r="M25" s="339">
        <v>0</v>
      </c>
      <c r="N25" s="339">
        <v>0</v>
      </c>
      <c r="O25" s="339">
        <v>0</v>
      </c>
      <c r="P25" s="339">
        <f t="shared" si="10"/>
        <v>253176.06802949999</v>
      </c>
      <c r="Q25" s="110">
        <v>0</v>
      </c>
      <c r="S25" s="110">
        <v>177.45</v>
      </c>
      <c r="T25" s="110">
        <v>16.581355599999998</v>
      </c>
      <c r="U25" s="110">
        <v>22.342320000000001</v>
      </c>
      <c r="V25" s="109">
        <v>17.671999999999997</v>
      </c>
      <c r="W25" s="108">
        <f t="shared" si="18"/>
        <v>11</v>
      </c>
      <c r="X25" s="110">
        <v>308266.85431860003</v>
      </c>
      <c r="Y25" s="190">
        <v>308267</v>
      </c>
      <c r="Z25" s="110"/>
      <c r="AA25" s="110"/>
      <c r="AB25" s="247"/>
      <c r="AC25" s="110">
        <f t="shared" si="3"/>
        <v>-0.14568139996845275</v>
      </c>
      <c r="AD25" s="110">
        <f t="shared" si="4"/>
        <v>253176.06802949999</v>
      </c>
      <c r="AE25" s="110">
        <f t="shared" si="11"/>
        <v>253175.92234810002</v>
      </c>
      <c r="AF25" s="110">
        <f t="shared" si="5"/>
        <v>0.14568139996845275</v>
      </c>
      <c r="AG25" s="110">
        <v>0</v>
      </c>
      <c r="AH25" s="110">
        <f t="shared" si="6"/>
        <v>0</v>
      </c>
      <c r="AI25" s="110">
        <f t="shared" si="12"/>
        <v>0</v>
      </c>
      <c r="AJ25" s="110">
        <f t="shared" si="13"/>
        <v>0.14568139996845275</v>
      </c>
      <c r="AL25" s="108">
        <v>97.58</v>
      </c>
      <c r="AM25" s="108">
        <v>108.66</v>
      </c>
      <c r="AN25" s="108">
        <v>2.7</v>
      </c>
      <c r="AP25" s="108">
        <f t="shared" si="19"/>
        <v>111.36</v>
      </c>
      <c r="AQ25" s="108">
        <v>4.1500000000000004</v>
      </c>
      <c r="AR25" s="108">
        <v>0.11</v>
      </c>
      <c r="AS25" s="108">
        <f t="shared" si="20"/>
        <v>4.2600000000000007</v>
      </c>
      <c r="AT25" s="109">
        <f t="shared" si="7"/>
        <v>4.26</v>
      </c>
      <c r="AU25" t="s">
        <v>333</v>
      </c>
      <c r="AX25" s="254">
        <v>10059</v>
      </c>
      <c r="AZ25" s="265">
        <f t="shared" si="14"/>
        <v>10059</v>
      </c>
      <c r="BA25" s="108">
        <f t="shared" si="8"/>
        <v>308267</v>
      </c>
      <c r="BB25" s="265">
        <f t="shared" si="15"/>
        <v>-298208</v>
      </c>
    </row>
    <row r="26" spans="1:56" ht="15.95" customHeight="1" x14ac:dyDescent="0.2">
      <c r="A26" s="338">
        <f t="shared" si="16"/>
        <v>12</v>
      </c>
      <c r="B26" s="337" t="s">
        <v>197</v>
      </c>
      <c r="C26" s="338" t="s">
        <v>276</v>
      </c>
      <c r="D26" s="339">
        <f t="shared" si="9"/>
        <v>399441.07266739995</v>
      </c>
      <c r="E26" s="339">
        <f t="shared" si="0"/>
        <v>-399441</v>
      </c>
      <c r="F26" s="340">
        <v>5.52</v>
      </c>
      <c r="G26" s="339">
        <f t="shared" si="1"/>
        <v>255236.50454399997</v>
      </c>
      <c r="H26" s="341">
        <v>6.1689999999999996</v>
      </c>
      <c r="I26" s="342" t="e">
        <f>+F26/#REF!*100</f>
        <v>#REF!</v>
      </c>
      <c r="J26" s="339">
        <f t="shared" si="2"/>
        <v>72820.46451749999</v>
      </c>
      <c r="K26" s="339">
        <v>0</v>
      </c>
      <c r="L26" s="339">
        <f t="shared" si="17"/>
        <v>328056.96906149993</v>
      </c>
      <c r="M26" s="339">
        <v>0</v>
      </c>
      <c r="N26" s="339">
        <v>0</v>
      </c>
      <c r="O26" s="339">
        <v>0</v>
      </c>
      <c r="P26" s="339">
        <f t="shared" si="10"/>
        <v>328056.96906149993</v>
      </c>
      <c r="Q26" s="110">
        <v>0</v>
      </c>
      <c r="S26" s="110">
        <v>267.14999999999998</v>
      </c>
      <c r="T26" s="110">
        <v>25.048430799999995</v>
      </c>
      <c r="U26" s="110">
        <v>33.636240000000001</v>
      </c>
      <c r="V26" s="109">
        <v>26.695999999999998</v>
      </c>
      <c r="W26" s="108">
        <f t="shared" si="18"/>
        <v>12</v>
      </c>
      <c r="X26" s="110">
        <v>399441.07266739995</v>
      </c>
      <c r="Y26" s="190">
        <v>399441</v>
      </c>
      <c r="Z26" s="297"/>
      <c r="AA26" s="110"/>
      <c r="AB26" s="247"/>
      <c r="AC26" s="110">
        <f t="shared" si="3"/>
        <v>7.2667399945203215E-2</v>
      </c>
      <c r="AD26" s="110">
        <f t="shared" si="4"/>
        <v>328056.96906149993</v>
      </c>
      <c r="AE26" s="110">
        <f t="shared" si="11"/>
        <v>328057.04172889987</v>
      </c>
      <c r="AF26" s="110">
        <f t="shared" si="5"/>
        <v>-7.2667399945203215E-2</v>
      </c>
      <c r="AG26" s="110">
        <v>0</v>
      </c>
      <c r="AH26" s="110">
        <f t="shared" si="6"/>
        <v>0</v>
      </c>
      <c r="AI26" s="110">
        <f t="shared" si="12"/>
        <v>0</v>
      </c>
      <c r="AJ26" s="110">
        <f t="shared" si="13"/>
        <v>-7.2667399945203215E-2</v>
      </c>
      <c r="AL26" s="108">
        <v>125.75</v>
      </c>
      <c r="AM26" s="108">
        <v>142.94999999999999</v>
      </c>
      <c r="AN26" s="108">
        <v>1.78</v>
      </c>
      <c r="AP26" s="108">
        <f t="shared" si="19"/>
        <v>144.72999999999999</v>
      </c>
      <c r="AQ26" s="108">
        <v>5.45</v>
      </c>
      <c r="AR26" s="108">
        <v>7.0000000000000007E-2</v>
      </c>
      <c r="AS26" s="108">
        <f t="shared" si="20"/>
        <v>5.5200000000000005</v>
      </c>
      <c r="AT26" s="109">
        <f t="shared" si="7"/>
        <v>5.52</v>
      </c>
      <c r="AU26" t="s">
        <v>344</v>
      </c>
      <c r="AX26" s="254">
        <v>13034</v>
      </c>
      <c r="AZ26" s="265">
        <f t="shared" si="14"/>
        <v>13034</v>
      </c>
      <c r="BA26" s="108">
        <f t="shared" si="8"/>
        <v>399441</v>
      </c>
      <c r="BB26" s="265">
        <f t="shared" si="15"/>
        <v>-386407</v>
      </c>
      <c r="BC26" t="s">
        <v>355</v>
      </c>
    </row>
    <row r="27" spans="1:56" ht="15.95" customHeight="1" x14ac:dyDescent="0.2">
      <c r="A27" s="338">
        <f t="shared" si="16"/>
        <v>13</v>
      </c>
      <c r="B27" s="338" t="s">
        <v>198</v>
      </c>
      <c r="C27" s="338" t="s">
        <v>277</v>
      </c>
      <c r="D27" s="339">
        <f t="shared" si="9"/>
        <v>305097.99595760001</v>
      </c>
      <c r="E27" s="339">
        <f t="shared" si="0"/>
        <v>-305559</v>
      </c>
      <c r="F27" s="340">
        <v>4.22</v>
      </c>
      <c r="G27" s="339">
        <f t="shared" si="1"/>
        <v>195126.45818399999</v>
      </c>
      <c r="H27" s="341">
        <v>4.7160000000000002</v>
      </c>
      <c r="I27" s="342" t="e">
        <f>+F27/#REF!*100</f>
        <v>#REF!</v>
      </c>
      <c r="J27" s="339">
        <f t="shared" si="2"/>
        <v>55668.878370000006</v>
      </c>
      <c r="K27" s="339">
        <v>0</v>
      </c>
      <c r="L27" s="339">
        <f t="shared" si="17"/>
        <v>250795.33655399998</v>
      </c>
      <c r="M27" s="339">
        <v>-461</v>
      </c>
      <c r="N27" s="339">
        <v>0</v>
      </c>
      <c r="O27" s="339">
        <v>0</v>
      </c>
      <c r="P27" s="339">
        <f t="shared" si="10"/>
        <v>250334.33655399998</v>
      </c>
      <c r="Q27" s="110">
        <v>0</v>
      </c>
      <c r="S27" s="110">
        <v>375.375</v>
      </c>
      <c r="T27" s="110">
        <v>35.1912813</v>
      </c>
      <c r="U27" s="110">
        <v>47.262599999999992</v>
      </c>
      <c r="V27" s="109">
        <v>37.506</v>
      </c>
      <c r="W27" s="108">
        <f t="shared" si="18"/>
        <v>13</v>
      </c>
      <c r="X27" s="110">
        <v>305097.99595760001</v>
      </c>
      <c r="Y27" s="301"/>
      <c r="Z27" s="301">
        <f>705000-399441</f>
        <v>305559</v>
      </c>
      <c r="AA27" s="110"/>
      <c r="AB27" s="247"/>
      <c r="AC27" s="110">
        <f t="shared" si="3"/>
        <v>-461.00404239998898</v>
      </c>
      <c r="AD27" s="110">
        <f t="shared" si="4"/>
        <v>250795.33655399998</v>
      </c>
      <c r="AE27" s="110">
        <f t="shared" si="11"/>
        <v>250334.33251159999</v>
      </c>
      <c r="AF27" s="110">
        <f t="shared" si="5"/>
        <v>4.0423999889753759E-3</v>
      </c>
      <c r="AG27" s="110">
        <v>0</v>
      </c>
      <c r="AH27" s="110">
        <f t="shared" si="6"/>
        <v>0</v>
      </c>
      <c r="AI27" s="110">
        <f t="shared" si="12"/>
        <v>0</v>
      </c>
      <c r="AJ27" s="110">
        <f t="shared" si="13"/>
        <v>4.0423999889753759E-3</v>
      </c>
      <c r="AL27" s="108">
        <v>97.58</v>
      </c>
      <c r="AM27" s="108">
        <v>108.66</v>
      </c>
      <c r="AN27" s="108">
        <v>1.78</v>
      </c>
      <c r="AP27" s="108">
        <f t="shared" si="19"/>
        <v>110.44</v>
      </c>
      <c r="AQ27" s="108">
        <v>4.1500000000000004</v>
      </c>
      <c r="AR27" s="108">
        <v>7.0000000000000007E-2</v>
      </c>
      <c r="AS27" s="108">
        <f t="shared" si="20"/>
        <v>4.2200000000000006</v>
      </c>
      <c r="AT27" s="109">
        <f t="shared" si="7"/>
        <v>4.22</v>
      </c>
      <c r="AX27" s="268">
        <v>10113.459999999999</v>
      </c>
      <c r="AZ27" s="265">
        <f t="shared" si="14"/>
        <v>10113.459999999999</v>
      </c>
      <c r="BA27" s="108">
        <f t="shared" si="8"/>
        <v>0</v>
      </c>
      <c r="BB27" s="265">
        <f t="shared" si="15"/>
        <v>10113.459999999999</v>
      </c>
    </row>
    <row r="28" spans="1:56" ht="15.95" customHeight="1" x14ac:dyDescent="0.2">
      <c r="A28" s="338">
        <f t="shared" si="16"/>
        <v>14</v>
      </c>
      <c r="B28" s="337" t="s">
        <v>199</v>
      </c>
      <c r="C28" s="338" t="s">
        <v>278</v>
      </c>
      <c r="D28" s="339">
        <f t="shared" si="9"/>
        <v>399441.07266739995</v>
      </c>
      <c r="E28" s="339">
        <f t="shared" si="0"/>
        <v>-399441</v>
      </c>
      <c r="F28" s="340">
        <v>5.52</v>
      </c>
      <c r="G28" s="339">
        <f t="shared" si="1"/>
        <v>255236.50454399997</v>
      </c>
      <c r="H28" s="341">
        <v>6.1689999999999996</v>
      </c>
      <c r="I28" s="342" t="e">
        <f>+F28/#REF!*100</f>
        <v>#REF!</v>
      </c>
      <c r="J28" s="339">
        <f t="shared" si="2"/>
        <v>72820.46451749999</v>
      </c>
      <c r="K28" s="339">
        <v>0</v>
      </c>
      <c r="L28" s="339">
        <f t="shared" si="17"/>
        <v>328056.96906149993</v>
      </c>
      <c r="M28" s="339">
        <v>0</v>
      </c>
      <c r="N28" s="339">
        <v>0</v>
      </c>
      <c r="O28" s="339">
        <v>0</v>
      </c>
      <c r="P28" s="339">
        <f t="shared" si="10"/>
        <v>328056.96906149993</v>
      </c>
      <c r="Q28" s="110">
        <v>0</v>
      </c>
      <c r="S28" s="110">
        <v>177.45</v>
      </c>
      <c r="T28" s="110">
        <v>16.581355599999998</v>
      </c>
      <c r="U28" s="110">
        <v>22.342320000000001</v>
      </c>
      <c r="V28" s="109">
        <v>17.671999999999997</v>
      </c>
      <c r="W28" s="108">
        <f t="shared" si="18"/>
        <v>14</v>
      </c>
      <c r="X28" s="110">
        <v>399441.07266739995</v>
      </c>
      <c r="Y28" s="366">
        <f>560806-161365</f>
        <v>399441</v>
      </c>
      <c r="Z28" s="297"/>
      <c r="AA28" s="110"/>
      <c r="AB28" s="247"/>
      <c r="AC28" s="110">
        <f t="shared" si="3"/>
        <v>7.2667399945203215E-2</v>
      </c>
      <c r="AD28" s="110">
        <f t="shared" si="4"/>
        <v>328056.96906149993</v>
      </c>
      <c r="AE28" s="110">
        <f t="shared" si="11"/>
        <v>328057.04172889987</v>
      </c>
      <c r="AF28" s="110">
        <f t="shared" si="5"/>
        <v>-7.2667399945203215E-2</v>
      </c>
      <c r="AG28" s="110">
        <v>0</v>
      </c>
      <c r="AH28" s="110">
        <f t="shared" si="6"/>
        <v>0</v>
      </c>
      <c r="AI28" s="110">
        <f t="shared" si="12"/>
        <v>0</v>
      </c>
      <c r="AJ28" s="110">
        <f t="shared" si="13"/>
        <v>-7.2667399945203215E-2</v>
      </c>
      <c r="AK28" s="110"/>
      <c r="AL28" s="108">
        <v>125.75</v>
      </c>
      <c r="AM28" s="108">
        <v>142.94999999999999</v>
      </c>
      <c r="AN28" s="108">
        <v>1.78</v>
      </c>
      <c r="AO28" s="108">
        <v>89.76</v>
      </c>
      <c r="AP28" s="108">
        <f t="shared" si="19"/>
        <v>144.72999999999999</v>
      </c>
      <c r="AQ28" s="108">
        <v>5.45</v>
      </c>
      <c r="AR28" s="108">
        <v>7.0000000000000007E-2</v>
      </c>
      <c r="AS28" s="108">
        <f t="shared" si="20"/>
        <v>5.5200000000000005</v>
      </c>
      <c r="AT28" s="109">
        <f t="shared" si="7"/>
        <v>5.52</v>
      </c>
      <c r="AX28" s="254">
        <v>13034</v>
      </c>
      <c r="AZ28" s="265">
        <f t="shared" si="14"/>
        <v>13034</v>
      </c>
      <c r="BA28" s="108">
        <f t="shared" si="8"/>
        <v>399441</v>
      </c>
      <c r="BB28" s="265">
        <f t="shared" si="15"/>
        <v>-386407</v>
      </c>
    </row>
    <row r="29" spans="1:56" ht="15.95" customHeight="1" x14ac:dyDescent="0.2">
      <c r="A29" s="338">
        <f t="shared" si="16"/>
        <v>15</v>
      </c>
      <c r="B29" s="338" t="s">
        <v>200</v>
      </c>
      <c r="C29" s="338" t="s">
        <v>366</v>
      </c>
      <c r="D29" s="339">
        <f t="shared" si="9"/>
        <v>305366.99595760001</v>
      </c>
      <c r="E29" s="339">
        <f t="shared" si="0"/>
        <v>-306000</v>
      </c>
      <c r="F29" s="340">
        <v>4.22</v>
      </c>
      <c r="G29" s="339">
        <f t="shared" si="1"/>
        <v>195126.45818399999</v>
      </c>
      <c r="H29" s="341">
        <v>4.7160000000000002</v>
      </c>
      <c r="I29" s="342" t="e">
        <f>+F29/#REF!*100</f>
        <v>#REF!</v>
      </c>
      <c r="J29" s="339">
        <f t="shared" si="2"/>
        <v>55668.878370000006</v>
      </c>
      <c r="K29" s="339">
        <v>0</v>
      </c>
      <c r="L29" s="339">
        <f t="shared" si="17"/>
        <v>250795.33655399998</v>
      </c>
      <c r="M29" s="339">
        <v>-633</v>
      </c>
      <c r="N29" s="339">
        <v>0</v>
      </c>
      <c r="O29" s="339">
        <v>0</v>
      </c>
      <c r="P29" s="339">
        <f t="shared" si="10"/>
        <v>250162.33655399998</v>
      </c>
      <c r="Q29" s="110">
        <v>0</v>
      </c>
      <c r="S29" s="110">
        <v>267.14999999999998</v>
      </c>
      <c r="T29" s="110">
        <v>25.048430799999995</v>
      </c>
      <c r="U29" s="110">
        <v>33.636240000000001</v>
      </c>
      <c r="V29" s="109">
        <v>26.695999999999998</v>
      </c>
      <c r="W29" s="108">
        <f t="shared" si="18"/>
        <v>15</v>
      </c>
      <c r="X29" s="110">
        <v>305366.99595760001</v>
      </c>
      <c r="Y29" s="370">
        <v>306000</v>
      </c>
      <c r="Z29" s="297"/>
      <c r="AA29" s="110"/>
      <c r="AB29" s="247"/>
      <c r="AC29" s="110">
        <f t="shared" si="3"/>
        <v>-633.00404239998898</v>
      </c>
      <c r="AD29" s="110">
        <f t="shared" si="4"/>
        <v>250795.33655399998</v>
      </c>
      <c r="AE29" s="110">
        <f t="shared" si="11"/>
        <v>250162.33251159999</v>
      </c>
      <c r="AF29" s="110">
        <f t="shared" si="5"/>
        <v>4.0423999889753759E-3</v>
      </c>
      <c r="AG29" s="110">
        <v>0</v>
      </c>
      <c r="AH29" s="110">
        <f t="shared" si="6"/>
        <v>0</v>
      </c>
      <c r="AI29" s="110">
        <f t="shared" si="12"/>
        <v>0</v>
      </c>
      <c r="AJ29" s="110">
        <f t="shared" si="13"/>
        <v>4.0423999889753759E-3</v>
      </c>
      <c r="AK29" s="110"/>
      <c r="AL29" s="108">
        <v>97.58</v>
      </c>
      <c r="AM29" s="108">
        <v>108.66</v>
      </c>
      <c r="AN29" s="108">
        <v>1.78</v>
      </c>
      <c r="AP29" s="108">
        <f t="shared" si="19"/>
        <v>110.44</v>
      </c>
      <c r="AQ29" s="108">
        <v>4.1500000000000004</v>
      </c>
      <c r="AR29" s="108">
        <v>7.0000000000000007E-2</v>
      </c>
      <c r="AS29" s="108">
        <f t="shared" si="20"/>
        <v>4.2200000000000006</v>
      </c>
      <c r="AT29" s="109">
        <f t="shared" si="7"/>
        <v>4.22</v>
      </c>
      <c r="AU29" t="s">
        <v>383</v>
      </c>
      <c r="AX29" s="254">
        <v>9964</v>
      </c>
      <c r="AZ29" s="265">
        <f t="shared" si="14"/>
        <v>9964</v>
      </c>
      <c r="BA29" s="108">
        <f t="shared" si="8"/>
        <v>306000</v>
      </c>
      <c r="BB29" s="265">
        <f t="shared" si="15"/>
        <v>-296036</v>
      </c>
      <c r="BD29" s="345" t="s">
        <v>352</v>
      </c>
    </row>
    <row r="30" spans="1:56" ht="15.95" customHeight="1" x14ac:dyDescent="0.2">
      <c r="A30" s="338">
        <f t="shared" si="16"/>
        <v>16</v>
      </c>
      <c r="B30" s="337" t="s">
        <v>201</v>
      </c>
      <c r="C30" s="338" t="s">
        <v>279</v>
      </c>
      <c r="D30" s="339">
        <f t="shared" si="9"/>
        <v>366126.81941900001</v>
      </c>
      <c r="E30" s="339">
        <f t="shared" si="0"/>
        <v>-366000</v>
      </c>
      <c r="F30" s="340">
        <v>5.0599999999999996</v>
      </c>
      <c r="G30" s="339">
        <f t="shared" si="1"/>
        <v>233966.79583199997</v>
      </c>
      <c r="H30" s="341">
        <v>5.6550000000000002</v>
      </c>
      <c r="I30" s="342" t="e">
        <f>+F30/#REF!*100</f>
        <v>#REF!</v>
      </c>
      <c r="J30" s="339">
        <f t="shared" si="2"/>
        <v>66753.076162500001</v>
      </c>
      <c r="K30" s="339">
        <v>0</v>
      </c>
      <c r="L30" s="339">
        <f>+G30+J30+K30</f>
        <v>300719.87199449999</v>
      </c>
      <c r="M30" s="339">
        <f>+INTERESES!F53</f>
        <v>127</v>
      </c>
      <c r="N30" s="339">
        <f>+INTERESES!I53</f>
        <v>3.81</v>
      </c>
      <c r="O30" s="339">
        <v>0</v>
      </c>
      <c r="P30" s="339">
        <f t="shared" si="10"/>
        <v>300850.68199449999</v>
      </c>
      <c r="Q30" s="110">
        <v>0</v>
      </c>
      <c r="S30" s="110">
        <v>375.375</v>
      </c>
      <c r="T30" s="110">
        <v>35.1912813</v>
      </c>
      <c r="U30" s="110">
        <v>47.262599999999992</v>
      </c>
      <c r="V30" s="109">
        <v>37.506</v>
      </c>
      <c r="W30" s="108">
        <f t="shared" si="18"/>
        <v>16</v>
      </c>
      <c r="X30" s="110">
        <v>366126.81941900001</v>
      </c>
      <c r="Y30" s="297">
        <v>366000</v>
      </c>
      <c r="Z30" s="297"/>
      <c r="AA30" s="110"/>
      <c r="AB30" s="247"/>
      <c r="AC30" s="405">
        <f t="shared" si="3"/>
        <v>126.81941900000675</v>
      </c>
      <c r="AD30" s="110">
        <f t="shared" si="4"/>
        <v>300719.87199449999</v>
      </c>
      <c r="AE30" s="110">
        <f t="shared" si="11"/>
        <v>300846.6914135</v>
      </c>
      <c r="AF30" s="110">
        <f t="shared" si="5"/>
        <v>3.9905809999909252</v>
      </c>
      <c r="AG30" s="110">
        <v>0</v>
      </c>
      <c r="AH30" s="110">
        <f t="shared" si="6"/>
        <v>3.81</v>
      </c>
      <c r="AI30" s="110">
        <f t="shared" si="12"/>
        <v>-3.81</v>
      </c>
      <c r="AJ30" s="110">
        <f t="shared" si="13"/>
        <v>0.18058099999092514</v>
      </c>
      <c r="AL30" s="108">
        <v>125.75</v>
      </c>
      <c r="AM30" s="108">
        <v>142.94999999999999</v>
      </c>
      <c r="AN30" s="108">
        <v>1.82</v>
      </c>
      <c r="AP30" s="108">
        <f t="shared" si="19"/>
        <v>144.76999999999998</v>
      </c>
      <c r="AQ30" s="108">
        <v>4.99</v>
      </c>
      <c r="AR30" s="108">
        <v>7.0000000000000007E-2</v>
      </c>
      <c r="AS30" s="108">
        <f t="shared" si="20"/>
        <v>5.0600000000000005</v>
      </c>
      <c r="AT30" s="109">
        <f t="shared" si="7"/>
        <v>5.0599999999999996</v>
      </c>
      <c r="AX30" s="255">
        <v>11948</v>
      </c>
      <c r="AZ30" s="265">
        <f t="shared" si="14"/>
        <v>11948</v>
      </c>
      <c r="BA30" s="108">
        <f t="shared" si="8"/>
        <v>366000</v>
      </c>
      <c r="BB30" s="265">
        <f t="shared" si="15"/>
        <v>-354052</v>
      </c>
    </row>
    <row r="31" spans="1:56" ht="15.95" customHeight="1" x14ac:dyDescent="0.2">
      <c r="A31" s="338">
        <f t="shared" si="16"/>
        <v>17</v>
      </c>
      <c r="B31" s="338" t="s">
        <v>202</v>
      </c>
      <c r="C31" s="338" t="s">
        <v>302</v>
      </c>
      <c r="D31" s="339">
        <f t="shared" si="9"/>
        <v>275349.61294399999</v>
      </c>
      <c r="E31" s="339">
        <f t="shared" si="0"/>
        <v>-275350</v>
      </c>
      <c r="F31" s="340">
        <v>3.92</v>
      </c>
      <c r="G31" s="339">
        <f t="shared" si="1"/>
        <v>181254.90902399999</v>
      </c>
      <c r="H31" s="341">
        <v>3.92</v>
      </c>
      <c r="I31" s="343" t="e">
        <f>+F31/#REF!*100</f>
        <v>#REF!</v>
      </c>
      <c r="J31" s="339">
        <f t="shared" si="2"/>
        <v>46272.689399999996</v>
      </c>
      <c r="K31" s="339">
        <v>0</v>
      </c>
      <c r="L31" s="339">
        <f t="shared" si="17"/>
        <v>227527.598424</v>
      </c>
      <c r="M31" s="339">
        <v>0</v>
      </c>
      <c r="N31" s="339">
        <v>0</v>
      </c>
      <c r="O31" s="339">
        <v>0</v>
      </c>
      <c r="P31" s="339">
        <f t="shared" si="10"/>
        <v>227527.598424</v>
      </c>
      <c r="Q31" s="110">
        <v>0</v>
      </c>
      <c r="S31" s="110">
        <v>177.45</v>
      </c>
      <c r="T31" s="110">
        <v>16.581355599999998</v>
      </c>
      <c r="U31" s="110">
        <v>22.342320000000001</v>
      </c>
      <c r="V31" s="109">
        <v>17.671999999999997</v>
      </c>
      <c r="W31" s="108">
        <f t="shared" si="18"/>
        <v>17</v>
      </c>
      <c r="X31" s="110">
        <v>275349.61294399999</v>
      </c>
      <c r="Y31" s="371">
        <v>275350</v>
      </c>
      <c r="Z31" s="297"/>
      <c r="AA31" s="110"/>
      <c r="AB31" s="247"/>
      <c r="AC31" s="110">
        <f t="shared" si="3"/>
        <v>-0.38705600000685081</v>
      </c>
      <c r="AD31" s="110">
        <f t="shared" si="4"/>
        <v>227527.598424</v>
      </c>
      <c r="AE31" s="110">
        <f t="shared" si="11"/>
        <v>227527.21136799999</v>
      </c>
      <c r="AF31" s="110">
        <f t="shared" si="5"/>
        <v>0.38705600000685081</v>
      </c>
      <c r="AG31" s="110">
        <v>0</v>
      </c>
      <c r="AH31" s="110">
        <f t="shared" si="6"/>
        <v>0</v>
      </c>
      <c r="AI31" s="110">
        <f t="shared" si="12"/>
        <v>0</v>
      </c>
      <c r="AJ31" s="110">
        <f t="shared" si="13"/>
        <v>0.38705600000685081</v>
      </c>
      <c r="AL31" s="108">
        <v>97.58</v>
      </c>
      <c r="AM31" s="108">
        <v>108.66</v>
      </c>
      <c r="AN31" s="108">
        <v>1.78</v>
      </c>
      <c r="AP31" s="108">
        <f t="shared" si="19"/>
        <v>110.44</v>
      </c>
      <c r="AQ31" s="108">
        <v>3.85</v>
      </c>
      <c r="AR31" s="108">
        <v>7.0000000000000007E-2</v>
      </c>
      <c r="AS31" s="108">
        <f t="shared" si="20"/>
        <v>3.92</v>
      </c>
      <c r="AT31" s="109">
        <f t="shared" si="7"/>
        <v>3.92</v>
      </c>
      <c r="AX31" s="259">
        <v>9181</v>
      </c>
      <c r="AZ31" s="265">
        <f t="shared" si="14"/>
        <v>9181</v>
      </c>
      <c r="BA31" s="108">
        <f t="shared" si="8"/>
        <v>275350</v>
      </c>
      <c r="BB31" s="265">
        <f t="shared" si="15"/>
        <v>-266169</v>
      </c>
      <c r="BD31" s="108" t="s">
        <v>359</v>
      </c>
    </row>
    <row r="32" spans="1:56" ht="15.95" customHeight="1" x14ac:dyDescent="0.2">
      <c r="A32" s="338">
        <f t="shared" si="16"/>
        <v>18</v>
      </c>
      <c r="B32" s="337" t="s">
        <v>203</v>
      </c>
      <c r="C32" s="338" t="s">
        <v>280</v>
      </c>
      <c r="D32" s="339">
        <f t="shared" si="9"/>
        <v>379898.58768220001</v>
      </c>
      <c r="E32" s="339">
        <f t="shared" si="0"/>
        <v>-379899</v>
      </c>
      <c r="F32" s="340">
        <v>5.25</v>
      </c>
      <c r="G32" s="339">
        <f t="shared" si="1"/>
        <v>242752.11029999997</v>
      </c>
      <c r="H32" s="341">
        <v>5.867</v>
      </c>
      <c r="I32" s="342" t="e">
        <f>+F32/#REF!*100</f>
        <v>#REF!</v>
      </c>
      <c r="J32" s="339">
        <f t="shared" si="2"/>
        <v>69255.578752499991</v>
      </c>
      <c r="K32" s="339">
        <v>0</v>
      </c>
      <c r="L32" s="339">
        <f t="shared" si="17"/>
        <v>312007.68905249995</v>
      </c>
      <c r="M32" s="339">
        <v>0</v>
      </c>
      <c r="N32" s="339">
        <v>0</v>
      </c>
      <c r="O32" s="339">
        <v>0</v>
      </c>
      <c r="P32" s="339">
        <f t="shared" si="10"/>
        <v>312007.68905249995</v>
      </c>
      <c r="Q32" s="110">
        <v>0</v>
      </c>
      <c r="S32" s="110">
        <v>267.14999999999998</v>
      </c>
      <c r="T32" s="110">
        <v>25.048430799999995</v>
      </c>
      <c r="U32" s="110">
        <v>33.636240000000001</v>
      </c>
      <c r="V32" s="109">
        <v>26.695999999999998</v>
      </c>
      <c r="W32" s="108">
        <f t="shared" si="18"/>
        <v>18</v>
      </c>
      <c r="X32" s="110">
        <v>379898.58768220001</v>
      </c>
      <c r="Y32" s="190">
        <v>379899</v>
      </c>
      <c r="AB32" s="196"/>
      <c r="AC32" s="110">
        <f t="shared" si="3"/>
        <v>-0.41231779998634011</v>
      </c>
      <c r="AD32" s="110">
        <f t="shared" si="4"/>
        <v>312007.68905249995</v>
      </c>
      <c r="AE32" s="110">
        <f t="shared" si="11"/>
        <v>312007.27673469996</v>
      </c>
      <c r="AF32" s="110">
        <f t="shared" si="5"/>
        <v>0.41231779998634011</v>
      </c>
      <c r="AG32" s="110">
        <v>0</v>
      </c>
      <c r="AH32" s="110">
        <f t="shared" si="6"/>
        <v>0</v>
      </c>
      <c r="AI32" s="110">
        <f t="shared" si="12"/>
        <v>0</v>
      </c>
      <c r="AJ32" s="110">
        <f t="shared" si="13"/>
        <v>0.41231779998634011</v>
      </c>
      <c r="AL32" s="108">
        <v>125.71</v>
      </c>
      <c r="AM32" s="108">
        <v>172.48</v>
      </c>
      <c r="AN32" s="108">
        <v>1.78</v>
      </c>
      <c r="AP32" s="108">
        <f t="shared" si="19"/>
        <v>174.26</v>
      </c>
      <c r="AQ32" s="108">
        <v>5.18</v>
      </c>
      <c r="AR32" s="108">
        <v>7.0000000000000007E-2</v>
      </c>
      <c r="AS32" s="108">
        <f t="shared" si="20"/>
        <v>5.25</v>
      </c>
      <c r="AT32" s="109">
        <f t="shared" si="7"/>
        <v>5.25</v>
      </c>
      <c r="AX32" s="255">
        <v>12396</v>
      </c>
      <c r="AZ32" s="265">
        <f t="shared" si="14"/>
        <v>12396</v>
      </c>
      <c r="BA32" s="108">
        <f t="shared" si="8"/>
        <v>379899</v>
      </c>
      <c r="BB32" s="265">
        <f t="shared" si="15"/>
        <v>-367503</v>
      </c>
    </row>
    <row r="33" spans="1:56" ht="15.95" customHeight="1" x14ac:dyDescent="0.2">
      <c r="A33" s="338">
        <f t="shared" si="16"/>
        <v>19</v>
      </c>
      <c r="B33" s="337" t="s">
        <v>204</v>
      </c>
      <c r="C33" s="338" t="s">
        <v>281</v>
      </c>
      <c r="D33" s="339">
        <f t="shared" si="9"/>
        <v>140381.64205280002</v>
      </c>
      <c r="E33" s="339">
        <f t="shared" si="0"/>
        <v>-140382</v>
      </c>
      <c r="F33" s="340">
        <v>1.94</v>
      </c>
      <c r="G33" s="339">
        <f t="shared" si="1"/>
        <v>89702.684567999982</v>
      </c>
      <c r="H33" s="341">
        <v>2.1680000000000001</v>
      </c>
      <c r="I33" s="342" t="e">
        <f>+F33/#REF!*100</f>
        <v>#REF!</v>
      </c>
      <c r="J33" s="339">
        <f t="shared" si="2"/>
        <v>25591.630260000002</v>
      </c>
      <c r="K33" s="339">
        <v>0</v>
      </c>
      <c r="L33" s="339">
        <f t="shared" si="17"/>
        <v>115294.31482799999</v>
      </c>
      <c r="M33" s="339">
        <v>0</v>
      </c>
      <c r="N33" s="339">
        <v>0</v>
      </c>
      <c r="O33" s="339">
        <v>0</v>
      </c>
      <c r="P33" s="339">
        <f t="shared" si="10"/>
        <v>115294.31482799999</v>
      </c>
      <c r="Q33" s="110">
        <v>0</v>
      </c>
      <c r="S33" s="110">
        <v>375.375</v>
      </c>
      <c r="T33" s="110">
        <v>35.1912813</v>
      </c>
      <c r="U33" s="110">
        <v>47.262599999999992</v>
      </c>
      <c r="V33" s="109">
        <v>37.506</v>
      </c>
      <c r="W33" s="108">
        <f t="shared" si="18"/>
        <v>19</v>
      </c>
      <c r="X33" s="110">
        <v>140381.64205280002</v>
      </c>
      <c r="Y33" s="190">
        <v>140382</v>
      </c>
      <c r="Z33" s="110"/>
      <c r="AA33" s="110"/>
      <c r="AB33" s="247"/>
      <c r="AC33" s="110">
        <f t="shared" si="3"/>
        <v>-0.35794719998375513</v>
      </c>
      <c r="AD33" s="110">
        <f t="shared" si="4"/>
        <v>115294.31482799999</v>
      </c>
      <c r="AE33" s="110">
        <f t="shared" si="11"/>
        <v>115293.9568808</v>
      </c>
      <c r="AF33" s="110">
        <f t="shared" si="5"/>
        <v>0.35794719998375513</v>
      </c>
      <c r="AG33" s="110">
        <v>0</v>
      </c>
      <c r="AH33" s="110">
        <f t="shared" si="6"/>
        <v>0</v>
      </c>
      <c r="AI33" s="110">
        <f t="shared" si="12"/>
        <v>0</v>
      </c>
      <c r="AJ33" s="110">
        <f t="shared" si="13"/>
        <v>0.35794719998375513</v>
      </c>
      <c r="AL33" s="108">
        <v>47.1</v>
      </c>
      <c r="AM33" s="108">
        <v>57.15</v>
      </c>
      <c r="AN33" s="108">
        <v>1.78</v>
      </c>
      <c r="AP33" s="108">
        <f t="shared" si="19"/>
        <v>58.93</v>
      </c>
      <c r="AQ33" s="108">
        <v>1.87</v>
      </c>
      <c r="AR33" s="108">
        <v>7.0000000000000007E-2</v>
      </c>
      <c r="AS33" s="108">
        <f t="shared" si="20"/>
        <v>1.9400000000000002</v>
      </c>
      <c r="AT33" s="109">
        <f t="shared" si="7"/>
        <v>1.94</v>
      </c>
      <c r="AU33" s="108" t="s">
        <v>336</v>
      </c>
      <c r="AV33" s="108" t="s">
        <v>338</v>
      </c>
      <c r="AX33" s="269">
        <v>4649.71</v>
      </c>
      <c r="AZ33" s="265">
        <f t="shared" si="14"/>
        <v>4649.71</v>
      </c>
      <c r="BA33" s="108">
        <f t="shared" si="8"/>
        <v>140382</v>
      </c>
      <c r="BB33" s="265">
        <f t="shared" si="15"/>
        <v>-135732.29</v>
      </c>
    </row>
    <row r="34" spans="1:56" s="112" customFormat="1" ht="15.95" customHeight="1" x14ac:dyDescent="0.2">
      <c r="A34" s="338">
        <f t="shared" si="16"/>
        <v>20</v>
      </c>
      <c r="B34" s="337" t="s">
        <v>205</v>
      </c>
      <c r="C34" s="338" t="s">
        <v>282</v>
      </c>
      <c r="D34" s="339">
        <f t="shared" si="9"/>
        <v>206952.14854960001</v>
      </c>
      <c r="E34" s="339">
        <f t="shared" si="0"/>
        <v>-206952</v>
      </c>
      <c r="F34" s="340">
        <v>2.86</v>
      </c>
      <c r="G34" s="339">
        <f t="shared" si="1"/>
        <v>132242.10199199998</v>
      </c>
      <c r="H34" s="341">
        <v>3.1960000000000002</v>
      </c>
      <c r="I34" s="342" t="e">
        <f>+F34/#REF!*100</f>
        <v>#REF!</v>
      </c>
      <c r="J34" s="339">
        <f t="shared" si="2"/>
        <v>37726.406970000004</v>
      </c>
      <c r="K34" s="339">
        <v>0</v>
      </c>
      <c r="L34" s="339">
        <f t="shared" si="17"/>
        <v>169968.50896199999</v>
      </c>
      <c r="M34" s="339">
        <v>0</v>
      </c>
      <c r="N34" s="339">
        <v>0</v>
      </c>
      <c r="O34" s="339">
        <v>0</v>
      </c>
      <c r="P34" s="339">
        <f t="shared" si="10"/>
        <v>169968.50896199999</v>
      </c>
      <c r="Q34" s="110">
        <v>0</v>
      </c>
      <c r="R34" s="108"/>
      <c r="S34" s="110">
        <v>177.45</v>
      </c>
      <c r="T34" s="110">
        <v>16.581355599999998</v>
      </c>
      <c r="U34" s="110">
        <v>22.342320000000001</v>
      </c>
      <c r="V34" s="109">
        <v>17.671999999999997</v>
      </c>
      <c r="W34" s="108">
        <f t="shared" si="18"/>
        <v>20</v>
      </c>
      <c r="X34" s="110">
        <v>206952.14854960001</v>
      </c>
      <c r="Y34" s="302">
        <v>206952</v>
      </c>
      <c r="Z34" s="297"/>
      <c r="AA34" s="110"/>
      <c r="AB34" s="247"/>
      <c r="AC34" s="110">
        <f t="shared" si="3"/>
        <v>0.14854960000957362</v>
      </c>
      <c r="AD34" s="110">
        <f t="shared" si="4"/>
        <v>169968.50896199999</v>
      </c>
      <c r="AE34" s="110">
        <f t="shared" si="11"/>
        <v>169968.6575116</v>
      </c>
      <c r="AF34" s="110">
        <f t="shared" si="5"/>
        <v>-0.14854960000957362</v>
      </c>
      <c r="AG34" s="110">
        <v>0</v>
      </c>
      <c r="AH34" s="110">
        <f t="shared" si="6"/>
        <v>0</v>
      </c>
      <c r="AI34" s="110">
        <f t="shared" si="12"/>
        <v>0</v>
      </c>
      <c r="AJ34" s="110">
        <f t="shared" si="13"/>
        <v>-0.14854960000957362</v>
      </c>
      <c r="AK34" s="108"/>
      <c r="AL34" s="108">
        <v>63.38</v>
      </c>
      <c r="AM34" s="108">
        <v>110.26</v>
      </c>
      <c r="AN34" s="108">
        <v>1.78</v>
      </c>
      <c r="AO34" s="108"/>
      <c r="AP34" s="108">
        <f t="shared" si="19"/>
        <v>112.04</v>
      </c>
      <c r="AQ34" s="108">
        <v>2.79</v>
      </c>
      <c r="AR34" s="108">
        <v>7.0000000000000007E-2</v>
      </c>
      <c r="AS34" s="108">
        <f t="shared" si="20"/>
        <v>2.86</v>
      </c>
      <c r="AT34" s="109">
        <f t="shared" si="7"/>
        <v>2.86</v>
      </c>
      <c r="AX34" s="260">
        <v>6753</v>
      </c>
      <c r="AZ34" s="265">
        <f t="shared" si="14"/>
        <v>6753</v>
      </c>
      <c r="BA34" s="108">
        <f t="shared" si="8"/>
        <v>206952</v>
      </c>
      <c r="BB34" s="265">
        <f t="shared" si="15"/>
        <v>-200199</v>
      </c>
    </row>
    <row r="35" spans="1:56" s="112" customFormat="1" ht="15.95" customHeight="1" x14ac:dyDescent="0.2">
      <c r="A35" s="338">
        <f t="shared" si="16"/>
        <v>21</v>
      </c>
      <c r="B35" s="338" t="s">
        <v>267</v>
      </c>
      <c r="C35" s="338" t="s">
        <v>278</v>
      </c>
      <c r="D35" s="339">
        <f t="shared" si="9"/>
        <v>161365.03937519999</v>
      </c>
      <c r="E35" s="339">
        <f t="shared" si="0"/>
        <v>-161365</v>
      </c>
      <c r="F35" s="340">
        <v>2.23</v>
      </c>
      <c r="G35" s="339">
        <f>+$G$36*F35/100</f>
        <v>103111.84875599999</v>
      </c>
      <c r="H35" s="341">
        <v>2.492</v>
      </c>
      <c r="I35" s="342" t="e">
        <f>+F35/#REF!*100</f>
        <v>#REF!</v>
      </c>
      <c r="J35" s="339">
        <f t="shared" si="2"/>
        <v>29416.20969</v>
      </c>
      <c r="K35" s="339">
        <v>0</v>
      </c>
      <c r="L35" s="339">
        <f>+G35+J35+K35</f>
        <v>132528.05844599998</v>
      </c>
      <c r="M35" s="339">
        <v>0</v>
      </c>
      <c r="N35" s="339">
        <v>0</v>
      </c>
      <c r="O35" s="339">
        <v>0</v>
      </c>
      <c r="P35" s="339">
        <f t="shared" si="10"/>
        <v>132528.05844599998</v>
      </c>
      <c r="Q35" s="110"/>
      <c r="R35" s="108"/>
      <c r="S35" s="110">
        <v>267.14999999999998</v>
      </c>
      <c r="T35" s="110">
        <v>25.048430799999995</v>
      </c>
      <c r="U35" s="110">
        <v>33.636240000000001</v>
      </c>
      <c r="V35" s="109">
        <v>26.695999999999998</v>
      </c>
      <c r="W35" s="108">
        <f t="shared" si="18"/>
        <v>21</v>
      </c>
      <c r="X35" s="113">
        <v>161365.03937519999</v>
      </c>
      <c r="Y35" s="366">
        <v>161365</v>
      </c>
      <c r="Z35" s="298"/>
      <c r="AA35" s="113"/>
      <c r="AB35" s="253"/>
      <c r="AC35" s="113">
        <f t="shared" si="3"/>
        <v>3.9375199994537979E-2</v>
      </c>
      <c r="AD35" s="113">
        <f t="shared" si="4"/>
        <v>132528.05844599998</v>
      </c>
      <c r="AE35" s="113">
        <f t="shared" si="11"/>
        <v>132528.09782119998</v>
      </c>
      <c r="AF35" s="113">
        <f t="shared" si="5"/>
        <v>-3.9375199994537979E-2</v>
      </c>
      <c r="AG35" s="113">
        <v>0</v>
      </c>
      <c r="AH35" s="113">
        <f t="shared" si="6"/>
        <v>0</v>
      </c>
      <c r="AI35" s="113">
        <f t="shared" si="12"/>
        <v>0</v>
      </c>
      <c r="AJ35" s="113">
        <f t="shared" si="13"/>
        <v>-3.9375199994537979E-2</v>
      </c>
      <c r="AL35" s="112">
        <v>0</v>
      </c>
      <c r="AM35" s="112">
        <v>0</v>
      </c>
      <c r="AN35" s="112">
        <v>0</v>
      </c>
      <c r="AO35" s="112">
        <v>89.76</v>
      </c>
      <c r="AP35" s="112">
        <f>+AO35</f>
        <v>89.76</v>
      </c>
      <c r="AQ35" s="112">
        <v>2.23</v>
      </c>
      <c r="AR35" s="112">
        <v>0</v>
      </c>
      <c r="AS35" s="112">
        <f t="shared" si="20"/>
        <v>2.23</v>
      </c>
      <c r="AT35" s="182">
        <f t="shared" si="7"/>
        <v>2.23</v>
      </c>
      <c r="AX35" s="260">
        <v>5266</v>
      </c>
      <c r="AZ35" s="265">
        <f t="shared" si="14"/>
        <v>5266</v>
      </c>
      <c r="BA35" s="108">
        <f t="shared" si="8"/>
        <v>161365</v>
      </c>
      <c r="BB35" s="265">
        <f t="shared" si="15"/>
        <v>-156099</v>
      </c>
    </row>
    <row r="36" spans="1:56" s="107" customFormat="1" ht="15.95" customHeight="1" thickBot="1" x14ac:dyDescent="0.3">
      <c r="A36" s="389"/>
      <c r="B36" s="389"/>
      <c r="C36" s="389"/>
      <c r="D36" s="390">
        <f>SUM(D15:D35)</f>
        <v>7023597.7863134006</v>
      </c>
      <c r="E36" s="390">
        <f>SUM(E15:E35)</f>
        <v>-7025160</v>
      </c>
      <c r="F36" s="391">
        <f>SUM(F15:F35)</f>
        <v>99.999999999999986</v>
      </c>
      <c r="G36" s="390">
        <f>+LIQ!G63</f>
        <v>4623849.72</v>
      </c>
      <c r="H36" s="391">
        <f>SUM(H15:H35)</f>
        <v>99.999000000000009</v>
      </c>
      <c r="I36" s="392" t="e">
        <f>SUM(I15:I35)</f>
        <v>#REF!</v>
      </c>
      <c r="J36" s="390">
        <f>+LIQ!H63</f>
        <v>1180425.75</v>
      </c>
      <c r="K36" s="390">
        <f t="shared" ref="K36:P36" si="21">SUM(K15:K35)</f>
        <v>0</v>
      </c>
      <c r="L36" s="390">
        <f t="shared" si="21"/>
        <v>5804263.6657424998</v>
      </c>
      <c r="M36" s="390">
        <f t="shared" si="21"/>
        <v>-1562</v>
      </c>
      <c r="N36" s="390">
        <f t="shared" si="21"/>
        <v>3.81</v>
      </c>
      <c r="O36" s="390">
        <f t="shared" si="21"/>
        <v>0</v>
      </c>
      <c r="P36" s="390">
        <f t="shared" si="21"/>
        <v>5802705.4757424993</v>
      </c>
      <c r="S36" s="390">
        <v>9750</v>
      </c>
      <c r="T36" s="116">
        <v>881.98699999999997</v>
      </c>
      <c r="U36" s="116">
        <v>1227.5999999999999</v>
      </c>
      <c r="V36" s="393">
        <v>940</v>
      </c>
      <c r="X36" s="394">
        <v>7023597.7863134006</v>
      </c>
      <c r="Y36" s="394">
        <f>SUM(Y15:Y35)</f>
        <v>6320160</v>
      </c>
      <c r="Z36" s="394">
        <f>SUM(Z15:Z35)</f>
        <v>705000</v>
      </c>
      <c r="AA36" s="394">
        <f t="shared" ref="AA36:AJ36" si="22">SUM(AA15:AA35)</f>
        <v>0</v>
      </c>
      <c r="AB36" s="394">
        <f t="shared" si="22"/>
        <v>0</v>
      </c>
      <c r="AC36" s="394">
        <f t="shared" si="22"/>
        <v>-1562.2136866001529</v>
      </c>
      <c r="AD36" s="394">
        <f t="shared" si="22"/>
        <v>5804263.6657424998</v>
      </c>
      <c r="AE36" s="394">
        <f t="shared" si="22"/>
        <v>5802701.4520559022</v>
      </c>
      <c r="AF36" s="394">
        <f t="shared" si="22"/>
        <v>4.0236866001505405</v>
      </c>
      <c r="AG36" s="394">
        <v>3418.0887695399997</v>
      </c>
      <c r="AH36" s="394">
        <f t="shared" si="22"/>
        <v>3.81</v>
      </c>
      <c r="AI36" s="394">
        <f t="shared" si="22"/>
        <v>3414.2787695399998</v>
      </c>
      <c r="AJ36" s="394">
        <f t="shared" si="22"/>
        <v>3418.3024561401503</v>
      </c>
      <c r="AP36" s="107">
        <f>SUM(AP16:AP35)</f>
        <v>2492.5099999999998</v>
      </c>
      <c r="AX36" s="395">
        <f>SUM(AX15:AX35)</f>
        <v>188709.6</v>
      </c>
      <c r="AY36" s="394">
        <f>SUM(AY15:AY35)</f>
        <v>1274059</v>
      </c>
      <c r="AZ36" s="396">
        <f t="shared" si="14"/>
        <v>1462768.6</v>
      </c>
      <c r="BA36" s="116">
        <f t="shared" si="8"/>
        <v>6320160</v>
      </c>
      <c r="BB36" s="116">
        <f>+AZ36-BA36</f>
        <v>-4857391.4000000004</v>
      </c>
    </row>
    <row r="37" spans="1:56" s="147" customFormat="1" ht="16.5" thickTop="1" x14ac:dyDescent="0.25">
      <c r="B37" s="162"/>
      <c r="F37" s="150"/>
      <c r="G37" s="163"/>
      <c r="H37" s="150"/>
      <c r="I37" s="214" t="s">
        <v>303</v>
      </c>
      <c r="J37" s="150"/>
      <c r="K37" s="163"/>
      <c r="L37" s="148"/>
      <c r="M37" s="148"/>
      <c r="N37" s="148"/>
      <c r="O37" s="148"/>
      <c r="P37" s="148"/>
      <c r="V37" s="148">
        <f>27+27</f>
        <v>54</v>
      </c>
      <c r="X37" s="141"/>
      <c r="Y37" s="375"/>
      <c r="AE37" s="137" t="s">
        <v>262</v>
      </c>
      <c r="AF37" s="137" t="s">
        <v>263</v>
      </c>
      <c r="AG37" s="137" t="s">
        <v>264</v>
      </c>
      <c r="AX37" s="261"/>
      <c r="BA37" s="147">
        <f>224201.44+16939+1285.16</f>
        <v>242425.60000000001</v>
      </c>
      <c r="BB37" s="148" t="e">
        <f>+BB36+#REF!</f>
        <v>#REF!</v>
      </c>
      <c r="BC37" s="147">
        <v>1285.1600000000001</v>
      </c>
      <c r="BD37" s="150" t="e">
        <f>+BB37-BC37</f>
        <v>#REF!</v>
      </c>
    </row>
    <row r="38" spans="1:56" s="147" customFormat="1" ht="15" x14ac:dyDescent="0.2">
      <c r="A38" s="189" t="s">
        <v>307</v>
      </c>
      <c r="F38" s="150"/>
      <c r="G38" s="148"/>
      <c r="H38" s="150"/>
      <c r="I38" s="212"/>
      <c r="J38" s="148"/>
      <c r="K38" s="148"/>
      <c r="L38" s="148"/>
      <c r="M38" s="148"/>
      <c r="N38" s="148"/>
      <c r="O38" s="148"/>
      <c r="P38" s="148"/>
      <c r="S38" s="148">
        <f>+G36</f>
        <v>4623849.72</v>
      </c>
      <c r="T38" s="148"/>
      <c r="U38" s="148"/>
      <c r="V38" s="148">
        <f>+'[3]RES CUENTA'!$F$50</f>
        <v>8125</v>
      </c>
      <c r="W38" s="148"/>
      <c r="X38" s="148"/>
      <c r="Y38" s="148">
        <f>+Y36+Z36-Y33-Z33</f>
        <v>6884778</v>
      </c>
      <c r="Z38" s="137"/>
      <c r="AA38" s="148"/>
      <c r="AE38" s="147">
        <f>+AD39+AD41+AD42-2000</f>
        <v>-2000</v>
      </c>
      <c r="AF38" s="147">
        <f>+AD41+AD42-2000</f>
        <v>-2000</v>
      </c>
      <c r="AG38" s="147">
        <f>+AD42</f>
        <v>0</v>
      </c>
      <c r="AX38" s="261"/>
      <c r="BA38" s="150">
        <f>+BA37-AX36-AY36</f>
        <v>-1220343</v>
      </c>
    </row>
    <row r="39" spans="1:56" s="147" customFormat="1" ht="15" x14ac:dyDescent="0.2">
      <c r="A39" s="108" t="s">
        <v>371</v>
      </c>
      <c r="B39" s="108"/>
      <c r="C39" s="109"/>
      <c r="D39" s="109"/>
      <c r="F39" s="150"/>
      <c r="G39" s="148"/>
      <c r="H39" s="150"/>
      <c r="I39" s="374" t="e">
        <f>+I31+I24-H24-H31</f>
        <v>#REF!</v>
      </c>
      <c r="J39" s="148"/>
      <c r="K39" s="148"/>
      <c r="L39" s="148"/>
      <c r="M39" s="148"/>
      <c r="N39" s="148"/>
      <c r="O39" s="148"/>
      <c r="P39" s="148"/>
      <c r="S39" s="148"/>
      <c r="T39" s="148"/>
      <c r="U39" s="148"/>
      <c r="V39" s="148"/>
      <c r="W39" s="148"/>
      <c r="X39" s="148"/>
      <c r="Y39" s="148">
        <v>3504369</v>
      </c>
      <c r="Z39" s="137"/>
      <c r="AX39" s="261"/>
    </row>
    <row r="40" spans="1:56" s="147" customFormat="1" ht="15" x14ac:dyDescent="0.2">
      <c r="B40" s="108"/>
      <c r="C40" s="109"/>
      <c r="D40" s="109"/>
      <c r="F40" s="150"/>
      <c r="G40" s="148"/>
      <c r="H40" s="150"/>
      <c r="I40" s="212"/>
      <c r="J40" s="148"/>
      <c r="K40" s="148"/>
      <c r="L40" s="148"/>
      <c r="M40" s="148"/>
      <c r="N40" s="148"/>
      <c r="O40" s="148"/>
      <c r="P40" s="148"/>
      <c r="S40" s="148"/>
      <c r="T40" s="148"/>
      <c r="U40" s="148"/>
      <c r="V40" s="148"/>
      <c r="W40" s="148"/>
      <c r="X40" s="148"/>
      <c r="Y40" s="148">
        <f>+Y38-Y39</f>
        <v>3380409</v>
      </c>
      <c r="Z40" s="137"/>
      <c r="AX40" s="261"/>
    </row>
    <row r="41" spans="1:56" s="162" customFormat="1" ht="16.5" customHeight="1" x14ac:dyDescent="0.25">
      <c r="A41" s="421" t="s">
        <v>345</v>
      </c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  <c r="N41" s="422"/>
      <c r="O41" s="422"/>
      <c r="P41" s="422"/>
      <c r="Q41" s="422"/>
      <c r="R41" s="423"/>
      <c r="S41" s="166">
        <f>+J36</f>
        <v>1180425.75</v>
      </c>
      <c r="T41" s="166"/>
      <c r="U41" s="166"/>
      <c r="V41" s="166">
        <f>+'[3]RES CUENTA'!$H$50</f>
        <v>940</v>
      </c>
      <c r="W41" s="166"/>
      <c r="X41" s="148"/>
      <c r="Y41" s="148"/>
      <c r="Z41" s="148"/>
      <c r="AX41" s="262"/>
    </row>
    <row r="42" spans="1:56" s="162" customFormat="1" ht="15.75" x14ac:dyDescent="0.25">
      <c r="A42" s="108" t="s">
        <v>346</v>
      </c>
      <c r="B42" s="108"/>
      <c r="C42" s="108"/>
      <c r="D42" s="108"/>
      <c r="E42" s="108"/>
      <c r="F42" s="110"/>
      <c r="G42" s="109"/>
      <c r="H42" s="110"/>
      <c r="I42" s="110"/>
      <c r="J42" s="110"/>
      <c r="K42" s="329"/>
      <c r="L42" s="110"/>
      <c r="M42" s="110"/>
      <c r="N42" s="330"/>
      <c r="O42" s="330"/>
      <c r="P42" s="110"/>
      <c r="Q42" s="330"/>
      <c r="R42" s="110"/>
      <c r="S42" s="166"/>
      <c r="T42" s="166"/>
      <c r="U42" s="166"/>
      <c r="V42" s="166"/>
      <c r="W42" s="166"/>
      <c r="X42" s="148"/>
      <c r="Y42" s="148"/>
      <c r="Z42" s="148"/>
      <c r="AX42" s="262"/>
    </row>
    <row r="43" spans="1:56" ht="15" x14ac:dyDescent="0.2">
      <c r="A43" s="108" t="s">
        <v>347</v>
      </c>
      <c r="D43" s="108" t="s">
        <v>351</v>
      </c>
      <c r="F43" s="110"/>
      <c r="G43" s="109"/>
      <c r="H43" s="110"/>
      <c r="I43" s="110"/>
      <c r="K43" s="329"/>
      <c r="N43" s="330"/>
      <c r="O43" s="330"/>
      <c r="Q43" s="330"/>
      <c r="R43" s="110"/>
      <c r="S43" s="110"/>
      <c r="T43" s="110"/>
      <c r="U43" s="110"/>
      <c r="W43" s="148"/>
      <c r="X43" s="148"/>
      <c r="Y43" s="110"/>
      <c r="AA43" s="110"/>
      <c r="AX43" s="263"/>
    </row>
    <row r="44" spans="1:56" ht="15" x14ac:dyDescent="0.2">
      <c r="A44" s="108" t="s">
        <v>348</v>
      </c>
      <c r="D44" s="108" t="s">
        <v>379</v>
      </c>
      <c r="F44" s="110"/>
      <c r="G44" s="109"/>
      <c r="H44" s="110"/>
      <c r="I44" s="110"/>
      <c r="K44" s="329"/>
      <c r="N44" s="330"/>
      <c r="O44" s="330"/>
      <c r="Q44" s="330"/>
      <c r="R44" s="110"/>
      <c r="S44" s="110">
        <f>+K36</f>
        <v>0</v>
      </c>
      <c r="T44" s="110"/>
      <c r="U44" s="110"/>
      <c r="V44" s="110">
        <f>+'[3]RES CUENTA'!$J$50</f>
        <v>1988.0172000000007</v>
      </c>
      <c r="W44" s="148"/>
      <c r="X44" s="148"/>
      <c r="Y44" s="110"/>
    </row>
    <row r="45" spans="1:56" ht="15" x14ac:dyDescent="0.2">
      <c r="A45" s="108" t="s">
        <v>349</v>
      </c>
      <c r="D45" s="108" t="s">
        <v>416</v>
      </c>
      <c r="F45" s="110"/>
      <c r="G45" s="109"/>
      <c r="H45" s="110"/>
      <c r="I45" s="110"/>
      <c r="K45" s="329"/>
      <c r="N45" s="330"/>
      <c r="O45" s="330"/>
      <c r="Q45" s="330"/>
      <c r="R45" s="110"/>
      <c r="S45" s="110"/>
      <c r="T45" s="110"/>
      <c r="U45" s="110"/>
      <c r="W45" s="148"/>
      <c r="X45" s="141"/>
      <c r="Y45" s="110"/>
      <c r="AA45" s="110"/>
      <c r="AD45" s="10"/>
    </row>
    <row r="46" spans="1:56" ht="15" x14ac:dyDescent="0.2">
      <c r="A46" s="108" t="s">
        <v>350</v>
      </c>
      <c r="D46" s="452" t="s">
        <v>415</v>
      </c>
      <c r="F46" s="110"/>
      <c r="G46" s="109"/>
      <c r="H46" s="110"/>
      <c r="I46" s="110"/>
      <c r="K46" s="329"/>
      <c r="N46" s="330"/>
      <c r="O46" s="330"/>
      <c r="Q46" s="330"/>
      <c r="R46" s="110"/>
      <c r="X46" s="141"/>
      <c r="Y46" s="110"/>
      <c r="AD46" s="10"/>
    </row>
    <row r="47" spans="1:56" ht="15" x14ac:dyDescent="0.2">
      <c r="A47" s="108" t="s">
        <v>362</v>
      </c>
      <c r="D47" s="369" t="s">
        <v>363</v>
      </c>
      <c r="F47" s="110"/>
      <c r="G47" s="109"/>
      <c r="H47" s="110"/>
      <c r="I47" s="110"/>
      <c r="K47" s="329"/>
      <c r="N47" s="330"/>
      <c r="O47" s="330"/>
      <c r="Q47" s="330"/>
      <c r="R47" s="110"/>
      <c r="X47" s="141"/>
      <c r="Y47" s="110"/>
      <c r="AD47" s="10"/>
    </row>
    <row r="48" spans="1:56" ht="15" x14ac:dyDescent="0.2">
      <c r="D48" s="369"/>
      <c r="F48" s="110"/>
      <c r="G48" s="109"/>
      <c r="H48" s="110"/>
      <c r="I48" s="110"/>
      <c r="K48" s="329"/>
      <c r="N48" s="330"/>
      <c r="O48" s="330"/>
      <c r="Q48" s="330"/>
      <c r="R48" s="110"/>
      <c r="X48" s="141"/>
      <c r="Y48" s="110"/>
      <c r="AD48" s="10"/>
    </row>
    <row r="49" spans="1:50" ht="15" x14ac:dyDescent="0.25">
      <c r="A49" s="126"/>
      <c r="F49" s="108"/>
      <c r="G49" s="331"/>
      <c r="H49" s="110"/>
      <c r="I49" s="110"/>
      <c r="Q49" s="110"/>
      <c r="Y49" s="326"/>
    </row>
    <row r="50" spans="1:50" ht="16.5" customHeight="1" x14ac:dyDescent="0.25">
      <c r="A50" s="409" t="s">
        <v>287</v>
      </c>
      <c r="B50" s="410"/>
      <c r="C50" s="410"/>
      <c r="D50" s="410"/>
      <c r="E50" s="410"/>
      <c r="F50" s="410"/>
      <c r="G50" s="410"/>
      <c r="H50" s="410"/>
      <c r="I50" s="410"/>
      <c r="J50" s="410"/>
      <c r="K50" s="410"/>
      <c r="L50" s="410"/>
      <c r="M50" s="410"/>
      <c r="N50" s="410"/>
      <c r="O50" s="410"/>
      <c r="P50" s="410"/>
      <c r="Q50" s="410"/>
      <c r="R50" s="162"/>
      <c r="Y50" s="110"/>
    </row>
    <row r="51" spans="1:50" ht="15.75" x14ac:dyDescent="0.25">
      <c r="A51" s="162"/>
      <c r="B51" s="79" t="s">
        <v>257</v>
      </c>
      <c r="C51" s="109"/>
      <c r="D51" s="109"/>
      <c r="E51" s="109"/>
      <c r="F51" s="110"/>
      <c r="G51" s="166"/>
      <c r="H51" s="162"/>
      <c r="I51" s="213"/>
      <c r="J51" s="166"/>
      <c r="K51" s="166"/>
      <c r="L51" s="166"/>
      <c r="M51" s="166"/>
      <c r="N51" s="166"/>
      <c r="O51" s="166"/>
      <c r="P51" s="166"/>
      <c r="Q51" s="162"/>
      <c r="R51" s="162"/>
      <c r="Y51" s="110"/>
    </row>
    <row r="52" spans="1:50" ht="15.75" x14ac:dyDescent="0.25">
      <c r="B52" s="108" t="s">
        <v>286</v>
      </c>
      <c r="C52" s="109"/>
      <c r="D52" s="109"/>
      <c r="E52" s="109"/>
      <c r="F52" s="110"/>
      <c r="G52" s="165"/>
      <c r="Y52" s="110"/>
    </row>
    <row r="53" spans="1:50" ht="15.75" x14ac:dyDescent="0.25">
      <c r="C53" s="109"/>
      <c r="D53" s="109"/>
      <c r="E53" s="109"/>
      <c r="F53" s="110"/>
      <c r="G53" s="165"/>
      <c r="Y53" s="110"/>
    </row>
    <row r="54" spans="1:50" x14ac:dyDescent="0.2">
      <c r="Y54" s="110"/>
    </row>
    <row r="55" spans="1:50" ht="16.5" customHeight="1" x14ac:dyDescent="0.25">
      <c r="A55" s="409" t="s">
        <v>367</v>
      </c>
      <c r="B55" s="410"/>
      <c r="C55" s="410"/>
      <c r="D55" s="410"/>
      <c r="E55" s="410"/>
      <c r="F55" s="410"/>
      <c r="G55" s="410"/>
      <c r="H55" s="410"/>
      <c r="I55" s="410"/>
      <c r="J55" s="410"/>
      <c r="K55" s="410"/>
      <c r="L55" s="410"/>
      <c r="M55" s="410"/>
      <c r="N55" s="410"/>
      <c r="O55" s="410"/>
      <c r="P55" s="410"/>
      <c r="Q55" s="410"/>
      <c r="Y55" s="110"/>
    </row>
    <row r="56" spans="1:50" ht="15.75" x14ac:dyDescent="0.25">
      <c r="A56" s="372" t="s">
        <v>368</v>
      </c>
      <c r="B56"/>
      <c r="C56"/>
      <c r="D56"/>
      <c r="E56"/>
      <c r="F56" s="373"/>
      <c r="G56" s="165"/>
      <c r="H56" s="166"/>
      <c r="I56" s="166"/>
      <c r="J56" s="166"/>
      <c r="K56" s="166"/>
      <c r="L56" s="166"/>
      <c r="M56" s="166"/>
      <c r="Q56" s="110"/>
      <c r="Y56" s="110"/>
    </row>
    <row r="57" spans="1:50" ht="15.75" x14ac:dyDescent="0.25">
      <c r="A57" s="372"/>
      <c r="B57"/>
      <c r="C57"/>
      <c r="D57"/>
      <c r="E57"/>
      <c r="F57" s="373"/>
      <c r="G57" s="165"/>
      <c r="H57" s="166"/>
      <c r="I57" s="166"/>
      <c r="J57" s="166"/>
      <c r="K57" s="166"/>
      <c r="L57" s="166"/>
      <c r="M57" s="166"/>
      <c r="Q57" s="110"/>
      <c r="Y57" s="110"/>
    </row>
    <row r="58" spans="1:50" x14ac:dyDescent="0.2">
      <c r="A58" s="79"/>
      <c r="B58"/>
      <c r="C58"/>
      <c r="D58"/>
      <c r="E58"/>
      <c r="F58" s="373"/>
      <c r="G58" s="109"/>
      <c r="H58" s="110"/>
      <c r="I58" s="110"/>
      <c r="Q58" s="110"/>
      <c r="Y58" s="110"/>
    </row>
    <row r="59" spans="1:50" ht="16.5" customHeight="1" x14ac:dyDescent="0.25">
      <c r="A59" s="409" t="s">
        <v>369</v>
      </c>
      <c r="B59" s="410"/>
      <c r="C59" s="410"/>
      <c r="D59" s="410"/>
      <c r="E59" s="410"/>
      <c r="F59" s="410"/>
      <c r="G59" s="410"/>
      <c r="H59" s="410"/>
      <c r="I59" s="410"/>
      <c r="J59" s="410"/>
      <c r="K59" s="410"/>
      <c r="L59" s="410"/>
      <c r="M59" s="410"/>
      <c r="N59" s="410"/>
      <c r="O59" s="410"/>
      <c r="P59" s="410"/>
      <c r="Q59" s="410"/>
      <c r="Y59" s="110"/>
    </row>
    <row r="60" spans="1:50" x14ac:dyDescent="0.2">
      <c r="A60" s="378" t="s">
        <v>372</v>
      </c>
      <c r="B60" s="79"/>
      <c r="C60" s="79"/>
      <c r="D60" s="79"/>
      <c r="E60" s="79"/>
      <c r="F60" s="79"/>
      <c r="G60" s="191"/>
      <c r="I60" s="109"/>
      <c r="J60" s="191"/>
      <c r="Y60" s="110"/>
      <c r="AX60" s="259"/>
    </row>
    <row r="61" spans="1:50" x14ac:dyDescent="0.2">
      <c r="B61" s="79"/>
      <c r="C61" s="79"/>
      <c r="D61" s="79"/>
      <c r="E61" s="79"/>
      <c r="F61" s="79"/>
      <c r="G61" s="191"/>
      <c r="I61" s="109"/>
      <c r="J61" s="191"/>
      <c r="Y61" s="110"/>
      <c r="AX61" s="259"/>
    </row>
    <row r="62" spans="1:50" x14ac:dyDescent="0.2">
      <c r="B62" s="79"/>
      <c r="C62" s="79"/>
      <c r="D62" s="79"/>
      <c r="E62" s="79"/>
      <c r="F62" s="79"/>
      <c r="G62" s="191"/>
      <c r="I62" s="109"/>
      <c r="J62" s="191"/>
      <c r="Y62" s="110"/>
      <c r="AX62" s="259"/>
    </row>
    <row r="63" spans="1:50" ht="16.5" customHeight="1" x14ac:dyDescent="0.25">
      <c r="A63" s="385" t="s">
        <v>374</v>
      </c>
      <c r="B63" s="386"/>
      <c r="C63" s="386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6"/>
      <c r="O63" s="386"/>
      <c r="P63" s="386"/>
      <c r="Y63" s="110"/>
      <c r="AX63" s="259"/>
    </row>
    <row r="64" spans="1:50" ht="15.75" x14ac:dyDescent="0.25">
      <c r="A64" s="372" t="s">
        <v>375</v>
      </c>
      <c r="B64"/>
      <c r="C64"/>
      <c r="D64"/>
      <c r="E64"/>
      <c r="F64" s="373"/>
      <c r="G64" s="165"/>
      <c r="H64" s="166"/>
      <c r="I64" s="166"/>
      <c r="J64" s="166"/>
      <c r="K64" s="166"/>
      <c r="L64" s="166"/>
      <c r="M64" s="166"/>
      <c r="Y64" s="110"/>
      <c r="AX64" s="259"/>
    </row>
    <row r="65" spans="1:50" x14ac:dyDescent="0.2">
      <c r="A65" s="189" t="s">
        <v>378</v>
      </c>
      <c r="E65" s="383"/>
      <c r="G65" s="109"/>
      <c r="I65" s="110"/>
      <c r="Y65" s="110"/>
      <c r="AX65" s="259"/>
    </row>
    <row r="66" spans="1:50" x14ac:dyDescent="0.2">
      <c r="A66" s="384" t="s">
        <v>376</v>
      </c>
      <c r="B66" s="288"/>
      <c r="E66" s="383"/>
      <c r="G66" s="109"/>
      <c r="I66" s="110"/>
      <c r="Y66" s="110"/>
      <c r="AX66" s="259"/>
    </row>
    <row r="67" spans="1:50" x14ac:dyDescent="0.2">
      <c r="E67" s="383"/>
      <c r="G67" s="109"/>
      <c r="I67" s="110"/>
      <c r="Y67" s="110"/>
      <c r="AX67" s="259"/>
    </row>
    <row r="68" spans="1:50" ht="16.5" customHeight="1" x14ac:dyDescent="0.25">
      <c r="A68" s="385" t="s">
        <v>377</v>
      </c>
      <c r="B68" s="386"/>
      <c r="C68" s="386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Y68" s="110"/>
      <c r="AX68" s="259"/>
    </row>
    <row r="69" spans="1:50" x14ac:dyDescent="0.2">
      <c r="A69" s="372" t="s">
        <v>400</v>
      </c>
      <c r="D69" s="117"/>
      <c r="E69" s="383"/>
      <c r="G69" s="109"/>
      <c r="I69" s="110"/>
      <c r="Y69" s="110"/>
      <c r="AX69" s="259"/>
    </row>
    <row r="70" spans="1:50" x14ac:dyDescent="0.2">
      <c r="A70" s="384" t="s">
        <v>376</v>
      </c>
      <c r="D70" s="110"/>
      <c r="E70" s="383"/>
      <c r="G70" s="109"/>
      <c r="I70" s="110"/>
      <c r="Y70" s="110"/>
      <c r="AX70" s="259"/>
    </row>
    <row r="71" spans="1:50" x14ac:dyDescent="0.2">
      <c r="Y71" s="110"/>
    </row>
    <row r="72" spans="1:50" x14ac:dyDescent="0.2">
      <c r="Y72" s="110"/>
    </row>
    <row r="73" spans="1:50" x14ac:dyDescent="0.2">
      <c r="Y73" s="110"/>
    </row>
    <row r="74" spans="1:50" x14ac:dyDescent="0.2">
      <c r="Y74" s="110"/>
    </row>
    <row r="75" spans="1:50" x14ac:dyDescent="0.2">
      <c r="Y75" s="110"/>
    </row>
    <row r="76" spans="1:50" x14ac:dyDescent="0.2">
      <c r="Y76" s="110"/>
    </row>
    <row r="77" spans="1:50" x14ac:dyDescent="0.2">
      <c r="Y77" s="110"/>
    </row>
    <row r="78" spans="1:50" x14ac:dyDescent="0.2">
      <c r="Y78" s="110"/>
    </row>
    <row r="79" spans="1:50" x14ac:dyDescent="0.2">
      <c r="Y79" s="110"/>
    </row>
    <row r="80" spans="1:50" x14ac:dyDescent="0.2">
      <c r="Y80" s="110"/>
    </row>
    <row r="81" spans="2:25" x14ac:dyDescent="0.2">
      <c r="Y81" s="110"/>
    </row>
    <row r="82" spans="2:25" x14ac:dyDescent="0.2">
      <c r="Y82" s="110"/>
    </row>
    <row r="83" spans="2:25" x14ac:dyDescent="0.2">
      <c r="Y83" s="110"/>
    </row>
    <row r="84" spans="2:25" x14ac:dyDescent="0.2">
      <c r="Y84" s="110"/>
    </row>
    <row r="85" spans="2:25" x14ac:dyDescent="0.2">
      <c r="Y85" s="110"/>
    </row>
    <row r="86" spans="2:25" x14ac:dyDescent="0.2">
      <c r="Y86" s="110"/>
    </row>
    <row r="87" spans="2:25" x14ac:dyDescent="0.2">
      <c r="B87" s="108" t="s">
        <v>364</v>
      </c>
      <c r="G87" s="110">
        <v>500000</v>
      </c>
      <c r="Y87" s="110"/>
    </row>
    <row r="88" spans="2:25" x14ac:dyDescent="0.2">
      <c r="Y88" s="110"/>
    </row>
    <row r="89" spans="2:25" x14ac:dyDescent="0.2">
      <c r="Y89" s="110"/>
    </row>
    <row r="90" spans="2:25" x14ac:dyDescent="0.2">
      <c r="Y90" s="110"/>
    </row>
    <row r="91" spans="2:25" x14ac:dyDescent="0.2">
      <c r="Y91" s="110"/>
    </row>
    <row r="92" spans="2:25" x14ac:dyDescent="0.2">
      <c r="Y92" s="110"/>
    </row>
    <row r="93" spans="2:25" x14ac:dyDescent="0.2">
      <c r="Y93" s="110"/>
    </row>
    <row r="94" spans="2:25" x14ac:dyDescent="0.2">
      <c r="Y94" s="110"/>
    </row>
    <row r="95" spans="2:25" x14ac:dyDescent="0.2">
      <c r="Y95" s="110"/>
    </row>
    <row r="96" spans="2:25" x14ac:dyDescent="0.2">
      <c r="Y96" s="110"/>
    </row>
    <row r="97" spans="25:25" x14ac:dyDescent="0.2">
      <c r="Y97" s="110"/>
    </row>
    <row r="98" spans="25:25" x14ac:dyDescent="0.2">
      <c r="Y98" s="110"/>
    </row>
    <row r="99" spans="25:25" x14ac:dyDescent="0.2">
      <c r="Y99" s="110"/>
    </row>
    <row r="100" spans="25:25" x14ac:dyDescent="0.2">
      <c r="Y100" s="110"/>
    </row>
    <row r="101" spans="25:25" x14ac:dyDescent="0.2">
      <c r="Y101" s="110"/>
    </row>
    <row r="102" spans="25:25" x14ac:dyDescent="0.2">
      <c r="Y102" s="110"/>
    </row>
    <row r="103" spans="25:25" x14ac:dyDescent="0.2">
      <c r="Y103" s="110"/>
    </row>
    <row r="104" spans="25:25" x14ac:dyDescent="0.2">
      <c r="Y104" s="110"/>
    </row>
    <row r="105" spans="25:25" x14ac:dyDescent="0.2">
      <c r="Y105" s="110"/>
    </row>
    <row r="106" spans="25:25" x14ac:dyDescent="0.2">
      <c r="Y106" s="110"/>
    </row>
    <row r="107" spans="25:25" x14ac:dyDescent="0.2">
      <c r="Y107" s="110"/>
    </row>
    <row r="108" spans="25:25" x14ac:dyDescent="0.2">
      <c r="Y108" s="110"/>
    </row>
    <row r="109" spans="25:25" x14ac:dyDescent="0.2">
      <c r="Y109" s="110"/>
    </row>
    <row r="110" spans="25:25" x14ac:dyDescent="0.2">
      <c r="Y110" s="110"/>
    </row>
    <row r="111" spans="25:25" x14ac:dyDescent="0.2">
      <c r="Y111" s="110"/>
    </row>
    <row r="112" spans="25:25" x14ac:dyDescent="0.2">
      <c r="Y112" s="110"/>
    </row>
    <row r="113" spans="7:25" x14ac:dyDescent="0.2">
      <c r="G113" s="110">
        <v>28043.75</v>
      </c>
      <c r="Y113" s="110"/>
    </row>
    <row r="114" spans="7:25" x14ac:dyDescent="0.2">
      <c r="Y114" s="110"/>
    </row>
    <row r="115" spans="7:25" x14ac:dyDescent="0.2">
      <c r="Y115" s="110"/>
    </row>
    <row r="116" spans="7:25" x14ac:dyDescent="0.2">
      <c r="Y116" s="110"/>
    </row>
    <row r="117" spans="7:25" x14ac:dyDescent="0.2">
      <c r="Y117" s="110"/>
    </row>
    <row r="118" spans="7:25" x14ac:dyDescent="0.2">
      <c r="Y118" s="110"/>
    </row>
    <row r="119" spans="7:25" x14ac:dyDescent="0.2">
      <c r="Y119" s="110"/>
    </row>
    <row r="120" spans="7:25" x14ac:dyDescent="0.2">
      <c r="Y120" s="110"/>
    </row>
    <row r="121" spans="7:25" x14ac:dyDescent="0.2">
      <c r="Y121" s="110"/>
    </row>
    <row r="122" spans="7:25" x14ac:dyDescent="0.2">
      <c r="Y122" s="110"/>
    </row>
    <row r="123" spans="7:25" x14ac:dyDescent="0.2">
      <c r="Y123" s="110"/>
    </row>
    <row r="124" spans="7:25" x14ac:dyDescent="0.2">
      <c r="Y124" s="110"/>
    </row>
    <row r="125" spans="7:25" x14ac:dyDescent="0.2">
      <c r="Y125" s="110"/>
    </row>
    <row r="126" spans="7:25" x14ac:dyDescent="0.2">
      <c r="Y126" s="110"/>
    </row>
    <row r="127" spans="7:25" x14ac:dyDescent="0.2">
      <c r="Y127" s="110"/>
    </row>
    <row r="128" spans="7:25" x14ac:dyDescent="0.2">
      <c r="Y128" s="110"/>
    </row>
    <row r="129" spans="25:25" x14ac:dyDescent="0.2">
      <c r="Y129" s="110"/>
    </row>
    <row r="130" spans="25:25" x14ac:dyDescent="0.2">
      <c r="Y130" s="110"/>
    </row>
    <row r="131" spans="25:25" x14ac:dyDescent="0.2">
      <c r="Y131" s="110"/>
    </row>
    <row r="132" spans="25:25" x14ac:dyDescent="0.2">
      <c r="Y132" s="110"/>
    </row>
    <row r="133" spans="25:25" x14ac:dyDescent="0.2">
      <c r="Y133" s="110"/>
    </row>
    <row r="134" spans="25:25" x14ac:dyDescent="0.2">
      <c r="Y134" s="110"/>
    </row>
    <row r="135" spans="25:25" x14ac:dyDescent="0.2">
      <c r="Y135" s="110"/>
    </row>
    <row r="136" spans="25:25" x14ac:dyDescent="0.2">
      <c r="Y136" s="110"/>
    </row>
    <row r="137" spans="25:25" x14ac:dyDescent="0.2">
      <c r="Y137" s="110"/>
    </row>
    <row r="138" spans="25:25" x14ac:dyDescent="0.2">
      <c r="Y138" s="110"/>
    </row>
    <row r="139" spans="25:25" x14ac:dyDescent="0.2">
      <c r="Y139" s="110"/>
    </row>
    <row r="140" spans="25:25" x14ac:dyDescent="0.2">
      <c r="Y140" s="110"/>
    </row>
    <row r="141" spans="25:25" x14ac:dyDescent="0.2">
      <c r="Y141" s="110"/>
    </row>
    <row r="142" spans="25:25" x14ac:dyDescent="0.2">
      <c r="Y142" s="110"/>
    </row>
    <row r="143" spans="25:25" x14ac:dyDescent="0.2">
      <c r="Y143" s="110"/>
    </row>
    <row r="144" spans="25:25" x14ac:dyDescent="0.2">
      <c r="Y144" s="110"/>
    </row>
    <row r="145" spans="25:25" x14ac:dyDescent="0.2">
      <c r="Y145" s="110"/>
    </row>
    <row r="146" spans="25:25" x14ac:dyDescent="0.2">
      <c r="Y146" s="110"/>
    </row>
    <row r="147" spans="25:25" x14ac:dyDescent="0.2">
      <c r="Y147" s="110"/>
    </row>
    <row r="148" spans="25:25" x14ac:dyDescent="0.2">
      <c r="Y148" s="110"/>
    </row>
    <row r="149" spans="25:25" x14ac:dyDescent="0.2">
      <c r="Y149" s="110"/>
    </row>
    <row r="150" spans="25:25" x14ac:dyDescent="0.2">
      <c r="Y150" s="110"/>
    </row>
    <row r="151" spans="25:25" x14ac:dyDescent="0.2">
      <c r="Y151" s="110"/>
    </row>
    <row r="152" spans="25:25" x14ac:dyDescent="0.2">
      <c r="Y152" s="110"/>
    </row>
    <row r="153" spans="25:25" x14ac:dyDescent="0.2">
      <c r="Y153" s="110"/>
    </row>
    <row r="154" spans="25:25" x14ac:dyDescent="0.2">
      <c r="Y154" s="110"/>
    </row>
    <row r="155" spans="25:25" x14ac:dyDescent="0.2">
      <c r="Y155" s="110"/>
    </row>
    <row r="156" spans="25:25" x14ac:dyDescent="0.2">
      <c r="Y156" s="110"/>
    </row>
    <row r="157" spans="25:25" x14ac:dyDescent="0.2">
      <c r="Y157" s="110"/>
    </row>
    <row r="158" spans="25:25" x14ac:dyDescent="0.2">
      <c r="Y158" s="110"/>
    </row>
    <row r="159" spans="25:25" x14ac:dyDescent="0.2">
      <c r="Y159" s="110"/>
    </row>
    <row r="160" spans="25:25" x14ac:dyDescent="0.2">
      <c r="Y160" s="110"/>
    </row>
    <row r="161" spans="25:25" x14ac:dyDescent="0.2">
      <c r="Y161" s="110"/>
    </row>
    <row r="162" spans="25:25" x14ac:dyDescent="0.2">
      <c r="Y162" s="110"/>
    </row>
    <row r="163" spans="25:25" x14ac:dyDescent="0.2">
      <c r="Y163" s="110"/>
    </row>
    <row r="164" spans="25:25" x14ac:dyDescent="0.2">
      <c r="Y164" s="110"/>
    </row>
    <row r="165" spans="25:25" x14ac:dyDescent="0.2">
      <c r="Y165" s="110"/>
    </row>
    <row r="166" spans="25:25" x14ac:dyDescent="0.2">
      <c r="Y166" s="110"/>
    </row>
    <row r="167" spans="25:25" x14ac:dyDescent="0.2">
      <c r="Y167" s="110"/>
    </row>
    <row r="168" spans="25:25" x14ac:dyDescent="0.2">
      <c r="Y168" s="110"/>
    </row>
    <row r="169" spans="25:25" x14ac:dyDescent="0.2">
      <c r="Y169" s="110"/>
    </row>
    <row r="170" spans="25:25" x14ac:dyDescent="0.2">
      <c r="Y170" s="110"/>
    </row>
    <row r="171" spans="25:25" x14ac:dyDescent="0.2">
      <c r="Y171" s="110"/>
    </row>
    <row r="172" spans="25:25" x14ac:dyDescent="0.2">
      <c r="Y172" s="110"/>
    </row>
    <row r="173" spans="25:25" x14ac:dyDescent="0.2">
      <c r="Y173" s="110"/>
    </row>
    <row r="174" spans="25:25" x14ac:dyDescent="0.2">
      <c r="Y174" s="110"/>
    </row>
    <row r="175" spans="25:25" x14ac:dyDescent="0.2">
      <c r="Y175" s="110"/>
    </row>
    <row r="176" spans="25:25" x14ac:dyDescent="0.2">
      <c r="Y176" s="110"/>
    </row>
    <row r="177" spans="25:25" x14ac:dyDescent="0.2">
      <c r="Y177" s="110"/>
    </row>
    <row r="178" spans="25:25" x14ac:dyDescent="0.2">
      <c r="Y178" s="110"/>
    </row>
    <row r="179" spans="25:25" x14ac:dyDescent="0.2">
      <c r="Y179" s="110"/>
    </row>
    <row r="180" spans="25:25" x14ac:dyDescent="0.2">
      <c r="Y180" s="110"/>
    </row>
    <row r="181" spans="25:25" x14ac:dyDescent="0.2">
      <c r="Y181" s="110"/>
    </row>
    <row r="182" spans="25:25" x14ac:dyDescent="0.2">
      <c r="Y182" s="110"/>
    </row>
    <row r="183" spans="25:25" x14ac:dyDescent="0.2">
      <c r="Y183" s="110"/>
    </row>
    <row r="184" spans="25:25" x14ac:dyDescent="0.2">
      <c r="Y184" s="110"/>
    </row>
    <row r="185" spans="25:25" x14ac:dyDescent="0.2">
      <c r="Y185" s="110"/>
    </row>
    <row r="186" spans="25:25" x14ac:dyDescent="0.2">
      <c r="Y186" s="110"/>
    </row>
    <row r="187" spans="25:25" x14ac:dyDescent="0.2">
      <c r="Y187" s="110"/>
    </row>
    <row r="188" spans="25:25" x14ac:dyDescent="0.2">
      <c r="Y188" s="110"/>
    </row>
    <row r="189" spans="25:25" x14ac:dyDescent="0.2">
      <c r="Y189" s="110"/>
    </row>
    <row r="190" spans="25:25" x14ac:dyDescent="0.2">
      <c r="Y190" s="110"/>
    </row>
    <row r="191" spans="25:25" x14ac:dyDescent="0.2">
      <c r="Y191" s="110"/>
    </row>
    <row r="192" spans="25:25" x14ac:dyDescent="0.2">
      <c r="Y192" s="110"/>
    </row>
    <row r="193" spans="25:25" x14ac:dyDescent="0.2">
      <c r="Y193" s="110"/>
    </row>
    <row r="194" spans="25:25" x14ac:dyDescent="0.2">
      <c r="Y194" s="110"/>
    </row>
    <row r="195" spans="25:25" x14ac:dyDescent="0.2">
      <c r="Y195" s="110"/>
    </row>
    <row r="196" spans="25:25" x14ac:dyDescent="0.2">
      <c r="Y196" s="110"/>
    </row>
    <row r="197" spans="25:25" x14ac:dyDescent="0.2">
      <c r="Y197" s="110"/>
    </row>
    <row r="198" spans="25:25" x14ac:dyDescent="0.2">
      <c r="Y198" s="110"/>
    </row>
    <row r="199" spans="25:25" x14ac:dyDescent="0.2">
      <c r="Y199" s="110"/>
    </row>
    <row r="200" spans="25:25" x14ac:dyDescent="0.2">
      <c r="Y200" s="110"/>
    </row>
    <row r="201" spans="25:25" x14ac:dyDescent="0.2">
      <c r="Y201" s="110"/>
    </row>
    <row r="202" spans="25:25" x14ac:dyDescent="0.2">
      <c r="Y202" s="110"/>
    </row>
    <row r="203" spans="25:25" x14ac:dyDescent="0.2">
      <c r="Y203" s="110"/>
    </row>
    <row r="204" spans="25:25" x14ac:dyDescent="0.2">
      <c r="Y204" s="110"/>
    </row>
    <row r="205" spans="25:25" x14ac:dyDescent="0.2">
      <c r="Y205" s="110"/>
    </row>
    <row r="206" spans="25:25" x14ac:dyDescent="0.2">
      <c r="Y206" s="110"/>
    </row>
    <row r="207" spans="25:25" x14ac:dyDescent="0.2">
      <c r="Y207" s="110"/>
    </row>
    <row r="208" spans="25:25" x14ac:dyDescent="0.2">
      <c r="Y208" s="110"/>
    </row>
    <row r="209" spans="25:25" x14ac:dyDescent="0.2">
      <c r="Y209" s="110"/>
    </row>
    <row r="210" spans="25:25" x14ac:dyDescent="0.2">
      <c r="Y210" s="110"/>
    </row>
    <row r="211" spans="25:25" x14ac:dyDescent="0.2">
      <c r="Y211" s="110"/>
    </row>
    <row r="212" spans="25:25" x14ac:dyDescent="0.2">
      <c r="Y212" s="110"/>
    </row>
    <row r="213" spans="25:25" x14ac:dyDescent="0.2">
      <c r="Y213" s="110"/>
    </row>
    <row r="214" spans="25:25" x14ac:dyDescent="0.2">
      <c r="Y214" s="110"/>
    </row>
    <row r="215" spans="25:25" x14ac:dyDescent="0.2">
      <c r="Y215" s="110"/>
    </row>
    <row r="216" spans="25:25" x14ac:dyDescent="0.2">
      <c r="Y216" s="110"/>
    </row>
    <row r="217" spans="25:25" x14ac:dyDescent="0.2">
      <c r="Y217" s="110"/>
    </row>
    <row r="218" spans="25:25" x14ac:dyDescent="0.2">
      <c r="Y218" s="110"/>
    </row>
    <row r="219" spans="25:25" x14ac:dyDescent="0.2">
      <c r="Y219" s="110"/>
    </row>
    <row r="220" spans="25:25" x14ac:dyDescent="0.2">
      <c r="Y220" s="110"/>
    </row>
    <row r="221" spans="25:25" x14ac:dyDescent="0.2">
      <c r="Y221" s="110"/>
    </row>
    <row r="222" spans="25:25" x14ac:dyDescent="0.2">
      <c r="Y222" s="110"/>
    </row>
    <row r="223" spans="25:25" x14ac:dyDescent="0.2">
      <c r="Y223" s="110"/>
    </row>
    <row r="224" spans="25:25" x14ac:dyDescent="0.2">
      <c r="Y224" s="110"/>
    </row>
    <row r="225" spans="25:25" x14ac:dyDescent="0.2">
      <c r="Y225" s="110"/>
    </row>
    <row r="226" spans="25:25" x14ac:dyDescent="0.2">
      <c r="Y226" s="110"/>
    </row>
    <row r="227" spans="25:25" x14ac:dyDescent="0.2">
      <c r="Y227" s="110"/>
    </row>
    <row r="228" spans="25:25" x14ac:dyDescent="0.2">
      <c r="Y228" s="110"/>
    </row>
    <row r="229" spans="25:25" x14ac:dyDescent="0.2">
      <c r="Y229" s="110"/>
    </row>
    <row r="230" spans="25:25" x14ac:dyDescent="0.2">
      <c r="Y230" s="110"/>
    </row>
    <row r="231" spans="25:25" x14ac:dyDescent="0.2">
      <c r="Y231" s="110"/>
    </row>
    <row r="232" spans="25:25" x14ac:dyDescent="0.2">
      <c r="Y232" s="110"/>
    </row>
    <row r="233" spans="25:25" x14ac:dyDescent="0.2">
      <c r="Y233" s="110"/>
    </row>
    <row r="234" spans="25:25" x14ac:dyDescent="0.2">
      <c r="Y234" s="110"/>
    </row>
    <row r="235" spans="25:25" x14ac:dyDescent="0.2">
      <c r="Y235" s="110"/>
    </row>
    <row r="236" spans="25:25" x14ac:dyDescent="0.2">
      <c r="Y236" s="110"/>
    </row>
    <row r="237" spans="25:25" x14ac:dyDescent="0.2">
      <c r="Y237" s="110"/>
    </row>
    <row r="238" spans="25:25" x14ac:dyDescent="0.2">
      <c r="Y238" s="110"/>
    </row>
    <row r="239" spans="25:25" x14ac:dyDescent="0.2">
      <c r="Y239" s="110"/>
    </row>
    <row r="240" spans="25:25" x14ac:dyDescent="0.2">
      <c r="Y240" s="110"/>
    </row>
    <row r="241" spans="25:25" x14ac:dyDescent="0.2">
      <c r="Y241" s="110"/>
    </row>
    <row r="242" spans="25:25" x14ac:dyDescent="0.2">
      <c r="Y242" s="110"/>
    </row>
    <row r="243" spans="25:25" x14ac:dyDescent="0.2">
      <c r="Y243" s="110"/>
    </row>
    <row r="244" spans="25:25" x14ac:dyDescent="0.2">
      <c r="Y244" s="110"/>
    </row>
    <row r="245" spans="25:25" x14ac:dyDescent="0.2">
      <c r="Y245" s="110"/>
    </row>
    <row r="246" spans="25:25" x14ac:dyDescent="0.2">
      <c r="Y246" s="110"/>
    </row>
    <row r="247" spans="25:25" x14ac:dyDescent="0.2">
      <c r="Y247" s="110"/>
    </row>
    <row r="248" spans="25:25" x14ac:dyDescent="0.2">
      <c r="Y248" s="110"/>
    </row>
    <row r="249" spans="25:25" x14ac:dyDescent="0.2">
      <c r="Y249" s="110"/>
    </row>
    <row r="250" spans="25:25" x14ac:dyDescent="0.2">
      <c r="Y250" s="110"/>
    </row>
    <row r="251" spans="25:25" x14ac:dyDescent="0.2">
      <c r="Y251" s="110"/>
    </row>
    <row r="252" spans="25:25" x14ac:dyDescent="0.2">
      <c r="Y252" s="110"/>
    </row>
    <row r="253" spans="25:25" x14ac:dyDescent="0.2">
      <c r="Y253" s="110"/>
    </row>
    <row r="254" spans="25:25" x14ac:dyDescent="0.2">
      <c r="Y254" s="110"/>
    </row>
    <row r="255" spans="25:25" x14ac:dyDescent="0.2">
      <c r="Y255" s="110"/>
    </row>
    <row r="256" spans="25:25" x14ac:dyDescent="0.2">
      <c r="Y256" s="110"/>
    </row>
    <row r="257" spans="25:25" x14ac:dyDescent="0.2">
      <c r="Y257" s="110"/>
    </row>
    <row r="258" spans="25:25" x14ac:dyDescent="0.2">
      <c r="Y258" s="110"/>
    </row>
    <row r="259" spans="25:25" x14ac:dyDescent="0.2">
      <c r="Y259" s="110"/>
    </row>
    <row r="260" spans="25:25" x14ac:dyDescent="0.2">
      <c r="Y260" s="110"/>
    </row>
    <row r="261" spans="25:25" x14ac:dyDescent="0.2">
      <c r="Y261" s="110"/>
    </row>
    <row r="262" spans="25:25" x14ac:dyDescent="0.2">
      <c r="Y262" s="110"/>
    </row>
    <row r="263" spans="25:25" x14ac:dyDescent="0.2">
      <c r="Y263" s="110"/>
    </row>
    <row r="264" spans="25:25" x14ac:dyDescent="0.2">
      <c r="Y264" s="110"/>
    </row>
    <row r="265" spans="25:25" x14ac:dyDescent="0.2">
      <c r="Y265" s="110"/>
    </row>
    <row r="266" spans="25:25" x14ac:dyDescent="0.2">
      <c r="Y266" s="110"/>
    </row>
    <row r="267" spans="25:25" x14ac:dyDescent="0.2">
      <c r="Y267" s="110"/>
    </row>
    <row r="268" spans="25:25" x14ac:dyDescent="0.2">
      <c r="Y268" s="110"/>
    </row>
    <row r="269" spans="25:25" x14ac:dyDescent="0.2">
      <c r="Y269" s="110"/>
    </row>
    <row r="270" spans="25:25" x14ac:dyDescent="0.2">
      <c r="Y270" s="110"/>
    </row>
    <row r="271" spans="25:25" x14ac:dyDescent="0.2">
      <c r="Y271" s="110"/>
    </row>
    <row r="272" spans="25:25" x14ac:dyDescent="0.2">
      <c r="Y272" s="110"/>
    </row>
    <row r="273" spans="25:25" x14ac:dyDescent="0.2">
      <c r="Y273" s="110"/>
    </row>
    <row r="274" spans="25:25" x14ac:dyDescent="0.2">
      <c r="Y274" s="110"/>
    </row>
    <row r="275" spans="25:25" x14ac:dyDescent="0.2">
      <c r="Y275" s="110"/>
    </row>
    <row r="276" spans="25:25" x14ac:dyDescent="0.2">
      <c r="Y276" s="110"/>
    </row>
    <row r="277" spans="25:25" x14ac:dyDescent="0.2">
      <c r="Y277" s="110"/>
    </row>
    <row r="278" spans="25:25" x14ac:dyDescent="0.2">
      <c r="Y278" s="110"/>
    </row>
    <row r="279" spans="25:25" x14ac:dyDescent="0.2">
      <c r="Y279" s="110"/>
    </row>
    <row r="280" spans="25:25" x14ac:dyDescent="0.2">
      <c r="Y280" s="110"/>
    </row>
    <row r="281" spans="25:25" x14ac:dyDescent="0.2">
      <c r="Y281" s="110"/>
    </row>
    <row r="282" spans="25:25" x14ac:dyDescent="0.2">
      <c r="Y282" s="110"/>
    </row>
    <row r="283" spans="25:25" x14ac:dyDescent="0.2">
      <c r="Y283" s="110"/>
    </row>
    <row r="284" spans="25:25" x14ac:dyDescent="0.2">
      <c r="Y284" s="110"/>
    </row>
    <row r="285" spans="25:25" x14ac:dyDescent="0.2">
      <c r="Y285" s="110"/>
    </row>
    <row r="286" spans="25:25" x14ac:dyDescent="0.2">
      <c r="Y286" s="110"/>
    </row>
    <row r="287" spans="25:25" x14ac:dyDescent="0.2">
      <c r="Y287" s="110"/>
    </row>
    <row r="288" spans="25:25" x14ac:dyDescent="0.2">
      <c r="Y288" s="110"/>
    </row>
    <row r="289" spans="25:25" x14ac:dyDescent="0.2">
      <c r="Y289" s="110"/>
    </row>
    <row r="290" spans="25:25" x14ac:dyDescent="0.2">
      <c r="Y290" s="110"/>
    </row>
    <row r="291" spans="25:25" x14ac:dyDescent="0.2">
      <c r="Y291" s="110"/>
    </row>
    <row r="292" spans="25:25" x14ac:dyDescent="0.2">
      <c r="Y292" s="110"/>
    </row>
    <row r="293" spans="25:25" x14ac:dyDescent="0.2">
      <c r="Y293" s="110"/>
    </row>
    <row r="294" spans="25:25" x14ac:dyDescent="0.2">
      <c r="Y294" s="110"/>
    </row>
    <row r="295" spans="25:25" x14ac:dyDescent="0.2">
      <c r="Y295" s="110"/>
    </row>
    <row r="296" spans="25:25" x14ac:dyDescent="0.2">
      <c r="Y296" s="110"/>
    </row>
    <row r="297" spans="25:25" x14ac:dyDescent="0.2">
      <c r="Y297" s="110"/>
    </row>
    <row r="298" spans="25:25" x14ac:dyDescent="0.2">
      <c r="Y298" s="110"/>
    </row>
    <row r="299" spans="25:25" x14ac:dyDescent="0.2">
      <c r="Y299" s="110"/>
    </row>
    <row r="300" spans="25:25" x14ac:dyDescent="0.2">
      <c r="Y300" s="110"/>
    </row>
    <row r="301" spans="25:25" x14ac:dyDescent="0.2">
      <c r="Y301" s="110"/>
    </row>
    <row r="302" spans="25:25" x14ac:dyDescent="0.2">
      <c r="Y302" s="110"/>
    </row>
    <row r="303" spans="25:25" x14ac:dyDescent="0.2">
      <c r="Y303" s="110"/>
    </row>
    <row r="304" spans="25:25" x14ac:dyDescent="0.2">
      <c r="Y304" s="110"/>
    </row>
    <row r="305" spans="25:25" x14ac:dyDescent="0.2">
      <c r="Y305" s="110"/>
    </row>
    <row r="306" spans="25:25" x14ac:dyDescent="0.2">
      <c r="Y306" s="110"/>
    </row>
    <row r="307" spans="25:25" x14ac:dyDescent="0.2">
      <c r="Y307" s="110"/>
    </row>
    <row r="308" spans="25:25" x14ac:dyDescent="0.2">
      <c r="Y308" s="110"/>
    </row>
    <row r="309" spans="25:25" x14ac:dyDescent="0.2">
      <c r="Y309" s="110"/>
    </row>
    <row r="310" spans="25:25" x14ac:dyDescent="0.2">
      <c r="Y310" s="110"/>
    </row>
    <row r="311" spans="25:25" x14ac:dyDescent="0.2">
      <c r="Y311" s="110"/>
    </row>
    <row r="312" spans="25:25" x14ac:dyDescent="0.2">
      <c r="Y312" s="110"/>
    </row>
    <row r="313" spans="25:25" x14ac:dyDescent="0.2">
      <c r="Y313" s="110"/>
    </row>
    <row r="314" spans="25:25" x14ac:dyDescent="0.2">
      <c r="Y314" s="110"/>
    </row>
    <row r="315" spans="25:25" x14ac:dyDescent="0.2">
      <c r="Y315" s="110"/>
    </row>
    <row r="316" spans="25:25" x14ac:dyDescent="0.2">
      <c r="Y316" s="110"/>
    </row>
  </sheetData>
  <autoFilter ref="P4:P35" xr:uid="{8855E614-F986-44E9-A29A-E9AD0AD6669C}"/>
  <mergeCells count="8">
    <mergeCell ref="A59:Q59"/>
    <mergeCell ref="A10:P10"/>
    <mergeCell ref="A11:P11"/>
    <mergeCell ref="Y13:Z13"/>
    <mergeCell ref="AA13:AB13"/>
    <mergeCell ref="A41:R41"/>
    <mergeCell ref="A50:Q50"/>
    <mergeCell ref="A55:Q55"/>
  </mergeCells>
  <phoneticPr fontId="0" type="noConversion"/>
  <hyperlinks>
    <hyperlink ref="A5" r:id="rId1" xr:uid="{F8C00E65-12A3-4E8B-B44C-A387E6430364}"/>
    <hyperlink ref="BD29" r:id="rId2" xr:uid="{1CBF2486-F574-4226-A93F-C9E44C628938}"/>
    <hyperlink ref="A56" r:id="rId3" xr:uid="{7FD68E8A-035A-4FC1-A2BE-55B87545F454}"/>
    <hyperlink ref="A60" r:id="rId4" xr:uid="{770D0610-5110-4ACE-8C3E-BFED02D55413}"/>
  </hyperlinks>
  <pageMargins left="0.39370078740157483" right="0.19685039370078741" top="0.19685039370078741" bottom="7.874015748031496E-2" header="0.11811023622047245" footer="0"/>
  <pageSetup paperSize="9" scale="63" orientation="portrait" r:id="rId5"/>
  <headerFooter alignWithMargins="0">
    <oddFooter xml:space="preserve">&amp;L&amp;12Ante cualquier irregularidad podes llamar al 147, chatear en buenosaires.gob.ar/ba147 o escribirnos en facebook.com/badefensaconsumidor y @BAConsumidor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758A-8BD4-4B8C-B258-5F3ED3C44197}">
  <dimension ref="A1:S271"/>
  <sheetViews>
    <sheetView zoomScaleNormal="100"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I53" sqref="I53"/>
    </sheetView>
  </sheetViews>
  <sheetFormatPr baseColWidth="10" defaultRowHeight="14.25" x14ac:dyDescent="0.2"/>
  <cols>
    <col min="1" max="1" width="8" style="108" customWidth="1"/>
    <col min="2" max="2" width="7.5703125" style="108" hidden="1" customWidth="1"/>
    <col min="3" max="3" width="32.28515625" style="108" customWidth="1"/>
    <col min="4" max="6" width="11.42578125" style="10"/>
    <col min="7" max="7" width="11.42578125" style="80"/>
    <col min="8" max="9" width="11.42578125" style="10"/>
  </cols>
  <sheetData>
    <row r="1" spans="1:12" ht="15" x14ac:dyDescent="0.25">
      <c r="A1" s="107" t="str">
        <f>+'RES CUENTA'!A4</f>
        <v>AV.BELGRANO 1270 5°A C.A.B.A.</v>
      </c>
    </row>
    <row r="2" spans="1:12" x14ac:dyDescent="0.2">
      <c r="A2" s="112"/>
      <c r="B2" s="112"/>
      <c r="C2" s="112"/>
    </row>
    <row r="4" spans="1:12" ht="12.75" x14ac:dyDescent="0.2">
      <c r="A4"/>
      <c r="B4"/>
      <c r="C4"/>
    </row>
    <row r="5" spans="1:12" ht="15" thickBot="1" x14ac:dyDescent="0.25">
      <c r="D5" s="124"/>
      <c r="E5" s="124"/>
      <c r="F5" s="124"/>
    </row>
    <row r="6" spans="1:12" ht="15.75" thickBot="1" x14ac:dyDescent="0.3">
      <c r="A6" s="114" t="s">
        <v>2</v>
      </c>
      <c r="B6" s="115" t="s">
        <v>3</v>
      </c>
      <c r="C6" s="114" t="s">
        <v>4</v>
      </c>
      <c r="D6" s="312">
        <v>46054</v>
      </c>
      <c r="E6" s="312">
        <v>46082</v>
      </c>
      <c r="F6" s="312">
        <v>46113</v>
      </c>
      <c r="G6" s="118" t="s">
        <v>178</v>
      </c>
      <c r="H6" s="114" t="s">
        <v>26</v>
      </c>
      <c r="I6" s="114" t="s">
        <v>179</v>
      </c>
    </row>
    <row r="7" spans="1:12" ht="15" x14ac:dyDescent="0.25">
      <c r="A7" s="126"/>
      <c r="B7" s="126"/>
      <c r="C7" s="126"/>
      <c r="D7" s="160"/>
      <c r="E7" s="160"/>
      <c r="F7" s="160"/>
      <c r="G7" s="161"/>
      <c r="H7" s="126"/>
      <c r="I7" s="126"/>
    </row>
    <row r="8" spans="1:12" ht="13.5" customHeight="1" x14ac:dyDescent="0.2">
      <c r="A8" s="108">
        <v>1</v>
      </c>
      <c r="C8" s="108" t="str">
        <f>+'RES CUENTA'!C15</f>
        <v>CAPRIA MARIA ESTHER</v>
      </c>
      <c r="J8" s="10"/>
      <c r="K8" s="10"/>
    </row>
    <row r="9" spans="1:12" ht="13.5" customHeight="1" x14ac:dyDescent="0.2">
      <c r="G9" s="80">
        <v>0.03</v>
      </c>
      <c r="J9" s="10">
        <f>+'RES CUENTA'!Y15</f>
        <v>569251</v>
      </c>
      <c r="K9" s="10"/>
      <c r="L9" s="10">
        <f>+J9+K9</f>
        <v>569251</v>
      </c>
    </row>
    <row r="10" spans="1:12" ht="13.5" customHeight="1" x14ac:dyDescent="0.2">
      <c r="G10" s="80">
        <v>0.03</v>
      </c>
      <c r="H10" s="10">
        <v>30</v>
      </c>
      <c r="I10" s="10" t="e">
        <f>+#REF!*G10/30*H10</f>
        <v>#REF!</v>
      </c>
      <c r="J10" s="10"/>
      <c r="K10" s="10"/>
    </row>
    <row r="11" spans="1:12" ht="13.5" customHeight="1" x14ac:dyDescent="0.2">
      <c r="J11" s="10"/>
      <c r="K11" s="10"/>
    </row>
    <row r="12" spans="1:12" ht="13.5" customHeight="1" x14ac:dyDescent="0.2">
      <c r="A12" s="108">
        <v>2</v>
      </c>
      <c r="C12" s="108" t="str">
        <f>+'RES CUENTA'!C16</f>
        <v>DEGROSSI VICTORIO</v>
      </c>
      <c r="G12" s="80">
        <v>0.03</v>
      </c>
      <c r="H12" s="10">
        <v>30</v>
      </c>
      <c r="I12" s="10" t="e">
        <f>+#REF!*G12/30*H12</f>
        <v>#REF!</v>
      </c>
      <c r="J12" s="10"/>
      <c r="K12" s="10"/>
    </row>
    <row r="13" spans="1:12" ht="13.5" customHeight="1" x14ac:dyDescent="0.2">
      <c r="J13" s="10"/>
      <c r="K13" s="10"/>
    </row>
    <row r="14" spans="1:12" ht="13.5" customHeight="1" x14ac:dyDescent="0.2">
      <c r="A14" s="108">
        <v>3</v>
      </c>
      <c r="C14" s="108" t="str">
        <f>+'RES CUENTA'!C17</f>
        <v>NIETO MANUEL</v>
      </c>
      <c r="G14" s="80">
        <v>0.03</v>
      </c>
      <c r="H14" s="10">
        <v>30</v>
      </c>
      <c r="I14" s="10" t="e">
        <f>+#REF!*G14/30*H14</f>
        <v>#REF!</v>
      </c>
      <c r="J14" s="10"/>
      <c r="K14" s="10"/>
    </row>
    <row r="15" spans="1:12" ht="15" x14ac:dyDescent="0.25">
      <c r="A15" s="126"/>
      <c r="B15" s="126"/>
      <c r="C15" s="126"/>
      <c r="D15" s="160"/>
      <c r="E15" s="160"/>
      <c r="F15" s="160"/>
      <c r="G15" s="161"/>
      <c r="H15" s="126"/>
      <c r="I15" s="126"/>
    </row>
    <row r="16" spans="1:12" ht="13.5" customHeight="1" x14ac:dyDescent="0.2">
      <c r="A16" s="108">
        <v>4</v>
      </c>
      <c r="C16" s="108" t="str">
        <f>+'RES CUENTA'!C18</f>
        <v>IRAOLA-RODRIGUEZ SORI</v>
      </c>
      <c r="G16" s="80">
        <v>0.03</v>
      </c>
      <c r="H16" s="10">
        <v>30</v>
      </c>
      <c r="I16" s="10">
        <f>+D16*G16/30*H16</f>
        <v>0</v>
      </c>
      <c r="J16" s="10"/>
      <c r="K16" s="10"/>
    </row>
    <row r="17" spans="1:12" ht="15" x14ac:dyDescent="0.25">
      <c r="A17" s="126"/>
      <c r="B17" s="126"/>
      <c r="C17" s="126"/>
      <c r="D17" s="160"/>
      <c r="E17" s="160"/>
      <c r="F17" s="160"/>
      <c r="G17" s="161"/>
      <c r="H17" s="126"/>
      <c r="I17" s="126"/>
    </row>
    <row r="18" spans="1:12" ht="13.5" customHeight="1" x14ac:dyDescent="0.2">
      <c r="A18" s="108">
        <v>5</v>
      </c>
      <c r="C18" s="108" t="str">
        <f>+'RES CUENTA'!C19</f>
        <v>GOMEZ ANTONIO</v>
      </c>
      <c r="G18" s="80">
        <v>0.02</v>
      </c>
      <c r="H18" s="10">
        <v>60</v>
      </c>
      <c r="I18" s="10">
        <v>0</v>
      </c>
      <c r="J18" s="10"/>
      <c r="K18" s="10"/>
    </row>
    <row r="19" spans="1:12" ht="13.5" customHeight="1" x14ac:dyDescent="0.2">
      <c r="G19" s="80">
        <v>0.02</v>
      </c>
      <c r="H19" s="10">
        <v>30</v>
      </c>
      <c r="I19" s="10" t="e">
        <f>+#REF!*G19/30*H19</f>
        <v>#REF!</v>
      </c>
      <c r="J19" s="10"/>
      <c r="K19" s="10"/>
    </row>
    <row r="20" spans="1:12" ht="15" x14ac:dyDescent="0.25">
      <c r="A20" s="126"/>
      <c r="B20" s="126"/>
      <c r="C20" s="126"/>
      <c r="D20" s="160"/>
      <c r="E20" s="160"/>
      <c r="F20" s="160"/>
      <c r="G20" s="161"/>
      <c r="H20" s="126"/>
      <c r="I20" s="164" t="e">
        <f>SUM(I18:I19)</f>
        <v>#REF!</v>
      </c>
    </row>
    <row r="21" spans="1:12" ht="13.5" customHeight="1" x14ac:dyDescent="0.2">
      <c r="A21" s="108">
        <v>6</v>
      </c>
      <c r="C21" s="108" t="str">
        <f>+'RES CUENTA'!C20</f>
        <v>PECYNER GUILLERMO</v>
      </c>
      <c r="G21" s="80">
        <v>0.02</v>
      </c>
      <c r="H21" s="10">
        <v>90</v>
      </c>
      <c r="J21" s="10"/>
      <c r="K21" s="10"/>
    </row>
    <row r="22" spans="1:12" ht="13.5" customHeight="1" x14ac:dyDescent="0.2">
      <c r="G22" s="80">
        <v>0.02</v>
      </c>
      <c r="H22" s="10">
        <v>60</v>
      </c>
      <c r="J22" s="10"/>
      <c r="K22" s="10"/>
    </row>
    <row r="23" spans="1:12" ht="13.5" customHeight="1" x14ac:dyDescent="0.2">
      <c r="G23" s="80">
        <v>0.02</v>
      </c>
      <c r="H23" s="10">
        <v>60</v>
      </c>
      <c r="J23" s="10"/>
      <c r="K23" s="10"/>
    </row>
    <row r="24" spans="1:12" ht="13.5" customHeight="1" x14ac:dyDescent="0.2">
      <c r="G24" s="80">
        <v>0.02</v>
      </c>
      <c r="H24" s="10">
        <v>30</v>
      </c>
      <c r="I24" s="10" t="e">
        <f>+#REF!*G24/30*H24</f>
        <v>#REF!</v>
      </c>
      <c r="J24" s="10"/>
      <c r="K24" s="10"/>
    </row>
    <row r="25" spans="1:12" ht="13.5" customHeight="1" x14ac:dyDescent="0.2">
      <c r="I25" s="10" t="e">
        <f>SUM(I21:I24)</f>
        <v>#REF!</v>
      </c>
      <c r="J25" s="10"/>
      <c r="K25" s="10"/>
    </row>
    <row r="26" spans="1:12" ht="13.5" customHeight="1" x14ac:dyDescent="0.2">
      <c r="A26" s="108">
        <v>7</v>
      </c>
      <c r="C26" s="108" t="str">
        <f>+'RES CUENTA'!C21</f>
        <v>ATAMANIUK ROMAN</v>
      </c>
      <c r="H26" s="10">
        <v>90</v>
      </c>
      <c r="J26" s="10">
        <f>+'RES CUENTA'!Y21</f>
        <v>305367</v>
      </c>
      <c r="K26" s="10">
        <v>-50</v>
      </c>
      <c r="L26" s="10">
        <f>+J26+K26</f>
        <v>305317</v>
      </c>
    </row>
    <row r="27" spans="1:12" ht="13.5" customHeight="1" x14ac:dyDescent="0.2">
      <c r="H27" s="10">
        <v>60</v>
      </c>
      <c r="J27" s="10"/>
      <c r="K27" s="10"/>
      <c r="L27">
        <v>-1371</v>
      </c>
    </row>
    <row r="28" spans="1:12" ht="13.5" customHeight="1" x14ac:dyDescent="0.2">
      <c r="H28" s="10">
        <v>30</v>
      </c>
      <c r="J28" s="10"/>
      <c r="K28" s="10"/>
      <c r="L28" s="10">
        <f>+L26+L27</f>
        <v>303946</v>
      </c>
    </row>
    <row r="29" spans="1:12" ht="13.5" customHeight="1" x14ac:dyDescent="0.2">
      <c r="G29" s="80">
        <v>0.03</v>
      </c>
      <c r="H29" s="10">
        <v>30</v>
      </c>
      <c r="I29" s="10" t="e">
        <f>+#REF!*G29/30*H29</f>
        <v>#REF!</v>
      </c>
      <c r="J29" s="10"/>
      <c r="K29" s="10"/>
    </row>
    <row r="30" spans="1:12" ht="13.5" customHeight="1" x14ac:dyDescent="0.2">
      <c r="I30" s="10" t="e">
        <f>SUM(I26:I29)</f>
        <v>#REF!</v>
      </c>
      <c r="J30" s="10"/>
      <c r="K30" s="10"/>
    </row>
    <row r="31" spans="1:12" ht="13.5" customHeight="1" x14ac:dyDescent="0.2">
      <c r="I31" s="10">
        <f>SUM(I26:I28)</f>
        <v>0</v>
      </c>
      <c r="J31" s="10"/>
      <c r="K31" s="10"/>
    </row>
    <row r="32" spans="1:12" ht="13.5" customHeight="1" x14ac:dyDescent="0.2">
      <c r="A32" s="108">
        <v>8</v>
      </c>
      <c r="C32" s="108" t="str">
        <f>+'RES CUENTA'!C22</f>
        <v>LEINADO MIRTA ALCIRA Y OTROS</v>
      </c>
      <c r="G32" s="80">
        <v>0.02</v>
      </c>
      <c r="H32" s="10">
        <v>30</v>
      </c>
      <c r="I32" s="10" t="e">
        <f>+#REF!*G32/30*H32</f>
        <v>#REF!</v>
      </c>
      <c r="J32" s="10"/>
      <c r="K32" s="10"/>
    </row>
    <row r="33" spans="1:19" ht="15" x14ac:dyDescent="0.25">
      <c r="A33" s="126"/>
      <c r="B33" s="126"/>
      <c r="C33" s="126"/>
      <c r="G33" s="161"/>
      <c r="H33" s="126"/>
      <c r="I33" s="126"/>
      <c r="K33" s="10"/>
      <c r="L33" s="10"/>
      <c r="M33" s="10"/>
      <c r="N33" s="10"/>
      <c r="P33" s="10">
        <f>+'[4]RES CUENTA'!$K$23</f>
        <v>3775.4506375999999</v>
      </c>
      <c r="Q33" s="10">
        <f>+N33+O33+P33</f>
        <v>3775.4506375999999</v>
      </c>
      <c r="R33">
        <v>-8000</v>
      </c>
      <c r="S33">
        <v>-169</v>
      </c>
    </row>
    <row r="34" spans="1:19" ht="13.5" customHeight="1" x14ac:dyDescent="0.2">
      <c r="A34" s="108">
        <v>9</v>
      </c>
      <c r="C34" s="108" t="str">
        <f>+'RES CUENTA'!C23</f>
        <v>DELLA BELLA-BIDINOST</v>
      </c>
      <c r="G34" s="80">
        <v>0.02</v>
      </c>
      <c r="H34" s="10">
        <v>30</v>
      </c>
      <c r="I34" s="10" t="e">
        <f>+#REF!*G34/30*H34</f>
        <v>#REF!</v>
      </c>
      <c r="J34" s="10">
        <f>+'RES CUENTA'!Y23</f>
        <v>305367</v>
      </c>
      <c r="K34" s="10">
        <f>-'[5]RES CUENTA'!$M$23</f>
        <v>-230.87083749600004</v>
      </c>
      <c r="L34" s="10">
        <f>+J34+K34</f>
        <v>305136.12916250399</v>
      </c>
    </row>
    <row r="35" spans="1:19" ht="13.5" customHeight="1" x14ac:dyDescent="0.2">
      <c r="G35" s="80">
        <v>0.02</v>
      </c>
      <c r="H35" s="10">
        <v>30</v>
      </c>
      <c r="I35" s="10" t="e">
        <f>+#REF!*G35/30*H35</f>
        <v>#REF!</v>
      </c>
      <c r="J35" s="10"/>
      <c r="K35" s="10"/>
    </row>
    <row r="36" spans="1:19" ht="13.5" customHeight="1" x14ac:dyDescent="0.2">
      <c r="I36" s="10" t="e">
        <f>SUM(I34:I35)</f>
        <v>#REF!</v>
      </c>
      <c r="J36" s="10"/>
      <c r="K36" s="10"/>
      <c r="L36" s="10" t="e">
        <f>+L34+#REF!</f>
        <v>#REF!</v>
      </c>
    </row>
    <row r="37" spans="1:19" ht="13.5" customHeight="1" x14ac:dyDescent="0.2">
      <c r="J37" s="10"/>
      <c r="K37" s="10"/>
    </row>
    <row r="38" spans="1:19" ht="13.5" customHeight="1" x14ac:dyDescent="0.2">
      <c r="A38" s="108">
        <v>10</v>
      </c>
      <c r="C38" s="108" t="str">
        <f>+'RES CUENTA'!C24</f>
        <v>AGOSTINI A- Y DI MARZO</v>
      </c>
      <c r="F38" s="10">
        <f>+'[1]RES CUENTA'!$P$24</f>
        <v>387667.21006399998</v>
      </c>
      <c r="G38" s="80">
        <v>0.03</v>
      </c>
      <c r="H38" s="10">
        <v>30</v>
      </c>
      <c r="I38" s="10">
        <f>+F38*G38/30*H38</f>
        <v>11630.016301919999</v>
      </c>
      <c r="J38" s="10"/>
      <c r="K38" s="10"/>
    </row>
    <row r="39" spans="1:19" ht="13.5" customHeight="1" x14ac:dyDescent="0.2">
      <c r="J39" s="10"/>
      <c r="K39" s="10"/>
    </row>
    <row r="40" spans="1:19" ht="13.5" customHeight="1" x14ac:dyDescent="0.2">
      <c r="A40" s="108">
        <v>11</v>
      </c>
      <c r="C40" s="108" t="str">
        <f>+'RES CUENTA'!C25</f>
        <v>LETTIERI PAULA</v>
      </c>
      <c r="G40" s="80">
        <v>0.02</v>
      </c>
      <c r="H40" s="10">
        <v>30</v>
      </c>
      <c r="I40" s="10" t="e">
        <f>+#REF!*G40/30*H40</f>
        <v>#REF!</v>
      </c>
      <c r="J40" s="10"/>
      <c r="K40" s="10"/>
    </row>
    <row r="41" spans="1:19" ht="13.5" customHeight="1" x14ac:dyDescent="0.2">
      <c r="J41" s="10"/>
      <c r="K41" s="10"/>
    </row>
    <row r="42" spans="1:19" ht="13.5" customHeight="1" x14ac:dyDescent="0.2">
      <c r="A42" s="108">
        <v>12</v>
      </c>
      <c r="C42" s="108" t="str">
        <f>+'RES CUENTA'!C26</f>
        <v>RODRIGUEZ GERMAN</v>
      </c>
      <c r="G42" s="80">
        <v>0.02</v>
      </c>
      <c r="H42" s="10">
        <v>60</v>
      </c>
      <c r="J42" s="10">
        <f>+'RES CUENTA'!Y26</f>
        <v>399441</v>
      </c>
      <c r="K42" s="10">
        <f>-'[6]RES CUENTA'!$M$26</f>
        <v>-154.73406983199999</v>
      </c>
      <c r="L42" s="10">
        <f>+J42+K42</f>
        <v>399286.26593016798</v>
      </c>
    </row>
    <row r="43" spans="1:19" ht="13.5" customHeight="1" x14ac:dyDescent="0.2">
      <c r="G43" s="80">
        <v>0.03</v>
      </c>
      <c r="H43" s="10">
        <v>90</v>
      </c>
      <c r="J43" s="10"/>
      <c r="K43" s="10"/>
      <c r="L43" s="10"/>
    </row>
    <row r="44" spans="1:19" ht="13.5" customHeight="1" x14ac:dyDescent="0.2">
      <c r="G44" s="80">
        <v>0.03</v>
      </c>
      <c r="H44" s="10">
        <v>60</v>
      </c>
      <c r="J44" s="10"/>
      <c r="K44" s="10"/>
      <c r="L44" s="10"/>
    </row>
    <row r="45" spans="1:19" ht="13.5" customHeight="1" x14ac:dyDescent="0.2">
      <c r="G45" s="80">
        <v>0.03</v>
      </c>
      <c r="H45" s="10">
        <v>30</v>
      </c>
      <c r="I45" s="10" t="e">
        <f>+#REF!*G45/30*H45</f>
        <v>#REF!</v>
      </c>
      <c r="J45" s="10"/>
      <c r="K45" s="10"/>
      <c r="L45" s="10"/>
    </row>
    <row r="46" spans="1:19" ht="13.5" customHeight="1" x14ac:dyDescent="0.2">
      <c r="J46" s="10"/>
      <c r="K46" s="10"/>
    </row>
    <row r="47" spans="1:19" ht="13.5" customHeight="1" x14ac:dyDescent="0.2">
      <c r="A47" s="108">
        <v>13</v>
      </c>
      <c r="C47" s="108" t="str">
        <f>+'RES CUENTA'!C27</f>
        <v>DEGROSSI HERNAN</v>
      </c>
      <c r="G47" s="80">
        <v>0.03</v>
      </c>
      <c r="H47" s="10">
        <v>30</v>
      </c>
      <c r="I47" s="10" t="e">
        <f>+#REF!*G47/30*H47</f>
        <v>#REF!</v>
      </c>
      <c r="J47" s="10"/>
      <c r="K47" s="10"/>
    </row>
    <row r="48" spans="1:19" ht="13.5" customHeight="1" x14ac:dyDescent="0.2">
      <c r="J48" s="10"/>
      <c r="K48" s="10"/>
    </row>
    <row r="49" spans="1:12" ht="13.5" customHeight="1" x14ac:dyDescent="0.2">
      <c r="A49" s="108">
        <v>14</v>
      </c>
      <c r="C49" s="108" t="str">
        <f>+'RES CUENTA'!C28</f>
        <v>FERNANDEZ MANUEL</v>
      </c>
      <c r="G49" s="80">
        <v>0.03</v>
      </c>
      <c r="H49" s="10">
        <v>30</v>
      </c>
      <c r="I49" s="10" t="e">
        <f>+#REF!*G49/30*H49</f>
        <v>#REF!</v>
      </c>
      <c r="J49" s="10"/>
      <c r="K49" s="10"/>
    </row>
    <row r="50" spans="1:12" ht="13.5" customHeight="1" x14ac:dyDescent="0.2">
      <c r="J50" s="10"/>
      <c r="K50" s="10"/>
    </row>
    <row r="51" spans="1:12" ht="13.5" customHeight="1" x14ac:dyDescent="0.2">
      <c r="A51" s="108">
        <v>15</v>
      </c>
      <c r="C51" s="108" t="str">
        <f>+'RES CUENTA'!C29</f>
        <v>ABOSSIO GONZALES MATIAS y OTRA (GONZALES PLATAS MARIANGELES)</v>
      </c>
      <c r="F51" s="10">
        <f>+'[1]RES CUENTA'!$L$29</f>
        <v>305366.99595760001</v>
      </c>
      <c r="G51" s="80">
        <v>0.03</v>
      </c>
      <c r="H51" s="10">
        <v>30</v>
      </c>
      <c r="I51" s="10">
        <f>+F51*G51/30*H51</f>
        <v>9161.0098787280003</v>
      </c>
      <c r="J51" s="10"/>
      <c r="K51" s="10"/>
    </row>
    <row r="52" spans="1:12" ht="13.5" customHeight="1" x14ac:dyDescent="0.2">
      <c r="J52" s="10"/>
      <c r="K52" s="10"/>
    </row>
    <row r="53" spans="1:12" ht="13.5" customHeight="1" x14ac:dyDescent="0.2">
      <c r="A53" s="108">
        <v>16</v>
      </c>
      <c r="C53" s="108" t="str">
        <f>+'RES CUENTA'!C30</f>
        <v>KUZIW ANTONIO</v>
      </c>
      <c r="F53" s="10">
        <v>127</v>
      </c>
      <c r="G53" s="80">
        <v>0.03</v>
      </c>
      <c r="H53" s="10">
        <v>30</v>
      </c>
      <c r="I53" s="10">
        <f>+F53*G53/30*H53</f>
        <v>3.81</v>
      </c>
      <c r="J53" s="10"/>
      <c r="K53" s="10"/>
    </row>
    <row r="54" spans="1:12" ht="13.5" customHeight="1" x14ac:dyDescent="0.2">
      <c r="J54" s="10"/>
      <c r="K54" s="10"/>
    </row>
    <row r="55" spans="1:12" ht="13.5" customHeight="1" x14ac:dyDescent="0.2">
      <c r="A55" s="108">
        <v>17</v>
      </c>
      <c r="C55" s="108" t="str">
        <f>+'RES CUENTA'!C31</f>
        <v>SEIGNEUR ULISES</v>
      </c>
      <c r="G55" s="80">
        <v>0.03</v>
      </c>
      <c r="H55" s="10">
        <v>60</v>
      </c>
      <c r="I55" s="10">
        <v>0</v>
      </c>
      <c r="J55" s="10"/>
      <c r="K55" s="10"/>
    </row>
    <row r="56" spans="1:12" ht="13.5" customHeight="1" x14ac:dyDescent="0.2">
      <c r="G56" s="80">
        <v>0.03</v>
      </c>
      <c r="H56" s="10">
        <v>30</v>
      </c>
      <c r="I56" s="10" t="e">
        <f>+#REF!*G56/30*H56</f>
        <v>#REF!</v>
      </c>
      <c r="J56" s="10"/>
      <c r="K56" s="10"/>
    </row>
    <row r="57" spans="1:12" ht="13.5" customHeight="1" x14ac:dyDescent="0.2">
      <c r="I57" s="10" t="e">
        <f>SUM(I55:I56)</f>
        <v>#REF!</v>
      </c>
      <c r="J57" s="10"/>
      <c r="K57" s="10"/>
    </row>
    <row r="58" spans="1:12" ht="13.5" customHeight="1" x14ac:dyDescent="0.2">
      <c r="A58" s="108">
        <v>18</v>
      </c>
      <c r="C58" s="108" t="str">
        <f>+'RES CUENTA'!C32</f>
        <v>VITA NORBERTO</v>
      </c>
      <c r="G58" s="80">
        <v>0.03</v>
      </c>
      <c r="H58" s="10">
        <v>30</v>
      </c>
      <c r="I58" s="10">
        <v>0</v>
      </c>
      <c r="J58" s="10">
        <f>+'RES CUENTA'!Y32+'RES CUENTA'!Z32</f>
        <v>379899</v>
      </c>
      <c r="K58" s="10">
        <f>-'[7]RES CUENTA'!$M$32</f>
        <v>-34.261073176000011</v>
      </c>
      <c r="L58" s="10">
        <f>+J58+K58</f>
        <v>379864.73892682401</v>
      </c>
    </row>
    <row r="59" spans="1:12" ht="13.5" customHeight="1" x14ac:dyDescent="0.2">
      <c r="G59" s="80">
        <v>0.03</v>
      </c>
      <c r="H59" s="10">
        <v>30</v>
      </c>
      <c r="I59" s="10" t="e">
        <f>+#REF!*G59/30*H59</f>
        <v>#REF!</v>
      </c>
      <c r="J59" s="10"/>
      <c r="K59" s="10"/>
      <c r="L59" s="10"/>
    </row>
    <row r="60" spans="1:12" ht="13.5" customHeight="1" x14ac:dyDescent="0.2">
      <c r="I60" s="10" t="e">
        <f>SUM(I58:I59)</f>
        <v>#REF!</v>
      </c>
      <c r="J60" s="10"/>
      <c r="K60" s="10"/>
    </row>
    <row r="61" spans="1:12" ht="13.5" customHeight="1" x14ac:dyDescent="0.2">
      <c r="A61" s="108">
        <v>19</v>
      </c>
      <c r="C61" s="108" t="str">
        <f>+'RES CUENTA'!C33</f>
        <v>LOMBARDI EDUARDO</v>
      </c>
      <c r="J61" s="10"/>
      <c r="K61" s="10"/>
    </row>
    <row r="62" spans="1:12" ht="13.5" customHeight="1" x14ac:dyDescent="0.2">
      <c r="G62" s="80">
        <v>0.03</v>
      </c>
      <c r="H62" s="10">
        <v>30</v>
      </c>
      <c r="J62" s="10"/>
      <c r="K62" s="10"/>
    </row>
    <row r="63" spans="1:12" ht="13.5" customHeight="1" x14ac:dyDescent="0.2">
      <c r="J63" s="10"/>
      <c r="K63" s="10"/>
    </row>
    <row r="64" spans="1:12" ht="13.5" customHeight="1" x14ac:dyDescent="0.2">
      <c r="A64" s="108">
        <v>20</v>
      </c>
      <c r="C64" s="108" t="str">
        <f>+'RES CUENTA'!C34</f>
        <v>RAMIREZ PATRICIA G. D.</v>
      </c>
      <c r="G64" s="80">
        <v>0.03</v>
      </c>
      <c r="H64" s="10">
        <v>60</v>
      </c>
      <c r="J64" s="10">
        <f>+'RES CUENTA'!Y34</f>
        <v>206952</v>
      </c>
      <c r="K64" s="10">
        <f>-'[8]RES CUENTA'!$M$34</f>
        <v>-168.86629290399998</v>
      </c>
      <c r="L64" s="10">
        <f>+J64+K64</f>
        <v>206783.13370709601</v>
      </c>
    </row>
    <row r="65" spans="1:12" ht="13.5" customHeight="1" x14ac:dyDescent="0.2">
      <c r="G65" s="80">
        <v>0.03</v>
      </c>
      <c r="H65" s="10">
        <v>30</v>
      </c>
      <c r="I65" s="10" t="e">
        <f>+#REF!*G65/30*H65</f>
        <v>#REF!</v>
      </c>
      <c r="J65" s="10"/>
      <c r="K65" s="10"/>
      <c r="L65" s="10"/>
    </row>
    <row r="66" spans="1:12" ht="13.5" customHeight="1" x14ac:dyDescent="0.2">
      <c r="J66" s="10"/>
      <c r="K66" s="10"/>
    </row>
    <row r="67" spans="1:12" ht="13.5" customHeight="1" x14ac:dyDescent="0.2">
      <c r="A67" s="108">
        <v>21</v>
      </c>
      <c r="C67" s="108" t="str">
        <f>+'RES CUENTA'!C35</f>
        <v>FERNANDEZ MANUEL</v>
      </c>
      <c r="G67" s="80">
        <v>0.03</v>
      </c>
      <c r="H67" s="10">
        <v>30</v>
      </c>
      <c r="I67" s="10" t="e">
        <f>+#REF!*G67/30*H67</f>
        <v>#REF!</v>
      </c>
      <c r="J67" s="10"/>
      <c r="K67" s="10"/>
    </row>
    <row r="68" spans="1:12" ht="13.5" customHeight="1" x14ac:dyDescent="0.2">
      <c r="J68" s="10"/>
      <c r="K68" s="10"/>
    </row>
    <row r="69" spans="1:12" ht="13.5" customHeight="1" x14ac:dyDescent="0.2">
      <c r="J69" s="10"/>
      <c r="K69" s="10"/>
      <c r="L69" s="10"/>
    </row>
    <row r="70" spans="1:12" ht="13.5" customHeight="1" x14ac:dyDescent="0.2">
      <c r="J70" s="10"/>
      <c r="K70" s="10"/>
    </row>
    <row r="71" spans="1:12" ht="13.5" customHeight="1" x14ac:dyDescent="0.2">
      <c r="J71" s="10"/>
      <c r="K71" s="10"/>
    </row>
    <row r="72" spans="1:12" ht="13.5" customHeight="1" x14ac:dyDescent="0.2">
      <c r="J72" s="10"/>
      <c r="K72" s="10"/>
    </row>
    <row r="73" spans="1:12" ht="13.5" customHeight="1" x14ac:dyDescent="0.2">
      <c r="J73" s="10"/>
      <c r="K73" s="10"/>
    </row>
    <row r="74" spans="1:12" ht="13.5" customHeight="1" x14ac:dyDescent="0.2">
      <c r="J74" s="10"/>
      <c r="K74" s="10"/>
    </row>
    <row r="75" spans="1:12" ht="13.5" customHeight="1" x14ac:dyDescent="0.2">
      <c r="J75" s="10"/>
      <c r="K75" s="10"/>
    </row>
    <row r="76" spans="1:12" ht="13.5" customHeight="1" x14ac:dyDescent="0.2">
      <c r="J76" s="10"/>
      <c r="K76" s="10"/>
    </row>
    <row r="77" spans="1:12" ht="13.5" customHeight="1" x14ac:dyDescent="0.2">
      <c r="J77" s="10"/>
      <c r="K77" s="10"/>
    </row>
    <row r="78" spans="1:12" ht="13.5" customHeight="1" x14ac:dyDescent="0.2">
      <c r="J78" s="10"/>
      <c r="K78" s="10"/>
    </row>
    <row r="79" spans="1:12" ht="13.5" customHeight="1" x14ac:dyDescent="0.2">
      <c r="J79" s="10"/>
      <c r="K79" s="10"/>
    </row>
    <row r="80" spans="1:12" ht="13.5" customHeight="1" x14ac:dyDescent="0.2">
      <c r="J80" s="10"/>
      <c r="K80" s="10"/>
      <c r="L80" s="10"/>
    </row>
    <row r="81" spans="10:12" ht="13.5" customHeight="1" x14ac:dyDescent="0.2">
      <c r="J81" s="10"/>
      <c r="K81" s="10"/>
    </row>
    <row r="82" spans="10:12" ht="13.5" customHeight="1" x14ac:dyDescent="0.2">
      <c r="J82" s="10"/>
      <c r="K82" s="10"/>
    </row>
    <row r="83" spans="10:12" ht="13.5" customHeight="1" x14ac:dyDescent="0.2">
      <c r="J83" s="10"/>
      <c r="K83" s="10"/>
    </row>
    <row r="84" spans="10:12" ht="13.5" customHeight="1" x14ac:dyDescent="0.2">
      <c r="J84" s="10"/>
      <c r="K84" s="10"/>
    </row>
    <row r="85" spans="10:12" ht="13.5" customHeight="1" x14ac:dyDescent="0.2">
      <c r="J85" s="10"/>
      <c r="K85" s="10"/>
    </row>
    <row r="86" spans="10:12" ht="13.5" customHeight="1" x14ac:dyDescent="0.2">
      <c r="J86" s="10"/>
      <c r="K86" s="10"/>
    </row>
    <row r="87" spans="10:12" ht="13.5" customHeight="1" x14ac:dyDescent="0.2">
      <c r="J87" s="10"/>
      <c r="K87" s="10"/>
      <c r="L87" s="10"/>
    </row>
    <row r="88" spans="10:12" ht="13.5" customHeight="1" x14ac:dyDescent="0.2">
      <c r="J88" s="10"/>
      <c r="K88" s="10"/>
      <c r="L88" s="10"/>
    </row>
    <row r="89" spans="10:12" ht="13.5" customHeight="1" x14ac:dyDescent="0.2">
      <c r="J89" s="10"/>
      <c r="K89" s="10"/>
      <c r="L89" s="10"/>
    </row>
    <row r="90" spans="10:12" ht="13.5" customHeight="1" x14ac:dyDescent="0.2">
      <c r="J90" s="10"/>
      <c r="K90" s="10"/>
      <c r="L90" s="10"/>
    </row>
    <row r="91" spans="10:12" ht="13.5" customHeight="1" x14ac:dyDescent="0.2">
      <c r="J91" s="10"/>
      <c r="K91" s="10"/>
      <c r="L91" s="10"/>
    </row>
    <row r="92" spans="10:12" ht="13.5" customHeight="1" x14ac:dyDescent="0.2">
      <c r="J92" s="10"/>
      <c r="K92" s="10"/>
      <c r="L92" s="10"/>
    </row>
    <row r="93" spans="10:12" ht="13.5" customHeight="1" x14ac:dyDescent="0.2">
      <c r="J93" s="10"/>
      <c r="K93" s="10"/>
      <c r="L93" s="10"/>
    </row>
    <row r="94" spans="10:12" ht="13.5" customHeight="1" x14ac:dyDescent="0.2">
      <c r="J94" s="10"/>
      <c r="K94" s="10"/>
      <c r="L94" s="10"/>
    </row>
    <row r="95" spans="10:12" ht="13.5" customHeight="1" x14ac:dyDescent="0.2">
      <c r="J95" s="10"/>
      <c r="K95" s="10"/>
      <c r="L95" s="10"/>
    </row>
    <row r="96" spans="10:12" ht="13.5" customHeight="1" x14ac:dyDescent="0.2">
      <c r="J96" s="10"/>
      <c r="K96" s="10"/>
      <c r="L96" s="10"/>
    </row>
    <row r="97" spans="10:12" ht="13.5" customHeight="1" x14ac:dyDescent="0.2">
      <c r="J97" s="10"/>
      <c r="K97" s="10"/>
    </row>
    <row r="98" spans="10:12" ht="13.5" customHeight="1" x14ac:dyDescent="0.2">
      <c r="J98" s="10"/>
      <c r="K98" s="10"/>
    </row>
    <row r="99" spans="10:12" ht="13.5" customHeight="1" x14ac:dyDescent="0.2">
      <c r="J99" s="10"/>
      <c r="K99" s="10"/>
    </row>
    <row r="100" spans="10:12" ht="13.5" customHeight="1" x14ac:dyDescent="0.2">
      <c r="J100" s="10"/>
      <c r="K100" s="10"/>
    </row>
    <row r="101" spans="10:12" ht="13.5" customHeight="1" x14ac:dyDescent="0.2">
      <c r="J101" s="10"/>
      <c r="K101" s="10"/>
    </row>
    <row r="102" spans="10:12" ht="13.5" customHeight="1" x14ac:dyDescent="0.2">
      <c r="J102" s="10"/>
      <c r="K102" s="10"/>
    </row>
    <row r="103" spans="10:12" ht="13.5" customHeight="1" x14ac:dyDescent="0.2">
      <c r="J103" s="10"/>
      <c r="K103" s="10"/>
    </row>
    <row r="104" spans="10:12" ht="13.5" customHeight="1" x14ac:dyDescent="0.2">
      <c r="J104" s="10"/>
      <c r="K104" s="10"/>
    </row>
    <row r="105" spans="10:12" ht="13.5" customHeight="1" x14ac:dyDescent="0.2">
      <c r="J105" s="10"/>
      <c r="K105" s="10"/>
    </row>
    <row r="106" spans="10:12" ht="13.5" customHeight="1" x14ac:dyDescent="0.2">
      <c r="J106" s="10"/>
      <c r="K106" s="10"/>
    </row>
    <row r="107" spans="10:12" ht="13.5" customHeight="1" x14ac:dyDescent="0.2">
      <c r="J107" s="10"/>
      <c r="K107" s="10"/>
    </row>
    <row r="108" spans="10:12" ht="13.5" customHeight="1" x14ac:dyDescent="0.2">
      <c r="J108" s="10"/>
      <c r="K108" s="10"/>
    </row>
    <row r="109" spans="10:12" ht="13.5" customHeight="1" x14ac:dyDescent="0.2">
      <c r="J109" s="10"/>
      <c r="K109" s="10"/>
    </row>
    <row r="110" spans="10:12" ht="13.5" customHeight="1" x14ac:dyDescent="0.2">
      <c r="J110" s="10"/>
      <c r="K110" s="10"/>
    </row>
    <row r="111" spans="10:12" ht="13.5" customHeight="1" x14ac:dyDescent="0.2">
      <c r="J111" s="10"/>
      <c r="K111" s="10"/>
    </row>
    <row r="112" spans="10:12" ht="13.5" customHeight="1" x14ac:dyDescent="0.2">
      <c r="J112" s="10"/>
      <c r="K112" s="10"/>
      <c r="L112" s="10"/>
    </row>
    <row r="113" spans="10:12" ht="13.5" customHeight="1" x14ac:dyDescent="0.2">
      <c r="J113" s="10"/>
      <c r="K113" s="10"/>
    </row>
    <row r="114" spans="10:12" ht="13.5" customHeight="1" x14ac:dyDescent="0.2">
      <c r="J114" s="10"/>
      <c r="K114" s="10"/>
      <c r="L114" s="10"/>
    </row>
    <row r="115" spans="10:12" ht="13.5" customHeight="1" x14ac:dyDescent="0.2">
      <c r="J115" s="10"/>
      <c r="K115" s="10"/>
    </row>
    <row r="116" spans="10:12" ht="13.5" customHeight="1" x14ac:dyDescent="0.2">
      <c r="J116" s="10"/>
      <c r="K116" s="10"/>
    </row>
    <row r="117" spans="10:12" ht="13.5" customHeight="1" x14ac:dyDescent="0.2">
      <c r="J117" s="10"/>
      <c r="K117" s="10"/>
    </row>
    <row r="118" spans="10:12" ht="13.5" customHeight="1" x14ac:dyDescent="0.2">
      <c r="J118" s="10"/>
      <c r="K118" s="10"/>
    </row>
    <row r="119" spans="10:12" ht="13.5" customHeight="1" x14ac:dyDescent="0.2">
      <c r="J119" s="10"/>
      <c r="K119" s="10"/>
    </row>
    <row r="120" spans="10:12" ht="13.5" customHeight="1" x14ac:dyDescent="0.2">
      <c r="J120" s="10"/>
      <c r="K120" s="10"/>
    </row>
    <row r="121" spans="10:12" ht="13.5" customHeight="1" x14ac:dyDescent="0.2">
      <c r="J121" s="10"/>
      <c r="K121" s="10"/>
      <c r="L121" s="10"/>
    </row>
    <row r="122" spans="10:12" ht="13.5" customHeight="1" x14ac:dyDescent="0.2"/>
    <row r="123" spans="10:12" ht="13.5" customHeight="1" x14ac:dyDescent="0.2"/>
    <row r="124" spans="10:12" ht="13.5" customHeight="1" x14ac:dyDescent="0.2">
      <c r="L124" s="10"/>
    </row>
    <row r="125" spans="10:12" ht="13.5" customHeight="1" x14ac:dyDescent="0.2"/>
    <row r="126" spans="10:12" ht="13.5" customHeight="1" x14ac:dyDescent="0.2"/>
    <row r="127" spans="10:12" ht="13.5" customHeight="1" x14ac:dyDescent="0.2"/>
    <row r="128" spans="10:12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spans="7:14" ht="13.5" customHeight="1" x14ac:dyDescent="0.2"/>
    <row r="162" spans="7:14" ht="13.5" customHeight="1" x14ac:dyDescent="0.2"/>
    <row r="163" spans="7:14" ht="13.5" customHeight="1" x14ac:dyDescent="0.2"/>
    <row r="164" spans="7:14" ht="13.5" customHeight="1" x14ac:dyDescent="0.2"/>
    <row r="165" spans="7:14" ht="13.5" customHeight="1" x14ac:dyDescent="0.2"/>
    <row r="166" spans="7:14" ht="13.5" customHeight="1" x14ac:dyDescent="0.2"/>
    <row r="167" spans="7:14" ht="13.5" customHeight="1" x14ac:dyDescent="0.2"/>
    <row r="168" spans="7:14" ht="13.5" customHeight="1" x14ac:dyDescent="0.2"/>
    <row r="169" spans="7:14" x14ac:dyDescent="0.2">
      <c r="J169" s="10"/>
      <c r="K169" s="10"/>
    </row>
    <row r="170" spans="7:14" x14ac:dyDescent="0.2">
      <c r="G170" s="10"/>
      <c r="H170" s="80"/>
      <c r="J170" s="10"/>
      <c r="K170" s="10"/>
      <c r="L170" s="10"/>
      <c r="M170" s="10"/>
      <c r="N170" s="10"/>
    </row>
    <row r="171" spans="7:14" x14ac:dyDescent="0.2">
      <c r="J171" s="10"/>
      <c r="L171" s="10"/>
    </row>
    <row r="172" spans="7:14" x14ac:dyDescent="0.2">
      <c r="J172" s="10"/>
      <c r="M172" s="10"/>
    </row>
    <row r="173" spans="7:14" x14ac:dyDescent="0.2">
      <c r="J173" s="10"/>
      <c r="L173" s="10"/>
    </row>
    <row r="174" spans="7:14" x14ac:dyDescent="0.2">
      <c r="J174" s="10"/>
    </row>
    <row r="175" spans="7:14" x14ac:dyDescent="0.2">
      <c r="J175" s="10"/>
    </row>
    <row r="176" spans="7:14" x14ac:dyDescent="0.2">
      <c r="J176" s="10"/>
    </row>
    <row r="177" spans="3:10" x14ac:dyDescent="0.2">
      <c r="J177" s="10"/>
    </row>
    <row r="178" spans="3:10" x14ac:dyDescent="0.2">
      <c r="J178" s="10"/>
    </row>
    <row r="179" spans="3:10" x14ac:dyDescent="0.2">
      <c r="C179" s="110"/>
      <c r="J179" s="10"/>
    </row>
    <row r="180" spans="3:10" x14ac:dyDescent="0.2">
      <c r="C180" s="110"/>
      <c r="J180" s="10"/>
    </row>
    <row r="181" spans="3:10" x14ac:dyDescent="0.2">
      <c r="J181" s="10"/>
    </row>
    <row r="182" spans="3:10" x14ac:dyDescent="0.2">
      <c r="J182" s="10"/>
    </row>
    <row r="183" spans="3:10" x14ac:dyDescent="0.2">
      <c r="J183" s="10"/>
    </row>
    <row r="184" spans="3:10" x14ac:dyDescent="0.2">
      <c r="J184" s="10"/>
    </row>
    <row r="185" spans="3:10" x14ac:dyDescent="0.2">
      <c r="J185" s="10"/>
    </row>
    <row r="186" spans="3:10" x14ac:dyDescent="0.2">
      <c r="J186" s="10"/>
    </row>
    <row r="187" spans="3:10" x14ac:dyDescent="0.2">
      <c r="J187" s="10"/>
    </row>
    <row r="188" spans="3:10" x14ac:dyDescent="0.2">
      <c r="J188" s="10"/>
    </row>
    <row r="189" spans="3:10" x14ac:dyDescent="0.2">
      <c r="J189" s="10"/>
    </row>
    <row r="190" spans="3:10" x14ac:dyDescent="0.2">
      <c r="J190" s="10"/>
    </row>
    <row r="191" spans="3:10" x14ac:dyDescent="0.2">
      <c r="J191" s="10"/>
    </row>
    <row r="192" spans="3:10" x14ac:dyDescent="0.2">
      <c r="J192" s="10"/>
    </row>
    <row r="193" spans="10:10" x14ac:dyDescent="0.2">
      <c r="J193" s="10"/>
    </row>
    <row r="194" spans="10:10" x14ac:dyDescent="0.2">
      <c r="J194" s="10"/>
    </row>
    <row r="195" spans="10:10" x14ac:dyDescent="0.2">
      <c r="J195" s="10"/>
    </row>
    <row r="196" spans="10:10" x14ac:dyDescent="0.2">
      <c r="J196" s="10"/>
    </row>
    <row r="197" spans="10:10" x14ac:dyDescent="0.2">
      <c r="J197" s="10"/>
    </row>
    <row r="198" spans="10:10" x14ac:dyDescent="0.2">
      <c r="J198" s="10"/>
    </row>
    <row r="199" spans="10:10" x14ac:dyDescent="0.2">
      <c r="J199" s="10"/>
    </row>
    <row r="200" spans="10:10" x14ac:dyDescent="0.2">
      <c r="J200" s="10"/>
    </row>
    <row r="201" spans="10:10" x14ac:dyDescent="0.2">
      <c r="J201" s="10"/>
    </row>
    <row r="202" spans="10:10" x14ac:dyDescent="0.2">
      <c r="J202" s="10"/>
    </row>
    <row r="203" spans="10:10" x14ac:dyDescent="0.2">
      <c r="J203" s="10"/>
    </row>
    <row r="204" spans="10:10" x14ac:dyDescent="0.2">
      <c r="J204" s="10"/>
    </row>
    <row r="205" spans="10:10" x14ac:dyDescent="0.2">
      <c r="J205" s="10"/>
    </row>
    <row r="206" spans="10:10" x14ac:dyDescent="0.2">
      <c r="J206" s="10"/>
    </row>
    <row r="207" spans="10:10" x14ac:dyDescent="0.2">
      <c r="J207" s="10"/>
    </row>
    <row r="208" spans="10:10" x14ac:dyDescent="0.2">
      <c r="J208" s="10"/>
    </row>
    <row r="209" spans="10:10" x14ac:dyDescent="0.2">
      <c r="J209" s="10"/>
    </row>
    <row r="210" spans="10:10" x14ac:dyDescent="0.2">
      <c r="J210" s="10"/>
    </row>
    <row r="211" spans="10:10" x14ac:dyDescent="0.2">
      <c r="J211" s="10"/>
    </row>
    <row r="212" spans="10:10" x14ac:dyDescent="0.2">
      <c r="J212" s="10"/>
    </row>
    <row r="213" spans="10:10" x14ac:dyDescent="0.2">
      <c r="J213" s="10"/>
    </row>
    <row r="214" spans="10:10" x14ac:dyDescent="0.2">
      <c r="J214" s="10"/>
    </row>
    <row r="215" spans="10:10" x14ac:dyDescent="0.2">
      <c r="J215" s="10"/>
    </row>
    <row r="216" spans="10:10" x14ac:dyDescent="0.2">
      <c r="J216" s="10"/>
    </row>
    <row r="217" spans="10:10" x14ac:dyDescent="0.2">
      <c r="J217" s="10"/>
    </row>
    <row r="218" spans="10:10" x14ac:dyDescent="0.2">
      <c r="J218" s="10"/>
    </row>
    <row r="219" spans="10:10" x14ac:dyDescent="0.2">
      <c r="J219" s="10"/>
    </row>
    <row r="220" spans="10:10" x14ac:dyDescent="0.2">
      <c r="J220" s="10"/>
    </row>
    <row r="221" spans="10:10" x14ac:dyDescent="0.2">
      <c r="J221" s="10"/>
    </row>
    <row r="222" spans="10:10" x14ac:dyDescent="0.2">
      <c r="J222" s="10"/>
    </row>
    <row r="223" spans="10:10" x14ac:dyDescent="0.2">
      <c r="J223" s="10"/>
    </row>
    <row r="224" spans="10:10" x14ac:dyDescent="0.2">
      <c r="J224" s="10"/>
    </row>
    <row r="225" spans="1:12" x14ac:dyDescent="0.2">
      <c r="J225" s="10"/>
    </row>
    <row r="226" spans="1:12" x14ac:dyDescent="0.2">
      <c r="J226" s="10"/>
    </row>
    <row r="227" spans="1:12" x14ac:dyDescent="0.2">
      <c r="J227" s="10"/>
    </row>
    <row r="228" spans="1:12" x14ac:dyDescent="0.2">
      <c r="J228" s="10"/>
    </row>
    <row r="229" spans="1:12" x14ac:dyDescent="0.2">
      <c r="J229" s="10"/>
    </row>
    <row r="230" spans="1:12" x14ac:dyDescent="0.2">
      <c r="J230" s="10"/>
    </row>
    <row r="231" spans="1:12" x14ac:dyDescent="0.2">
      <c r="J231" s="10"/>
    </row>
    <row r="232" spans="1:12" x14ac:dyDescent="0.2">
      <c r="J232" s="10"/>
    </row>
    <row r="233" spans="1:12" x14ac:dyDescent="0.2">
      <c r="J233" s="10"/>
    </row>
    <row r="234" spans="1:12" x14ac:dyDescent="0.2">
      <c r="J234" s="10"/>
    </row>
    <row r="235" spans="1:12" x14ac:dyDescent="0.2">
      <c r="J235" s="10"/>
    </row>
    <row r="236" spans="1:12" x14ac:dyDescent="0.2">
      <c r="J236" s="10"/>
    </row>
    <row r="237" spans="1:12" x14ac:dyDescent="0.2">
      <c r="G237" s="122"/>
      <c r="H237" s="121"/>
      <c r="I237" s="123"/>
      <c r="J237" s="10"/>
      <c r="L237" s="10"/>
    </row>
    <row r="238" spans="1:12" ht="15" x14ac:dyDescent="0.25">
      <c r="A238" s="116"/>
      <c r="B238" s="116"/>
      <c r="C238" s="116"/>
      <c r="H238" s="121"/>
      <c r="I238" s="123"/>
      <c r="J238" s="10"/>
    </row>
    <row r="239" spans="1:12" ht="15" x14ac:dyDescent="0.25">
      <c r="D239" s="116"/>
      <c r="E239" s="116"/>
      <c r="F239" s="116"/>
      <c r="J239" s="10"/>
    </row>
    <row r="240" spans="1:12" x14ac:dyDescent="0.2">
      <c r="J240" s="10"/>
    </row>
    <row r="241" spans="10:10" x14ac:dyDescent="0.2">
      <c r="J241" s="10"/>
    </row>
    <row r="263" spans="3:3" x14ac:dyDescent="0.2">
      <c r="C263" s="110"/>
    </row>
    <row r="264" spans="3:3" x14ac:dyDescent="0.2">
      <c r="C264" s="117"/>
    </row>
    <row r="265" spans="3:3" x14ac:dyDescent="0.2">
      <c r="C265" s="117"/>
    </row>
    <row r="266" spans="3:3" x14ac:dyDescent="0.2">
      <c r="C266" s="110"/>
    </row>
    <row r="267" spans="3:3" x14ac:dyDescent="0.2">
      <c r="C267" s="110"/>
    </row>
    <row r="268" spans="3:3" x14ac:dyDescent="0.2">
      <c r="C268" s="110"/>
    </row>
    <row r="269" spans="3:3" x14ac:dyDescent="0.2">
      <c r="C269" s="110"/>
    </row>
    <row r="270" spans="3:3" x14ac:dyDescent="0.2">
      <c r="C270" s="110"/>
    </row>
    <row r="271" spans="3:3" x14ac:dyDescent="0.2">
      <c r="C271" s="110"/>
    </row>
  </sheetData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D72D-018E-4771-9A01-EE9B51A97EEF}">
  <dimension ref="B1:M3020"/>
  <sheetViews>
    <sheetView zoomScale="75" zoomScaleNormal="100" workbookViewId="0">
      <selection activeCell="E2" sqref="E2"/>
    </sheetView>
  </sheetViews>
  <sheetFormatPr baseColWidth="10" defaultRowHeight="12.75" x14ac:dyDescent="0.2"/>
  <cols>
    <col min="1" max="1" width="0.85546875" customWidth="1"/>
    <col min="2" max="2" width="2.7109375" customWidth="1"/>
    <col min="3" max="3" width="26.5703125" customWidth="1"/>
    <col min="4" max="4" width="15.5703125" style="154" customWidth="1"/>
    <col min="5" max="5" width="38.140625" customWidth="1"/>
    <col min="6" max="6" width="27.5703125" customWidth="1"/>
    <col min="7" max="7" width="22" style="79" customWidth="1"/>
    <col min="8" max="8" width="16.85546875" customWidth="1"/>
    <col min="9" max="9" width="24.140625" customWidth="1"/>
    <col min="10" max="10" width="12.42578125" customWidth="1"/>
    <col min="12" max="12" width="11.28515625" customWidth="1"/>
    <col min="13" max="13" width="14.5703125" customWidth="1"/>
  </cols>
  <sheetData>
    <row r="1" spans="3:9" ht="18" x14ac:dyDescent="0.25">
      <c r="C1" s="1">
        <f>+LIQ!J1</f>
        <v>46143</v>
      </c>
      <c r="E1" s="152">
        <v>46183</v>
      </c>
      <c r="F1" t="str">
        <f>+LIQ!H3</f>
        <v>MONTES DE OCA 1068/1070 C.A.B.A.</v>
      </c>
    </row>
    <row r="2" spans="3:9" x14ac:dyDescent="0.2">
      <c r="C2" t="str">
        <f>+'RES CUENTA'!C15</f>
        <v>CAPRIA MARIA ESTHER</v>
      </c>
      <c r="D2" s="155">
        <f>+'RES CUENTA'!F15</f>
        <v>10.52</v>
      </c>
      <c r="E2">
        <f>+'RES CUENTA'!A15</f>
        <v>1</v>
      </c>
      <c r="F2" s="250" t="s">
        <v>327</v>
      </c>
      <c r="I2">
        <f>40*12</f>
        <v>480</v>
      </c>
    </row>
    <row r="3" spans="3:9" x14ac:dyDescent="0.2">
      <c r="C3" t="str">
        <f>+'RES CUENTA'!C16</f>
        <v>DEGROSSI VICTORIO</v>
      </c>
      <c r="D3" s="155">
        <f>+'RES CUENTA'!F16</f>
        <v>5.52</v>
      </c>
      <c r="E3">
        <f>+'RES CUENTA'!A16</f>
        <v>2</v>
      </c>
      <c r="F3" s="272" t="s">
        <v>328</v>
      </c>
    </row>
    <row r="4" spans="3:9" x14ac:dyDescent="0.2">
      <c r="C4" t="str">
        <f>+'RES CUENTA'!C17</f>
        <v>NIETO MANUEL</v>
      </c>
      <c r="D4" s="155">
        <f>+'RES CUENTA'!F17</f>
        <v>4.22</v>
      </c>
      <c r="E4">
        <f>+'RES CUENTA'!A17</f>
        <v>3</v>
      </c>
      <c r="F4" s="251" t="s">
        <v>329</v>
      </c>
      <c r="G4" s="271"/>
    </row>
    <row r="5" spans="3:9" ht="15" x14ac:dyDescent="0.3">
      <c r="C5" t="str">
        <f>+'RES CUENTA'!C18</f>
        <v>IRAOLA-RODRIGUEZ SORI</v>
      </c>
      <c r="D5" s="155">
        <f>+'RES CUENTA'!F18</f>
        <v>5.52</v>
      </c>
      <c r="E5">
        <f>+'RES CUENTA'!A18</f>
        <v>4</v>
      </c>
      <c r="F5" s="252" t="str">
        <f>+LIQ!H4</f>
        <v>CUIT: 30-66148861-8</v>
      </c>
      <c r="G5" s="271"/>
    </row>
    <row r="6" spans="3:9" x14ac:dyDescent="0.2">
      <c r="C6" t="str">
        <f>+'RES CUENTA'!C19</f>
        <v>GOMEZ ANTONIO</v>
      </c>
      <c r="D6" s="155">
        <f>+'RES CUENTA'!F19</f>
        <v>4.22</v>
      </c>
      <c r="E6">
        <f>+'RES CUENTA'!A19</f>
        <v>5</v>
      </c>
      <c r="F6" s="271"/>
      <c r="G6" s="271"/>
    </row>
    <row r="7" spans="3:9" x14ac:dyDescent="0.2">
      <c r="C7" t="str">
        <f>+'RES CUENTA'!C20</f>
        <v>PECYNER GUILLERMO</v>
      </c>
      <c r="D7" s="155">
        <f>+'RES CUENTA'!F20</f>
        <v>5.52</v>
      </c>
      <c r="E7">
        <f>+'RES CUENTA'!A20</f>
        <v>6</v>
      </c>
      <c r="F7" s="11"/>
      <c r="G7" s="271"/>
    </row>
    <row r="8" spans="3:9" x14ac:dyDescent="0.2">
      <c r="C8" t="str">
        <f>+'RES CUENTA'!C21</f>
        <v>ATAMANIUK ROMAN</v>
      </c>
      <c r="D8" s="155">
        <f>+'RES CUENTA'!F21</f>
        <v>4.2200000000000006</v>
      </c>
      <c r="E8">
        <f>+'RES CUENTA'!A21</f>
        <v>7</v>
      </c>
      <c r="F8" s="11"/>
      <c r="G8" s="271"/>
    </row>
    <row r="9" spans="3:9" x14ac:dyDescent="0.2">
      <c r="C9" t="str">
        <f>+'RES CUENTA'!C22</f>
        <v>LEINADO MIRTA ALCIRA Y OTROS</v>
      </c>
      <c r="D9" s="155">
        <f>+'RES CUENTA'!F22</f>
        <v>5.52</v>
      </c>
      <c r="E9">
        <f>+'RES CUENTA'!A22</f>
        <v>8</v>
      </c>
      <c r="F9" s="11"/>
      <c r="G9" s="271"/>
    </row>
    <row r="10" spans="3:9" x14ac:dyDescent="0.2">
      <c r="C10" t="str">
        <f>+'RES CUENTA'!C23</f>
        <v>DELLA BELLA-BIDINOST</v>
      </c>
      <c r="D10" s="155">
        <f>+'RES CUENTA'!F23</f>
        <v>4.22</v>
      </c>
      <c r="E10">
        <f>+'RES CUENTA'!A23</f>
        <v>9</v>
      </c>
      <c r="F10" s="11"/>
      <c r="G10" s="271"/>
    </row>
    <row r="11" spans="3:9" x14ac:dyDescent="0.2">
      <c r="C11" t="str">
        <f>+'RES CUENTA'!C24</f>
        <v>AGOSTINI A- Y DI MARZO</v>
      </c>
      <c r="D11" s="155">
        <f>+'RES CUENTA'!F24</f>
        <v>5.52</v>
      </c>
      <c r="E11">
        <f>+'RES CUENTA'!A24</f>
        <v>10</v>
      </c>
      <c r="F11" s="11"/>
      <c r="G11" s="271"/>
    </row>
    <row r="12" spans="3:9" x14ac:dyDescent="0.2">
      <c r="C12" t="str">
        <f>+'RES CUENTA'!C25</f>
        <v>LETTIERI PAULA</v>
      </c>
      <c r="D12" s="155">
        <f>+'RES CUENTA'!F25</f>
        <v>4.26</v>
      </c>
      <c r="E12">
        <f>+'RES CUENTA'!A25</f>
        <v>11</v>
      </c>
      <c r="F12" s="11"/>
      <c r="G12" s="271"/>
    </row>
    <row r="13" spans="3:9" x14ac:dyDescent="0.2">
      <c r="C13" t="str">
        <f>+'RES CUENTA'!C26</f>
        <v>RODRIGUEZ GERMAN</v>
      </c>
      <c r="D13" s="155">
        <f>+'RES CUENTA'!F26</f>
        <v>5.52</v>
      </c>
      <c r="E13">
        <f>+'RES CUENTA'!A26</f>
        <v>12</v>
      </c>
      <c r="F13" s="11"/>
      <c r="G13" s="271"/>
    </row>
    <row r="14" spans="3:9" x14ac:dyDescent="0.2">
      <c r="C14" t="str">
        <f>+'RES CUENTA'!C27</f>
        <v>DEGROSSI HERNAN</v>
      </c>
      <c r="D14" s="155">
        <f>+'RES CUENTA'!F27</f>
        <v>4.22</v>
      </c>
      <c r="E14">
        <f>+'RES CUENTA'!A27</f>
        <v>13</v>
      </c>
      <c r="F14" s="11"/>
      <c r="G14" s="271"/>
    </row>
    <row r="15" spans="3:9" x14ac:dyDescent="0.2">
      <c r="C15" t="str">
        <f>+'RES CUENTA'!C28</f>
        <v>FERNANDEZ MANUEL</v>
      </c>
      <c r="D15" s="155">
        <f>+'RES CUENTA'!F28</f>
        <v>5.52</v>
      </c>
      <c r="E15">
        <f>+'RES CUENTA'!A28</f>
        <v>14</v>
      </c>
      <c r="F15" s="11"/>
      <c r="G15" s="271"/>
    </row>
    <row r="16" spans="3:9" x14ac:dyDescent="0.2">
      <c r="C16" t="str">
        <f>+'RES CUENTA'!C29</f>
        <v>ABOSSIO GONZALES MATIAS y OTRA (GONZALES PLATAS MARIANGELES)</v>
      </c>
      <c r="D16" s="155">
        <f>+'RES CUENTA'!F29</f>
        <v>4.22</v>
      </c>
      <c r="E16">
        <f>+'RES CUENTA'!A29</f>
        <v>15</v>
      </c>
      <c r="F16" s="11"/>
      <c r="G16" s="271"/>
    </row>
    <row r="17" spans="3:10" x14ac:dyDescent="0.2">
      <c r="C17" t="str">
        <f>+'RES CUENTA'!C30</f>
        <v>KUZIW ANTONIO</v>
      </c>
      <c r="D17" s="155">
        <f>+'RES CUENTA'!F30</f>
        <v>5.0599999999999996</v>
      </c>
      <c r="E17">
        <f>+'RES CUENTA'!A30</f>
        <v>16</v>
      </c>
      <c r="F17" s="11"/>
      <c r="G17" s="271"/>
    </row>
    <row r="18" spans="3:10" x14ac:dyDescent="0.2">
      <c r="C18" t="str">
        <f>+'RES CUENTA'!C31</f>
        <v>SEIGNEUR ULISES</v>
      </c>
      <c r="D18" s="155">
        <f>+'RES CUENTA'!F31</f>
        <v>3.92</v>
      </c>
      <c r="E18">
        <f>+'RES CUENTA'!A31</f>
        <v>17</v>
      </c>
      <c r="F18" s="11"/>
      <c r="G18" s="271"/>
    </row>
    <row r="19" spans="3:10" x14ac:dyDescent="0.2">
      <c r="C19" t="str">
        <f>+'RES CUENTA'!C32</f>
        <v>VITA NORBERTO</v>
      </c>
      <c r="D19" s="155">
        <f>+'RES CUENTA'!F32</f>
        <v>5.25</v>
      </c>
      <c r="E19">
        <f>+'RES CUENTA'!A32</f>
        <v>18</v>
      </c>
      <c r="F19" s="11"/>
      <c r="G19" s="271"/>
    </row>
    <row r="20" spans="3:10" x14ac:dyDescent="0.2">
      <c r="C20" t="str">
        <f>+'RES CUENTA'!C33</f>
        <v>LOMBARDI EDUARDO</v>
      </c>
      <c r="D20" s="155">
        <f>+'RES CUENTA'!F33</f>
        <v>1.94</v>
      </c>
      <c r="E20">
        <f>+'RES CUENTA'!A33</f>
        <v>19</v>
      </c>
      <c r="F20" s="11"/>
      <c r="G20" s="271"/>
    </row>
    <row r="21" spans="3:10" x14ac:dyDescent="0.2">
      <c r="C21" t="str">
        <f>+'RES CUENTA'!C34</f>
        <v>RAMIREZ PATRICIA G. D.</v>
      </c>
      <c r="D21" s="155">
        <f>+'RES CUENTA'!F34</f>
        <v>2.86</v>
      </c>
      <c r="E21">
        <f>+'RES CUENTA'!A34</f>
        <v>20</v>
      </c>
      <c r="F21" s="11"/>
      <c r="G21" s="271"/>
    </row>
    <row r="22" spans="3:10" x14ac:dyDescent="0.2">
      <c r="C22" t="str">
        <f>+'RES CUENTA'!C35</f>
        <v>FERNANDEZ MANUEL</v>
      </c>
      <c r="D22" s="155">
        <f>+'RES CUENTA'!F35</f>
        <v>2.23</v>
      </c>
      <c r="E22">
        <f>+'RES CUENTA'!A35</f>
        <v>21</v>
      </c>
      <c r="F22" s="11"/>
      <c r="G22" s="271"/>
    </row>
    <row r="23" spans="3:10" x14ac:dyDescent="0.2">
      <c r="C23" t="e">
        <f>+'RES CUENTA'!#REF!</f>
        <v>#REF!</v>
      </c>
      <c r="D23" s="155" t="e">
        <f>+'RES CUENTA'!#REF!</f>
        <v>#REF!</v>
      </c>
      <c r="E23" t="e">
        <f>+'RES CUENTA'!#REF!</f>
        <v>#REF!</v>
      </c>
      <c r="F23" s="11"/>
      <c r="G23" s="271"/>
      <c r="J23" s="2"/>
    </row>
    <row r="24" spans="3:10" x14ac:dyDescent="0.2">
      <c r="C24" t="e">
        <f>+'RES CUENTA'!#REF!</f>
        <v>#REF!</v>
      </c>
      <c r="D24" s="155" t="e">
        <f>+'RES CUENTA'!#REF!</f>
        <v>#REF!</v>
      </c>
      <c r="E24" t="e">
        <f>+'RES CUENTA'!#REF!</f>
        <v>#REF!</v>
      </c>
      <c r="F24" s="11"/>
      <c r="G24" s="271"/>
    </row>
    <row r="25" spans="3:10" x14ac:dyDescent="0.2">
      <c r="C25" t="e">
        <f>+'RES CUENTA'!#REF!</f>
        <v>#REF!</v>
      </c>
      <c r="D25" s="155" t="e">
        <f>+'RES CUENTA'!#REF!</f>
        <v>#REF!</v>
      </c>
      <c r="E25" t="e">
        <f>+'RES CUENTA'!#REF!</f>
        <v>#REF!</v>
      </c>
      <c r="F25" s="11"/>
      <c r="G25" s="271"/>
    </row>
    <row r="26" spans="3:10" x14ac:dyDescent="0.2">
      <c r="C26" t="e">
        <f>+'RES CUENTA'!#REF!</f>
        <v>#REF!</v>
      </c>
      <c r="D26" s="155" t="e">
        <f>+'RES CUENTA'!#REF!</f>
        <v>#REF!</v>
      </c>
      <c r="E26" t="e">
        <f>+'RES CUENTA'!#REF!</f>
        <v>#REF!</v>
      </c>
      <c r="F26" s="11"/>
      <c r="G26" s="271"/>
    </row>
    <row r="27" spans="3:10" x14ac:dyDescent="0.2">
      <c r="C27" t="e">
        <f>+'RES CUENTA'!#REF!</f>
        <v>#REF!</v>
      </c>
      <c r="D27" s="155" t="e">
        <f>+'RES CUENTA'!#REF!</f>
        <v>#REF!</v>
      </c>
      <c r="E27" t="e">
        <f>+'RES CUENTA'!#REF!</f>
        <v>#REF!</v>
      </c>
      <c r="F27" s="11"/>
      <c r="G27" s="271"/>
    </row>
    <row r="28" spans="3:10" x14ac:dyDescent="0.2">
      <c r="C28" t="e">
        <f>+'RES CUENTA'!#REF!</f>
        <v>#REF!</v>
      </c>
      <c r="D28" s="155" t="e">
        <f>+'RES CUENTA'!#REF!</f>
        <v>#REF!</v>
      </c>
      <c r="E28" t="e">
        <f>+'RES CUENTA'!#REF!</f>
        <v>#REF!</v>
      </c>
      <c r="F28" s="11"/>
      <c r="G28" s="271"/>
    </row>
    <row r="29" spans="3:10" x14ac:dyDescent="0.2">
      <c r="C29" t="e">
        <f>+'RES CUENTA'!#REF!</f>
        <v>#REF!</v>
      </c>
      <c r="D29" s="155" t="e">
        <f>+'RES CUENTA'!#REF!</f>
        <v>#REF!</v>
      </c>
      <c r="E29" t="e">
        <f>+'RES CUENTA'!#REF!</f>
        <v>#REF!</v>
      </c>
      <c r="F29" s="11"/>
      <c r="G29" s="271"/>
    </row>
    <row r="30" spans="3:10" x14ac:dyDescent="0.2">
      <c r="C30" t="e">
        <f>+'RES CUENTA'!#REF!</f>
        <v>#REF!</v>
      </c>
      <c r="D30" s="155" t="e">
        <f>+'RES CUENTA'!#REF!</f>
        <v>#REF!</v>
      </c>
      <c r="E30" t="e">
        <f>+'RES CUENTA'!#REF!</f>
        <v>#REF!</v>
      </c>
      <c r="F30" s="11"/>
      <c r="G30" s="271"/>
    </row>
    <row r="31" spans="3:10" x14ac:dyDescent="0.2">
      <c r="C31" t="e">
        <f>+'RES CUENTA'!#REF!</f>
        <v>#REF!</v>
      </c>
      <c r="D31" s="155" t="e">
        <f>+'RES CUENTA'!#REF!</f>
        <v>#REF!</v>
      </c>
      <c r="E31" t="e">
        <f>+'RES CUENTA'!#REF!</f>
        <v>#REF!</v>
      </c>
      <c r="F31" s="11"/>
      <c r="G31" s="271"/>
    </row>
    <row r="32" spans="3:10" x14ac:dyDescent="0.2">
      <c r="C32" t="e">
        <f>+'RES CUENTA'!#REF!</f>
        <v>#REF!</v>
      </c>
      <c r="D32" s="155" t="e">
        <f>+'RES CUENTA'!#REF!</f>
        <v>#REF!</v>
      </c>
      <c r="E32" t="e">
        <f>+'RES CUENTA'!#REF!</f>
        <v>#REF!</v>
      </c>
      <c r="F32" s="11"/>
      <c r="G32" s="271"/>
    </row>
    <row r="33" spans="3:11" x14ac:dyDescent="0.2">
      <c r="C33" t="e">
        <f>+'RES CUENTA'!#REF!</f>
        <v>#REF!</v>
      </c>
      <c r="D33" s="155" t="e">
        <f>+'RES CUENTA'!#REF!</f>
        <v>#REF!</v>
      </c>
      <c r="E33" t="e">
        <f>+'RES CUENTA'!#REF!</f>
        <v>#REF!</v>
      </c>
      <c r="F33" s="11"/>
      <c r="G33" s="271"/>
    </row>
    <row r="34" spans="3:11" x14ac:dyDescent="0.2">
      <c r="C34" t="e">
        <f>+'RES CUENTA'!#REF!</f>
        <v>#REF!</v>
      </c>
      <c r="D34" s="155" t="e">
        <f>+'RES CUENTA'!#REF!</f>
        <v>#REF!</v>
      </c>
      <c r="E34" t="e">
        <f>+'RES CUENTA'!#REF!</f>
        <v>#REF!</v>
      </c>
      <c r="F34" s="11"/>
      <c r="G34" s="271"/>
    </row>
    <row r="35" spans="3:11" x14ac:dyDescent="0.2">
      <c r="C35" t="e">
        <f>+'RES CUENTA'!#REF!</f>
        <v>#REF!</v>
      </c>
      <c r="D35" s="155" t="e">
        <f>+'RES CUENTA'!#REF!</f>
        <v>#REF!</v>
      </c>
      <c r="E35" t="e">
        <f>+'RES CUENTA'!#REF!</f>
        <v>#REF!</v>
      </c>
      <c r="F35" s="11"/>
      <c r="G35" s="271"/>
    </row>
    <row r="36" spans="3:11" x14ac:dyDescent="0.2">
      <c r="C36" t="e">
        <f>+'RES CUENTA'!#REF!</f>
        <v>#REF!</v>
      </c>
      <c r="D36" s="155" t="e">
        <f>+'RES CUENTA'!#REF!</f>
        <v>#REF!</v>
      </c>
      <c r="E36" t="e">
        <f>+'RES CUENTA'!#REF!</f>
        <v>#REF!</v>
      </c>
      <c r="F36" s="11"/>
      <c r="G36" s="271"/>
    </row>
    <row r="37" spans="3:11" x14ac:dyDescent="0.2">
      <c r="C37" t="e">
        <f>+'RES CUENTA'!#REF!</f>
        <v>#REF!</v>
      </c>
      <c r="D37" s="155" t="e">
        <f>+'RES CUENTA'!#REF!</f>
        <v>#REF!</v>
      </c>
      <c r="E37" t="e">
        <f>+'RES CUENTA'!#REF!</f>
        <v>#REF!</v>
      </c>
      <c r="F37" s="11"/>
      <c r="G37" s="271"/>
    </row>
    <row r="38" spans="3:11" x14ac:dyDescent="0.2">
      <c r="C38" t="e">
        <f>+'RES CUENTA'!#REF!</f>
        <v>#REF!</v>
      </c>
      <c r="D38" s="155" t="e">
        <f>+'RES CUENTA'!#REF!</f>
        <v>#REF!</v>
      </c>
      <c r="E38" t="e">
        <f>+'RES CUENTA'!#REF!</f>
        <v>#REF!</v>
      </c>
      <c r="F38" s="11"/>
      <c r="G38" s="271"/>
    </row>
    <row r="39" spans="3:11" x14ac:dyDescent="0.2">
      <c r="C39" t="e">
        <f>+'RES CUENTA'!#REF!</f>
        <v>#REF!</v>
      </c>
      <c r="D39" s="155" t="e">
        <f>+'RES CUENTA'!#REF!</f>
        <v>#REF!</v>
      </c>
      <c r="E39" t="e">
        <f>+'RES CUENTA'!#REF!</f>
        <v>#REF!</v>
      </c>
      <c r="F39" s="11"/>
      <c r="G39" s="271"/>
    </row>
    <row r="40" spans="3:11" x14ac:dyDescent="0.2">
      <c r="C40" t="e">
        <f>+'RES CUENTA'!#REF!</f>
        <v>#REF!</v>
      </c>
      <c r="D40" s="155" t="e">
        <f>+'RES CUENTA'!#REF!</f>
        <v>#REF!</v>
      </c>
      <c r="E40" t="e">
        <f>+'RES CUENTA'!#REF!</f>
        <v>#REF!</v>
      </c>
      <c r="F40" s="11"/>
      <c r="G40" s="271"/>
    </row>
    <row r="41" spans="3:11" ht="12" customHeight="1" x14ac:dyDescent="0.2">
      <c r="C41" s="175"/>
      <c r="D41" s="156"/>
      <c r="E41" s="11"/>
      <c r="F41" s="11"/>
      <c r="G41" s="271"/>
    </row>
    <row r="42" spans="3:11" ht="15" customHeight="1" x14ac:dyDescent="0.25">
      <c r="C42" s="424"/>
      <c r="D42" s="424"/>
      <c r="E42" s="424"/>
      <c r="F42" s="83"/>
      <c r="G42" s="83"/>
      <c r="H42" s="426"/>
      <c r="I42" s="426"/>
      <c r="J42" s="79"/>
      <c r="K42" s="79"/>
    </row>
    <row r="43" spans="3:11" ht="18" x14ac:dyDescent="0.25">
      <c r="C43" s="424"/>
      <c r="D43" s="424"/>
      <c r="E43" s="424"/>
      <c r="F43" s="428">
        <f>+$C$1</f>
        <v>46143</v>
      </c>
      <c r="G43" s="83"/>
      <c r="H43" s="429">
        <f>+$E$1</f>
        <v>46183</v>
      </c>
      <c r="I43" s="83"/>
      <c r="J43" s="79"/>
      <c r="K43" s="79"/>
    </row>
    <row r="44" spans="3:11" ht="18" x14ac:dyDescent="0.25">
      <c r="C44" s="82"/>
      <c r="D44" s="82"/>
      <c r="E44" s="98"/>
      <c r="F44" s="428"/>
      <c r="G44" s="83"/>
      <c r="H44" s="429"/>
      <c r="I44" s="83"/>
      <c r="J44" s="79"/>
      <c r="K44" s="79"/>
    </row>
    <row r="45" spans="3:11" ht="18" x14ac:dyDescent="0.25">
      <c r="C45" s="83"/>
      <c r="D45" s="88"/>
      <c r="E45" s="83"/>
      <c r="F45" s="84"/>
      <c r="G45" s="83"/>
      <c r="H45" s="84"/>
      <c r="I45" s="83"/>
      <c r="J45" s="79"/>
      <c r="K45" s="79"/>
    </row>
    <row r="46" spans="3:11" ht="26.25" customHeight="1" x14ac:dyDescent="0.25">
      <c r="D46" s="88"/>
      <c r="E46" s="83"/>
      <c r="F46" s="84"/>
      <c r="G46" s="83"/>
      <c r="H46" s="84"/>
      <c r="I46" s="83"/>
      <c r="J46" s="79"/>
      <c r="K46" s="79"/>
    </row>
    <row r="47" spans="3:11" ht="17.25" customHeight="1" x14ac:dyDescent="0.25">
      <c r="C47" s="83" t="str">
        <f>+C2</f>
        <v>CAPRIA MARIA ESTHER</v>
      </c>
      <c r="D47" s="88"/>
      <c r="E47" s="83"/>
      <c r="F47" s="83" t="s">
        <v>293</v>
      </c>
      <c r="G47" s="83"/>
      <c r="H47" s="83"/>
      <c r="I47" s="90" t="s">
        <v>75</v>
      </c>
      <c r="J47" s="79"/>
      <c r="K47" s="79"/>
    </row>
    <row r="48" spans="3:11" ht="18" x14ac:dyDescent="0.25">
      <c r="C48" s="83"/>
      <c r="D48" s="88"/>
      <c r="E48" s="83"/>
      <c r="F48" s="84"/>
      <c r="G48" s="83"/>
      <c r="H48" s="83"/>
      <c r="I48" s="83" t="str">
        <f>+'RES CUENTA'!B15</f>
        <v xml:space="preserve">PB </v>
      </c>
      <c r="J48" s="79"/>
      <c r="K48" s="79"/>
    </row>
    <row r="49" spans="3:11" ht="23.25" customHeight="1" x14ac:dyDescent="0.25">
      <c r="C49" s="91"/>
      <c r="D49" s="88"/>
      <c r="E49" s="91"/>
      <c r="F49" s="83"/>
      <c r="G49" s="83"/>
      <c r="H49" s="83"/>
      <c r="I49" s="83"/>
      <c r="J49" s="79"/>
      <c r="K49" s="79"/>
    </row>
    <row r="50" spans="3:11" ht="18" x14ac:dyDescent="0.25">
      <c r="C50" s="83" t="s">
        <v>68</v>
      </c>
      <c r="D50" s="88"/>
      <c r="E50" s="101">
        <f>+'RES CUENTA'!G36</f>
        <v>4623849.72</v>
      </c>
      <c r="F50" s="86">
        <f>+'RES CUENTA'!F15</f>
        <v>10.52</v>
      </c>
      <c r="G50" s="101">
        <f>+E50*F50/100</f>
        <v>486428.99054399994</v>
      </c>
      <c r="H50" s="425"/>
      <c r="I50" s="425"/>
      <c r="J50" s="79"/>
      <c r="K50" s="79"/>
    </row>
    <row r="51" spans="3:11" ht="18" x14ac:dyDescent="0.25">
      <c r="C51" s="83" t="s">
        <v>69</v>
      </c>
      <c r="D51" s="88"/>
      <c r="E51" s="101">
        <f>+'RES CUENTA'!J36</f>
        <v>1180425.75</v>
      </c>
      <c r="F51" s="86">
        <f>+'RES CUENTA'!H15</f>
        <v>1.1100000000000001</v>
      </c>
      <c r="G51" s="101">
        <f>+E51*F51/100</f>
        <v>13102.725825</v>
      </c>
      <c r="H51" s="430"/>
      <c r="I51" s="430"/>
      <c r="J51" s="79"/>
      <c r="K51" s="79"/>
    </row>
    <row r="52" spans="3:11" ht="18" x14ac:dyDescent="0.25">
      <c r="C52" s="83" t="s">
        <v>215</v>
      </c>
      <c r="D52" s="88"/>
      <c r="E52" s="101">
        <v>0</v>
      </c>
      <c r="F52" s="83">
        <v>0</v>
      </c>
      <c r="G52" s="101">
        <f>+'RES CUENTA'!K15</f>
        <v>0</v>
      </c>
      <c r="H52" s="430"/>
      <c r="I52" s="430"/>
      <c r="J52" s="79"/>
      <c r="K52" s="79"/>
    </row>
    <row r="53" spans="3:11" ht="18" x14ac:dyDescent="0.25">
      <c r="C53" s="83" t="s">
        <v>181</v>
      </c>
      <c r="D53" s="88"/>
      <c r="E53" s="101">
        <v>0</v>
      </c>
      <c r="F53" s="83">
        <v>0</v>
      </c>
      <c r="G53" s="101">
        <f>+'RES CUENTA'!M15</f>
        <v>0</v>
      </c>
      <c r="H53" s="430"/>
      <c r="I53" s="430"/>
      <c r="J53" s="79"/>
      <c r="K53" s="79"/>
    </row>
    <row r="54" spans="3:11" ht="18" x14ac:dyDescent="0.25">
      <c r="C54" s="83" t="s">
        <v>289</v>
      </c>
      <c r="D54" s="88"/>
      <c r="E54" s="101">
        <v>0</v>
      </c>
      <c r="F54" s="83">
        <v>0</v>
      </c>
      <c r="G54" s="134">
        <f>+'RES CUENTA'!N15</f>
        <v>0</v>
      </c>
      <c r="H54" s="430"/>
      <c r="I54" s="430"/>
      <c r="J54" s="79"/>
      <c r="K54" s="79"/>
    </row>
    <row r="55" spans="3:11" ht="18" x14ac:dyDescent="0.25">
      <c r="C55" s="84"/>
      <c r="D55" s="88"/>
      <c r="E55" s="83"/>
      <c r="F55" s="89"/>
      <c r="G55" s="101">
        <f>SUM(G50:G54)</f>
        <v>499531.71636899991</v>
      </c>
      <c r="H55" s="87"/>
      <c r="I55" s="87"/>
      <c r="J55" s="79"/>
      <c r="K55" s="79"/>
    </row>
    <row r="56" spans="3:11" ht="18" x14ac:dyDescent="0.25">
      <c r="C56" s="84"/>
      <c r="D56" s="88"/>
      <c r="E56" s="83"/>
      <c r="F56" s="83"/>
      <c r="H56" s="432"/>
      <c r="I56" s="432"/>
      <c r="J56" s="79"/>
      <c r="K56" s="79"/>
    </row>
    <row r="57" spans="3:11" ht="18" x14ac:dyDescent="0.25">
      <c r="C57" s="84"/>
      <c r="D57" s="88"/>
      <c r="E57" s="83"/>
      <c r="F57" s="83"/>
      <c r="H57" s="88"/>
      <c r="I57" s="88"/>
      <c r="J57" s="79"/>
      <c r="K57" s="79"/>
    </row>
    <row r="58" spans="3:11" ht="18" x14ac:dyDescent="0.25">
      <c r="C58" s="83"/>
      <c r="D58" s="88"/>
      <c r="E58" s="83"/>
      <c r="F58" s="83"/>
      <c r="G58" s="85"/>
      <c r="H58" s="88"/>
      <c r="I58" s="88"/>
      <c r="J58" s="79"/>
      <c r="K58" s="79"/>
    </row>
    <row r="59" spans="3:11" ht="24.75" customHeight="1" x14ac:dyDescent="0.25">
      <c r="C59" s="83"/>
      <c r="D59" s="88"/>
      <c r="E59" s="83"/>
      <c r="F59" s="83"/>
      <c r="G59" s="89"/>
      <c r="H59" s="83"/>
      <c r="I59" s="83"/>
      <c r="J59" s="79"/>
      <c r="K59" s="79"/>
    </row>
    <row r="60" spans="3:11" ht="24" customHeight="1" x14ac:dyDescent="0.25">
      <c r="C60" s="83" t="str">
        <f>+C2</f>
        <v>CAPRIA MARIA ESTHER</v>
      </c>
      <c r="D60" s="84"/>
      <c r="E60" s="84"/>
      <c r="F60" s="83" t="str">
        <f>+C2</f>
        <v>CAPRIA MARIA ESTHER</v>
      </c>
      <c r="G60" s="89"/>
      <c r="H60" s="83"/>
      <c r="I60" s="83"/>
      <c r="J60" s="79"/>
      <c r="K60" s="79"/>
    </row>
    <row r="61" spans="3:11" ht="18" x14ac:dyDescent="0.25">
      <c r="D61" s="88"/>
      <c r="E61" s="83"/>
      <c r="G61" s="427"/>
      <c r="H61" s="427"/>
      <c r="I61" s="427"/>
      <c r="J61" s="79"/>
      <c r="K61" s="79"/>
    </row>
    <row r="62" spans="3:11" ht="18" x14ac:dyDescent="0.25">
      <c r="C62" s="83" t="str">
        <f>+$F$1</f>
        <v>MONTES DE OCA 1068/1070 C.A.B.A.</v>
      </c>
      <c r="D62" s="88"/>
      <c r="E62" s="90" t="str">
        <f>+I47</f>
        <v>Unid. 1</v>
      </c>
      <c r="F62" s="83" t="str">
        <f>+$F$1</f>
        <v>MONTES DE OCA 1068/1070 C.A.B.A.</v>
      </c>
      <c r="G62" s="83"/>
      <c r="H62" s="83"/>
      <c r="I62" s="90" t="str">
        <f>+E62</f>
        <v>Unid. 1</v>
      </c>
      <c r="J62" s="79"/>
      <c r="K62" s="79"/>
    </row>
    <row r="63" spans="3:11" ht="18" x14ac:dyDescent="0.25">
      <c r="E63" s="90" t="str">
        <f>+I63</f>
        <v xml:space="preserve">PB </v>
      </c>
      <c r="I63" s="90" t="str">
        <f>+I48</f>
        <v xml:space="preserve">PB </v>
      </c>
      <c r="J63" s="79"/>
      <c r="K63" s="79"/>
    </row>
    <row r="64" spans="3:11" ht="15.75" customHeight="1" x14ac:dyDescent="0.25">
      <c r="C64" s="83" t="str">
        <f>+$F$2</f>
        <v>P/Depósito o transferencia en Banco Santander Rio</v>
      </c>
      <c r="D64" s="91"/>
      <c r="E64" s="84"/>
      <c r="F64" s="84"/>
      <c r="G64" s="83"/>
      <c r="H64" s="83"/>
      <c r="J64" s="79"/>
      <c r="K64" s="79"/>
    </row>
    <row r="65" spans="3:11" ht="18" x14ac:dyDescent="0.25">
      <c r="C65" s="83" t="str">
        <f>+$F$3</f>
        <v xml:space="preserve">Cta. Cte. $ N° 558-000162/1 </v>
      </c>
      <c r="D65" s="88"/>
      <c r="E65" s="83"/>
      <c r="F65" s="83"/>
      <c r="G65" s="83"/>
      <c r="H65" s="84"/>
      <c r="I65" s="99"/>
      <c r="J65" s="79"/>
      <c r="K65" s="79"/>
    </row>
    <row r="66" spans="3:11" ht="18" x14ac:dyDescent="0.25">
      <c r="C66" s="270" t="str">
        <f>+F4</f>
        <v>CBU: 0720558320000000016218</v>
      </c>
      <c r="D66" s="88"/>
      <c r="E66" s="83"/>
      <c r="F66" s="93"/>
      <c r="G66" s="83"/>
      <c r="H66" s="91"/>
      <c r="I66" s="83"/>
      <c r="J66" s="79"/>
      <c r="K66" s="79"/>
    </row>
    <row r="67" spans="3:11" ht="18" x14ac:dyDescent="0.25">
      <c r="C67" s="270" t="str">
        <f>+F5</f>
        <v>CUIT: 30-66148861-8</v>
      </c>
      <c r="D67" s="88"/>
      <c r="E67" s="83"/>
      <c r="F67" s="83" t="s">
        <v>70</v>
      </c>
      <c r="G67" s="102">
        <f>+G50</f>
        <v>486428.99054399994</v>
      </c>
      <c r="I67" s="97">
        <f>+E1</f>
        <v>46183</v>
      </c>
      <c r="J67" s="79"/>
      <c r="K67" s="79"/>
    </row>
    <row r="68" spans="3:11" ht="18" x14ac:dyDescent="0.25">
      <c r="C68" s="270"/>
      <c r="D68" s="88"/>
      <c r="E68" s="83"/>
      <c r="F68" s="83" t="s">
        <v>71</v>
      </c>
      <c r="G68" s="102">
        <f>+G51</f>
        <v>13102.725825</v>
      </c>
      <c r="J68" s="79"/>
      <c r="K68" s="79"/>
    </row>
    <row r="69" spans="3:11" ht="18" x14ac:dyDescent="0.25">
      <c r="D69" s="88"/>
      <c r="E69" s="83"/>
      <c r="F69" s="83" t="s">
        <v>215</v>
      </c>
      <c r="G69" s="102">
        <f>+G52</f>
        <v>0</v>
      </c>
      <c r="H69" s="83"/>
      <c r="I69" s="83"/>
      <c r="J69" s="79"/>
      <c r="K69" s="79"/>
    </row>
    <row r="70" spans="3:11" ht="18" x14ac:dyDescent="0.25">
      <c r="C70" s="83"/>
      <c r="D70" s="88"/>
      <c r="E70" s="83"/>
      <c r="F70" s="83" t="s">
        <v>181</v>
      </c>
      <c r="G70" s="102">
        <f>+G53</f>
        <v>0</v>
      </c>
      <c r="H70" s="83"/>
      <c r="I70" s="83"/>
      <c r="J70" s="79"/>
      <c r="K70" s="79"/>
    </row>
    <row r="71" spans="3:11" ht="18" x14ac:dyDescent="0.25">
      <c r="C71" s="93"/>
      <c r="D71" s="93"/>
      <c r="E71" s="93"/>
      <c r="F71" s="83" t="s">
        <v>289</v>
      </c>
      <c r="G71" s="135">
        <f>+G54</f>
        <v>0</v>
      </c>
      <c r="H71" s="83"/>
      <c r="I71" s="83"/>
      <c r="J71" s="79"/>
      <c r="K71" s="79"/>
    </row>
    <row r="72" spans="3:11" ht="18" x14ac:dyDescent="0.25">
      <c r="C72" s="97">
        <f>+$H$43</f>
        <v>46183</v>
      </c>
      <c r="D72" s="157">
        <f>+G55</f>
        <v>499531.71636899991</v>
      </c>
      <c r="E72" s="83"/>
      <c r="F72" s="83" t="s">
        <v>74</v>
      </c>
      <c r="G72" s="102">
        <f>SUM(G67:G71)</f>
        <v>499531.71636899991</v>
      </c>
      <c r="H72" s="83"/>
      <c r="I72" s="83"/>
      <c r="J72" s="79"/>
      <c r="K72" s="79"/>
    </row>
    <row r="73" spans="3:11" ht="18" x14ac:dyDescent="0.25">
      <c r="C73" s="83"/>
      <c r="D73" s="88"/>
      <c r="E73" s="83"/>
      <c r="F73" s="100"/>
      <c r="G73" s="83"/>
      <c r="H73" s="83"/>
      <c r="I73" s="83"/>
      <c r="J73" s="79"/>
      <c r="K73" s="79"/>
    </row>
    <row r="74" spans="3:11" ht="18" x14ac:dyDescent="0.25">
      <c r="C74" s="83"/>
      <c r="D74" s="88"/>
      <c r="E74" s="83"/>
      <c r="G74" s="83"/>
      <c r="H74" s="83"/>
      <c r="I74" s="83"/>
      <c r="J74" s="79"/>
      <c r="K74" s="79"/>
    </row>
    <row r="75" spans="3:11" ht="18" x14ac:dyDescent="0.25">
      <c r="C75" s="83"/>
      <c r="D75" s="88"/>
      <c r="E75" s="83"/>
      <c r="G75" s="83"/>
      <c r="H75" s="83"/>
      <c r="I75" s="83"/>
      <c r="J75" s="79"/>
      <c r="K75" s="79"/>
    </row>
    <row r="76" spans="3:11" ht="18" x14ac:dyDescent="0.25">
      <c r="C76" s="83"/>
      <c r="D76" s="88"/>
      <c r="E76" s="83"/>
      <c r="G76" s="83"/>
      <c r="H76" s="83"/>
      <c r="I76" s="83"/>
      <c r="J76" s="79"/>
      <c r="K76" s="79"/>
    </row>
    <row r="77" spans="3:11" ht="18" x14ac:dyDescent="0.25">
      <c r="C77" s="83"/>
      <c r="D77" s="88"/>
      <c r="E77" s="83"/>
      <c r="F77" s="83"/>
      <c r="G77" s="83"/>
      <c r="H77" s="83"/>
      <c r="I77" s="83"/>
      <c r="J77" s="79"/>
      <c r="K77" s="79"/>
    </row>
    <row r="78" spans="3:11" ht="18" x14ac:dyDescent="0.25">
      <c r="C78" s="83"/>
      <c r="D78" s="88"/>
      <c r="E78" s="83"/>
      <c r="F78" s="83"/>
      <c r="G78" s="83"/>
      <c r="H78" s="425"/>
      <c r="I78" s="425"/>
      <c r="J78" s="79"/>
      <c r="K78" s="79"/>
    </row>
    <row r="79" spans="3:11" ht="18" x14ac:dyDescent="0.25">
      <c r="C79" s="83"/>
      <c r="D79" s="88"/>
      <c r="E79" s="83"/>
      <c r="F79" s="83"/>
      <c r="G79" s="83"/>
      <c r="H79" s="83"/>
      <c r="I79" s="83"/>
      <c r="J79" s="79"/>
      <c r="K79" s="79"/>
    </row>
    <row r="80" spans="3:11" ht="18" x14ac:dyDescent="0.25">
      <c r="C80" s="83"/>
      <c r="D80" s="88"/>
      <c r="E80" s="83"/>
      <c r="F80" s="83"/>
      <c r="G80" s="83"/>
      <c r="H80" s="83"/>
      <c r="I80" s="83"/>
      <c r="J80" s="79"/>
      <c r="K80" s="79"/>
    </row>
    <row r="81" spans="3:11" ht="18" x14ac:dyDescent="0.25">
      <c r="C81" s="83"/>
      <c r="D81" s="88"/>
      <c r="E81" s="83"/>
      <c r="F81" s="83"/>
      <c r="G81" s="83"/>
      <c r="I81" s="83"/>
      <c r="J81" s="79"/>
      <c r="K81" s="79"/>
    </row>
    <row r="82" spans="3:11" ht="18" x14ac:dyDescent="0.25">
      <c r="C82" s="424"/>
      <c r="D82" s="424"/>
      <c r="E82" s="424"/>
      <c r="F82" s="96">
        <f>+$C$1</f>
        <v>46143</v>
      </c>
      <c r="G82" s="83"/>
      <c r="H82" s="97">
        <f>+$E$1</f>
        <v>46183</v>
      </c>
      <c r="I82" s="95"/>
      <c r="J82" s="79"/>
      <c r="K82" s="79"/>
    </row>
    <row r="83" spans="3:11" ht="18" x14ac:dyDescent="0.25">
      <c r="C83" s="82"/>
      <c r="D83" s="82"/>
      <c r="E83" s="98"/>
      <c r="F83" s="96"/>
      <c r="G83" s="83"/>
    </row>
    <row r="84" spans="3:11" ht="30.75" customHeight="1" x14ac:dyDescent="0.25">
      <c r="D84" s="88"/>
      <c r="E84" s="83"/>
      <c r="G84" s="83"/>
    </row>
    <row r="85" spans="3:11" ht="18" x14ac:dyDescent="0.25">
      <c r="D85" s="88"/>
      <c r="E85" s="83"/>
      <c r="F85" s="83" t="str">
        <f>+$F$1</f>
        <v>MONTES DE OCA 1068/1070 C.A.B.A.</v>
      </c>
      <c r="G85" s="83"/>
      <c r="I85" s="90" t="s">
        <v>76</v>
      </c>
    </row>
    <row r="86" spans="3:11" ht="18" x14ac:dyDescent="0.25">
      <c r="C86" s="83" t="str">
        <f>+C3</f>
        <v>DEGROSSI VICTORIO</v>
      </c>
      <c r="D86" s="88"/>
      <c r="E86" s="83"/>
      <c r="G86" s="83"/>
      <c r="H86" s="84"/>
      <c r="I86" s="90" t="str">
        <f>+'RES CUENTA'!B16</f>
        <v>1 A</v>
      </c>
    </row>
    <row r="87" spans="3:11" ht="18" x14ac:dyDescent="0.25">
      <c r="C87" s="83"/>
      <c r="D87" s="88"/>
      <c r="E87" s="83"/>
      <c r="F87" s="84"/>
      <c r="G87" s="83"/>
      <c r="H87" s="83"/>
      <c r="I87" s="84"/>
    </row>
    <row r="88" spans="3:11" ht="12" customHeight="1" x14ac:dyDescent="0.25">
      <c r="C88" s="91"/>
      <c r="D88" s="88"/>
      <c r="E88" s="91"/>
      <c r="F88" s="83"/>
      <c r="G88" s="83"/>
      <c r="H88" s="83"/>
      <c r="I88" s="83"/>
    </row>
    <row r="89" spans="3:11" ht="18" x14ac:dyDescent="0.25">
      <c r="C89" s="83" t="s">
        <v>68</v>
      </c>
      <c r="D89" s="88"/>
      <c r="E89" s="101">
        <f>+'RES CUENTA'!G36</f>
        <v>4623849.72</v>
      </c>
      <c r="F89" s="86">
        <f>+'RES CUENTA'!F16</f>
        <v>5.52</v>
      </c>
      <c r="G89" s="101">
        <f>+E89*F89/100</f>
        <v>255236.50454399997</v>
      </c>
      <c r="H89" s="83"/>
      <c r="I89" s="91"/>
    </row>
    <row r="90" spans="3:11" ht="18" x14ac:dyDescent="0.25">
      <c r="C90" s="83" t="s">
        <v>69</v>
      </c>
      <c r="D90" s="88"/>
      <c r="E90" s="101">
        <f>+'RES CUENTA'!J36</f>
        <v>1180425.75</v>
      </c>
      <c r="F90" s="86">
        <f>+'RES CUENTA'!H16</f>
        <v>6.1689999999999996</v>
      </c>
      <c r="G90" s="101">
        <f>+E90*F90/100</f>
        <v>72820.46451749999</v>
      </c>
      <c r="H90" s="91"/>
      <c r="I90" s="87"/>
    </row>
    <row r="91" spans="3:11" ht="18" x14ac:dyDescent="0.25">
      <c r="C91" s="83" t="s">
        <v>215</v>
      </c>
      <c r="D91" s="88"/>
      <c r="E91" s="101">
        <f>+'RES CUENTA'!K16</f>
        <v>0</v>
      </c>
      <c r="F91" s="83">
        <v>0</v>
      </c>
      <c r="G91" s="101">
        <f>+E91</f>
        <v>0</v>
      </c>
      <c r="H91" s="87"/>
      <c r="I91" s="87"/>
    </row>
    <row r="92" spans="3:11" ht="18" x14ac:dyDescent="0.25">
      <c r="C92" s="83" t="s">
        <v>181</v>
      </c>
      <c r="E92" s="101">
        <v>0</v>
      </c>
      <c r="F92" s="83">
        <v>0</v>
      </c>
      <c r="G92" s="101">
        <f>+'RES CUENTA'!M16</f>
        <v>0</v>
      </c>
      <c r="H92" s="87"/>
      <c r="I92" s="87"/>
    </row>
    <row r="93" spans="3:11" ht="18" x14ac:dyDescent="0.25">
      <c r="C93" s="83" t="s">
        <v>289</v>
      </c>
      <c r="D93" s="88"/>
      <c r="E93" s="101">
        <f>+'RES CUENTA'!N16</f>
        <v>0</v>
      </c>
      <c r="F93" s="83">
        <v>0</v>
      </c>
      <c r="G93" s="134">
        <f>+'RES CUENTA'!N16</f>
        <v>0</v>
      </c>
      <c r="H93" s="87"/>
      <c r="I93" s="87"/>
    </row>
    <row r="94" spans="3:11" ht="18" x14ac:dyDescent="0.25">
      <c r="C94" s="84"/>
      <c r="D94" s="88"/>
      <c r="E94" s="83"/>
      <c r="G94" s="101">
        <f>SUM(G89:G93)</f>
        <v>328056.96906149993</v>
      </c>
      <c r="H94" s="87"/>
      <c r="I94" s="88"/>
    </row>
    <row r="95" spans="3:11" ht="18" x14ac:dyDescent="0.25">
      <c r="C95" s="83"/>
      <c r="D95" s="88"/>
      <c r="E95" s="83"/>
      <c r="F95" s="83"/>
      <c r="G95" s="89"/>
      <c r="H95" s="88"/>
      <c r="I95" s="88"/>
    </row>
    <row r="96" spans="3:11" ht="18" x14ac:dyDescent="0.25">
      <c r="C96" s="83"/>
      <c r="D96" s="88"/>
      <c r="E96" s="83"/>
      <c r="F96" s="83"/>
      <c r="G96" s="89"/>
      <c r="H96" s="88"/>
      <c r="I96" s="88"/>
    </row>
    <row r="97" spans="3:9" ht="14.25" customHeight="1" x14ac:dyDescent="0.25">
      <c r="C97" s="83"/>
      <c r="D97" s="88"/>
      <c r="E97" s="83"/>
      <c r="F97" s="83"/>
      <c r="G97" s="89"/>
      <c r="H97" s="88"/>
      <c r="I97" s="88"/>
    </row>
    <row r="98" spans="3:9" ht="18" customHeight="1" x14ac:dyDescent="0.25">
      <c r="C98" s="83"/>
      <c r="D98" s="88"/>
      <c r="E98" s="83"/>
      <c r="F98" s="83"/>
      <c r="G98" s="89"/>
      <c r="H98" s="88"/>
      <c r="I98" s="83"/>
    </row>
    <row r="99" spans="3:9" ht="27.75" customHeight="1" x14ac:dyDescent="0.25">
      <c r="C99" s="83" t="str">
        <f>+C86</f>
        <v>DEGROSSI VICTORIO</v>
      </c>
      <c r="D99" s="88"/>
      <c r="E99" s="83"/>
      <c r="F99" s="83" t="str">
        <f>+C86</f>
        <v>DEGROSSI VICTORIO</v>
      </c>
      <c r="G99" s="83"/>
      <c r="H99" s="83"/>
      <c r="I99" s="99"/>
    </row>
    <row r="100" spans="3:9" ht="18" x14ac:dyDescent="0.25">
      <c r="C100" s="84"/>
      <c r="D100" s="88"/>
      <c r="E100" s="83"/>
      <c r="G100" s="83"/>
      <c r="H100" s="99"/>
      <c r="I100" s="90" t="str">
        <f>+E101</f>
        <v>Unid. 2</v>
      </c>
    </row>
    <row r="101" spans="3:9" ht="18" x14ac:dyDescent="0.25">
      <c r="C101" s="83" t="str">
        <f>+$F$1</f>
        <v>MONTES DE OCA 1068/1070 C.A.B.A.</v>
      </c>
      <c r="D101" s="88"/>
      <c r="E101" s="90" t="s">
        <v>76</v>
      </c>
      <c r="F101" s="83" t="str">
        <f>+$F$1</f>
        <v>MONTES DE OCA 1068/1070 C.A.B.A.</v>
      </c>
      <c r="G101" s="83"/>
      <c r="H101" s="83"/>
      <c r="I101" s="90" t="str">
        <f>+I86</f>
        <v>1 A</v>
      </c>
    </row>
    <row r="102" spans="3:9" ht="18" x14ac:dyDescent="0.25">
      <c r="C102" s="84"/>
      <c r="D102" s="91"/>
      <c r="E102" s="90" t="str">
        <f>+I101</f>
        <v>1 A</v>
      </c>
      <c r="G102" s="83"/>
      <c r="H102" s="83"/>
    </row>
    <row r="103" spans="3:9" ht="15" customHeight="1" x14ac:dyDescent="0.25">
      <c r="C103" s="83" t="str">
        <f>+$F$2</f>
        <v>P/Depósito o transferencia en Banco Santander Rio</v>
      </c>
      <c r="D103" s="88"/>
      <c r="E103" s="83"/>
      <c r="F103" s="84"/>
      <c r="G103" s="83"/>
      <c r="H103" s="83"/>
      <c r="I103" s="99"/>
    </row>
    <row r="104" spans="3:9" ht="15" customHeight="1" x14ac:dyDescent="0.25">
      <c r="C104" s="83" t="str">
        <f>+$F$3</f>
        <v xml:space="preserve">Cta. Cte. $ N° 558-000162/1 </v>
      </c>
      <c r="D104" s="88"/>
      <c r="E104" s="83"/>
      <c r="F104" s="83"/>
      <c r="G104" s="128"/>
      <c r="H104" s="84"/>
      <c r="I104" s="83"/>
    </row>
    <row r="105" spans="3:9" ht="18" x14ac:dyDescent="0.25">
      <c r="C105" s="83" t="str">
        <f>+F4</f>
        <v>CBU: 0720558320000000016218</v>
      </c>
      <c r="D105" s="88"/>
      <c r="E105" s="83"/>
      <c r="F105" s="93"/>
      <c r="H105" s="91"/>
      <c r="I105" s="92"/>
    </row>
    <row r="106" spans="3:9" ht="18" x14ac:dyDescent="0.25">
      <c r="C106" s="83" t="str">
        <f>+F5</f>
        <v>CUIT: 30-66148861-8</v>
      </c>
      <c r="D106" s="88"/>
      <c r="E106" s="83"/>
      <c r="F106" s="83" t="s">
        <v>70</v>
      </c>
      <c r="G106" s="102">
        <f>+G89</f>
        <v>255236.50454399997</v>
      </c>
      <c r="H106" s="92"/>
      <c r="I106" s="97">
        <f>+E1</f>
        <v>46183</v>
      </c>
    </row>
    <row r="107" spans="3:9" ht="18" x14ac:dyDescent="0.25">
      <c r="C107" s="270"/>
      <c r="D107" s="88"/>
      <c r="E107" s="83"/>
      <c r="F107" s="83" t="s">
        <v>71</v>
      </c>
      <c r="G107" s="102">
        <f>+G90</f>
        <v>72820.46451749999</v>
      </c>
      <c r="I107" s="83"/>
    </row>
    <row r="108" spans="3:9" ht="18" x14ac:dyDescent="0.25">
      <c r="D108" s="88"/>
      <c r="E108" s="83"/>
      <c r="F108" s="83" t="s">
        <v>72</v>
      </c>
      <c r="G108" s="102">
        <f>+G92</f>
        <v>0</v>
      </c>
      <c r="H108" s="83"/>
      <c r="I108" s="83"/>
    </row>
    <row r="109" spans="3:9" ht="18" x14ac:dyDescent="0.25">
      <c r="C109" s="93"/>
      <c r="D109" s="93"/>
      <c r="E109" s="93"/>
      <c r="F109" s="83" t="s">
        <v>73</v>
      </c>
      <c r="G109" s="102">
        <f>+G93</f>
        <v>0</v>
      </c>
      <c r="H109" s="83"/>
      <c r="I109" s="83"/>
    </row>
    <row r="110" spans="3:9" ht="18" x14ac:dyDescent="0.25">
      <c r="E110" s="83"/>
      <c r="F110" s="83" t="s">
        <v>312</v>
      </c>
      <c r="G110" s="135">
        <f>+G91</f>
        <v>0</v>
      </c>
      <c r="H110" s="83"/>
      <c r="I110" s="83"/>
    </row>
    <row r="111" spans="3:9" ht="18" x14ac:dyDescent="0.25">
      <c r="C111" s="97">
        <f>+$H$43</f>
        <v>46183</v>
      </c>
      <c r="D111" s="157">
        <f>+G94</f>
        <v>328056.96906149993</v>
      </c>
      <c r="E111" s="83"/>
      <c r="F111" s="83" t="s">
        <v>74</v>
      </c>
      <c r="G111" s="102">
        <f>+G94</f>
        <v>328056.96906149993</v>
      </c>
      <c r="H111" s="83"/>
      <c r="I111" s="83"/>
    </row>
    <row r="112" spans="3:9" ht="18" x14ac:dyDescent="0.25">
      <c r="F112" s="83"/>
      <c r="H112" s="91"/>
      <c r="I112" s="83"/>
    </row>
    <row r="113" spans="3:10" ht="8.25" customHeight="1" x14ac:dyDescent="0.25">
      <c r="H113" s="83"/>
    </row>
    <row r="114" spans="3:10" ht="6.75" customHeight="1" x14ac:dyDescent="0.2"/>
    <row r="115" spans="3:10" ht="18" x14ac:dyDescent="0.25">
      <c r="C115" s="424"/>
      <c r="D115" s="424"/>
      <c r="E115" s="424"/>
      <c r="F115" s="431">
        <f>+$C$1</f>
        <v>46143</v>
      </c>
      <c r="G115" s="83"/>
      <c r="H115" s="429">
        <f>+$E$1</f>
        <v>46183</v>
      </c>
      <c r="I115" s="83"/>
      <c r="J115" s="79"/>
    </row>
    <row r="116" spans="3:10" ht="18" x14ac:dyDescent="0.25">
      <c r="C116" s="82"/>
      <c r="D116" s="82"/>
      <c r="E116" s="98"/>
      <c r="F116" s="431"/>
      <c r="G116" s="83"/>
      <c r="H116" s="429"/>
      <c r="I116" s="83"/>
      <c r="J116" s="79"/>
    </row>
    <row r="117" spans="3:10" ht="20.25" customHeight="1" x14ac:dyDescent="0.25">
      <c r="C117" s="83"/>
      <c r="D117" s="88"/>
      <c r="E117" s="83"/>
      <c r="F117" s="84"/>
      <c r="G117" s="83"/>
      <c r="H117" s="84"/>
      <c r="I117" s="83"/>
      <c r="J117" s="79"/>
    </row>
    <row r="118" spans="3:10" ht="25.5" customHeight="1" x14ac:dyDescent="0.25">
      <c r="D118" s="88"/>
      <c r="E118" s="83"/>
      <c r="F118" s="84"/>
      <c r="G118" s="83"/>
      <c r="H118" s="84"/>
      <c r="I118" s="83"/>
      <c r="J118" s="79"/>
    </row>
    <row r="119" spans="3:10" ht="18.75" customHeight="1" x14ac:dyDescent="0.25">
      <c r="C119" s="83" t="str">
        <f>+C4</f>
        <v>NIETO MANUEL</v>
      </c>
      <c r="D119" s="88"/>
      <c r="E119" s="83"/>
      <c r="F119" s="83" t="s">
        <v>293</v>
      </c>
      <c r="G119" s="83"/>
      <c r="H119" s="83"/>
      <c r="I119" s="90" t="s">
        <v>77</v>
      </c>
      <c r="J119" s="79"/>
    </row>
    <row r="120" spans="3:10" ht="18" x14ac:dyDescent="0.25">
      <c r="C120" s="83"/>
      <c r="D120" s="88"/>
      <c r="E120" s="83"/>
      <c r="F120" s="84"/>
      <c r="G120" s="83"/>
      <c r="H120" s="83"/>
      <c r="I120" s="90" t="str">
        <f>+'RES CUENTA'!B17</f>
        <v>1 B</v>
      </c>
      <c r="J120" s="79"/>
    </row>
    <row r="121" spans="3:10" ht="12" customHeight="1" x14ac:dyDescent="0.25">
      <c r="C121" s="91"/>
      <c r="D121" s="88"/>
      <c r="E121" s="91"/>
      <c r="F121" s="83"/>
      <c r="G121" s="83"/>
      <c r="H121" s="83"/>
      <c r="I121" s="83"/>
      <c r="J121" s="79"/>
    </row>
    <row r="122" spans="3:10" ht="14.25" customHeight="1" x14ac:dyDescent="0.25">
      <c r="C122" s="91"/>
      <c r="D122" s="88"/>
      <c r="E122" s="91"/>
      <c r="F122" s="83"/>
      <c r="G122" s="83"/>
      <c r="H122" s="83"/>
      <c r="I122" s="83"/>
      <c r="J122" s="79"/>
    </row>
    <row r="123" spans="3:10" ht="18" x14ac:dyDescent="0.25">
      <c r="C123" s="83" t="s">
        <v>68</v>
      </c>
      <c r="D123" s="88"/>
      <c r="E123" s="101">
        <f>+'RES CUENTA'!G36</f>
        <v>4623849.72</v>
      </c>
      <c r="F123" s="86">
        <f>+'RES CUENTA'!F17</f>
        <v>4.22</v>
      </c>
      <c r="G123" s="101">
        <f>+E123*F123/100</f>
        <v>195126.45818399999</v>
      </c>
      <c r="H123" s="425"/>
      <c r="I123" s="425"/>
      <c r="J123" s="79"/>
    </row>
    <row r="124" spans="3:10" ht="18" x14ac:dyDescent="0.25">
      <c r="C124" s="83" t="s">
        <v>69</v>
      </c>
      <c r="D124" s="88"/>
      <c r="E124" s="101">
        <f>+'RES CUENTA'!J36</f>
        <v>1180425.75</v>
      </c>
      <c r="F124" s="86">
        <f>+'RES CUENTA'!H17</f>
        <v>4.7160000000000002</v>
      </c>
      <c r="G124" s="101">
        <f>+E124*F124/100</f>
        <v>55668.878370000006</v>
      </c>
      <c r="H124" s="430"/>
      <c r="I124" s="430"/>
      <c r="J124" s="79"/>
    </row>
    <row r="125" spans="3:10" ht="18" x14ac:dyDescent="0.25">
      <c r="C125" s="83" t="s">
        <v>215</v>
      </c>
      <c r="D125" s="88"/>
      <c r="E125" s="101">
        <f>+'RES CUENTA'!K17</f>
        <v>0</v>
      </c>
      <c r="F125" s="83">
        <v>0</v>
      </c>
      <c r="G125" s="101">
        <f>+E125</f>
        <v>0</v>
      </c>
      <c r="H125" s="430"/>
      <c r="I125" s="430"/>
      <c r="J125" s="79"/>
    </row>
    <row r="126" spans="3:10" ht="18" x14ac:dyDescent="0.25">
      <c r="C126" s="83" t="s">
        <v>181</v>
      </c>
      <c r="D126" s="88"/>
      <c r="E126" s="101">
        <v>0</v>
      </c>
      <c r="F126" s="83">
        <v>0</v>
      </c>
      <c r="G126" s="101">
        <f>+'RES CUENTA'!M17</f>
        <v>0</v>
      </c>
      <c r="H126" s="430"/>
      <c r="I126" s="430"/>
      <c r="J126" s="79"/>
    </row>
    <row r="127" spans="3:10" ht="18" x14ac:dyDescent="0.25">
      <c r="C127" s="83" t="s">
        <v>289</v>
      </c>
      <c r="D127" s="88"/>
      <c r="E127" s="101">
        <f>+'RES CUENTA'!M17+'RES CUENTA'!N17</f>
        <v>0</v>
      </c>
      <c r="F127" s="83">
        <v>0</v>
      </c>
      <c r="G127" s="134">
        <f>+'RES CUENTA'!N17</f>
        <v>0</v>
      </c>
      <c r="H127" s="432"/>
      <c r="I127" s="432"/>
      <c r="J127" s="79"/>
    </row>
    <row r="128" spans="3:10" ht="18" x14ac:dyDescent="0.25">
      <c r="C128" s="84"/>
      <c r="D128" s="88"/>
      <c r="E128" s="83"/>
      <c r="F128" s="89"/>
      <c r="G128" s="101">
        <f>SUM(G123:G127)</f>
        <v>250795.33655399998</v>
      </c>
      <c r="H128" s="88"/>
      <c r="I128" s="88"/>
      <c r="J128" s="79"/>
    </row>
    <row r="129" spans="3:10" ht="18" x14ac:dyDescent="0.25">
      <c r="C129" s="83"/>
      <c r="D129" s="88"/>
      <c r="E129" s="83"/>
      <c r="F129" s="83"/>
      <c r="G129" s="85"/>
      <c r="H129" s="88"/>
      <c r="I129" s="88"/>
      <c r="J129" s="79"/>
    </row>
    <row r="130" spans="3:10" ht="18" x14ac:dyDescent="0.25">
      <c r="C130" s="83"/>
      <c r="D130" s="88"/>
      <c r="E130" s="83"/>
      <c r="F130" s="83"/>
      <c r="G130" s="85"/>
      <c r="H130" s="88"/>
      <c r="I130" s="88"/>
      <c r="J130" s="79"/>
    </row>
    <row r="131" spans="3:10" ht="18" x14ac:dyDescent="0.25">
      <c r="C131" s="83"/>
      <c r="D131" s="88"/>
      <c r="E131" s="83"/>
      <c r="F131" s="83"/>
      <c r="G131" s="85"/>
      <c r="H131" s="88"/>
      <c r="I131" s="88"/>
      <c r="J131" s="79"/>
    </row>
    <row r="132" spans="3:10" ht="18" x14ac:dyDescent="0.25">
      <c r="C132" s="83"/>
      <c r="D132" s="88"/>
      <c r="E132" s="83"/>
      <c r="F132" s="83"/>
      <c r="G132" s="89"/>
      <c r="H132" s="83"/>
      <c r="I132" s="83"/>
      <c r="J132" s="79"/>
    </row>
    <row r="133" spans="3:10" ht="11.25" customHeight="1" x14ac:dyDescent="0.25">
      <c r="C133" s="83"/>
      <c r="D133" s="88"/>
      <c r="E133" s="83"/>
      <c r="F133" s="83"/>
      <c r="G133" s="89"/>
      <c r="H133" s="83"/>
      <c r="I133" s="83"/>
      <c r="J133" s="79"/>
    </row>
    <row r="134" spans="3:10" ht="18" x14ac:dyDescent="0.25">
      <c r="C134" s="83" t="str">
        <f>+C119</f>
        <v>NIETO MANUEL</v>
      </c>
      <c r="D134" s="427"/>
      <c r="E134" s="427"/>
      <c r="F134" s="83" t="str">
        <f>+C134</f>
        <v>NIETO MANUEL</v>
      </c>
      <c r="G134" s="89"/>
      <c r="H134" s="83"/>
      <c r="I134" s="83"/>
      <c r="J134" s="79"/>
    </row>
    <row r="135" spans="3:10" ht="20.25" customHeight="1" x14ac:dyDescent="0.25">
      <c r="D135" s="88"/>
      <c r="E135" s="83"/>
      <c r="G135" s="427"/>
      <c r="H135" s="427"/>
      <c r="I135" s="427"/>
      <c r="J135" s="79"/>
    </row>
    <row r="136" spans="3:10" ht="18" x14ac:dyDescent="0.25">
      <c r="C136" s="83" t="str">
        <f>+$F$1</f>
        <v>MONTES DE OCA 1068/1070 C.A.B.A.</v>
      </c>
      <c r="D136" s="88"/>
      <c r="E136" s="90" t="str">
        <f>+I119</f>
        <v>Unid. 3</v>
      </c>
      <c r="F136" s="83" t="str">
        <f>+$F$1</f>
        <v>MONTES DE OCA 1068/1070 C.A.B.A.</v>
      </c>
      <c r="G136" s="83"/>
      <c r="H136" s="83"/>
      <c r="I136" s="90" t="str">
        <f>+E136</f>
        <v>Unid. 3</v>
      </c>
      <c r="J136" s="79"/>
    </row>
    <row r="137" spans="3:10" ht="18" x14ac:dyDescent="0.25">
      <c r="E137" s="90" t="str">
        <f>+I137</f>
        <v>1 B</v>
      </c>
      <c r="I137" s="90" t="str">
        <f>+I120</f>
        <v>1 B</v>
      </c>
      <c r="J137" s="79"/>
    </row>
    <row r="138" spans="3:10" ht="15" customHeight="1" x14ac:dyDescent="0.25">
      <c r="C138" s="83" t="str">
        <f>+$F$2</f>
        <v>P/Depósito o transferencia en Banco Santander Rio</v>
      </c>
      <c r="D138" s="91"/>
      <c r="E138" s="84"/>
      <c r="F138" s="84"/>
      <c r="G138" s="83"/>
      <c r="H138" s="83"/>
      <c r="J138" s="79"/>
    </row>
    <row r="139" spans="3:10" ht="18" x14ac:dyDescent="0.25">
      <c r="C139" s="83" t="str">
        <f>+$F$3</f>
        <v xml:space="preserve">Cta. Cte. $ N° 558-000162/1 </v>
      </c>
      <c r="D139" s="88"/>
      <c r="E139" s="83"/>
      <c r="F139" s="83"/>
      <c r="G139" s="83"/>
      <c r="H139" s="84"/>
      <c r="I139" s="99"/>
      <c r="J139" s="79"/>
    </row>
    <row r="140" spans="3:10" ht="14.25" customHeight="1" x14ac:dyDescent="0.25">
      <c r="C140" s="83" t="str">
        <f>+F4</f>
        <v>CBU: 0720558320000000016218</v>
      </c>
      <c r="D140" s="88"/>
      <c r="E140" s="83"/>
      <c r="F140" s="93"/>
      <c r="G140" s="83"/>
      <c r="H140" s="91"/>
      <c r="I140" s="83"/>
      <c r="J140" s="79"/>
    </row>
    <row r="141" spans="3:10" ht="18" x14ac:dyDescent="0.25">
      <c r="C141" s="83" t="str">
        <f>+F5</f>
        <v>CUIT: 30-66148861-8</v>
      </c>
      <c r="D141" s="88"/>
      <c r="E141" s="83"/>
      <c r="F141" s="83" t="s">
        <v>70</v>
      </c>
      <c r="G141" s="102">
        <f t="shared" ref="G141:G146" si="0">+G123</f>
        <v>195126.45818399999</v>
      </c>
      <c r="I141" s="97">
        <f>+E1</f>
        <v>46183</v>
      </c>
      <c r="J141" s="79"/>
    </row>
    <row r="142" spans="3:10" ht="18" x14ac:dyDescent="0.25">
      <c r="C142" s="270"/>
      <c r="D142" s="88"/>
      <c r="E142" s="83"/>
      <c r="F142" s="83" t="s">
        <v>71</v>
      </c>
      <c r="G142" s="102">
        <f t="shared" si="0"/>
        <v>55668.878370000006</v>
      </c>
      <c r="J142" s="79"/>
    </row>
    <row r="143" spans="3:10" ht="18" x14ac:dyDescent="0.25">
      <c r="D143" s="88"/>
      <c r="E143" s="83"/>
      <c r="F143" s="83" t="s">
        <v>181</v>
      </c>
      <c r="G143" s="102">
        <f t="shared" si="0"/>
        <v>0</v>
      </c>
      <c r="H143" s="83"/>
      <c r="I143" s="83"/>
      <c r="J143" s="79"/>
    </row>
    <row r="144" spans="3:10" ht="18" x14ac:dyDescent="0.25">
      <c r="C144" s="83"/>
      <c r="D144" s="88"/>
      <c r="E144" s="83"/>
      <c r="F144" s="83" t="s">
        <v>181</v>
      </c>
      <c r="G144" s="102">
        <f t="shared" si="0"/>
        <v>0</v>
      </c>
      <c r="H144" s="83"/>
      <c r="I144" s="83"/>
      <c r="J144" s="79"/>
    </row>
    <row r="145" spans="3:10" ht="17.25" customHeight="1" x14ac:dyDescent="0.25">
      <c r="C145" s="93"/>
      <c r="D145" s="93"/>
      <c r="E145" s="93"/>
      <c r="F145" s="83" t="s">
        <v>289</v>
      </c>
      <c r="G145" s="135">
        <f t="shared" si="0"/>
        <v>0</v>
      </c>
      <c r="H145" s="83"/>
      <c r="I145" s="83"/>
      <c r="J145" s="79"/>
    </row>
    <row r="146" spans="3:10" ht="18" x14ac:dyDescent="0.25">
      <c r="C146" s="97">
        <f>+$H$43</f>
        <v>46183</v>
      </c>
      <c r="D146" s="157">
        <f>+G128</f>
        <v>250795.33655399998</v>
      </c>
      <c r="E146" s="83"/>
      <c r="F146" s="83" t="s">
        <v>74</v>
      </c>
      <c r="G146" s="102">
        <f t="shared" si="0"/>
        <v>250795.33655399998</v>
      </c>
      <c r="H146" s="83"/>
      <c r="I146" s="83"/>
      <c r="J146" s="79"/>
    </row>
    <row r="147" spans="3:10" ht="18" x14ac:dyDescent="0.25">
      <c r="C147" s="83"/>
      <c r="D147" s="88"/>
      <c r="E147" s="83"/>
      <c r="F147" s="100"/>
      <c r="G147" s="83"/>
      <c r="H147" s="83"/>
      <c r="I147" s="83"/>
      <c r="J147" s="79"/>
    </row>
    <row r="148" spans="3:10" ht="18" x14ac:dyDescent="0.25">
      <c r="C148" s="83"/>
      <c r="D148" s="88"/>
      <c r="E148" s="83"/>
      <c r="G148" s="83"/>
      <c r="H148" s="83"/>
      <c r="I148" s="83"/>
      <c r="J148" s="79"/>
    </row>
    <row r="149" spans="3:10" ht="18" x14ac:dyDescent="0.25">
      <c r="C149" s="83"/>
      <c r="D149" s="88"/>
      <c r="E149" s="83"/>
      <c r="G149" s="83"/>
      <c r="H149" s="83"/>
      <c r="I149" s="83"/>
      <c r="J149" s="79"/>
    </row>
    <row r="150" spans="3:10" ht="18" x14ac:dyDescent="0.25">
      <c r="C150" s="83"/>
      <c r="D150" s="88"/>
      <c r="E150" s="83"/>
      <c r="F150" s="83"/>
      <c r="G150" s="83"/>
      <c r="H150" s="425"/>
      <c r="I150" s="425"/>
      <c r="J150" s="79"/>
    </row>
    <row r="151" spans="3:10" ht="18" x14ac:dyDescent="0.25">
      <c r="C151" s="83"/>
      <c r="D151" s="88"/>
      <c r="E151" s="83"/>
      <c r="F151" s="83"/>
      <c r="G151" s="83"/>
      <c r="H151" s="83"/>
      <c r="I151" s="83"/>
      <c r="J151" s="79"/>
    </row>
    <row r="152" spans="3:10" ht="18" x14ac:dyDescent="0.25">
      <c r="C152" s="83"/>
      <c r="D152" s="88"/>
      <c r="E152" s="83"/>
      <c r="F152" s="83"/>
      <c r="G152" s="83"/>
      <c r="H152" s="83"/>
      <c r="I152" s="83"/>
      <c r="J152" s="79"/>
    </row>
    <row r="153" spans="3:10" ht="18" x14ac:dyDescent="0.25">
      <c r="C153" s="83"/>
      <c r="D153" s="88"/>
      <c r="E153" s="83"/>
      <c r="F153" s="83"/>
      <c r="G153" s="83"/>
      <c r="H153" s="83"/>
      <c r="I153" s="83"/>
      <c r="J153" s="79"/>
    </row>
    <row r="154" spans="3:10" ht="18" x14ac:dyDescent="0.25">
      <c r="C154" s="83"/>
      <c r="D154" s="88"/>
      <c r="E154" s="83"/>
      <c r="F154" s="83"/>
      <c r="G154" s="83"/>
      <c r="H154" s="83"/>
      <c r="I154" s="83"/>
      <c r="J154" s="79"/>
    </row>
    <row r="155" spans="3:10" ht="26.25" customHeight="1" x14ac:dyDescent="0.25">
      <c r="C155" s="424"/>
      <c r="D155" s="424"/>
      <c r="E155" s="424"/>
      <c r="F155" s="96">
        <f>+$C$1</f>
        <v>46143</v>
      </c>
      <c r="G155" s="83"/>
      <c r="H155" s="97">
        <f>+$E$1</f>
        <v>46183</v>
      </c>
      <c r="I155" s="95"/>
      <c r="J155" s="79"/>
    </row>
    <row r="156" spans="3:10" ht="19.5" customHeight="1" x14ac:dyDescent="0.25">
      <c r="C156" s="82"/>
      <c r="D156" s="82"/>
      <c r="E156" s="98"/>
      <c r="F156" s="96"/>
      <c r="G156" s="83"/>
    </row>
    <row r="157" spans="3:10" ht="28.5" customHeight="1" x14ac:dyDescent="0.25">
      <c r="D157" s="88"/>
      <c r="E157" s="83"/>
      <c r="G157" s="83"/>
    </row>
    <row r="158" spans="3:10" ht="17.25" customHeight="1" x14ac:dyDescent="0.25">
      <c r="C158" s="83" t="str">
        <f>+C5</f>
        <v>IRAOLA-RODRIGUEZ SORI</v>
      </c>
      <c r="D158" s="88"/>
      <c r="E158" s="83"/>
      <c r="F158" s="83" t="str">
        <f>+$F$1</f>
        <v>MONTES DE OCA 1068/1070 C.A.B.A.</v>
      </c>
      <c r="G158" s="83"/>
    </row>
    <row r="159" spans="3:10" ht="18" x14ac:dyDescent="0.25">
      <c r="C159" s="84"/>
      <c r="D159" s="88"/>
      <c r="E159" s="83"/>
      <c r="G159" s="83"/>
      <c r="H159" s="84"/>
      <c r="I159" s="90" t="s">
        <v>78</v>
      </c>
    </row>
    <row r="160" spans="3:10" ht="18" x14ac:dyDescent="0.25">
      <c r="C160" s="83"/>
      <c r="D160" s="88"/>
      <c r="E160" s="83"/>
      <c r="F160" s="84"/>
      <c r="G160" s="83"/>
      <c r="H160" s="83"/>
      <c r="I160" s="90" t="str">
        <f>+'RES CUENTA'!B18</f>
        <v>2 A</v>
      </c>
    </row>
    <row r="161" spans="3:9" ht="18.75" customHeight="1" x14ac:dyDescent="0.25">
      <c r="C161" s="91"/>
      <c r="D161" s="88"/>
      <c r="E161" s="91"/>
      <c r="F161" s="83"/>
      <c r="G161" s="83"/>
      <c r="H161" s="83"/>
      <c r="I161" s="83"/>
    </row>
    <row r="162" spans="3:9" ht="18" x14ac:dyDescent="0.25">
      <c r="C162" s="83" t="s">
        <v>68</v>
      </c>
      <c r="D162" s="88"/>
      <c r="E162" s="103">
        <f>+'RES CUENTA'!G36</f>
        <v>4623849.72</v>
      </c>
      <c r="F162" s="104">
        <f>+'RES CUENTA'!F18</f>
        <v>5.52</v>
      </c>
      <c r="G162" s="101">
        <f>+E162*F162/100</f>
        <v>255236.50454399997</v>
      </c>
      <c r="H162" s="83"/>
      <c r="I162" s="91"/>
    </row>
    <row r="163" spans="3:9" ht="18" x14ac:dyDescent="0.25">
      <c r="C163" s="83" t="s">
        <v>69</v>
      </c>
      <c r="D163" s="88"/>
      <c r="E163" s="103">
        <f>+'RES CUENTA'!J36</f>
        <v>1180425.75</v>
      </c>
      <c r="F163" s="104">
        <f>+'RES CUENTA'!H18</f>
        <v>6.1689999999999996</v>
      </c>
      <c r="G163" s="101">
        <f>+E163*F163/100</f>
        <v>72820.46451749999</v>
      </c>
      <c r="H163" s="91"/>
      <c r="I163" s="87"/>
    </row>
    <row r="164" spans="3:9" ht="18" x14ac:dyDescent="0.25">
      <c r="C164" s="83" t="s">
        <v>215</v>
      </c>
      <c r="D164" s="88"/>
      <c r="E164" s="103">
        <f>+'RES CUENTA'!K18</f>
        <v>0</v>
      </c>
      <c r="F164" s="88">
        <v>0</v>
      </c>
      <c r="G164" s="101">
        <f>+E164</f>
        <v>0</v>
      </c>
      <c r="H164" s="87"/>
      <c r="I164" s="87"/>
    </row>
    <row r="165" spans="3:9" ht="18" x14ac:dyDescent="0.25">
      <c r="C165" s="83" t="s">
        <v>181</v>
      </c>
      <c r="D165" s="88"/>
      <c r="E165" s="103">
        <v>0</v>
      </c>
      <c r="F165" s="88">
        <v>0</v>
      </c>
      <c r="G165" s="101">
        <f>+'RES CUENTA'!M18</f>
        <v>-559</v>
      </c>
      <c r="H165" s="87"/>
      <c r="I165" s="87"/>
    </row>
    <row r="166" spans="3:9" ht="18" x14ac:dyDescent="0.25">
      <c r="C166" s="83" t="s">
        <v>289</v>
      </c>
      <c r="D166" s="88"/>
      <c r="E166" s="103">
        <f>+'RES CUENTA'!M18+'RES CUENTA'!N18</f>
        <v>-559</v>
      </c>
      <c r="F166" s="88">
        <v>0</v>
      </c>
      <c r="G166" s="134">
        <f>+'RES CUENTA'!N18</f>
        <v>0</v>
      </c>
      <c r="H166" s="87"/>
      <c r="I166" s="87"/>
    </row>
    <row r="167" spans="3:9" ht="18" x14ac:dyDescent="0.25">
      <c r="C167" s="84"/>
      <c r="D167" s="88"/>
      <c r="E167" s="83"/>
      <c r="G167" s="101">
        <f>SUM(G162:G166)</f>
        <v>327497.96906149993</v>
      </c>
      <c r="H167" s="87"/>
      <c r="I167" s="88"/>
    </row>
    <row r="168" spans="3:9" ht="18" x14ac:dyDescent="0.25">
      <c r="C168" s="84"/>
      <c r="D168" s="88"/>
      <c r="E168" s="83"/>
      <c r="G168" s="85"/>
      <c r="H168" s="87"/>
      <c r="I168" s="88"/>
    </row>
    <row r="169" spans="3:9" ht="18" x14ac:dyDescent="0.25">
      <c r="C169" s="83"/>
      <c r="D169" s="88"/>
      <c r="E169" s="83"/>
      <c r="F169" s="83"/>
      <c r="G169" s="89"/>
      <c r="H169" s="88"/>
      <c r="I169" s="88"/>
    </row>
    <row r="170" spans="3:9" ht="18" x14ac:dyDescent="0.25">
      <c r="C170" s="83"/>
      <c r="D170" s="88"/>
      <c r="E170" s="83"/>
      <c r="F170" s="83"/>
      <c r="G170" s="89"/>
      <c r="H170" s="88"/>
      <c r="I170" s="88"/>
    </row>
    <row r="171" spans="3:9" ht="20.25" customHeight="1" x14ac:dyDescent="0.25">
      <c r="C171" s="83"/>
      <c r="D171" s="88"/>
      <c r="E171" s="83"/>
      <c r="F171" s="83"/>
      <c r="G171" s="89"/>
      <c r="H171" s="88"/>
      <c r="I171" s="83"/>
    </row>
    <row r="172" spans="3:9" ht="23.25" customHeight="1" x14ac:dyDescent="0.25">
      <c r="C172" s="83" t="str">
        <f>+C158</f>
        <v>IRAOLA-RODRIGUEZ SORI</v>
      </c>
      <c r="D172" s="88"/>
      <c r="E172" s="83"/>
      <c r="F172" s="83" t="str">
        <f>+C158</f>
        <v>IRAOLA-RODRIGUEZ SORI</v>
      </c>
      <c r="G172" s="83"/>
      <c r="H172" s="83"/>
      <c r="I172" s="99"/>
    </row>
    <row r="173" spans="3:9" ht="18" x14ac:dyDescent="0.25">
      <c r="C173" s="84"/>
      <c r="D173" s="88"/>
      <c r="E173" s="83"/>
      <c r="G173" s="83"/>
      <c r="H173" s="99"/>
      <c r="I173" s="90" t="s">
        <v>78</v>
      </c>
    </row>
    <row r="174" spans="3:9" ht="18" x14ac:dyDescent="0.25">
      <c r="C174" s="83" t="str">
        <f>+$F$1</f>
        <v>MONTES DE OCA 1068/1070 C.A.B.A.</v>
      </c>
      <c r="D174" s="88"/>
      <c r="E174" s="90" t="s">
        <v>78</v>
      </c>
      <c r="F174" s="83" t="str">
        <f>+$F$1</f>
        <v>MONTES DE OCA 1068/1070 C.A.B.A.</v>
      </c>
      <c r="G174" s="83"/>
      <c r="H174" s="83"/>
      <c r="I174" s="90" t="str">
        <f>+I160</f>
        <v>2 A</v>
      </c>
    </row>
    <row r="175" spans="3:9" ht="18" x14ac:dyDescent="0.25">
      <c r="C175" s="84"/>
      <c r="D175" s="91"/>
      <c r="E175" s="90" t="str">
        <f>+I174</f>
        <v>2 A</v>
      </c>
      <c r="G175" s="83"/>
      <c r="H175" s="83"/>
    </row>
    <row r="176" spans="3:9" ht="15" customHeight="1" x14ac:dyDescent="0.25">
      <c r="C176" s="83" t="str">
        <f>+$F$2</f>
        <v>P/Depósito o transferencia en Banco Santander Rio</v>
      </c>
      <c r="D176" s="88"/>
      <c r="E176" s="83"/>
      <c r="F176" s="84"/>
      <c r="G176" s="83"/>
      <c r="H176" s="83"/>
      <c r="I176" s="99"/>
    </row>
    <row r="177" spans="3:9" ht="18" x14ac:dyDescent="0.25">
      <c r="C177" s="83" t="str">
        <f>+$F$3</f>
        <v xml:space="preserve">Cta. Cte. $ N° 558-000162/1 </v>
      </c>
      <c r="D177" s="88"/>
      <c r="E177" s="83"/>
      <c r="F177" s="83"/>
      <c r="G177" s="128"/>
      <c r="H177" s="84"/>
      <c r="I177" s="83"/>
    </row>
    <row r="178" spans="3:9" ht="15" customHeight="1" x14ac:dyDescent="0.25">
      <c r="C178" s="83" t="str">
        <f>+F4</f>
        <v>CBU: 0720558320000000016218</v>
      </c>
      <c r="D178" s="88"/>
      <c r="E178" s="83"/>
      <c r="F178" s="93"/>
      <c r="H178" s="91"/>
      <c r="I178" s="92"/>
    </row>
    <row r="179" spans="3:9" ht="18" x14ac:dyDescent="0.25">
      <c r="C179" s="83" t="str">
        <f>+F5</f>
        <v>CUIT: 30-66148861-8</v>
      </c>
      <c r="D179" s="88"/>
      <c r="E179" s="83"/>
      <c r="F179" s="83" t="s">
        <v>70</v>
      </c>
      <c r="G179" s="102">
        <f t="shared" ref="G179:G184" si="1">+G162</f>
        <v>255236.50454399997</v>
      </c>
      <c r="H179" s="92"/>
      <c r="I179" s="97">
        <f>+E1</f>
        <v>46183</v>
      </c>
    </row>
    <row r="180" spans="3:9" ht="18" x14ac:dyDescent="0.25">
      <c r="C180" s="83"/>
      <c r="D180" s="88"/>
      <c r="E180" s="83"/>
      <c r="F180" s="83" t="s">
        <v>71</v>
      </c>
      <c r="G180" s="102">
        <f t="shared" si="1"/>
        <v>72820.46451749999</v>
      </c>
      <c r="I180" s="83"/>
    </row>
    <row r="181" spans="3:9" ht="18" x14ac:dyDescent="0.25">
      <c r="D181" s="88"/>
      <c r="E181" s="83"/>
      <c r="F181" s="83" t="s">
        <v>181</v>
      </c>
      <c r="G181" s="102">
        <f t="shared" si="1"/>
        <v>0</v>
      </c>
      <c r="H181" s="83"/>
      <c r="I181" s="83"/>
    </row>
    <row r="182" spans="3:9" ht="18" x14ac:dyDescent="0.25">
      <c r="C182" s="93"/>
      <c r="D182" s="93"/>
      <c r="E182" s="93"/>
      <c r="F182" s="83" t="s">
        <v>72</v>
      </c>
      <c r="G182" s="102">
        <f t="shared" si="1"/>
        <v>-559</v>
      </c>
      <c r="H182" s="83"/>
      <c r="I182" s="83"/>
    </row>
    <row r="183" spans="3:9" ht="18" x14ac:dyDescent="0.25">
      <c r="E183" s="83"/>
      <c r="F183" s="83" t="s">
        <v>310</v>
      </c>
      <c r="G183" s="135">
        <f t="shared" si="1"/>
        <v>0</v>
      </c>
      <c r="H183" s="83"/>
      <c r="I183" s="83"/>
    </row>
    <row r="184" spans="3:9" ht="18" x14ac:dyDescent="0.25">
      <c r="C184" s="97">
        <f>+$H$43</f>
        <v>46183</v>
      </c>
      <c r="D184" s="157">
        <f>+G167</f>
        <v>327497.96906149993</v>
      </c>
      <c r="E184" s="83"/>
      <c r="F184" s="83" t="s">
        <v>74</v>
      </c>
      <c r="G184" s="102">
        <f t="shared" si="1"/>
        <v>327497.96906149993</v>
      </c>
      <c r="H184" s="83"/>
      <c r="I184" s="83"/>
    </row>
    <row r="185" spans="3:9" ht="18" x14ac:dyDescent="0.25">
      <c r="C185" s="83"/>
      <c r="D185" s="88"/>
      <c r="E185" s="83"/>
      <c r="F185" s="83"/>
      <c r="G185" s="83"/>
      <c r="H185" s="83"/>
      <c r="I185" s="83"/>
    </row>
    <row r="186" spans="3:9" ht="18" x14ac:dyDescent="0.25">
      <c r="C186" s="83"/>
      <c r="D186" s="88"/>
      <c r="E186" s="83"/>
      <c r="F186" s="100"/>
      <c r="G186" s="83"/>
      <c r="H186" s="83"/>
      <c r="I186" s="83"/>
    </row>
    <row r="187" spans="3:9" ht="6.75" customHeight="1" x14ac:dyDescent="0.2">
      <c r="C187" s="175"/>
    </row>
    <row r="188" spans="3:9" ht="7.5" customHeight="1" x14ac:dyDescent="0.2"/>
    <row r="189" spans="3:9" ht="18" x14ac:dyDescent="0.25">
      <c r="C189" s="424"/>
      <c r="D189" s="424"/>
      <c r="E189" s="424"/>
      <c r="F189" s="428">
        <f>+$C$1</f>
        <v>46143</v>
      </c>
      <c r="G189" s="83"/>
      <c r="H189" s="429">
        <f>+$E$1</f>
        <v>46183</v>
      </c>
      <c r="I189" s="83"/>
    </row>
    <row r="190" spans="3:9" ht="18" x14ac:dyDescent="0.25">
      <c r="C190" s="82"/>
      <c r="D190" s="82"/>
      <c r="E190" s="98"/>
      <c r="F190" s="428"/>
      <c r="G190" s="83"/>
      <c r="H190" s="429"/>
      <c r="I190" s="83"/>
    </row>
    <row r="191" spans="3:9" ht="18" x14ac:dyDescent="0.25">
      <c r="C191" s="83"/>
      <c r="D191" s="88"/>
      <c r="E191" s="83"/>
      <c r="F191" s="84"/>
      <c r="G191" s="83"/>
      <c r="H191" s="84"/>
      <c r="I191" s="83"/>
    </row>
    <row r="192" spans="3:9" ht="28.5" customHeight="1" x14ac:dyDescent="0.25">
      <c r="D192" s="88"/>
      <c r="E192" s="83"/>
      <c r="F192" s="84"/>
      <c r="G192" s="83"/>
      <c r="H192" s="84"/>
      <c r="I192" s="83"/>
    </row>
    <row r="193" spans="3:9" ht="18" x14ac:dyDescent="0.25">
      <c r="C193" s="83" t="str">
        <f>+C6</f>
        <v>GOMEZ ANTONIO</v>
      </c>
      <c r="D193" s="88"/>
      <c r="E193" s="83"/>
      <c r="F193" s="83" t="s">
        <v>293</v>
      </c>
      <c r="G193" s="83"/>
      <c r="H193" s="83"/>
      <c r="I193" s="90" t="s">
        <v>79</v>
      </c>
    </row>
    <row r="194" spans="3:9" ht="18" x14ac:dyDescent="0.25">
      <c r="C194" s="83"/>
      <c r="D194" s="88"/>
      <c r="E194" s="83"/>
      <c r="F194" s="84"/>
      <c r="G194" s="83"/>
      <c r="H194" s="83"/>
      <c r="I194" s="90" t="str">
        <f>+'RES CUENTA'!B19</f>
        <v>2 B</v>
      </c>
    </row>
    <row r="195" spans="3:9" ht="18" x14ac:dyDescent="0.25">
      <c r="C195" s="91"/>
      <c r="D195" s="88"/>
      <c r="E195" s="91"/>
      <c r="F195" s="83"/>
      <c r="G195" s="83"/>
      <c r="H195" s="83"/>
      <c r="I195" s="83"/>
    </row>
    <row r="196" spans="3:9" ht="15" customHeight="1" x14ac:dyDescent="0.25">
      <c r="C196" s="91"/>
      <c r="D196" s="88"/>
      <c r="E196" s="91"/>
      <c r="F196" s="83"/>
      <c r="G196" s="83"/>
      <c r="H196" s="83"/>
      <c r="I196" s="83"/>
    </row>
    <row r="197" spans="3:9" ht="18" x14ac:dyDescent="0.25">
      <c r="C197" s="83" t="s">
        <v>68</v>
      </c>
      <c r="D197" s="88"/>
      <c r="E197" s="103">
        <f>+'RES CUENTA'!G36</f>
        <v>4623849.72</v>
      </c>
      <c r="F197" s="104">
        <f>+'RES CUENTA'!F19</f>
        <v>4.22</v>
      </c>
      <c r="G197" s="101">
        <f>+E197*F197/100</f>
        <v>195126.45818399999</v>
      </c>
      <c r="H197" s="425"/>
      <c r="I197" s="425"/>
    </row>
    <row r="198" spans="3:9" ht="18" x14ac:dyDescent="0.25">
      <c r="C198" s="83" t="s">
        <v>69</v>
      </c>
      <c r="D198" s="88"/>
      <c r="E198" s="103">
        <f>+'RES CUENTA'!J36</f>
        <v>1180425.75</v>
      </c>
      <c r="F198" s="104">
        <f>+'RES CUENTA'!H19</f>
        <v>4.7160000000000002</v>
      </c>
      <c r="G198" s="101">
        <f>+E198*F198/100</f>
        <v>55668.878370000006</v>
      </c>
      <c r="H198" s="430"/>
      <c r="I198" s="430"/>
    </row>
    <row r="199" spans="3:9" ht="18" x14ac:dyDescent="0.25">
      <c r="C199" s="83" t="s">
        <v>215</v>
      </c>
      <c r="D199" s="88"/>
      <c r="E199" s="103">
        <f>+'RES CUENTA'!K19</f>
        <v>0</v>
      </c>
      <c r="F199" s="88">
        <v>0</v>
      </c>
      <c r="G199" s="101">
        <f>+E199</f>
        <v>0</v>
      </c>
      <c r="H199" s="430"/>
      <c r="I199" s="430"/>
    </row>
    <row r="200" spans="3:9" ht="18" x14ac:dyDescent="0.25">
      <c r="C200" s="83" t="s">
        <v>311</v>
      </c>
      <c r="D200" s="88"/>
      <c r="E200" s="103">
        <v>0</v>
      </c>
      <c r="F200" s="88">
        <v>0</v>
      </c>
      <c r="G200" s="101">
        <f>+'RES CUENTA'!M19</f>
        <v>0</v>
      </c>
      <c r="H200" s="430"/>
      <c r="I200" s="430"/>
    </row>
    <row r="201" spans="3:9" ht="18" x14ac:dyDescent="0.25">
      <c r="C201" s="83" t="s">
        <v>289</v>
      </c>
      <c r="D201" s="88"/>
      <c r="E201" s="103">
        <v>0</v>
      </c>
      <c r="F201" s="88">
        <v>0</v>
      </c>
      <c r="G201" s="134">
        <f>+'RES CUENTA'!N19</f>
        <v>0</v>
      </c>
      <c r="H201" s="430"/>
      <c r="I201" s="430"/>
    </row>
    <row r="202" spans="3:9" ht="18" x14ac:dyDescent="0.25">
      <c r="C202" s="84"/>
      <c r="D202" s="88"/>
      <c r="E202" s="83"/>
      <c r="F202" s="89"/>
      <c r="G202" s="101">
        <f>SUM(G197:G201)</f>
        <v>250795.33655399998</v>
      </c>
      <c r="H202" s="432"/>
      <c r="I202" s="432"/>
    </row>
    <row r="203" spans="3:9" ht="18" x14ac:dyDescent="0.25">
      <c r="C203" s="83"/>
      <c r="D203" s="88"/>
      <c r="E203" s="83"/>
      <c r="F203" s="83"/>
      <c r="G203" s="85"/>
      <c r="H203" s="88"/>
      <c r="I203" s="88"/>
    </row>
    <row r="204" spans="3:9" ht="18" x14ac:dyDescent="0.25">
      <c r="C204" s="83"/>
      <c r="D204" s="88"/>
      <c r="E204" s="83"/>
      <c r="F204" s="83"/>
      <c r="G204" s="85"/>
      <c r="H204" s="88"/>
      <c r="I204" s="88"/>
    </row>
    <row r="205" spans="3:9" ht="18" x14ac:dyDescent="0.25">
      <c r="C205" s="83"/>
      <c r="D205" s="88"/>
      <c r="E205" s="83"/>
      <c r="F205" s="83"/>
      <c r="G205" s="89"/>
      <c r="H205" s="83"/>
      <c r="I205" s="83"/>
    </row>
    <row r="206" spans="3:9" ht="18" x14ac:dyDescent="0.25">
      <c r="C206" s="83"/>
      <c r="D206" s="88"/>
      <c r="E206" s="83"/>
      <c r="F206" s="83"/>
      <c r="G206" s="89"/>
      <c r="H206" s="83"/>
      <c r="I206" s="83"/>
    </row>
    <row r="207" spans="3:9" ht="11.25" customHeight="1" x14ac:dyDescent="0.25">
      <c r="C207" s="83"/>
      <c r="D207" s="88"/>
      <c r="E207" s="83"/>
      <c r="F207" s="83"/>
      <c r="G207" s="89"/>
      <c r="H207" s="83"/>
      <c r="I207" s="83"/>
    </row>
    <row r="208" spans="3:9" ht="18" x14ac:dyDescent="0.25">
      <c r="C208" s="83" t="str">
        <f>+C193</f>
        <v>GOMEZ ANTONIO</v>
      </c>
      <c r="D208" s="427"/>
      <c r="E208" s="427"/>
      <c r="F208" s="83" t="str">
        <f>+C208</f>
        <v>GOMEZ ANTONIO</v>
      </c>
      <c r="G208" s="89"/>
      <c r="H208" s="83"/>
      <c r="I208" s="83"/>
    </row>
    <row r="209" spans="3:9" ht="18" x14ac:dyDescent="0.25">
      <c r="D209" s="88"/>
      <c r="E209" s="83"/>
      <c r="G209" s="427"/>
      <c r="H209" s="427"/>
      <c r="I209" s="427"/>
    </row>
    <row r="210" spans="3:9" ht="18" x14ac:dyDescent="0.25">
      <c r="C210" s="83" t="str">
        <f>+$F$1</f>
        <v>MONTES DE OCA 1068/1070 C.A.B.A.</v>
      </c>
      <c r="D210" s="88"/>
      <c r="E210" s="88" t="str">
        <f>+I193</f>
        <v>Unid. 5</v>
      </c>
      <c r="F210" s="83" t="str">
        <f>+$F$1</f>
        <v>MONTES DE OCA 1068/1070 C.A.B.A.</v>
      </c>
      <c r="G210" s="83"/>
      <c r="H210" s="83"/>
      <c r="I210" s="90" t="str">
        <f>+E210</f>
        <v>Unid. 5</v>
      </c>
    </row>
    <row r="211" spans="3:9" ht="18" x14ac:dyDescent="0.25">
      <c r="E211" s="88" t="str">
        <f>+I211</f>
        <v>2 B</v>
      </c>
      <c r="I211" s="90" t="str">
        <f>+I194</f>
        <v>2 B</v>
      </c>
    </row>
    <row r="212" spans="3:9" ht="15" customHeight="1" x14ac:dyDescent="0.25">
      <c r="C212" s="83" t="str">
        <f>+$F$2</f>
        <v>P/Depósito o transferencia en Banco Santander Rio</v>
      </c>
      <c r="D212" s="91"/>
      <c r="E212" s="84"/>
      <c r="F212" s="84"/>
      <c r="G212" s="83"/>
      <c r="H212" s="83"/>
    </row>
    <row r="213" spans="3:9" ht="18" x14ac:dyDescent="0.25">
      <c r="C213" s="83" t="str">
        <f>+$F$3</f>
        <v xml:space="preserve">Cta. Cte. $ N° 558-000162/1 </v>
      </c>
      <c r="D213" s="88"/>
      <c r="E213" s="83"/>
      <c r="F213" s="83"/>
      <c r="G213" s="83"/>
      <c r="H213" s="84"/>
      <c r="I213" s="99"/>
    </row>
    <row r="214" spans="3:9" ht="18" x14ac:dyDescent="0.25">
      <c r="C214" s="83" t="str">
        <f>+F4</f>
        <v>CBU: 0720558320000000016218</v>
      </c>
      <c r="D214" s="88"/>
      <c r="E214" s="83"/>
      <c r="F214" s="93"/>
      <c r="G214" s="83"/>
      <c r="H214" s="91"/>
      <c r="I214" s="83"/>
    </row>
    <row r="215" spans="3:9" ht="18" x14ac:dyDescent="0.25">
      <c r="C215" s="83" t="str">
        <f>+F5</f>
        <v>CUIT: 30-66148861-8</v>
      </c>
      <c r="D215" s="88"/>
      <c r="E215" s="83"/>
      <c r="F215" s="83" t="s">
        <v>70</v>
      </c>
      <c r="G215" s="102">
        <f>+G197</f>
        <v>195126.45818399999</v>
      </c>
      <c r="I215" s="97">
        <f>+E1</f>
        <v>46183</v>
      </c>
    </row>
    <row r="216" spans="3:9" ht="18" x14ac:dyDescent="0.25">
      <c r="C216" s="83"/>
      <c r="D216" s="88"/>
      <c r="E216" s="83"/>
      <c r="F216" s="83" t="s">
        <v>71</v>
      </c>
      <c r="G216" s="102">
        <f>+G198</f>
        <v>55668.878370000006</v>
      </c>
    </row>
    <row r="217" spans="3:9" ht="18" x14ac:dyDescent="0.25">
      <c r="D217" s="88"/>
      <c r="E217" s="83"/>
      <c r="F217" s="83" t="s">
        <v>72</v>
      </c>
      <c r="G217" s="102">
        <f>+G200</f>
        <v>0</v>
      </c>
      <c r="H217" s="83"/>
      <c r="I217" s="83"/>
    </row>
    <row r="218" spans="3:9" ht="18" x14ac:dyDescent="0.25">
      <c r="C218" s="83"/>
      <c r="D218" s="88"/>
      <c r="E218" s="83"/>
      <c r="F218" s="83" t="s">
        <v>73</v>
      </c>
      <c r="G218" s="102">
        <f>+G201</f>
        <v>0</v>
      </c>
      <c r="H218" s="83"/>
      <c r="I218" s="83"/>
    </row>
    <row r="219" spans="3:9" ht="18" x14ac:dyDescent="0.25">
      <c r="C219" s="93"/>
      <c r="D219" s="93"/>
      <c r="E219" s="93"/>
      <c r="F219" s="83" t="s">
        <v>312</v>
      </c>
      <c r="G219" s="135">
        <f>+G199</f>
        <v>0</v>
      </c>
      <c r="H219" s="83"/>
      <c r="I219" s="83"/>
    </row>
    <row r="220" spans="3:9" ht="18" x14ac:dyDescent="0.25">
      <c r="C220" s="97">
        <f>+$H$43</f>
        <v>46183</v>
      </c>
      <c r="D220" s="157">
        <f>+G202</f>
        <v>250795.33655399998</v>
      </c>
      <c r="E220" s="83"/>
      <c r="F220" s="83" t="s">
        <v>74</v>
      </c>
      <c r="G220" s="102">
        <f>+G202</f>
        <v>250795.33655399998</v>
      </c>
      <c r="H220" s="83"/>
      <c r="I220" s="83"/>
    </row>
    <row r="221" spans="3:9" ht="18" x14ac:dyDescent="0.25">
      <c r="C221" s="83"/>
      <c r="D221" s="88"/>
      <c r="E221" s="83"/>
      <c r="F221" s="83"/>
      <c r="G221" s="83"/>
      <c r="H221" s="83"/>
      <c r="I221" s="83"/>
    </row>
    <row r="222" spans="3:9" ht="18" x14ac:dyDescent="0.25">
      <c r="C222" s="83"/>
      <c r="D222" s="88"/>
      <c r="E222" s="83"/>
      <c r="F222" s="83"/>
      <c r="G222" s="83"/>
      <c r="H222" s="425"/>
      <c r="I222" s="425"/>
    </row>
    <row r="223" spans="3:9" ht="18" x14ac:dyDescent="0.25">
      <c r="C223" s="83"/>
      <c r="D223" s="88"/>
      <c r="E223" s="83"/>
      <c r="F223" s="83"/>
      <c r="G223" s="83"/>
      <c r="H223" s="91"/>
      <c r="I223" s="91"/>
    </row>
    <row r="224" spans="3:9" ht="18" x14ac:dyDescent="0.25">
      <c r="C224" s="83"/>
      <c r="D224" s="88"/>
      <c r="E224" s="83"/>
      <c r="F224" s="83"/>
      <c r="G224" s="83"/>
      <c r="H224" s="83"/>
      <c r="I224" s="83"/>
    </row>
    <row r="225" spans="3:9" ht="18" x14ac:dyDescent="0.25">
      <c r="C225" s="83"/>
      <c r="D225" s="88"/>
      <c r="E225" s="83"/>
      <c r="F225" s="83"/>
      <c r="G225" s="83"/>
      <c r="H225" s="83"/>
      <c r="I225" s="83"/>
    </row>
    <row r="226" spans="3:9" ht="18" x14ac:dyDescent="0.25">
      <c r="C226" s="83"/>
      <c r="D226" s="88"/>
      <c r="E226" s="83"/>
      <c r="F226" s="83"/>
      <c r="G226" s="83"/>
      <c r="H226" s="83"/>
      <c r="I226" s="83"/>
    </row>
    <row r="227" spans="3:9" ht="18" x14ac:dyDescent="0.25">
      <c r="C227" s="83"/>
      <c r="D227" s="88"/>
      <c r="E227" s="83"/>
      <c r="F227" s="83"/>
      <c r="G227" s="83"/>
      <c r="H227" s="83"/>
      <c r="I227" s="83"/>
    </row>
    <row r="228" spans="3:9" ht="18" x14ac:dyDescent="0.25">
      <c r="C228" s="83"/>
      <c r="D228" s="88"/>
      <c r="E228" s="83"/>
      <c r="F228" s="83"/>
      <c r="G228" s="83"/>
      <c r="H228" s="83"/>
      <c r="I228" s="83"/>
    </row>
    <row r="229" spans="3:9" ht="18" x14ac:dyDescent="0.25">
      <c r="C229" s="83"/>
      <c r="D229" s="88"/>
      <c r="E229" s="83"/>
      <c r="F229" s="83"/>
      <c r="G229" s="83"/>
      <c r="I229" s="83"/>
    </row>
    <row r="230" spans="3:9" ht="18" x14ac:dyDescent="0.25">
      <c r="C230" s="424"/>
      <c r="D230" s="424"/>
      <c r="E230" s="424"/>
      <c r="F230" s="105">
        <f>+$C$1</f>
        <v>46143</v>
      </c>
      <c r="G230" s="83"/>
      <c r="H230" s="97">
        <f>+$E$1</f>
        <v>46183</v>
      </c>
      <c r="I230" s="95"/>
    </row>
    <row r="231" spans="3:9" ht="18" x14ac:dyDescent="0.25">
      <c r="C231" s="82"/>
      <c r="D231" s="82"/>
      <c r="E231" s="98"/>
      <c r="F231" s="96"/>
      <c r="G231" s="83"/>
    </row>
    <row r="232" spans="3:9" ht="24.75" customHeight="1" x14ac:dyDescent="0.25">
      <c r="C232" s="83" t="str">
        <f>+C7</f>
        <v>PECYNER GUILLERMO</v>
      </c>
      <c r="D232" s="88"/>
      <c r="E232" s="83"/>
      <c r="F232" s="83" t="str">
        <f>+$F$1</f>
        <v>MONTES DE OCA 1068/1070 C.A.B.A.</v>
      </c>
      <c r="G232" s="83"/>
    </row>
    <row r="233" spans="3:9" ht="21.75" customHeight="1" x14ac:dyDescent="0.25">
      <c r="I233" s="90" t="s">
        <v>80</v>
      </c>
    </row>
    <row r="234" spans="3:9" ht="18" x14ac:dyDescent="0.25">
      <c r="C234" s="84"/>
      <c r="D234" s="88"/>
      <c r="E234" s="83"/>
      <c r="G234" s="83"/>
      <c r="H234" s="84"/>
      <c r="I234" s="90" t="str">
        <f>+'RES CUENTA'!B20</f>
        <v>3 A</v>
      </c>
    </row>
    <row r="235" spans="3:9" ht="14.25" customHeight="1" x14ac:dyDescent="0.25">
      <c r="C235" s="83"/>
      <c r="D235" s="88"/>
      <c r="E235" s="83"/>
      <c r="F235" s="84"/>
      <c r="G235" s="83"/>
      <c r="H235" s="83"/>
      <c r="I235" s="84"/>
    </row>
    <row r="236" spans="3:9" ht="14.25" customHeight="1" x14ac:dyDescent="0.25">
      <c r="C236" s="91"/>
      <c r="D236" s="88"/>
      <c r="E236" s="91"/>
      <c r="F236" s="83"/>
      <c r="G236" s="83"/>
      <c r="H236" s="83"/>
      <c r="I236" s="83"/>
    </row>
    <row r="237" spans="3:9" ht="18" x14ac:dyDescent="0.25">
      <c r="C237" s="83" t="s">
        <v>68</v>
      </c>
      <c r="D237" s="88"/>
      <c r="E237" s="103">
        <f>+'RES CUENTA'!G36</f>
        <v>4623849.72</v>
      </c>
      <c r="F237" s="104">
        <f>+'RES CUENTA'!F20</f>
        <v>5.52</v>
      </c>
      <c r="G237" s="101">
        <f>+E237*F237/100</f>
        <v>255236.50454399997</v>
      </c>
      <c r="H237" s="83"/>
      <c r="I237" s="91"/>
    </row>
    <row r="238" spans="3:9" ht="18" x14ac:dyDescent="0.25">
      <c r="C238" s="83" t="s">
        <v>69</v>
      </c>
      <c r="D238" s="88"/>
      <c r="E238" s="103">
        <f>+'RES CUENTA'!J36</f>
        <v>1180425.75</v>
      </c>
      <c r="F238" s="104">
        <f>+'RES CUENTA'!H20</f>
        <v>6.1689999999999996</v>
      </c>
      <c r="G238" s="101">
        <f>+E238*F238/100</f>
        <v>72820.46451749999</v>
      </c>
      <c r="H238" s="91"/>
      <c r="I238" s="87"/>
    </row>
    <row r="239" spans="3:9" ht="18" x14ac:dyDescent="0.25">
      <c r="C239" s="83" t="s">
        <v>215</v>
      </c>
      <c r="D239" s="88"/>
      <c r="E239" s="103">
        <f>+'RES CUENTA'!K20</f>
        <v>0</v>
      </c>
      <c r="F239" s="88">
        <v>0</v>
      </c>
      <c r="G239" s="101">
        <f>+E239</f>
        <v>0</v>
      </c>
      <c r="H239" s="87"/>
      <c r="I239" s="87"/>
    </row>
    <row r="240" spans="3:9" ht="18" x14ac:dyDescent="0.25">
      <c r="C240" s="83" t="s">
        <v>181</v>
      </c>
      <c r="D240" s="88"/>
      <c r="E240" s="103">
        <v>0</v>
      </c>
      <c r="F240" s="88">
        <v>0</v>
      </c>
      <c r="G240" s="101">
        <f>+'RES CUENTA'!M20</f>
        <v>0</v>
      </c>
      <c r="H240" s="87"/>
      <c r="I240" s="87"/>
    </row>
    <row r="241" spans="3:9" ht="18" x14ac:dyDescent="0.25">
      <c r="C241" s="83" t="s">
        <v>289</v>
      </c>
      <c r="D241" s="88"/>
      <c r="E241" s="103">
        <v>0</v>
      </c>
      <c r="F241" s="88">
        <v>0</v>
      </c>
      <c r="G241" s="134">
        <f>+'RES CUENTA'!N20</f>
        <v>0</v>
      </c>
      <c r="H241" s="87"/>
      <c r="I241" s="88"/>
    </row>
    <row r="242" spans="3:9" ht="18" x14ac:dyDescent="0.25">
      <c r="C242" s="84"/>
      <c r="D242" s="88"/>
      <c r="E242" s="83"/>
      <c r="G242" s="101">
        <f>SUM(G237:G241)</f>
        <v>328056.96906149993</v>
      </c>
      <c r="H242" s="88"/>
      <c r="I242" s="88"/>
    </row>
    <row r="243" spans="3:9" ht="18" x14ac:dyDescent="0.25">
      <c r="C243" s="83"/>
      <c r="D243" s="88"/>
      <c r="E243" s="83"/>
      <c r="F243" s="83"/>
      <c r="G243" s="89"/>
      <c r="H243" s="88"/>
      <c r="I243" s="88"/>
    </row>
    <row r="244" spans="3:9" ht="18" x14ac:dyDescent="0.25">
      <c r="C244" s="83"/>
      <c r="D244" s="88"/>
      <c r="E244" s="83"/>
      <c r="F244" s="83"/>
      <c r="G244" s="89"/>
      <c r="H244" s="88"/>
      <c r="I244" s="88"/>
    </row>
    <row r="245" spans="3:9" ht="18" customHeight="1" x14ac:dyDescent="0.25">
      <c r="C245" s="83"/>
      <c r="D245" s="88"/>
      <c r="E245" s="83"/>
      <c r="F245" s="83"/>
      <c r="G245" s="89"/>
      <c r="H245" s="88"/>
      <c r="I245" s="88"/>
    </row>
    <row r="246" spans="3:9" ht="15" customHeight="1" x14ac:dyDescent="0.25">
      <c r="C246" s="83"/>
      <c r="D246" s="88"/>
      <c r="E246" s="83"/>
      <c r="F246" s="83"/>
      <c r="G246" s="89"/>
      <c r="H246" s="88"/>
      <c r="I246" s="83"/>
    </row>
    <row r="247" spans="3:9" ht="21.75" customHeight="1" x14ac:dyDescent="0.25">
      <c r="C247" s="83" t="str">
        <f>+C232</f>
        <v>PECYNER GUILLERMO</v>
      </c>
      <c r="D247" s="88"/>
      <c r="E247" s="83"/>
      <c r="F247" s="83" t="str">
        <f>+C232</f>
        <v>PECYNER GUILLERMO</v>
      </c>
      <c r="G247" s="83"/>
      <c r="H247" s="83"/>
      <c r="I247" s="99"/>
    </row>
    <row r="248" spans="3:9" ht="18" x14ac:dyDescent="0.25">
      <c r="C248" s="84"/>
      <c r="D248" s="88"/>
      <c r="E248" s="83"/>
      <c r="G248" s="83"/>
      <c r="H248" s="99"/>
      <c r="I248" s="90" t="s">
        <v>80</v>
      </c>
    </row>
    <row r="249" spans="3:9" ht="18" x14ac:dyDescent="0.25">
      <c r="C249" s="83" t="str">
        <f>+$F$1</f>
        <v>MONTES DE OCA 1068/1070 C.A.B.A.</v>
      </c>
      <c r="D249" s="88"/>
      <c r="E249" s="88" t="s">
        <v>80</v>
      </c>
      <c r="F249" s="83" t="str">
        <f>+$F$1</f>
        <v>MONTES DE OCA 1068/1070 C.A.B.A.</v>
      </c>
      <c r="G249" s="83"/>
      <c r="H249" s="83"/>
      <c r="I249" s="90" t="str">
        <f>+I234</f>
        <v>3 A</v>
      </c>
    </row>
    <row r="250" spans="3:9" ht="18" x14ac:dyDescent="0.25">
      <c r="C250" s="84"/>
      <c r="D250" s="91"/>
      <c r="E250" s="88" t="str">
        <f>+I249</f>
        <v>3 A</v>
      </c>
      <c r="G250" s="83"/>
      <c r="H250" s="83"/>
    </row>
    <row r="251" spans="3:9" ht="15.75" customHeight="1" x14ac:dyDescent="0.25">
      <c r="C251" s="83" t="str">
        <f>+$F$2</f>
        <v>P/Depósito o transferencia en Banco Santander Rio</v>
      </c>
      <c r="D251" s="88"/>
      <c r="E251" s="83"/>
      <c r="F251" s="84"/>
      <c r="G251" s="83"/>
      <c r="H251" s="83"/>
      <c r="I251" s="99"/>
    </row>
    <row r="252" spans="3:9" ht="18" x14ac:dyDescent="0.25">
      <c r="C252" s="83" t="str">
        <f>+$F$3</f>
        <v xml:space="preserve">Cta. Cte. $ N° 558-000162/1 </v>
      </c>
      <c r="D252" s="88"/>
      <c r="E252" s="83"/>
      <c r="F252" s="83"/>
      <c r="G252" s="128"/>
      <c r="H252" s="84"/>
      <c r="I252" s="83"/>
    </row>
    <row r="253" spans="3:9" ht="18" x14ac:dyDescent="0.25">
      <c r="C253" s="83" t="str">
        <f>+F4</f>
        <v>CBU: 0720558320000000016218</v>
      </c>
      <c r="D253" s="88"/>
      <c r="E253" s="83"/>
      <c r="F253" s="93"/>
      <c r="H253" s="91"/>
      <c r="I253" s="92"/>
    </row>
    <row r="254" spans="3:9" ht="18" x14ac:dyDescent="0.25">
      <c r="C254" s="83" t="str">
        <f>+F5</f>
        <v>CUIT: 30-66148861-8</v>
      </c>
      <c r="D254" s="88"/>
      <c r="E254" s="83"/>
      <c r="F254" s="83" t="s">
        <v>70</v>
      </c>
      <c r="G254" s="102">
        <f>+G237</f>
        <v>255236.50454399997</v>
      </c>
      <c r="H254" s="92"/>
      <c r="I254" s="97">
        <f>+H230</f>
        <v>46183</v>
      </c>
    </row>
    <row r="255" spans="3:9" ht="18" x14ac:dyDescent="0.25">
      <c r="C255" s="83"/>
      <c r="D255" s="88"/>
      <c r="E255" s="83"/>
      <c r="F255" s="83" t="s">
        <v>71</v>
      </c>
      <c r="G255" s="102">
        <f>+G238</f>
        <v>72820.46451749999</v>
      </c>
      <c r="I255" s="83"/>
    </row>
    <row r="256" spans="3:9" ht="18" x14ac:dyDescent="0.25">
      <c r="D256" s="88"/>
      <c r="E256" s="83"/>
      <c r="F256" s="83" t="s">
        <v>72</v>
      </c>
      <c r="G256" s="102">
        <f>+G240</f>
        <v>0</v>
      </c>
      <c r="H256" s="83"/>
      <c r="I256" s="83"/>
    </row>
    <row r="257" spans="3:9" ht="18" x14ac:dyDescent="0.25">
      <c r="C257" s="93"/>
      <c r="D257" s="93"/>
      <c r="E257" s="93"/>
      <c r="F257" s="83" t="s">
        <v>73</v>
      </c>
      <c r="G257" s="102">
        <f>+G241</f>
        <v>0</v>
      </c>
      <c r="H257" s="83"/>
      <c r="I257" s="83"/>
    </row>
    <row r="258" spans="3:9" ht="18" x14ac:dyDescent="0.25">
      <c r="E258" s="83"/>
      <c r="F258" s="83" t="s">
        <v>215</v>
      </c>
      <c r="G258" s="135">
        <f>+G239</f>
        <v>0</v>
      </c>
      <c r="H258" s="83"/>
      <c r="I258" s="83"/>
    </row>
    <row r="259" spans="3:9" ht="18" x14ac:dyDescent="0.25">
      <c r="C259" s="97">
        <f>+$H$43</f>
        <v>46183</v>
      </c>
      <c r="D259" s="157">
        <f>+G242</f>
        <v>328056.96906149993</v>
      </c>
      <c r="E259" s="83"/>
      <c r="F259" s="83" t="s">
        <v>74</v>
      </c>
      <c r="G259" s="102">
        <f>+G242</f>
        <v>328056.96906149993</v>
      </c>
      <c r="H259" s="83"/>
      <c r="I259" s="83"/>
    </row>
    <row r="260" spans="3:9" ht="18" x14ac:dyDescent="0.25">
      <c r="C260" s="83"/>
      <c r="D260" s="88"/>
      <c r="E260" s="83"/>
      <c r="F260" s="83"/>
      <c r="G260" s="83"/>
      <c r="H260" s="83"/>
      <c r="I260" s="83"/>
    </row>
    <row r="261" spans="3:9" ht="18" x14ac:dyDescent="0.25">
      <c r="C261" s="83"/>
      <c r="D261" s="88"/>
      <c r="E261" s="83"/>
      <c r="F261" s="100"/>
      <c r="G261" s="83"/>
      <c r="H261" s="83"/>
      <c r="I261" s="83"/>
    </row>
    <row r="262" spans="3:9" ht="9.75" customHeight="1" x14ac:dyDescent="0.25">
      <c r="F262" s="83"/>
      <c r="H262" s="91"/>
      <c r="I262" s="83"/>
    </row>
    <row r="263" spans="3:9" ht="13.5" customHeight="1" x14ac:dyDescent="0.2"/>
    <row r="264" spans="3:9" ht="18" x14ac:dyDescent="0.25">
      <c r="C264" s="424"/>
      <c r="D264" s="424"/>
      <c r="E264" s="424"/>
      <c r="F264" s="428">
        <f>+$C$1</f>
        <v>46143</v>
      </c>
      <c r="G264" s="83"/>
      <c r="H264" s="429">
        <f>+$E$1</f>
        <v>46183</v>
      </c>
      <c r="I264" s="83"/>
    </row>
    <row r="265" spans="3:9" ht="18" x14ac:dyDescent="0.25">
      <c r="C265" s="82"/>
      <c r="D265" s="82"/>
      <c r="E265" s="98"/>
      <c r="F265" s="428"/>
      <c r="G265" s="83"/>
      <c r="H265" s="429"/>
      <c r="I265" s="83"/>
    </row>
    <row r="266" spans="3:9" ht="18" x14ac:dyDescent="0.25">
      <c r="C266" s="83"/>
      <c r="D266" s="88"/>
      <c r="E266" s="83"/>
      <c r="F266" s="84"/>
      <c r="G266" s="83"/>
      <c r="H266" s="84"/>
      <c r="I266" s="83"/>
    </row>
    <row r="267" spans="3:9" ht="24.75" customHeight="1" x14ac:dyDescent="0.25">
      <c r="D267" s="88"/>
      <c r="E267" s="83"/>
      <c r="F267" s="84"/>
      <c r="G267" s="83"/>
      <c r="H267" s="84"/>
      <c r="I267" s="83"/>
    </row>
    <row r="268" spans="3:9" ht="19.5" customHeight="1" x14ac:dyDescent="0.25">
      <c r="C268" s="83" t="str">
        <f>+C8</f>
        <v>ATAMANIUK ROMAN</v>
      </c>
      <c r="D268" s="88"/>
      <c r="E268" s="83"/>
      <c r="F268" s="83" t="s">
        <v>293</v>
      </c>
      <c r="G268" s="83"/>
      <c r="H268" s="83"/>
      <c r="I268" s="90" t="s">
        <v>81</v>
      </c>
    </row>
    <row r="269" spans="3:9" ht="18" x14ac:dyDescent="0.25">
      <c r="C269" s="83"/>
      <c r="D269" s="88"/>
      <c r="E269" s="83"/>
      <c r="F269" s="84"/>
      <c r="G269" s="83"/>
      <c r="H269" s="83"/>
      <c r="I269" s="90" t="str">
        <f>+'RES CUENTA'!B21</f>
        <v>3 B</v>
      </c>
    </row>
    <row r="270" spans="3:9" ht="18" x14ac:dyDescent="0.25">
      <c r="C270" s="91"/>
      <c r="D270" s="88"/>
      <c r="E270" s="91"/>
      <c r="F270" s="83"/>
      <c r="G270" s="83"/>
      <c r="H270" s="83"/>
      <c r="I270" s="83"/>
    </row>
    <row r="271" spans="3:9" ht="9.75" customHeight="1" x14ac:dyDescent="0.25">
      <c r="C271" s="91"/>
      <c r="D271" s="88"/>
      <c r="E271" s="91"/>
      <c r="F271" s="83"/>
      <c r="G271" s="83"/>
      <c r="H271" s="83"/>
      <c r="I271" s="83"/>
    </row>
    <row r="272" spans="3:9" ht="18" x14ac:dyDescent="0.25">
      <c r="C272" s="83" t="s">
        <v>68</v>
      </c>
      <c r="D272" s="88"/>
      <c r="E272" s="103">
        <f>+'RES CUENTA'!G36</f>
        <v>4623849.72</v>
      </c>
      <c r="F272" s="104">
        <f>+'RES CUENTA'!F21</f>
        <v>4.2200000000000006</v>
      </c>
      <c r="G272" s="101">
        <f>+E272*F272/100</f>
        <v>195126.45818400002</v>
      </c>
      <c r="H272" s="425"/>
      <c r="I272" s="425"/>
    </row>
    <row r="273" spans="3:9" ht="18" x14ac:dyDescent="0.25">
      <c r="C273" s="83" t="s">
        <v>69</v>
      </c>
      <c r="D273" s="88"/>
      <c r="E273" s="103">
        <f>+'RES CUENTA'!J36</f>
        <v>1180425.75</v>
      </c>
      <c r="F273" s="104">
        <f>+'RES CUENTA'!H21</f>
        <v>4.7160000000000002</v>
      </c>
      <c r="G273" s="101">
        <f>+E273*F273/100</f>
        <v>55668.878370000006</v>
      </c>
      <c r="H273" s="430"/>
      <c r="I273" s="430"/>
    </row>
    <row r="274" spans="3:9" ht="18" x14ac:dyDescent="0.25">
      <c r="C274" s="83" t="s">
        <v>215</v>
      </c>
      <c r="D274" s="88"/>
      <c r="E274" s="103">
        <f>+'RES CUENTA'!K21</f>
        <v>0</v>
      </c>
      <c r="F274" s="88">
        <v>0</v>
      </c>
      <c r="G274" s="101">
        <f>+E274</f>
        <v>0</v>
      </c>
      <c r="H274" s="430"/>
      <c r="I274" s="430"/>
    </row>
    <row r="275" spans="3:9" ht="18" x14ac:dyDescent="0.25">
      <c r="C275" s="83" t="s">
        <v>181</v>
      </c>
      <c r="D275" s="88"/>
      <c r="E275" s="103">
        <v>0</v>
      </c>
      <c r="F275" s="88">
        <v>0</v>
      </c>
      <c r="G275" s="101">
        <f>+'RES CUENTA'!M21</f>
        <v>0</v>
      </c>
      <c r="H275" s="430"/>
      <c r="I275" s="430"/>
    </row>
    <row r="276" spans="3:9" ht="18" x14ac:dyDescent="0.25">
      <c r="C276" s="83" t="s">
        <v>289</v>
      </c>
      <c r="D276" s="88"/>
      <c r="E276" s="103">
        <v>0</v>
      </c>
      <c r="F276" s="88">
        <v>0</v>
      </c>
      <c r="G276" s="134">
        <f>+'RES CUENTA'!N21</f>
        <v>0</v>
      </c>
      <c r="H276" s="430"/>
      <c r="I276" s="430"/>
    </row>
    <row r="277" spans="3:9" ht="18" x14ac:dyDescent="0.25">
      <c r="C277" s="84"/>
      <c r="D277" s="88"/>
      <c r="E277" s="83"/>
      <c r="F277" s="89"/>
      <c r="G277" s="101">
        <f>SUM(G272:G276)</f>
        <v>250795.33655400004</v>
      </c>
      <c r="H277" s="432"/>
      <c r="I277" s="432"/>
    </row>
    <row r="278" spans="3:9" ht="18" x14ac:dyDescent="0.25">
      <c r="C278" s="83"/>
      <c r="D278" s="88"/>
      <c r="E278" s="83"/>
      <c r="F278" s="83"/>
      <c r="G278" s="85"/>
      <c r="H278" s="88"/>
      <c r="I278" s="88"/>
    </row>
    <row r="279" spans="3:9" ht="18" x14ac:dyDescent="0.25">
      <c r="C279" s="83"/>
      <c r="D279" s="88"/>
      <c r="E279" s="83"/>
      <c r="F279" s="83"/>
      <c r="G279" s="85"/>
      <c r="H279" s="88"/>
      <c r="I279" s="88"/>
    </row>
    <row r="280" spans="3:9" ht="18" x14ac:dyDescent="0.25">
      <c r="C280" s="83"/>
      <c r="D280" s="88"/>
      <c r="E280" s="83"/>
      <c r="F280" s="83"/>
      <c r="G280" s="89"/>
      <c r="H280" s="83"/>
      <c r="I280" s="83"/>
    </row>
    <row r="281" spans="3:9" ht="18" x14ac:dyDescent="0.25">
      <c r="C281" s="83"/>
      <c r="D281" s="88"/>
      <c r="E281" s="83"/>
      <c r="F281" s="83"/>
      <c r="G281" s="89"/>
      <c r="H281" s="83"/>
      <c r="I281" s="83"/>
    </row>
    <row r="282" spans="3:9" ht="8.25" customHeight="1" x14ac:dyDescent="0.25">
      <c r="C282" s="83"/>
      <c r="D282" s="88"/>
      <c r="E282" s="83"/>
      <c r="F282" s="83"/>
      <c r="G282" s="89"/>
      <c r="H282" s="83"/>
      <c r="I282" s="83"/>
    </row>
    <row r="283" spans="3:9" ht="20.25" customHeight="1" x14ac:dyDescent="0.25">
      <c r="C283" s="83" t="str">
        <f>+C268</f>
        <v>ATAMANIUK ROMAN</v>
      </c>
      <c r="D283" s="427"/>
      <c r="E283" s="427"/>
      <c r="F283" s="83" t="str">
        <f>+C283</f>
        <v>ATAMANIUK ROMAN</v>
      </c>
      <c r="G283" s="89"/>
      <c r="H283" s="83"/>
      <c r="I283" s="83"/>
    </row>
    <row r="284" spans="3:9" ht="18" x14ac:dyDescent="0.25">
      <c r="D284" s="88"/>
      <c r="E284" s="83"/>
      <c r="G284" s="427"/>
      <c r="H284" s="427"/>
      <c r="I284" s="427"/>
    </row>
    <row r="285" spans="3:9" ht="18" x14ac:dyDescent="0.25">
      <c r="C285" s="83" t="str">
        <f>+$F$1</f>
        <v>MONTES DE OCA 1068/1070 C.A.B.A.</v>
      </c>
      <c r="D285" s="88"/>
      <c r="E285" s="88" t="str">
        <f>+I268</f>
        <v>Unid. 7</v>
      </c>
      <c r="F285" s="83" t="str">
        <f>+$F$1</f>
        <v>MONTES DE OCA 1068/1070 C.A.B.A.</v>
      </c>
      <c r="G285" s="83"/>
      <c r="H285" s="83"/>
      <c r="I285" s="90" t="str">
        <f>+E285</f>
        <v>Unid. 7</v>
      </c>
    </row>
    <row r="286" spans="3:9" ht="18" x14ac:dyDescent="0.25">
      <c r="E286" s="88" t="str">
        <f>+I286</f>
        <v>3 B</v>
      </c>
      <c r="H286" s="83"/>
      <c r="I286" s="90" t="str">
        <f>+I269</f>
        <v>3 B</v>
      </c>
    </row>
    <row r="287" spans="3:9" ht="18" x14ac:dyDescent="0.25">
      <c r="C287" s="83" t="str">
        <f>+$F$2</f>
        <v>P/Depósito o transferencia en Banco Santander Rio</v>
      </c>
      <c r="D287" s="91"/>
      <c r="E287" s="84"/>
      <c r="F287" s="84"/>
      <c r="G287" s="83"/>
      <c r="H287" s="83"/>
      <c r="I287" s="88"/>
    </row>
    <row r="288" spans="3:9" ht="18" x14ac:dyDescent="0.25">
      <c r="C288" s="83" t="str">
        <f>+$F$3</f>
        <v xml:space="preserve">Cta. Cte. $ N° 558-000162/1 </v>
      </c>
      <c r="D288" s="88"/>
      <c r="E288" s="83"/>
      <c r="F288" s="83"/>
      <c r="G288" s="83"/>
      <c r="H288" s="84"/>
      <c r="I288" s="99"/>
    </row>
    <row r="289" spans="3:9" ht="18" x14ac:dyDescent="0.25">
      <c r="C289" s="83" t="str">
        <f>+$F$4</f>
        <v>CBU: 0720558320000000016218</v>
      </c>
      <c r="D289" s="88"/>
      <c r="E289" s="83"/>
      <c r="F289" s="93"/>
      <c r="G289" s="83"/>
      <c r="H289" s="91"/>
      <c r="I289" s="83"/>
    </row>
    <row r="290" spans="3:9" ht="18" x14ac:dyDescent="0.25">
      <c r="C290" s="83" t="str">
        <f>+$F$5</f>
        <v>CUIT: 30-66148861-8</v>
      </c>
      <c r="D290" s="88"/>
      <c r="E290" s="83"/>
      <c r="F290" s="83" t="s">
        <v>70</v>
      </c>
      <c r="G290" s="102">
        <f>+G272</f>
        <v>195126.45818400002</v>
      </c>
      <c r="I290" s="97">
        <f>+E1</f>
        <v>46183</v>
      </c>
    </row>
    <row r="291" spans="3:9" ht="18" x14ac:dyDescent="0.25">
      <c r="C291" s="273"/>
      <c r="D291" s="88"/>
      <c r="E291" s="83"/>
      <c r="F291" s="83" t="s">
        <v>71</v>
      </c>
      <c r="G291" s="102">
        <f>+G273</f>
        <v>55668.878370000006</v>
      </c>
    </row>
    <row r="292" spans="3:9" ht="18" x14ac:dyDescent="0.25">
      <c r="D292" s="88"/>
      <c r="E292" s="83"/>
      <c r="F292" s="83" t="s">
        <v>72</v>
      </c>
      <c r="G292" s="102">
        <f>+G275</f>
        <v>0</v>
      </c>
      <c r="H292" s="83"/>
      <c r="I292" s="83"/>
    </row>
    <row r="293" spans="3:9" ht="18" x14ac:dyDescent="0.25">
      <c r="C293" s="83"/>
      <c r="D293" s="88"/>
      <c r="E293" s="83"/>
      <c r="F293" s="83" t="s">
        <v>73</v>
      </c>
      <c r="G293" s="102">
        <f>+G276</f>
        <v>0</v>
      </c>
      <c r="H293" s="83"/>
      <c r="I293" s="83"/>
    </row>
    <row r="294" spans="3:9" ht="18" x14ac:dyDescent="0.25">
      <c r="C294" s="93"/>
      <c r="D294" s="93"/>
      <c r="E294" s="93"/>
      <c r="F294" s="83" t="s">
        <v>215</v>
      </c>
      <c r="G294" s="135">
        <f>+G274</f>
        <v>0</v>
      </c>
      <c r="H294" s="83"/>
      <c r="I294" s="83"/>
    </row>
    <row r="295" spans="3:9" ht="18" x14ac:dyDescent="0.25">
      <c r="C295" s="97">
        <f>+$H$43</f>
        <v>46183</v>
      </c>
      <c r="D295" s="157">
        <f>+G277</f>
        <v>250795.33655400004</v>
      </c>
      <c r="E295" s="83"/>
      <c r="F295" s="83" t="s">
        <v>74</v>
      </c>
      <c r="G295" s="102">
        <f>+G277</f>
        <v>250795.33655400004</v>
      </c>
      <c r="H295" s="83"/>
      <c r="I295" s="83"/>
    </row>
    <row r="296" spans="3:9" ht="18" x14ac:dyDescent="0.25">
      <c r="C296" s="83"/>
      <c r="D296" s="88"/>
      <c r="E296" s="83"/>
      <c r="F296" s="100"/>
      <c r="G296" s="83"/>
      <c r="H296" s="83"/>
      <c r="I296" s="83"/>
    </row>
    <row r="297" spans="3:9" ht="18" x14ac:dyDescent="0.25">
      <c r="C297" s="83"/>
      <c r="D297" s="88"/>
      <c r="E297" s="83"/>
      <c r="F297" s="100"/>
      <c r="G297" s="83"/>
      <c r="H297" s="83"/>
      <c r="I297" s="83"/>
    </row>
    <row r="298" spans="3:9" ht="18" x14ac:dyDescent="0.25">
      <c r="C298" s="83"/>
      <c r="D298" s="88"/>
      <c r="E298" s="83"/>
      <c r="G298" s="83"/>
      <c r="H298" s="83"/>
      <c r="I298" s="83"/>
    </row>
    <row r="299" spans="3:9" ht="18" x14ac:dyDescent="0.25">
      <c r="C299" s="83"/>
      <c r="D299" s="88"/>
      <c r="E299" s="83"/>
      <c r="F299" s="83"/>
      <c r="G299" s="83"/>
      <c r="H299" s="83"/>
      <c r="I299" s="83"/>
    </row>
    <row r="300" spans="3:9" ht="18" x14ac:dyDescent="0.25">
      <c r="C300" s="83"/>
      <c r="D300" s="88"/>
      <c r="E300" s="83"/>
      <c r="F300" s="83"/>
      <c r="G300" s="83"/>
      <c r="H300" s="425"/>
      <c r="I300" s="425"/>
    </row>
    <row r="301" spans="3:9" ht="18" x14ac:dyDescent="0.25">
      <c r="C301" s="83"/>
      <c r="D301" s="88"/>
      <c r="E301" s="83"/>
      <c r="F301" s="83"/>
      <c r="G301" s="83"/>
      <c r="H301" s="83"/>
      <c r="I301" s="83"/>
    </row>
    <row r="302" spans="3:9" ht="18" x14ac:dyDescent="0.25">
      <c r="C302" s="83"/>
      <c r="D302" s="88"/>
      <c r="E302" s="83"/>
      <c r="F302" s="83"/>
      <c r="G302" s="83"/>
      <c r="H302" s="83"/>
      <c r="I302" s="83"/>
    </row>
    <row r="303" spans="3:9" ht="18" x14ac:dyDescent="0.25">
      <c r="C303" s="83"/>
      <c r="D303" s="88"/>
      <c r="E303" s="83"/>
      <c r="F303" s="83"/>
      <c r="G303" s="83"/>
      <c r="H303" s="83"/>
      <c r="I303" s="83"/>
    </row>
    <row r="304" spans="3:9" ht="18" x14ac:dyDescent="0.25">
      <c r="C304" s="83"/>
      <c r="D304" s="88"/>
      <c r="E304" s="83"/>
      <c r="F304" s="83"/>
      <c r="G304" s="83"/>
      <c r="I304" s="83"/>
    </row>
    <row r="305" spans="3:9" ht="18" x14ac:dyDescent="0.25">
      <c r="C305" s="424"/>
      <c r="D305" s="424"/>
      <c r="E305" s="424"/>
      <c r="F305" s="105">
        <f>+$C$1</f>
        <v>46143</v>
      </c>
      <c r="G305" s="83"/>
      <c r="H305" s="97">
        <f>+$E$1</f>
        <v>46183</v>
      </c>
      <c r="I305" s="83"/>
    </row>
    <row r="306" spans="3:9" ht="18" x14ac:dyDescent="0.25">
      <c r="C306" s="424"/>
      <c r="D306" s="424"/>
      <c r="E306" s="424"/>
      <c r="F306" s="105"/>
      <c r="G306" s="83"/>
      <c r="I306" s="95"/>
    </row>
    <row r="307" spans="3:9" ht="24" customHeight="1" x14ac:dyDescent="0.25">
      <c r="C307" s="83" t="str">
        <f>+C9</f>
        <v>LEINADO MIRTA ALCIRA Y OTROS</v>
      </c>
      <c r="D307" s="88"/>
      <c r="E307" s="83"/>
      <c r="F307" s="83" t="str">
        <f>+$F$1</f>
        <v>MONTES DE OCA 1068/1070 C.A.B.A.</v>
      </c>
      <c r="G307" s="83"/>
    </row>
    <row r="308" spans="3:9" ht="21" customHeight="1" x14ac:dyDescent="0.25">
      <c r="I308" s="90" t="s">
        <v>82</v>
      </c>
    </row>
    <row r="309" spans="3:9" ht="18" x14ac:dyDescent="0.25">
      <c r="C309" s="84"/>
      <c r="D309" s="88"/>
      <c r="E309" s="83"/>
      <c r="G309" s="83"/>
      <c r="H309" s="84"/>
      <c r="I309" s="90" t="str">
        <f>+'RES CUENTA'!B22</f>
        <v>4 A</v>
      </c>
    </row>
    <row r="310" spans="3:9" ht="18" x14ac:dyDescent="0.25">
      <c r="C310" s="83"/>
      <c r="D310" s="88"/>
      <c r="E310" s="83"/>
      <c r="F310" s="84"/>
      <c r="G310" s="83"/>
      <c r="H310" s="83"/>
      <c r="I310" s="84"/>
    </row>
    <row r="311" spans="3:9" ht="12" customHeight="1" x14ac:dyDescent="0.25">
      <c r="C311" s="91"/>
      <c r="D311" s="88"/>
      <c r="E311" s="91"/>
      <c r="F311" s="83"/>
      <c r="G311" s="83"/>
      <c r="H311" s="83"/>
      <c r="I311" s="83"/>
    </row>
    <row r="312" spans="3:9" ht="18" x14ac:dyDescent="0.25">
      <c r="C312" s="83" t="s">
        <v>68</v>
      </c>
      <c r="D312" s="88"/>
      <c r="E312" s="103">
        <f>+'RES CUENTA'!G36</f>
        <v>4623849.72</v>
      </c>
      <c r="F312" s="104">
        <f>+'RES CUENTA'!F22</f>
        <v>5.52</v>
      </c>
      <c r="G312" s="101">
        <f>+E312*F312/100</f>
        <v>255236.50454399997</v>
      </c>
      <c r="H312" s="83"/>
      <c r="I312" s="91"/>
    </row>
    <row r="313" spans="3:9" ht="18" x14ac:dyDescent="0.25">
      <c r="C313" s="83" t="s">
        <v>69</v>
      </c>
      <c r="D313" s="88"/>
      <c r="E313" s="103">
        <f>+'RES CUENTA'!J36</f>
        <v>1180425.75</v>
      </c>
      <c r="F313" s="104">
        <f>+'RES CUENTA'!H22</f>
        <v>6.1689999999999996</v>
      </c>
      <c r="G313" s="101">
        <f>+E313*F313/100</f>
        <v>72820.46451749999</v>
      </c>
      <c r="H313" s="91"/>
      <c r="I313" s="87"/>
    </row>
    <row r="314" spans="3:9" ht="18" x14ac:dyDescent="0.25">
      <c r="C314" s="83" t="s">
        <v>215</v>
      </c>
      <c r="D314" s="88"/>
      <c r="E314" s="103">
        <f>+'RES CUENTA'!K22</f>
        <v>0</v>
      </c>
      <c r="F314" s="104">
        <v>0</v>
      </c>
      <c r="G314" s="101">
        <f>+E314</f>
        <v>0</v>
      </c>
      <c r="H314" s="87"/>
      <c r="I314" s="87"/>
    </row>
    <row r="315" spans="3:9" ht="18" x14ac:dyDescent="0.25">
      <c r="C315" s="83" t="s">
        <v>181</v>
      </c>
      <c r="D315" s="88"/>
      <c r="E315" s="103">
        <v>0</v>
      </c>
      <c r="F315" s="104">
        <v>0</v>
      </c>
      <c r="G315" s="101">
        <f>+'RES CUENTA'!M22</f>
        <v>-36</v>
      </c>
      <c r="H315" s="87"/>
      <c r="I315" s="87"/>
    </row>
    <row r="316" spans="3:9" ht="18" x14ac:dyDescent="0.25">
      <c r="C316" s="83" t="s">
        <v>289</v>
      </c>
      <c r="D316" s="88"/>
      <c r="E316" s="103">
        <v>0</v>
      </c>
      <c r="F316" s="104">
        <v>0</v>
      </c>
      <c r="G316" s="134">
        <f>+'RES CUENTA'!N22</f>
        <v>0</v>
      </c>
      <c r="H316" s="87"/>
      <c r="I316" s="87"/>
    </row>
    <row r="317" spans="3:9" ht="18" x14ac:dyDescent="0.25">
      <c r="C317" s="84"/>
      <c r="D317" s="88"/>
      <c r="E317" s="83"/>
      <c r="G317" s="101">
        <f>SUM(G312:G316)</f>
        <v>328020.96906149993</v>
      </c>
      <c r="H317" s="87"/>
      <c r="I317" s="88"/>
    </row>
    <row r="318" spans="3:9" ht="18" x14ac:dyDescent="0.25">
      <c r="C318" s="83"/>
      <c r="D318" s="88"/>
      <c r="E318" s="83"/>
      <c r="F318" s="83"/>
      <c r="G318" s="89"/>
      <c r="H318" s="88"/>
      <c r="I318" s="88"/>
    </row>
    <row r="319" spans="3:9" ht="18" x14ac:dyDescent="0.25">
      <c r="C319" s="83"/>
      <c r="D319" s="88"/>
      <c r="E319" s="83"/>
      <c r="F319" s="83"/>
      <c r="G319" s="89"/>
      <c r="H319" s="88"/>
      <c r="I319" s="88"/>
    </row>
    <row r="320" spans="3:9" ht="18" x14ac:dyDescent="0.25">
      <c r="C320" s="83"/>
      <c r="D320" s="88"/>
      <c r="E320" s="83"/>
      <c r="F320" s="83"/>
      <c r="G320" s="89"/>
      <c r="H320" s="88"/>
      <c r="I320" s="88"/>
    </row>
    <row r="321" spans="3:9" ht="19.5" customHeight="1" x14ac:dyDescent="0.25">
      <c r="C321" s="83"/>
      <c r="D321" s="88"/>
      <c r="E321" s="83"/>
      <c r="F321" s="83"/>
      <c r="G321" s="89"/>
      <c r="H321" s="88"/>
      <c r="I321" s="83"/>
    </row>
    <row r="322" spans="3:9" ht="21" customHeight="1" x14ac:dyDescent="0.25">
      <c r="C322" s="83" t="str">
        <f>+C307</f>
        <v>LEINADO MIRTA ALCIRA Y OTROS</v>
      </c>
      <c r="D322" s="88"/>
      <c r="E322" s="83"/>
      <c r="F322" s="83" t="str">
        <f>+C307</f>
        <v>LEINADO MIRTA ALCIRA Y OTROS</v>
      </c>
      <c r="G322" s="83"/>
      <c r="H322" s="83"/>
      <c r="I322" s="99"/>
    </row>
    <row r="323" spans="3:9" ht="18" x14ac:dyDescent="0.25">
      <c r="C323" s="84"/>
      <c r="D323" s="88"/>
      <c r="E323" s="83"/>
      <c r="G323" s="83"/>
      <c r="H323" s="99"/>
      <c r="I323" s="90" t="s">
        <v>82</v>
      </c>
    </row>
    <row r="324" spans="3:9" ht="18" x14ac:dyDescent="0.25">
      <c r="C324" s="83" t="str">
        <f>+$F$1</f>
        <v>MONTES DE OCA 1068/1070 C.A.B.A.</v>
      </c>
      <c r="D324" s="88"/>
      <c r="E324" s="88" t="str">
        <f>+I323</f>
        <v>Unid. 8</v>
      </c>
      <c r="F324" s="83" t="str">
        <f>+$F$1</f>
        <v>MONTES DE OCA 1068/1070 C.A.B.A.</v>
      </c>
      <c r="G324" s="83"/>
      <c r="H324" s="83"/>
      <c r="I324" s="90" t="str">
        <f>+I309</f>
        <v>4 A</v>
      </c>
    </row>
    <row r="325" spans="3:9" ht="18" x14ac:dyDescent="0.25">
      <c r="C325" s="84"/>
      <c r="D325" s="91"/>
      <c r="E325" s="88" t="str">
        <f>+I309</f>
        <v>4 A</v>
      </c>
      <c r="G325" s="83"/>
      <c r="H325" s="83"/>
    </row>
    <row r="326" spans="3:9" ht="18" x14ac:dyDescent="0.25">
      <c r="C326" s="83" t="str">
        <f>+$F$2</f>
        <v>P/Depósito o transferencia en Banco Santander Rio</v>
      </c>
      <c r="D326" s="88"/>
      <c r="E326" s="83"/>
      <c r="F326" s="84"/>
      <c r="G326" s="83"/>
      <c r="H326" s="83"/>
      <c r="I326" s="99"/>
    </row>
    <row r="327" spans="3:9" ht="18" x14ac:dyDescent="0.25">
      <c r="C327" s="83" t="str">
        <f>+$F$3</f>
        <v xml:space="preserve">Cta. Cte. $ N° 558-000162/1 </v>
      </c>
      <c r="D327" s="88"/>
      <c r="E327" s="83"/>
      <c r="F327" s="83"/>
      <c r="G327" s="128"/>
      <c r="H327" s="84"/>
      <c r="I327" s="83"/>
    </row>
    <row r="328" spans="3:9" ht="18" x14ac:dyDescent="0.25">
      <c r="C328" s="83" t="str">
        <f>+$F$4</f>
        <v>CBU: 0720558320000000016218</v>
      </c>
      <c r="D328" s="88"/>
      <c r="E328" s="83"/>
      <c r="F328" s="93"/>
      <c r="H328" s="91"/>
      <c r="I328" s="92"/>
    </row>
    <row r="329" spans="3:9" ht="17.25" customHeight="1" x14ac:dyDescent="0.25">
      <c r="C329" s="83" t="str">
        <f>+$F$5</f>
        <v>CUIT: 30-66148861-8</v>
      </c>
      <c r="D329" s="88"/>
      <c r="E329" s="83"/>
      <c r="F329" s="83" t="s">
        <v>70</v>
      </c>
      <c r="G329" s="102">
        <f>+G312</f>
        <v>255236.50454399997</v>
      </c>
      <c r="H329" s="92"/>
      <c r="I329" s="97">
        <f>+E1</f>
        <v>46183</v>
      </c>
    </row>
    <row r="330" spans="3:9" ht="18" x14ac:dyDescent="0.25">
      <c r="C330" s="273"/>
      <c r="D330" s="88"/>
      <c r="E330" s="83"/>
      <c r="F330" s="83" t="s">
        <v>71</v>
      </c>
      <c r="G330" s="102">
        <f>+G313</f>
        <v>72820.46451749999</v>
      </c>
      <c r="I330" s="83"/>
    </row>
    <row r="331" spans="3:9" ht="18" x14ac:dyDescent="0.25">
      <c r="D331" s="88"/>
      <c r="E331" s="83"/>
      <c r="F331" s="83" t="s">
        <v>72</v>
      </c>
      <c r="G331" s="102">
        <f>+G315</f>
        <v>-36</v>
      </c>
      <c r="H331" s="83"/>
      <c r="I331" s="83"/>
    </row>
    <row r="332" spans="3:9" ht="18" x14ac:dyDescent="0.25">
      <c r="C332" s="93"/>
      <c r="D332" s="93"/>
      <c r="E332" s="93"/>
      <c r="F332" s="83" t="s">
        <v>73</v>
      </c>
      <c r="G332" s="102">
        <f>+G316</f>
        <v>0</v>
      </c>
      <c r="H332" s="83"/>
      <c r="I332" s="83"/>
    </row>
    <row r="333" spans="3:9" ht="18" x14ac:dyDescent="0.25">
      <c r="E333" s="83"/>
      <c r="F333" s="83" t="s">
        <v>215</v>
      </c>
      <c r="G333" s="135">
        <f>+G314</f>
        <v>0</v>
      </c>
      <c r="H333" s="83"/>
      <c r="I333" s="83"/>
    </row>
    <row r="334" spans="3:9" ht="18" x14ac:dyDescent="0.25">
      <c r="C334" s="97">
        <f>+$H$43</f>
        <v>46183</v>
      </c>
      <c r="D334" s="157">
        <f>+G317</f>
        <v>328020.96906149993</v>
      </c>
      <c r="E334" s="83"/>
      <c r="F334" s="83" t="s">
        <v>74</v>
      </c>
      <c r="G334" s="102">
        <f>+G317</f>
        <v>328020.96906149993</v>
      </c>
      <c r="H334" s="83"/>
      <c r="I334" s="83"/>
    </row>
    <row r="335" spans="3:9" ht="18" x14ac:dyDescent="0.25">
      <c r="C335" s="83"/>
      <c r="D335" s="88"/>
      <c r="E335" s="83"/>
      <c r="F335" s="83"/>
      <c r="G335" s="83"/>
      <c r="H335" s="83"/>
      <c r="I335" s="83"/>
    </row>
    <row r="336" spans="3:9" ht="18" x14ac:dyDescent="0.25">
      <c r="C336" s="83"/>
      <c r="D336" s="88"/>
      <c r="E336" s="83"/>
      <c r="F336" s="100"/>
      <c r="G336" s="83"/>
      <c r="H336" s="83"/>
      <c r="I336" s="83"/>
    </row>
    <row r="337" spans="3:9" ht="9" customHeight="1" x14ac:dyDescent="0.2"/>
    <row r="338" spans="3:9" ht="11.25" customHeight="1" x14ac:dyDescent="0.2"/>
    <row r="339" spans="3:9" ht="18" x14ac:dyDescent="0.25">
      <c r="C339" s="424"/>
      <c r="D339" s="424"/>
      <c r="E339" s="424"/>
      <c r="F339" s="433">
        <f>+$C$1</f>
        <v>46143</v>
      </c>
      <c r="G339" s="83"/>
      <c r="H339" s="429">
        <f>+$E$1</f>
        <v>46183</v>
      </c>
      <c r="I339" s="83"/>
    </row>
    <row r="340" spans="3:9" ht="18" x14ac:dyDescent="0.25">
      <c r="C340" s="82"/>
      <c r="D340" s="82"/>
      <c r="E340" s="98"/>
      <c r="F340" s="433"/>
      <c r="G340" s="83"/>
      <c r="H340" s="429"/>
      <c r="I340" s="83"/>
    </row>
    <row r="341" spans="3:9" ht="18" x14ac:dyDescent="0.25">
      <c r="C341" s="83"/>
      <c r="D341" s="88"/>
      <c r="E341" s="83"/>
      <c r="F341" s="84"/>
      <c r="G341" s="83"/>
      <c r="H341" s="84"/>
      <c r="I341" s="83"/>
    </row>
    <row r="342" spans="3:9" ht="29.25" customHeight="1" x14ac:dyDescent="0.25">
      <c r="D342" s="88"/>
      <c r="E342" s="83"/>
      <c r="F342" s="84"/>
      <c r="G342" s="83"/>
      <c r="H342" s="84"/>
      <c r="I342" s="83"/>
    </row>
    <row r="343" spans="3:9" ht="18" x14ac:dyDescent="0.25">
      <c r="C343" s="83" t="str">
        <f>+C10</f>
        <v>DELLA BELLA-BIDINOST</v>
      </c>
      <c r="D343" s="88"/>
      <c r="E343" s="83"/>
      <c r="F343" s="83" t="s">
        <v>293</v>
      </c>
      <c r="G343" s="83"/>
      <c r="H343" s="83"/>
      <c r="I343" s="90" t="s">
        <v>83</v>
      </c>
    </row>
    <row r="344" spans="3:9" ht="18" x14ac:dyDescent="0.25">
      <c r="C344" s="83"/>
      <c r="D344" s="88"/>
      <c r="E344" s="83"/>
      <c r="F344" s="84"/>
      <c r="G344" s="83"/>
      <c r="H344" s="83"/>
      <c r="I344" s="90" t="str">
        <f>+'RES CUENTA'!B23</f>
        <v>4 B</v>
      </c>
    </row>
    <row r="345" spans="3:9" ht="18" x14ac:dyDescent="0.25">
      <c r="C345" s="91"/>
      <c r="D345" s="88"/>
      <c r="E345" s="91"/>
      <c r="F345" s="83"/>
      <c r="G345" s="83"/>
      <c r="H345" s="83"/>
      <c r="I345" s="90"/>
    </row>
    <row r="346" spans="3:9" ht="11.25" customHeight="1" x14ac:dyDescent="0.25">
      <c r="C346" s="91"/>
      <c r="D346" s="88"/>
      <c r="E346" s="91"/>
      <c r="F346" s="83"/>
      <c r="G346" s="83"/>
      <c r="H346" s="83"/>
      <c r="I346" s="83"/>
    </row>
    <row r="347" spans="3:9" ht="18" x14ac:dyDescent="0.25">
      <c r="C347" s="83" t="s">
        <v>68</v>
      </c>
      <c r="D347" s="88"/>
      <c r="E347" s="103">
        <f>+'RES CUENTA'!G36</f>
        <v>4623849.72</v>
      </c>
      <c r="F347" s="104">
        <f>+'RES CUENTA'!F23</f>
        <v>4.22</v>
      </c>
      <c r="G347" s="101">
        <f>+E347*F347/100</f>
        <v>195126.45818399999</v>
      </c>
      <c r="H347" s="425"/>
      <c r="I347" s="425"/>
    </row>
    <row r="348" spans="3:9" ht="18" x14ac:dyDescent="0.25">
      <c r="C348" s="83" t="s">
        <v>69</v>
      </c>
      <c r="D348" s="88"/>
      <c r="E348" s="103">
        <f>+'RES CUENTA'!J36</f>
        <v>1180425.75</v>
      </c>
      <c r="F348" s="104">
        <f>+'RES CUENTA'!H23</f>
        <v>4.7160000000000002</v>
      </c>
      <c r="G348" s="101">
        <f>+E348*F348/100</f>
        <v>55668.878370000006</v>
      </c>
      <c r="H348" s="430"/>
      <c r="I348" s="430"/>
    </row>
    <row r="349" spans="3:9" ht="18" x14ac:dyDescent="0.25">
      <c r="C349" s="83" t="s">
        <v>215</v>
      </c>
      <c r="D349" s="88"/>
      <c r="E349" s="103">
        <f>+'RES CUENTA'!K23</f>
        <v>0</v>
      </c>
      <c r="F349" s="104">
        <v>0</v>
      </c>
      <c r="G349" s="101">
        <f>+E349</f>
        <v>0</v>
      </c>
      <c r="H349" s="430"/>
      <c r="I349" s="430"/>
    </row>
    <row r="350" spans="3:9" ht="18" x14ac:dyDescent="0.25">
      <c r="C350" s="83" t="s">
        <v>181</v>
      </c>
      <c r="D350" s="88"/>
      <c r="E350" s="103">
        <v>0</v>
      </c>
      <c r="F350" s="104">
        <v>0</v>
      </c>
      <c r="G350" s="101">
        <f>+'RES CUENTA'!M23</f>
        <v>0</v>
      </c>
      <c r="H350" s="430"/>
      <c r="I350" s="430"/>
    </row>
    <row r="351" spans="3:9" ht="18" x14ac:dyDescent="0.25">
      <c r="C351" s="83" t="s">
        <v>289</v>
      </c>
      <c r="D351" s="88"/>
      <c r="E351" s="103">
        <v>0</v>
      </c>
      <c r="F351" s="104">
        <v>0</v>
      </c>
      <c r="G351" s="134">
        <f>+'RES CUENTA'!N23</f>
        <v>0</v>
      </c>
      <c r="H351" s="430"/>
      <c r="I351" s="430"/>
    </row>
    <row r="352" spans="3:9" ht="18" x14ac:dyDescent="0.25">
      <c r="C352" s="84"/>
      <c r="D352" s="88"/>
      <c r="E352" s="83"/>
      <c r="F352" s="89"/>
      <c r="G352" s="101">
        <f>SUM(G347:G351)</f>
        <v>250795.33655399998</v>
      </c>
      <c r="H352" s="432"/>
      <c r="I352" s="432"/>
    </row>
    <row r="353" spans="3:9" ht="18" x14ac:dyDescent="0.25">
      <c r="C353" s="83"/>
      <c r="D353" s="88"/>
      <c r="E353" s="83"/>
      <c r="F353" s="83"/>
      <c r="G353" s="85"/>
      <c r="H353" s="88"/>
      <c r="I353" s="88"/>
    </row>
    <row r="354" spans="3:9" ht="18" x14ac:dyDescent="0.25">
      <c r="C354" s="83"/>
      <c r="D354" s="88"/>
      <c r="E354" s="83"/>
      <c r="F354" s="83"/>
      <c r="G354" s="85"/>
      <c r="H354" s="88"/>
      <c r="I354" s="88"/>
    </row>
    <row r="355" spans="3:9" ht="18" x14ac:dyDescent="0.25">
      <c r="C355" s="83"/>
      <c r="D355" s="88"/>
      <c r="E355" s="83"/>
      <c r="F355" s="83"/>
      <c r="G355" s="89"/>
      <c r="H355" s="83"/>
      <c r="I355" s="83"/>
    </row>
    <row r="356" spans="3:9" ht="18" x14ac:dyDescent="0.25">
      <c r="C356" s="83"/>
      <c r="D356" s="88"/>
      <c r="E356" s="83"/>
      <c r="F356" s="83"/>
      <c r="G356" s="89"/>
      <c r="H356" s="83"/>
      <c r="I356" s="83"/>
    </row>
    <row r="357" spans="3:9" ht="12.75" customHeight="1" x14ac:dyDescent="0.25">
      <c r="C357" s="83"/>
      <c r="D357" s="88"/>
      <c r="E357" s="83"/>
      <c r="F357" s="83"/>
      <c r="G357" s="89"/>
      <c r="H357" s="83"/>
      <c r="I357" s="83"/>
    </row>
    <row r="358" spans="3:9" ht="18" x14ac:dyDescent="0.25">
      <c r="C358" s="83" t="str">
        <f>+C343</f>
        <v>DELLA BELLA-BIDINOST</v>
      </c>
      <c r="D358" s="427"/>
      <c r="E358" s="427"/>
      <c r="F358" s="83" t="str">
        <f>+C358</f>
        <v>DELLA BELLA-BIDINOST</v>
      </c>
      <c r="G358" s="89"/>
      <c r="H358" s="83"/>
      <c r="I358" s="83"/>
    </row>
    <row r="359" spans="3:9" ht="18" x14ac:dyDescent="0.25">
      <c r="D359" s="88"/>
      <c r="E359" s="83"/>
      <c r="G359" s="427"/>
      <c r="H359" s="427"/>
      <c r="I359" s="427"/>
    </row>
    <row r="360" spans="3:9" ht="18" x14ac:dyDescent="0.25">
      <c r="C360" s="83" t="str">
        <f>+$F$1</f>
        <v>MONTES DE OCA 1068/1070 C.A.B.A.</v>
      </c>
      <c r="D360" s="88"/>
      <c r="E360" s="88" t="str">
        <f>+I343</f>
        <v>Unid. 9</v>
      </c>
      <c r="F360" s="83" t="str">
        <f>+$F$1</f>
        <v>MONTES DE OCA 1068/1070 C.A.B.A.</v>
      </c>
      <c r="G360" s="83"/>
      <c r="H360" s="83"/>
      <c r="I360" s="90" t="str">
        <f>+E360</f>
        <v>Unid. 9</v>
      </c>
    </row>
    <row r="361" spans="3:9" ht="18" x14ac:dyDescent="0.25">
      <c r="E361" s="88" t="str">
        <f>+I361</f>
        <v>4 B</v>
      </c>
      <c r="I361" s="90" t="str">
        <f>+I344</f>
        <v>4 B</v>
      </c>
    </row>
    <row r="362" spans="3:9" ht="18" x14ac:dyDescent="0.25">
      <c r="C362" s="83" t="str">
        <f>+$F$2</f>
        <v>P/Depósito o transferencia en Banco Santander Rio</v>
      </c>
      <c r="D362" s="91"/>
      <c r="E362" s="84"/>
      <c r="F362" s="84"/>
      <c r="G362" s="83"/>
      <c r="H362" s="83"/>
    </row>
    <row r="363" spans="3:9" ht="18" x14ac:dyDescent="0.25">
      <c r="C363" s="83" t="str">
        <f>+$F$3</f>
        <v xml:space="preserve">Cta. Cte. $ N° 558-000162/1 </v>
      </c>
      <c r="D363" s="88"/>
      <c r="E363" s="83"/>
      <c r="F363" s="83"/>
      <c r="G363" s="83"/>
      <c r="H363" s="84"/>
      <c r="I363" s="99"/>
    </row>
    <row r="364" spans="3:9" ht="18" x14ac:dyDescent="0.25">
      <c r="C364" s="83" t="str">
        <f>+$F$4</f>
        <v>CBU: 0720558320000000016218</v>
      </c>
      <c r="D364" s="88"/>
      <c r="E364" s="83"/>
      <c r="F364" s="93"/>
      <c r="G364" s="83"/>
      <c r="H364" s="91"/>
      <c r="I364" s="83"/>
    </row>
    <row r="365" spans="3:9" ht="18" x14ac:dyDescent="0.25">
      <c r="C365" s="83" t="str">
        <f>+$F$5</f>
        <v>CUIT: 30-66148861-8</v>
      </c>
      <c r="D365" s="88"/>
      <c r="E365" s="83"/>
      <c r="F365" s="83" t="s">
        <v>70</v>
      </c>
      <c r="G365" s="102">
        <f>+G347</f>
        <v>195126.45818399999</v>
      </c>
      <c r="I365" s="97">
        <f>+E1</f>
        <v>46183</v>
      </c>
    </row>
    <row r="366" spans="3:9" ht="18" x14ac:dyDescent="0.25">
      <c r="C366" s="273"/>
      <c r="D366" s="88"/>
      <c r="E366" s="83"/>
      <c r="F366" s="83" t="s">
        <v>71</v>
      </c>
      <c r="G366" s="102">
        <f>+G348</f>
        <v>55668.878370000006</v>
      </c>
    </row>
    <row r="367" spans="3:9" ht="18" x14ac:dyDescent="0.25">
      <c r="D367" s="88"/>
      <c r="E367" s="83"/>
      <c r="F367" s="83" t="s">
        <v>72</v>
      </c>
      <c r="G367" s="102">
        <f>+G350</f>
        <v>0</v>
      </c>
      <c r="H367" s="83"/>
      <c r="I367" s="83"/>
    </row>
    <row r="368" spans="3:9" ht="18" x14ac:dyDescent="0.25">
      <c r="C368" s="83"/>
      <c r="D368" s="88"/>
      <c r="E368" s="83"/>
      <c r="F368" s="83" t="s">
        <v>73</v>
      </c>
      <c r="G368" s="102">
        <f>+G351</f>
        <v>0</v>
      </c>
      <c r="H368" s="83"/>
      <c r="I368" s="83"/>
    </row>
    <row r="369" spans="3:9" ht="18" x14ac:dyDescent="0.25">
      <c r="C369" s="93"/>
      <c r="D369" s="93"/>
      <c r="E369" s="93"/>
      <c r="F369" s="83" t="s">
        <v>215</v>
      </c>
      <c r="G369" s="135">
        <f>+G349</f>
        <v>0</v>
      </c>
      <c r="H369" s="83"/>
      <c r="I369" s="83"/>
    </row>
    <row r="370" spans="3:9" ht="18" x14ac:dyDescent="0.25">
      <c r="C370" s="97">
        <f>+$H$43</f>
        <v>46183</v>
      </c>
      <c r="D370" s="157">
        <f>+G352</f>
        <v>250795.33655399998</v>
      </c>
      <c r="E370" s="83"/>
      <c r="F370" s="83" t="s">
        <v>74</v>
      </c>
      <c r="G370" s="102">
        <f>+G352</f>
        <v>250795.33655399998</v>
      </c>
      <c r="H370" s="83"/>
      <c r="I370" s="83"/>
    </row>
    <row r="371" spans="3:9" ht="18" x14ac:dyDescent="0.25">
      <c r="C371" s="83"/>
      <c r="D371" s="88"/>
      <c r="E371" s="83"/>
      <c r="F371" s="100"/>
      <c r="G371" s="83"/>
      <c r="H371" s="83"/>
      <c r="I371" s="83"/>
    </row>
    <row r="372" spans="3:9" ht="18" x14ac:dyDescent="0.25">
      <c r="C372" s="83"/>
      <c r="D372" s="88"/>
      <c r="E372" s="83"/>
      <c r="G372" s="83"/>
      <c r="H372" s="83"/>
      <c r="I372" s="83"/>
    </row>
    <row r="373" spans="3:9" ht="18" x14ac:dyDescent="0.25">
      <c r="C373" s="83"/>
      <c r="D373" s="88"/>
      <c r="E373" s="83"/>
      <c r="F373" s="83"/>
      <c r="G373" s="83"/>
      <c r="H373" s="83"/>
      <c r="I373" s="83"/>
    </row>
    <row r="374" spans="3:9" ht="18" x14ac:dyDescent="0.25">
      <c r="C374" s="83"/>
      <c r="D374" s="88"/>
      <c r="E374" s="83"/>
      <c r="F374" s="83"/>
      <c r="G374" s="83"/>
      <c r="H374" s="83"/>
      <c r="I374" s="83"/>
    </row>
    <row r="375" spans="3:9" ht="18" x14ac:dyDescent="0.25">
      <c r="C375" s="83"/>
      <c r="D375" s="88"/>
      <c r="E375" s="83"/>
      <c r="F375" s="83"/>
      <c r="G375" s="83"/>
      <c r="H375" s="425"/>
      <c r="I375" s="425"/>
    </row>
    <row r="376" spans="3:9" ht="18" x14ac:dyDescent="0.25">
      <c r="C376" s="83"/>
      <c r="D376" s="88"/>
      <c r="E376" s="83"/>
      <c r="F376" s="83"/>
      <c r="G376" s="83"/>
      <c r="H376" s="83"/>
      <c r="I376" s="83"/>
    </row>
    <row r="377" spans="3:9" ht="18" x14ac:dyDescent="0.25">
      <c r="C377" s="83"/>
      <c r="D377" s="88"/>
      <c r="E377" s="83"/>
      <c r="F377" s="83"/>
      <c r="G377" s="83"/>
      <c r="H377" s="83"/>
      <c r="I377" s="83"/>
    </row>
    <row r="378" spans="3:9" ht="18" x14ac:dyDescent="0.25">
      <c r="C378" s="83"/>
      <c r="D378" s="88"/>
      <c r="E378" s="83"/>
      <c r="F378" s="83"/>
      <c r="G378" s="83"/>
      <c r="H378" s="83"/>
      <c r="I378" s="83"/>
    </row>
    <row r="379" spans="3:9" ht="18" x14ac:dyDescent="0.25">
      <c r="C379" s="83"/>
      <c r="D379" s="88"/>
      <c r="E379" s="83"/>
      <c r="F379" s="83"/>
      <c r="G379" s="83"/>
      <c r="H379" s="83"/>
      <c r="I379" s="83"/>
    </row>
    <row r="380" spans="3:9" ht="18" x14ac:dyDescent="0.25">
      <c r="C380" s="424"/>
      <c r="D380" s="424"/>
      <c r="E380" s="424"/>
      <c r="F380" s="96">
        <f>+$C$1</f>
        <v>46143</v>
      </c>
      <c r="G380" s="83"/>
      <c r="H380" s="97">
        <f>+$E$1</f>
        <v>46183</v>
      </c>
      <c r="I380" s="95"/>
    </row>
    <row r="381" spans="3:9" ht="18" x14ac:dyDescent="0.25">
      <c r="C381" s="82"/>
      <c r="D381" s="82"/>
      <c r="E381" s="98"/>
      <c r="F381" s="96"/>
      <c r="G381" s="83"/>
    </row>
    <row r="382" spans="3:9" ht="27" customHeight="1" x14ac:dyDescent="0.25">
      <c r="C382" s="83" t="str">
        <f>+C11</f>
        <v>AGOSTINI A- Y DI MARZO</v>
      </c>
      <c r="D382" s="88"/>
      <c r="E382" s="83"/>
      <c r="F382" s="83" t="str">
        <f>+$F$1</f>
        <v>MONTES DE OCA 1068/1070 C.A.B.A.</v>
      </c>
      <c r="G382" s="83"/>
    </row>
    <row r="383" spans="3:9" ht="18" x14ac:dyDescent="0.25">
      <c r="G383" s="83"/>
      <c r="I383" s="90" t="s">
        <v>84</v>
      </c>
    </row>
    <row r="384" spans="3:9" ht="18" x14ac:dyDescent="0.25">
      <c r="C384" s="84"/>
      <c r="D384" s="88"/>
      <c r="E384" s="83"/>
      <c r="G384" s="83"/>
      <c r="H384" s="84"/>
      <c r="I384" s="90" t="str">
        <f>+'RES CUENTA'!B24</f>
        <v>5 A</v>
      </c>
    </row>
    <row r="385" spans="3:9" ht="18" x14ac:dyDescent="0.25">
      <c r="C385" s="83"/>
      <c r="D385" s="88"/>
      <c r="E385" s="83"/>
      <c r="F385" s="84"/>
      <c r="G385" s="83"/>
      <c r="H385" s="83"/>
      <c r="I385" s="84"/>
    </row>
    <row r="386" spans="3:9" ht="18" x14ac:dyDescent="0.25">
      <c r="C386" s="91"/>
      <c r="D386" s="88"/>
      <c r="E386" s="91"/>
      <c r="F386" s="83"/>
      <c r="G386" s="83"/>
      <c r="H386" s="83"/>
      <c r="I386" s="83"/>
    </row>
    <row r="387" spans="3:9" ht="18" x14ac:dyDescent="0.25">
      <c r="C387" s="83" t="s">
        <v>68</v>
      </c>
      <c r="D387" s="88"/>
      <c r="E387" s="103">
        <f>+'RES CUENTA'!G36</f>
        <v>4623849.72</v>
      </c>
      <c r="F387" s="104">
        <f>+'RES CUENTA'!F24</f>
        <v>5.52</v>
      </c>
      <c r="G387" s="101">
        <f>+E387*F387/100</f>
        <v>255236.50454399997</v>
      </c>
      <c r="H387" s="83"/>
      <c r="I387" s="91"/>
    </row>
    <row r="388" spans="3:9" ht="18" x14ac:dyDescent="0.25">
      <c r="C388" s="83" t="s">
        <v>69</v>
      </c>
      <c r="D388" s="88"/>
      <c r="E388" s="103">
        <f>+'RES CUENTA'!J36</f>
        <v>1180425.75</v>
      </c>
      <c r="F388" s="104">
        <f>+'RES CUENTA'!H24</f>
        <v>5.52</v>
      </c>
      <c r="G388" s="101">
        <f>+E388*F388/100</f>
        <v>65159.501399999994</v>
      </c>
      <c r="H388" s="91"/>
      <c r="I388" s="87"/>
    </row>
    <row r="389" spans="3:9" ht="18" x14ac:dyDescent="0.25">
      <c r="C389" s="83" t="s">
        <v>215</v>
      </c>
      <c r="D389" s="88"/>
      <c r="E389" s="103">
        <f>+'RES CUENTA'!K24</f>
        <v>0</v>
      </c>
      <c r="F389" s="104">
        <v>0</v>
      </c>
      <c r="G389" s="101">
        <f>+E389</f>
        <v>0</v>
      </c>
      <c r="H389" s="87"/>
      <c r="I389" s="87"/>
    </row>
    <row r="390" spans="3:9" ht="18" x14ac:dyDescent="0.25">
      <c r="C390" s="83" t="s">
        <v>181</v>
      </c>
      <c r="D390" s="88"/>
      <c r="E390" s="103">
        <v>0</v>
      </c>
      <c r="F390" s="104">
        <v>0</v>
      </c>
      <c r="G390" s="101">
        <f>+'RES CUENTA'!M24</f>
        <v>0</v>
      </c>
      <c r="H390" s="87"/>
      <c r="I390" s="87"/>
    </row>
    <row r="391" spans="3:9" ht="18" x14ac:dyDescent="0.25">
      <c r="C391" s="83" t="s">
        <v>289</v>
      </c>
      <c r="D391" s="88"/>
      <c r="E391" s="103">
        <v>0</v>
      </c>
      <c r="F391" s="104">
        <v>0</v>
      </c>
      <c r="G391" s="134">
        <f>+'RES CUENTA'!N24</f>
        <v>0</v>
      </c>
      <c r="H391" s="87"/>
      <c r="I391" s="87"/>
    </row>
    <row r="392" spans="3:9" ht="18" x14ac:dyDescent="0.25">
      <c r="C392" s="84"/>
      <c r="D392" s="88"/>
      <c r="E392" s="83"/>
      <c r="G392" s="101">
        <f>SUM(G387:G391)</f>
        <v>320396.00594399997</v>
      </c>
      <c r="H392" s="87"/>
      <c r="I392" s="88"/>
    </row>
    <row r="393" spans="3:9" ht="18" x14ac:dyDescent="0.25">
      <c r="C393" s="83"/>
      <c r="D393" s="88"/>
      <c r="E393" s="83"/>
      <c r="F393" s="83"/>
      <c r="G393" s="89"/>
      <c r="H393" s="88"/>
      <c r="I393" s="88"/>
    </row>
    <row r="394" spans="3:9" ht="14.25" customHeight="1" x14ac:dyDescent="0.25">
      <c r="C394" s="83"/>
      <c r="D394" s="88"/>
      <c r="E394" s="83"/>
      <c r="F394" s="83"/>
      <c r="G394" s="89"/>
      <c r="H394" s="88"/>
      <c r="I394" s="88"/>
    </row>
    <row r="395" spans="3:9" ht="12" customHeight="1" x14ac:dyDescent="0.25">
      <c r="C395" s="83"/>
      <c r="D395" s="88"/>
      <c r="E395" s="83"/>
      <c r="F395" s="83"/>
      <c r="G395" s="89"/>
      <c r="H395" s="88"/>
      <c r="I395" s="88"/>
    </row>
    <row r="396" spans="3:9" ht="18.75" customHeight="1" x14ac:dyDescent="0.25">
      <c r="C396" s="83"/>
      <c r="D396" s="88"/>
      <c r="E396" s="83"/>
      <c r="F396" s="83"/>
      <c r="G396" s="89"/>
      <c r="H396" s="88"/>
      <c r="I396" s="88"/>
    </row>
    <row r="397" spans="3:9" ht="23.25" customHeight="1" x14ac:dyDescent="0.25">
      <c r="C397" s="83" t="str">
        <f>+C382</f>
        <v>AGOSTINI A- Y DI MARZO</v>
      </c>
      <c r="D397" s="88"/>
      <c r="E397" s="83"/>
      <c r="F397" s="83" t="str">
        <f>+C382</f>
        <v>AGOSTINI A- Y DI MARZO</v>
      </c>
      <c r="G397" s="83"/>
      <c r="H397" s="83"/>
      <c r="I397" s="99"/>
    </row>
    <row r="398" spans="3:9" ht="18" x14ac:dyDescent="0.25">
      <c r="C398" s="84"/>
      <c r="D398" s="88"/>
      <c r="E398" s="83"/>
      <c r="G398" s="83"/>
      <c r="H398" s="99"/>
      <c r="I398" s="90" t="str">
        <f>+I383</f>
        <v>Unid. 10</v>
      </c>
    </row>
    <row r="399" spans="3:9" ht="18" x14ac:dyDescent="0.25">
      <c r="C399" s="83" t="str">
        <f>+$F$1</f>
        <v>MONTES DE OCA 1068/1070 C.A.B.A.</v>
      </c>
      <c r="D399" s="88"/>
      <c r="E399" s="88" t="str">
        <f>+I398</f>
        <v>Unid. 10</v>
      </c>
      <c r="F399" s="83" t="str">
        <f>+$F$1</f>
        <v>MONTES DE OCA 1068/1070 C.A.B.A.</v>
      </c>
      <c r="G399" s="83"/>
      <c r="H399" s="83"/>
      <c r="I399" s="90" t="str">
        <f>+I384</f>
        <v>5 A</v>
      </c>
    </row>
    <row r="400" spans="3:9" ht="18" x14ac:dyDescent="0.25">
      <c r="C400" s="84"/>
      <c r="D400" s="91"/>
      <c r="E400" s="88" t="str">
        <f>+I399</f>
        <v>5 A</v>
      </c>
      <c r="G400" s="83"/>
      <c r="H400" s="83"/>
    </row>
    <row r="401" spans="3:9" ht="14.25" customHeight="1" x14ac:dyDescent="0.25">
      <c r="C401" s="83" t="str">
        <f>+$F$2</f>
        <v>P/Depósito o transferencia en Banco Santander Rio</v>
      </c>
      <c r="D401" s="88"/>
      <c r="E401" s="83"/>
      <c r="F401" s="84"/>
      <c r="G401" s="83"/>
      <c r="H401" s="83"/>
      <c r="I401" s="99"/>
    </row>
    <row r="402" spans="3:9" ht="18" x14ac:dyDescent="0.25">
      <c r="C402" s="83" t="str">
        <f>+$F$3</f>
        <v xml:space="preserve">Cta. Cte. $ N° 558-000162/1 </v>
      </c>
      <c r="D402" s="88"/>
      <c r="E402" s="83"/>
      <c r="F402" s="83"/>
      <c r="G402" s="128"/>
      <c r="H402" s="84"/>
      <c r="I402" s="83"/>
    </row>
    <row r="403" spans="3:9" ht="18" x14ac:dyDescent="0.25">
      <c r="C403" s="83" t="str">
        <f>+$F$4</f>
        <v>CBU: 0720558320000000016218</v>
      </c>
      <c r="D403" s="88"/>
      <c r="E403" s="83"/>
      <c r="F403" s="93"/>
      <c r="H403" s="91"/>
      <c r="I403" s="92"/>
    </row>
    <row r="404" spans="3:9" ht="18" x14ac:dyDescent="0.25">
      <c r="C404" s="83" t="str">
        <f>+$F$5</f>
        <v>CUIT: 30-66148861-8</v>
      </c>
      <c r="D404" s="88"/>
      <c r="E404" s="83"/>
      <c r="F404" s="83" t="s">
        <v>70</v>
      </c>
      <c r="G404" s="102">
        <f>+G387</f>
        <v>255236.50454399997</v>
      </c>
      <c r="H404" s="92"/>
      <c r="I404" s="97">
        <f>+E1</f>
        <v>46183</v>
      </c>
    </row>
    <row r="405" spans="3:9" ht="18" x14ac:dyDescent="0.25">
      <c r="C405" s="273"/>
      <c r="D405" s="88"/>
      <c r="E405" s="83"/>
      <c r="F405" s="83" t="s">
        <v>71</v>
      </c>
      <c r="G405" s="102">
        <f>+G388</f>
        <v>65159.501399999994</v>
      </c>
      <c r="I405" s="83"/>
    </row>
    <row r="406" spans="3:9" ht="18" x14ac:dyDescent="0.25">
      <c r="D406" s="88"/>
      <c r="E406" s="83"/>
      <c r="F406" s="83" t="s">
        <v>72</v>
      </c>
      <c r="G406" s="102">
        <f>+G390</f>
        <v>0</v>
      </c>
      <c r="H406" s="83"/>
      <c r="I406" s="83"/>
    </row>
    <row r="407" spans="3:9" ht="18" x14ac:dyDescent="0.25">
      <c r="C407" s="93"/>
      <c r="D407" s="93"/>
      <c r="E407" s="93"/>
      <c r="F407" s="83" t="s">
        <v>73</v>
      </c>
      <c r="G407" s="102">
        <f>+G391</f>
        <v>0</v>
      </c>
      <c r="H407" s="83"/>
      <c r="I407" s="83"/>
    </row>
    <row r="408" spans="3:9" ht="18" x14ac:dyDescent="0.25">
      <c r="E408" s="83"/>
      <c r="F408" s="83" t="s">
        <v>215</v>
      </c>
      <c r="G408" s="135">
        <f>+G389</f>
        <v>0</v>
      </c>
      <c r="H408" s="83"/>
      <c r="I408" s="83"/>
    </row>
    <row r="409" spans="3:9" ht="18" x14ac:dyDescent="0.25">
      <c r="C409" s="97">
        <f>+$H$43</f>
        <v>46183</v>
      </c>
      <c r="D409" s="157">
        <f>+G392</f>
        <v>320396.00594399997</v>
      </c>
      <c r="E409" s="83"/>
      <c r="F409" s="83" t="s">
        <v>74</v>
      </c>
      <c r="G409" s="102">
        <f>+G392</f>
        <v>320396.00594399997</v>
      </c>
      <c r="H409" s="83"/>
      <c r="I409" s="83"/>
    </row>
    <row r="410" spans="3:9" ht="18" x14ac:dyDescent="0.25">
      <c r="C410" s="83"/>
      <c r="D410" s="88"/>
      <c r="E410" s="83"/>
      <c r="F410" s="83"/>
      <c r="G410" s="83"/>
      <c r="H410" s="83"/>
      <c r="I410" s="83"/>
    </row>
    <row r="411" spans="3:9" ht="18" x14ac:dyDescent="0.25">
      <c r="C411" s="83"/>
      <c r="D411" s="88"/>
      <c r="E411" s="83"/>
      <c r="F411" s="100"/>
      <c r="G411" s="83"/>
      <c r="H411" s="83"/>
      <c r="I411" s="83"/>
    </row>
    <row r="412" spans="3:9" ht="18" x14ac:dyDescent="0.25">
      <c r="C412" s="83"/>
      <c r="D412" s="88"/>
      <c r="E412" s="83"/>
      <c r="F412" s="83"/>
      <c r="G412" s="83"/>
      <c r="H412" s="83"/>
      <c r="I412" s="91"/>
    </row>
    <row r="413" spans="3:9" ht="6.75" customHeight="1" x14ac:dyDescent="0.25">
      <c r="F413" s="83"/>
      <c r="H413" s="91"/>
      <c r="I413" s="83"/>
    </row>
    <row r="414" spans="3:9" ht="12" customHeight="1" x14ac:dyDescent="0.2">
      <c r="C414" s="300"/>
    </row>
    <row r="415" spans="3:9" ht="18" x14ac:dyDescent="0.25">
      <c r="C415" s="424"/>
      <c r="D415" s="424"/>
      <c r="E415" s="424"/>
      <c r="F415" s="433">
        <f>+$C$1</f>
        <v>46143</v>
      </c>
      <c r="G415" s="83"/>
      <c r="H415" s="429">
        <f>+$E$1</f>
        <v>46183</v>
      </c>
      <c r="I415" s="83"/>
    </row>
    <row r="416" spans="3:9" ht="18" x14ac:dyDescent="0.25">
      <c r="C416" s="82"/>
      <c r="D416" s="82"/>
      <c r="E416" s="98"/>
      <c r="F416" s="433"/>
      <c r="G416" s="83"/>
      <c r="H416" s="429"/>
      <c r="I416" s="83"/>
    </row>
    <row r="417" spans="3:9" ht="18" x14ac:dyDescent="0.25">
      <c r="C417" s="83"/>
      <c r="D417" s="88"/>
      <c r="E417" s="83"/>
      <c r="F417" s="84"/>
      <c r="G417" s="83"/>
      <c r="H417" s="84"/>
      <c r="I417" s="83"/>
    </row>
    <row r="418" spans="3:9" ht="27.75" customHeight="1" x14ac:dyDescent="0.25">
      <c r="D418" s="88"/>
      <c r="E418" s="83"/>
      <c r="F418" s="84"/>
      <c r="G418" s="83"/>
      <c r="H418" s="84"/>
      <c r="I418" s="83"/>
    </row>
    <row r="419" spans="3:9" ht="18" x14ac:dyDescent="0.25">
      <c r="C419" s="83" t="str">
        <f>+C12</f>
        <v>LETTIERI PAULA</v>
      </c>
      <c r="D419" s="88"/>
      <c r="E419" s="83"/>
      <c r="F419" s="83" t="s">
        <v>293</v>
      </c>
      <c r="G419" s="83"/>
      <c r="H419" s="83"/>
      <c r="I419" s="90" t="s">
        <v>85</v>
      </c>
    </row>
    <row r="420" spans="3:9" ht="18" x14ac:dyDescent="0.25">
      <c r="C420" s="83"/>
      <c r="D420" s="88"/>
      <c r="E420" s="83"/>
      <c r="F420" s="84"/>
      <c r="G420" s="83"/>
      <c r="H420" s="83"/>
      <c r="I420" s="90" t="str">
        <f>+'RES CUENTA'!B25</f>
        <v>5 B</v>
      </c>
    </row>
    <row r="421" spans="3:9" ht="18" x14ac:dyDescent="0.25">
      <c r="C421" s="91"/>
      <c r="D421" s="88"/>
      <c r="E421" s="91"/>
      <c r="F421" s="83"/>
      <c r="G421" s="83"/>
      <c r="H421" s="83"/>
      <c r="I421" s="83"/>
    </row>
    <row r="422" spans="3:9" ht="14.25" customHeight="1" x14ac:dyDescent="0.25">
      <c r="C422" s="91"/>
      <c r="D422" s="88"/>
      <c r="E422" s="91"/>
      <c r="F422" s="83"/>
      <c r="G422" s="83"/>
      <c r="H422" s="83"/>
      <c r="I422" s="83"/>
    </row>
    <row r="423" spans="3:9" ht="18" x14ac:dyDescent="0.25">
      <c r="C423" s="83" t="s">
        <v>68</v>
      </c>
      <c r="D423" s="88"/>
      <c r="E423" s="103">
        <f>+'RES CUENTA'!G36</f>
        <v>4623849.72</v>
      </c>
      <c r="F423" s="104">
        <f>+'RES CUENTA'!F25</f>
        <v>4.26</v>
      </c>
      <c r="G423" s="101">
        <f>+E423*F423/100</f>
        <v>196975.99807199999</v>
      </c>
      <c r="H423" s="425"/>
      <c r="I423" s="425"/>
    </row>
    <row r="424" spans="3:9" ht="18" x14ac:dyDescent="0.25">
      <c r="C424" s="83" t="s">
        <v>69</v>
      </c>
      <c r="D424" s="88"/>
      <c r="E424" s="103">
        <f>+'RES CUENTA'!J36</f>
        <v>1180425.75</v>
      </c>
      <c r="F424" s="104">
        <f>+'RES CUENTA'!H25</f>
        <v>4.7610000000000001</v>
      </c>
      <c r="G424" s="101">
        <f>+E424*F424/100</f>
        <v>56200.069957499996</v>
      </c>
      <c r="H424" s="430"/>
      <c r="I424" s="430"/>
    </row>
    <row r="425" spans="3:9" ht="18" x14ac:dyDescent="0.25">
      <c r="C425" s="83" t="s">
        <v>215</v>
      </c>
      <c r="D425" s="88"/>
      <c r="E425" s="103">
        <f>+'RES CUENTA'!K25</f>
        <v>0</v>
      </c>
      <c r="F425" s="104">
        <v>0</v>
      </c>
      <c r="G425" s="101">
        <f>+E425</f>
        <v>0</v>
      </c>
      <c r="H425" s="430"/>
      <c r="I425" s="430"/>
    </row>
    <row r="426" spans="3:9" ht="18" x14ac:dyDescent="0.25">
      <c r="C426" s="83" t="s">
        <v>181</v>
      </c>
      <c r="D426" s="88"/>
      <c r="E426" s="103">
        <v>0</v>
      </c>
      <c r="F426" s="104">
        <v>0</v>
      </c>
      <c r="G426" s="101">
        <f>+'RES CUENTA'!M25</f>
        <v>0</v>
      </c>
      <c r="H426" s="430"/>
      <c r="I426" s="430"/>
    </row>
    <row r="427" spans="3:9" ht="18" x14ac:dyDescent="0.25">
      <c r="C427" s="83" t="s">
        <v>289</v>
      </c>
      <c r="D427" s="88"/>
      <c r="E427" s="103">
        <v>0</v>
      </c>
      <c r="F427" s="104">
        <v>0</v>
      </c>
      <c r="G427" s="134">
        <f>+E427</f>
        <v>0</v>
      </c>
      <c r="H427" s="430"/>
      <c r="I427" s="430"/>
    </row>
    <row r="428" spans="3:9" ht="18" x14ac:dyDescent="0.25">
      <c r="C428" s="84"/>
      <c r="D428" s="88"/>
      <c r="E428" s="83"/>
      <c r="F428" s="89"/>
      <c r="G428" s="101">
        <f>SUM(G423:G427)</f>
        <v>253176.06802949999</v>
      </c>
      <c r="H428" s="432"/>
      <c r="I428" s="432"/>
    </row>
    <row r="429" spans="3:9" ht="18" x14ac:dyDescent="0.25">
      <c r="C429" s="83"/>
      <c r="D429" s="88"/>
      <c r="E429" s="83"/>
      <c r="F429" s="83"/>
      <c r="G429" s="85"/>
      <c r="H429" s="88"/>
      <c r="I429" s="88"/>
    </row>
    <row r="430" spans="3:9" ht="18" x14ac:dyDescent="0.25">
      <c r="C430" s="83"/>
      <c r="D430" s="88"/>
      <c r="E430" s="83"/>
      <c r="F430" s="83"/>
      <c r="G430" s="85"/>
      <c r="H430" s="88"/>
      <c r="I430" s="88"/>
    </row>
    <row r="431" spans="3:9" ht="18" x14ac:dyDescent="0.25">
      <c r="C431" s="83"/>
      <c r="D431" s="88"/>
      <c r="E431" s="83"/>
      <c r="F431" s="83"/>
      <c r="G431" s="85"/>
      <c r="H431" s="88"/>
      <c r="I431" s="88"/>
    </row>
    <row r="432" spans="3:9" ht="18" x14ac:dyDescent="0.25">
      <c r="C432" s="83"/>
      <c r="D432" s="88"/>
      <c r="E432" s="83"/>
      <c r="F432" s="83"/>
      <c r="G432" s="89"/>
      <c r="H432" s="83"/>
      <c r="I432" s="83"/>
    </row>
    <row r="433" spans="3:9" ht="10.5" customHeight="1" x14ac:dyDescent="0.25">
      <c r="C433" s="83"/>
      <c r="D433" s="88"/>
      <c r="E433" s="83"/>
      <c r="F433" s="83"/>
      <c r="G433" s="89"/>
      <c r="H433" s="83"/>
      <c r="I433" s="83"/>
    </row>
    <row r="434" spans="3:9" ht="23.25" customHeight="1" x14ac:dyDescent="0.25">
      <c r="C434" s="83" t="str">
        <f>+C419</f>
        <v>LETTIERI PAULA</v>
      </c>
      <c r="D434" s="427"/>
      <c r="E434" s="427"/>
      <c r="F434" s="83" t="str">
        <f>+C434</f>
        <v>LETTIERI PAULA</v>
      </c>
      <c r="G434" s="89"/>
      <c r="H434" s="83"/>
      <c r="I434" s="83"/>
    </row>
    <row r="435" spans="3:9" ht="18" x14ac:dyDescent="0.25">
      <c r="D435" s="88"/>
      <c r="E435" s="83"/>
      <c r="G435" s="427"/>
      <c r="H435" s="427"/>
      <c r="I435" s="427"/>
    </row>
    <row r="436" spans="3:9" ht="18" x14ac:dyDescent="0.25">
      <c r="C436" s="83" t="str">
        <f>+$F$1</f>
        <v>MONTES DE OCA 1068/1070 C.A.B.A.</v>
      </c>
      <c r="D436" s="88"/>
      <c r="E436" s="88" t="str">
        <f>+I419</f>
        <v>Unid. 11</v>
      </c>
      <c r="F436" s="83" t="str">
        <f>+$F$1</f>
        <v>MONTES DE OCA 1068/1070 C.A.B.A.</v>
      </c>
      <c r="G436" s="83"/>
      <c r="H436" s="83"/>
      <c r="I436" s="90" t="str">
        <f>+E436</f>
        <v>Unid. 11</v>
      </c>
    </row>
    <row r="437" spans="3:9" ht="18" x14ac:dyDescent="0.25">
      <c r="E437" s="88" t="str">
        <f>+I437</f>
        <v>5 B</v>
      </c>
      <c r="I437" s="90" t="str">
        <f>+I420</f>
        <v>5 B</v>
      </c>
    </row>
    <row r="438" spans="3:9" ht="18" x14ac:dyDescent="0.25">
      <c r="C438" s="83" t="str">
        <f>+$F$2</f>
        <v>P/Depósito o transferencia en Banco Santander Rio</v>
      </c>
      <c r="D438" s="91"/>
      <c r="E438" s="84"/>
      <c r="F438" s="84"/>
      <c r="G438" s="83"/>
      <c r="H438" s="83"/>
    </row>
    <row r="439" spans="3:9" ht="18" x14ac:dyDescent="0.25">
      <c r="C439" s="83" t="str">
        <f>+$F$3</f>
        <v xml:space="preserve">Cta. Cte. $ N° 558-000162/1 </v>
      </c>
      <c r="D439" s="88"/>
      <c r="E439" s="83"/>
      <c r="F439" s="83"/>
      <c r="G439" s="83"/>
      <c r="H439" s="84"/>
      <c r="I439" s="99"/>
    </row>
    <row r="440" spans="3:9" ht="18" x14ac:dyDescent="0.25">
      <c r="C440" s="83" t="str">
        <f>+$F$4</f>
        <v>CBU: 0720558320000000016218</v>
      </c>
      <c r="D440" s="88"/>
      <c r="E440" s="83"/>
      <c r="F440" s="93"/>
      <c r="G440" s="83"/>
      <c r="H440" s="91"/>
      <c r="I440" s="83"/>
    </row>
    <row r="441" spans="3:9" ht="18" x14ac:dyDescent="0.25">
      <c r="C441" s="83" t="str">
        <f>+$F$5</f>
        <v>CUIT: 30-66148861-8</v>
      </c>
      <c r="D441" s="88"/>
      <c r="E441" s="83"/>
      <c r="F441" s="83" t="s">
        <v>70</v>
      </c>
      <c r="G441" s="102">
        <f>+G423</f>
        <v>196975.99807199999</v>
      </c>
      <c r="I441" s="97">
        <f>+E1</f>
        <v>46183</v>
      </c>
    </row>
    <row r="442" spans="3:9" ht="18" x14ac:dyDescent="0.25">
      <c r="C442" s="273"/>
      <c r="D442" s="88"/>
      <c r="E442" s="83"/>
      <c r="F442" s="83" t="s">
        <v>71</v>
      </c>
      <c r="G442" s="102">
        <f>+G424</f>
        <v>56200.069957499996</v>
      </c>
    </row>
    <row r="443" spans="3:9" ht="18" x14ac:dyDescent="0.25">
      <c r="D443" s="88"/>
      <c r="E443" s="83"/>
      <c r="F443" s="83" t="s">
        <v>72</v>
      </c>
      <c r="G443" s="102">
        <f>+G426</f>
        <v>0</v>
      </c>
      <c r="H443" s="83"/>
      <c r="I443" s="83"/>
    </row>
    <row r="444" spans="3:9" ht="18" x14ac:dyDescent="0.25">
      <c r="C444" s="83"/>
      <c r="D444" s="88"/>
      <c r="E444" s="83"/>
      <c r="F444" s="83" t="s">
        <v>73</v>
      </c>
      <c r="G444" s="102">
        <f>+G427</f>
        <v>0</v>
      </c>
      <c r="H444" s="83"/>
      <c r="I444" s="83"/>
    </row>
    <row r="445" spans="3:9" ht="18" x14ac:dyDescent="0.25">
      <c r="C445" s="93"/>
      <c r="D445" s="93"/>
      <c r="E445" s="93"/>
      <c r="F445" s="83" t="s">
        <v>215</v>
      </c>
      <c r="G445" s="135">
        <f>+G425</f>
        <v>0</v>
      </c>
      <c r="H445" s="83"/>
      <c r="I445" s="83"/>
    </row>
    <row r="446" spans="3:9" ht="18" x14ac:dyDescent="0.25">
      <c r="C446" s="97">
        <f>+$H$43</f>
        <v>46183</v>
      </c>
      <c r="D446" s="157">
        <f>+G428</f>
        <v>253176.06802949999</v>
      </c>
      <c r="E446" s="83"/>
      <c r="F446" s="83" t="s">
        <v>74</v>
      </c>
      <c r="G446" s="102">
        <f>SUM(G441:G445)</f>
        <v>253176.06802949999</v>
      </c>
      <c r="H446" s="83"/>
      <c r="I446" s="83"/>
    </row>
    <row r="447" spans="3:9" ht="18" x14ac:dyDescent="0.25">
      <c r="C447" s="97"/>
      <c r="D447" s="157"/>
      <c r="E447" s="83"/>
      <c r="F447" s="83"/>
      <c r="G447" s="94"/>
      <c r="H447" s="83"/>
      <c r="I447" s="83"/>
    </row>
    <row r="448" spans="3:9" ht="18" x14ac:dyDescent="0.25">
      <c r="C448" s="97"/>
      <c r="D448" s="157"/>
      <c r="E448" s="83"/>
      <c r="F448" s="83"/>
      <c r="G448" s="94"/>
      <c r="H448" s="83"/>
      <c r="I448" s="83"/>
    </row>
    <row r="449" spans="3:9" ht="18" x14ac:dyDescent="0.25">
      <c r="C449" s="83"/>
      <c r="D449" s="88"/>
      <c r="E449" s="83"/>
      <c r="F449" s="100"/>
      <c r="G449" s="83"/>
      <c r="H449" s="83"/>
      <c r="I449" s="83"/>
    </row>
    <row r="450" spans="3:9" ht="18" x14ac:dyDescent="0.25">
      <c r="C450" s="83"/>
      <c r="D450" s="88"/>
      <c r="E450" s="83"/>
      <c r="G450" s="83"/>
      <c r="H450" s="83"/>
      <c r="I450" s="83"/>
    </row>
    <row r="451" spans="3:9" ht="18" x14ac:dyDescent="0.25">
      <c r="C451" s="83"/>
      <c r="D451" s="88"/>
      <c r="E451" s="83"/>
      <c r="F451" s="83"/>
      <c r="G451" s="83"/>
      <c r="H451" s="83"/>
      <c r="I451" s="83"/>
    </row>
    <row r="452" spans="3:9" ht="18" x14ac:dyDescent="0.25">
      <c r="C452" s="83"/>
      <c r="D452" s="88"/>
      <c r="E452" s="83"/>
      <c r="F452" s="83"/>
      <c r="G452" s="83"/>
      <c r="H452" s="425"/>
      <c r="I452" s="425"/>
    </row>
    <row r="453" spans="3:9" ht="18" x14ac:dyDescent="0.25">
      <c r="C453" s="83"/>
      <c r="D453" s="88"/>
      <c r="E453" s="83"/>
      <c r="F453" s="83"/>
      <c r="G453" s="83"/>
      <c r="H453" s="83"/>
      <c r="I453" s="83"/>
    </row>
    <row r="454" spans="3:9" ht="18" x14ac:dyDescent="0.25">
      <c r="C454" s="83"/>
      <c r="D454" s="88"/>
      <c r="E454" s="83"/>
      <c r="F454" s="83"/>
      <c r="G454" s="83"/>
      <c r="H454" s="83"/>
      <c r="I454" s="83"/>
    </row>
    <row r="455" spans="3:9" ht="18" x14ac:dyDescent="0.25">
      <c r="C455" s="424"/>
      <c r="D455" s="424"/>
      <c r="E455" s="424"/>
      <c r="F455" s="83"/>
      <c r="G455" s="83"/>
      <c r="I455" s="83"/>
    </row>
    <row r="456" spans="3:9" ht="18" x14ac:dyDescent="0.25">
      <c r="C456" s="424"/>
      <c r="D456" s="424"/>
      <c r="E456" s="424"/>
      <c r="F456" s="96">
        <f>+$C$1</f>
        <v>46143</v>
      </c>
      <c r="G456" s="83"/>
      <c r="H456" s="97">
        <f>+$E$1</f>
        <v>46183</v>
      </c>
      <c r="I456" s="95"/>
    </row>
    <row r="457" spans="3:9" ht="18" x14ac:dyDescent="0.25">
      <c r="C457" s="82"/>
      <c r="D457" s="82"/>
      <c r="E457" s="98"/>
      <c r="F457" s="96"/>
      <c r="G457" s="83"/>
    </row>
    <row r="458" spans="3:9" ht="27" customHeight="1" x14ac:dyDescent="0.25">
      <c r="C458" s="83" t="str">
        <f>+C13</f>
        <v>RODRIGUEZ GERMAN</v>
      </c>
      <c r="D458" s="88"/>
      <c r="E458" s="83"/>
      <c r="F458" s="83" t="str">
        <f>+$F$1</f>
        <v>MONTES DE OCA 1068/1070 C.A.B.A.</v>
      </c>
      <c r="G458" s="83"/>
    </row>
    <row r="459" spans="3:9" ht="20.25" customHeight="1" x14ac:dyDescent="0.25">
      <c r="G459" s="83"/>
      <c r="I459" s="90" t="s">
        <v>86</v>
      </c>
    </row>
    <row r="460" spans="3:9" ht="18" x14ac:dyDescent="0.25">
      <c r="C460" s="84"/>
      <c r="D460" s="88"/>
      <c r="E460" s="83"/>
      <c r="G460" s="83"/>
      <c r="H460" s="84"/>
      <c r="I460" s="90" t="str">
        <f>+'RES CUENTA'!B26</f>
        <v>6 A</v>
      </c>
    </row>
    <row r="461" spans="3:9" ht="18" x14ac:dyDescent="0.25">
      <c r="C461" s="83"/>
      <c r="D461" s="88"/>
      <c r="E461" s="83"/>
      <c r="F461" s="84"/>
      <c r="G461" s="83"/>
      <c r="H461" s="83"/>
      <c r="I461" s="84"/>
    </row>
    <row r="462" spans="3:9" ht="12.75" customHeight="1" x14ac:dyDescent="0.25">
      <c r="C462" s="91"/>
      <c r="D462" s="88"/>
      <c r="E462" s="91"/>
      <c r="F462" s="83"/>
      <c r="G462" s="83"/>
      <c r="H462" s="83"/>
      <c r="I462" s="83"/>
    </row>
    <row r="463" spans="3:9" ht="18" x14ac:dyDescent="0.25">
      <c r="C463" s="83" t="s">
        <v>68</v>
      </c>
      <c r="D463" s="88"/>
      <c r="E463" s="103">
        <f>+'RES CUENTA'!G36</f>
        <v>4623849.72</v>
      </c>
      <c r="F463" s="104">
        <f>+'RES CUENTA'!F26</f>
        <v>5.52</v>
      </c>
      <c r="G463" s="101">
        <f>+E463*F463/100</f>
        <v>255236.50454399997</v>
      </c>
      <c r="H463" s="83"/>
      <c r="I463" s="91"/>
    </row>
    <row r="464" spans="3:9" ht="18" x14ac:dyDescent="0.25">
      <c r="C464" s="83" t="s">
        <v>69</v>
      </c>
      <c r="D464" s="88"/>
      <c r="E464" s="103">
        <f>+'RES CUENTA'!J36</f>
        <v>1180425.75</v>
      </c>
      <c r="F464" s="104">
        <f>+'RES CUENTA'!H26</f>
        <v>6.1689999999999996</v>
      </c>
      <c r="G464" s="101">
        <f>+E464*F464/100</f>
        <v>72820.46451749999</v>
      </c>
      <c r="H464" s="91"/>
      <c r="I464" s="87"/>
    </row>
    <row r="465" spans="3:9" ht="18" x14ac:dyDescent="0.25">
      <c r="C465" s="83" t="s">
        <v>215</v>
      </c>
      <c r="D465" s="88"/>
      <c r="E465" s="103">
        <f>+'RES CUENTA'!K26</f>
        <v>0</v>
      </c>
      <c r="F465" s="104">
        <v>0</v>
      </c>
      <c r="G465" s="101">
        <f>+E465</f>
        <v>0</v>
      </c>
      <c r="H465" s="87"/>
      <c r="I465" s="87"/>
    </row>
    <row r="466" spans="3:9" ht="18" x14ac:dyDescent="0.25">
      <c r="C466" s="83" t="s">
        <v>181</v>
      </c>
      <c r="D466" s="88"/>
      <c r="E466" s="103">
        <v>0</v>
      </c>
      <c r="F466" s="104">
        <v>0</v>
      </c>
      <c r="G466" s="101">
        <f>+'RES CUENTA'!M26</f>
        <v>0</v>
      </c>
      <c r="H466" s="87"/>
      <c r="I466" s="87"/>
    </row>
    <row r="467" spans="3:9" ht="18" x14ac:dyDescent="0.25">
      <c r="C467" s="83" t="s">
        <v>289</v>
      </c>
      <c r="D467" s="88"/>
      <c r="E467" s="103">
        <v>0</v>
      </c>
      <c r="F467" s="104">
        <v>0</v>
      </c>
      <c r="G467" s="134">
        <f>+'RES CUENTA'!N26</f>
        <v>0</v>
      </c>
      <c r="H467" s="87"/>
      <c r="I467" s="87"/>
    </row>
    <row r="468" spans="3:9" ht="18" x14ac:dyDescent="0.25">
      <c r="C468" s="84"/>
      <c r="D468" s="88"/>
      <c r="E468" s="83"/>
      <c r="G468" s="101">
        <f>SUM(G463:G467)</f>
        <v>328056.96906149993</v>
      </c>
      <c r="H468" s="87"/>
      <c r="I468" s="88"/>
    </row>
    <row r="469" spans="3:9" ht="18" x14ac:dyDescent="0.25">
      <c r="C469" s="83"/>
      <c r="D469" s="88"/>
      <c r="E469" s="83"/>
      <c r="F469" s="83"/>
      <c r="G469" s="89"/>
      <c r="H469" s="88"/>
      <c r="I469" s="88"/>
    </row>
    <row r="470" spans="3:9" ht="18.75" customHeight="1" x14ac:dyDescent="0.25">
      <c r="C470" s="83"/>
      <c r="D470" s="88"/>
      <c r="E470" s="83"/>
      <c r="F470" s="83"/>
      <c r="G470" s="89"/>
      <c r="H470" s="88"/>
      <c r="I470" s="88"/>
    </row>
    <row r="471" spans="3:9" ht="18.75" customHeight="1" x14ac:dyDescent="0.25">
      <c r="C471" s="83"/>
      <c r="D471" s="88"/>
      <c r="E471" s="83"/>
      <c r="F471" s="83"/>
      <c r="G471" s="89"/>
      <c r="H471" s="88"/>
      <c r="I471" s="88"/>
    </row>
    <row r="472" spans="3:9" ht="26.25" customHeight="1" x14ac:dyDescent="0.25">
      <c r="C472" s="83" t="str">
        <f>+C458</f>
        <v>RODRIGUEZ GERMAN</v>
      </c>
      <c r="D472" s="88"/>
      <c r="E472" s="83"/>
      <c r="F472" s="83" t="str">
        <f>+C458</f>
        <v>RODRIGUEZ GERMAN</v>
      </c>
      <c r="G472" s="83"/>
      <c r="H472" s="83"/>
      <c r="I472" s="99"/>
    </row>
    <row r="473" spans="3:9" ht="18" x14ac:dyDescent="0.25">
      <c r="C473" s="84"/>
      <c r="D473" s="88"/>
      <c r="E473" s="83"/>
      <c r="G473" s="83"/>
      <c r="H473" s="99"/>
      <c r="I473" s="90" t="str">
        <f>+I459</f>
        <v>Unid. 12</v>
      </c>
    </row>
    <row r="474" spans="3:9" ht="18" x14ac:dyDescent="0.25">
      <c r="C474" s="83" t="str">
        <f>+$F$1</f>
        <v>MONTES DE OCA 1068/1070 C.A.B.A.</v>
      </c>
      <c r="D474" s="88"/>
      <c r="E474" s="88" t="str">
        <f>+I473</f>
        <v>Unid. 12</v>
      </c>
      <c r="F474" s="83" t="str">
        <f>+$F$1</f>
        <v>MONTES DE OCA 1068/1070 C.A.B.A.</v>
      </c>
      <c r="G474" s="83"/>
      <c r="H474" s="83"/>
      <c r="I474" s="90" t="str">
        <f>+I460</f>
        <v>6 A</v>
      </c>
    </row>
    <row r="475" spans="3:9" ht="18" x14ac:dyDescent="0.25">
      <c r="C475" s="84"/>
      <c r="D475" s="91"/>
      <c r="E475" s="88" t="str">
        <f>+I474</f>
        <v>6 A</v>
      </c>
      <c r="G475" s="83"/>
      <c r="H475" s="83"/>
    </row>
    <row r="476" spans="3:9" ht="15" customHeight="1" x14ac:dyDescent="0.25">
      <c r="C476" s="83" t="str">
        <f>+$F$2</f>
        <v>P/Depósito o transferencia en Banco Santander Rio</v>
      </c>
      <c r="D476" s="88"/>
      <c r="E476" s="83"/>
      <c r="F476" s="84"/>
      <c r="G476" s="83"/>
      <c r="H476" s="83"/>
      <c r="I476" s="99"/>
    </row>
    <row r="477" spans="3:9" ht="18" x14ac:dyDescent="0.25">
      <c r="C477" s="83" t="str">
        <f>+$F$3</f>
        <v xml:space="preserve">Cta. Cte. $ N° 558-000162/1 </v>
      </c>
      <c r="D477" s="88"/>
      <c r="E477" s="83"/>
      <c r="F477" s="83"/>
      <c r="G477" s="128"/>
      <c r="H477" s="84"/>
      <c r="I477" s="83"/>
    </row>
    <row r="478" spans="3:9" ht="18" x14ac:dyDescent="0.25">
      <c r="C478" s="83" t="str">
        <f>+$F$4</f>
        <v>CBU: 0720558320000000016218</v>
      </c>
      <c r="D478" s="88"/>
      <c r="E478" s="83"/>
      <c r="F478" s="93"/>
      <c r="H478" s="91"/>
      <c r="I478" s="92"/>
    </row>
    <row r="479" spans="3:9" ht="18" x14ac:dyDescent="0.25">
      <c r="C479" s="83" t="str">
        <f>+$F$5</f>
        <v>CUIT: 30-66148861-8</v>
      </c>
      <c r="D479" s="88"/>
      <c r="E479" s="83"/>
      <c r="F479" s="83" t="s">
        <v>70</v>
      </c>
      <c r="G479" s="102">
        <f>+G463</f>
        <v>255236.50454399997</v>
      </c>
      <c r="H479" s="92"/>
      <c r="I479" s="97">
        <f>+E1</f>
        <v>46183</v>
      </c>
    </row>
    <row r="480" spans="3:9" ht="18" x14ac:dyDescent="0.25">
      <c r="D480" s="88"/>
      <c r="E480" s="83"/>
      <c r="F480" s="83" t="s">
        <v>71</v>
      </c>
      <c r="G480" s="102">
        <f>+G464</f>
        <v>72820.46451749999</v>
      </c>
      <c r="I480" s="83"/>
    </row>
    <row r="481" spans="3:9" ht="18" x14ac:dyDescent="0.25">
      <c r="C481" s="83"/>
      <c r="D481" s="88"/>
      <c r="E481" s="83"/>
      <c r="F481" s="83" t="s">
        <v>72</v>
      </c>
      <c r="G481" s="102">
        <f>+G466</f>
        <v>0</v>
      </c>
      <c r="H481" s="83"/>
      <c r="I481" s="83"/>
    </row>
    <row r="482" spans="3:9" ht="18" x14ac:dyDescent="0.25">
      <c r="C482" s="93"/>
      <c r="D482" s="93"/>
      <c r="E482" s="93"/>
      <c r="F482" s="83" t="s">
        <v>73</v>
      </c>
      <c r="G482" s="102">
        <f>+G467</f>
        <v>0</v>
      </c>
      <c r="H482" s="83"/>
      <c r="I482" s="83"/>
    </row>
    <row r="483" spans="3:9" ht="18" x14ac:dyDescent="0.25">
      <c r="E483" s="83"/>
      <c r="F483" s="83" t="s">
        <v>215</v>
      </c>
      <c r="G483" s="135">
        <f>+G465</f>
        <v>0</v>
      </c>
      <c r="H483" s="83"/>
      <c r="I483" s="83"/>
    </row>
    <row r="484" spans="3:9" ht="18" x14ac:dyDescent="0.25">
      <c r="C484" s="97">
        <f>+$H$43</f>
        <v>46183</v>
      </c>
      <c r="D484" s="157">
        <f>+G468</f>
        <v>328056.96906149993</v>
      </c>
      <c r="E484" s="83"/>
      <c r="F484" s="83" t="s">
        <v>74</v>
      </c>
      <c r="G484" s="102">
        <f>SUM(G479:G483)</f>
        <v>328056.96906149993</v>
      </c>
      <c r="H484" s="83"/>
      <c r="I484" s="83"/>
    </row>
    <row r="485" spans="3:9" ht="18" x14ac:dyDescent="0.25">
      <c r="C485" s="83"/>
      <c r="D485" s="88"/>
      <c r="E485" s="83"/>
      <c r="F485" s="83"/>
      <c r="G485" s="83"/>
      <c r="H485" s="83"/>
      <c r="I485" s="83"/>
    </row>
    <row r="486" spans="3:9" ht="18" x14ac:dyDescent="0.25">
      <c r="C486" s="83"/>
      <c r="D486" s="88"/>
      <c r="E486" s="83"/>
      <c r="F486" s="100"/>
      <c r="G486" s="83"/>
      <c r="H486" s="83"/>
      <c r="I486" s="83"/>
    </row>
    <row r="487" spans="3:9" ht="18" x14ac:dyDescent="0.25">
      <c r="C487" s="83"/>
      <c r="D487" s="88"/>
      <c r="E487" s="83"/>
      <c r="F487" s="83"/>
      <c r="G487" s="83"/>
      <c r="H487" s="83"/>
      <c r="I487" s="91"/>
    </row>
    <row r="488" spans="3:9" ht="9.75" customHeight="1" x14ac:dyDescent="0.25">
      <c r="F488" s="83"/>
      <c r="H488" s="91"/>
      <c r="I488" s="83"/>
    </row>
    <row r="489" spans="3:9" ht="12.75" customHeight="1" x14ac:dyDescent="0.2"/>
    <row r="490" spans="3:9" ht="18" x14ac:dyDescent="0.25">
      <c r="C490" s="424"/>
      <c r="D490" s="424"/>
      <c r="E490" s="424"/>
      <c r="F490" s="433">
        <f>+$C$1</f>
        <v>46143</v>
      </c>
      <c r="G490" s="83"/>
      <c r="H490" s="429">
        <f>+$E$1</f>
        <v>46183</v>
      </c>
      <c r="I490" s="83"/>
    </row>
    <row r="491" spans="3:9" ht="18" x14ac:dyDescent="0.25">
      <c r="C491" s="82"/>
      <c r="D491" s="82"/>
      <c r="E491" s="98"/>
      <c r="F491" s="433"/>
      <c r="G491" s="83"/>
      <c r="H491" s="429"/>
      <c r="I491" s="83"/>
    </row>
    <row r="492" spans="3:9" ht="18" x14ac:dyDescent="0.25">
      <c r="C492" s="83"/>
      <c r="D492" s="88"/>
      <c r="E492" s="83"/>
      <c r="F492" s="84"/>
      <c r="G492" s="83"/>
      <c r="H492" s="84"/>
      <c r="I492" s="83"/>
    </row>
    <row r="493" spans="3:9" ht="24" customHeight="1" x14ac:dyDescent="0.25">
      <c r="D493" s="88"/>
      <c r="E493" s="83"/>
      <c r="F493" s="84"/>
      <c r="G493" s="83"/>
      <c r="H493" s="84"/>
      <c r="I493" s="83"/>
    </row>
    <row r="494" spans="3:9" ht="18" x14ac:dyDescent="0.25">
      <c r="C494" s="83" t="str">
        <f>+C14</f>
        <v>DEGROSSI HERNAN</v>
      </c>
      <c r="D494" s="88"/>
      <c r="E494" s="83"/>
      <c r="F494" s="83" t="s">
        <v>293</v>
      </c>
      <c r="G494" s="83"/>
      <c r="H494" s="83"/>
      <c r="I494" s="90" t="s">
        <v>87</v>
      </c>
    </row>
    <row r="495" spans="3:9" ht="18" x14ac:dyDescent="0.25">
      <c r="C495" s="83"/>
      <c r="D495" s="88"/>
      <c r="E495" s="83"/>
      <c r="F495" s="84"/>
      <c r="G495" s="83"/>
      <c r="H495" s="83"/>
      <c r="I495" s="90" t="str">
        <f>+'RES CUENTA'!B27</f>
        <v>6 B</v>
      </c>
    </row>
    <row r="496" spans="3:9" ht="18" x14ac:dyDescent="0.25">
      <c r="C496" s="91"/>
      <c r="D496" s="88"/>
      <c r="E496" s="91"/>
      <c r="F496" s="83"/>
      <c r="G496" s="83"/>
      <c r="H496" s="83"/>
      <c r="I496" s="83"/>
    </row>
    <row r="497" spans="3:9" ht="12" customHeight="1" x14ac:dyDescent="0.25">
      <c r="C497" s="91"/>
      <c r="D497" s="88"/>
      <c r="E497" s="91"/>
      <c r="F497" s="83"/>
      <c r="G497" s="83"/>
      <c r="H497" s="83"/>
      <c r="I497" s="83"/>
    </row>
    <row r="498" spans="3:9" ht="18" x14ac:dyDescent="0.25">
      <c r="C498" s="83" t="s">
        <v>68</v>
      </c>
      <c r="D498" s="88"/>
      <c r="E498" s="103">
        <f>+'RES CUENTA'!G36</f>
        <v>4623849.72</v>
      </c>
      <c r="F498" s="104">
        <f>+'RES CUENTA'!F27</f>
        <v>4.22</v>
      </c>
      <c r="G498" s="101">
        <f>+E498*F498/100</f>
        <v>195126.45818399999</v>
      </c>
      <c r="H498" s="425"/>
      <c r="I498" s="425"/>
    </row>
    <row r="499" spans="3:9" ht="18" x14ac:dyDescent="0.25">
      <c r="C499" s="83" t="s">
        <v>69</v>
      </c>
      <c r="D499" s="88"/>
      <c r="E499" s="103">
        <f>+'RES CUENTA'!J36</f>
        <v>1180425.75</v>
      </c>
      <c r="F499" s="104">
        <f>+'RES CUENTA'!H27</f>
        <v>4.7160000000000002</v>
      </c>
      <c r="G499" s="101">
        <f>+E499*F499/100</f>
        <v>55668.878370000006</v>
      </c>
      <c r="H499" s="430"/>
      <c r="I499" s="430"/>
    </row>
    <row r="500" spans="3:9" ht="18" x14ac:dyDescent="0.25">
      <c r="C500" s="83" t="s">
        <v>215</v>
      </c>
      <c r="D500" s="88"/>
      <c r="E500" s="103">
        <f>+'RES CUENTA'!K27</f>
        <v>0</v>
      </c>
      <c r="F500" s="104">
        <v>0</v>
      </c>
      <c r="G500" s="101">
        <f>+E500</f>
        <v>0</v>
      </c>
      <c r="H500" s="430"/>
      <c r="I500" s="430"/>
    </row>
    <row r="501" spans="3:9" ht="18" x14ac:dyDescent="0.25">
      <c r="C501" s="83" t="s">
        <v>181</v>
      </c>
      <c r="D501" s="88"/>
      <c r="E501" s="103">
        <v>0</v>
      </c>
      <c r="F501" s="104">
        <v>0</v>
      </c>
      <c r="G501" s="101">
        <f>+'RES CUENTA'!M27</f>
        <v>-461</v>
      </c>
      <c r="H501" s="430"/>
      <c r="I501" s="430"/>
    </row>
    <row r="502" spans="3:9" ht="18" x14ac:dyDescent="0.25">
      <c r="C502" s="83" t="s">
        <v>289</v>
      </c>
      <c r="D502" s="88"/>
      <c r="E502" s="103">
        <v>0</v>
      </c>
      <c r="F502" s="104">
        <v>0</v>
      </c>
      <c r="G502" s="134">
        <f>+'RES CUENTA'!N27</f>
        <v>0</v>
      </c>
      <c r="H502" s="430"/>
      <c r="I502" s="430"/>
    </row>
    <row r="503" spans="3:9" ht="18" x14ac:dyDescent="0.25">
      <c r="C503" s="84"/>
      <c r="D503" s="88"/>
      <c r="E503" s="83"/>
      <c r="F503" s="89"/>
      <c r="G503" s="101">
        <f>SUM(G498:G502)</f>
        <v>250334.33655399998</v>
      </c>
      <c r="H503" s="432"/>
      <c r="I503" s="432"/>
    </row>
    <row r="504" spans="3:9" ht="18" x14ac:dyDescent="0.25">
      <c r="C504" s="84"/>
      <c r="D504" s="88"/>
      <c r="E504" s="83"/>
      <c r="F504" s="83"/>
      <c r="H504" s="88"/>
      <c r="I504" s="88"/>
    </row>
    <row r="505" spans="3:9" ht="18" x14ac:dyDescent="0.25">
      <c r="C505" s="84"/>
      <c r="D505" s="88"/>
      <c r="E505" s="83"/>
      <c r="F505" s="83"/>
      <c r="H505" s="88"/>
      <c r="I505" s="88"/>
    </row>
    <row r="506" spans="3:9" ht="18" x14ac:dyDescent="0.25">
      <c r="C506" s="83"/>
      <c r="D506" s="88"/>
      <c r="E506" s="83"/>
      <c r="F506" s="83"/>
      <c r="G506" s="85"/>
      <c r="H506" s="88"/>
      <c r="I506" s="88"/>
    </row>
    <row r="507" spans="3:9" ht="18" x14ac:dyDescent="0.25">
      <c r="C507" s="83"/>
      <c r="D507" s="88"/>
      <c r="E507" s="83"/>
      <c r="F507" s="83"/>
      <c r="G507" s="89"/>
      <c r="H507" s="83"/>
      <c r="I507" s="83"/>
    </row>
    <row r="508" spans="3:9" ht="15" customHeight="1" x14ac:dyDescent="0.25">
      <c r="C508" s="83"/>
      <c r="D508" s="88"/>
      <c r="E508" s="83"/>
      <c r="F508" s="83"/>
      <c r="G508" s="89"/>
      <c r="H508" s="83"/>
      <c r="I508" s="83"/>
    </row>
    <row r="509" spans="3:9" ht="18" x14ac:dyDescent="0.25">
      <c r="C509" s="83" t="str">
        <f>+C494</f>
        <v>DEGROSSI HERNAN</v>
      </c>
      <c r="D509" s="427"/>
      <c r="E509" s="427"/>
      <c r="F509" s="83" t="str">
        <f>+C509</f>
        <v>DEGROSSI HERNAN</v>
      </c>
      <c r="G509" s="89"/>
      <c r="H509" s="83"/>
      <c r="I509" s="83"/>
    </row>
    <row r="510" spans="3:9" ht="18" x14ac:dyDescent="0.25">
      <c r="D510" s="88"/>
      <c r="E510" s="83"/>
      <c r="G510" s="427"/>
      <c r="H510" s="427"/>
      <c r="I510" s="427"/>
    </row>
    <row r="511" spans="3:9" ht="18" x14ac:dyDescent="0.25">
      <c r="C511" s="83" t="str">
        <f>+$F$1</f>
        <v>MONTES DE OCA 1068/1070 C.A.B.A.</v>
      </c>
      <c r="D511" s="88"/>
      <c r="E511" s="88" t="str">
        <f>+I494</f>
        <v>Unid. 13</v>
      </c>
      <c r="F511" s="83" t="str">
        <f>+$F$1</f>
        <v>MONTES DE OCA 1068/1070 C.A.B.A.</v>
      </c>
      <c r="G511" s="83"/>
      <c r="H511" s="83"/>
      <c r="I511" s="90" t="str">
        <f>+E511</f>
        <v>Unid. 13</v>
      </c>
    </row>
    <row r="512" spans="3:9" ht="18" x14ac:dyDescent="0.25">
      <c r="E512" s="88" t="str">
        <f>+I512</f>
        <v>6 B</v>
      </c>
      <c r="I512" s="90" t="str">
        <f>+I495</f>
        <v>6 B</v>
      </c>
    </row>
    <row r="513" spans="3:9" ht="18" customHeight="1" x14ac:dyDescent="0.25">
      <c r="C513" s="83" t="str">
        <f>+$F$2</f>
        <v>P/Depósito o transferencia en Banco Santander Rio</v>
      </c>
      <c r="D513" s="91"/>
      <c r="E513" s="84"/>
      <c r="F513" s="84"/>
      <c r="G513" s="83"/>
      <c r="H513" s="83"/>
    </row>
    <row r="514" spans="3:9" ht="18" x14ac:dyDescent="0.25">
      <c r="C514" s="83" t="str">
        <f>+$F$3</f>
        <v xml:space="preserve">Cta. Cte. $ N° 558-000162/1 </v>
      </c>
      <c r="D514" s="88"/>
      <c r="E514" s="83"/>
      <c r="F514" s="83"/>
      <c r="G514" s="83"/>
      <c r="H514" s="84"/>
      <c r="I514" s="99"/>
    </row>
    <row r="515" spans="3:9" ht="18" x14ac:dyDescent="0.25">
      <c r="C515" s="83" t="str">
        <f>+$F$4</f>
        <v>CBU: 0720558320000000016218</v>
      </c>
      <c r="D515" s="88"/>
      <c r="E515" s="83"/>
      <c r="F515" s="93"/>
      <c r="G515" s="83"/>
      <c r="H515" s="91"/>
      <c r="I515" s="83"/>
    </row>
    <row r="516" spans="3:9" ht="18" x14ac:dyDescent="0.25">
      <c r="C516" s="83" t="str">
        <f>+$F$5</f>
        <v>CUIT: 30-66148861-8</v>
      </c>
      <c r="D516" s="88"/>
      <c r="E516" s="83"/>
      <c r="F516" s="83" t="s">
        <v>70</v>
      </c>
      <c r="G516" s="102">
        <f>+G498</f>
        <v>195126.45818399999</v>
      </c>
      <c r="I516" s="97">
        <f>+C521</f>
        <v>46183</v>
      </c>
    </row>
    <row r="517" spans="3:9" ht="18" x14ac:dyDescent="0.25">
      <c r="C517" s="273"/>
      <c r="D517" s="88"/>
      <c r="E517" s="83"/>
      <c r="F517" s="83" t="s">
        <v>71</v>
      </c>
      <c r="G517" s="102">
        <f>+G499</f>
        <v>55668.878370000006</v>
      </c>
    </row>
    <row r="518" spans="3:9" ht="18" x14ac:dyDescent="0.25">
      <c r="D518" s="88"/>
      <c r="E518" s="83"/>
      <c r="F518" s="83" t="s">
        <v>72</v>
      </c>
      <c r="G518" s="102">
        <f>+G501</f>
        <v>-461</v>
      </c>
      <c r="H518" s="83"/>
      <c r="I518" s="83"/>
    </row>
    <row r="519" spans="3:9" ht="18" x14ac:dyDescent="0.25">
      <c r="C519" s="83"/>
      <c r="D519" s="88"/>
      <c r="E519" s="83"/>
      <c r="F519" s="83" t="s">
        <v>73</v>
      </c>
      <c r="G519" s="102">
        <f>+G502</f>
        <v>0</v>
      </c>
      <c r="H519" s="83"/>
      <c r="I519" s="83"/>
    </row>
    <row r="520" spans="3:9" ht="18" x14ac:dyDescent="0.25">
      <c r="C520" s="93"/>
      <c r="D520" s="93"/>
      <c r="E520" s="93"/>
      <c r="F520" s="83" t="s">
        <v>215</v>
      </c>
      <c r="G520" s="135">
        <f>+G500</f>
        <v>0</v>
      </c>
      <c r="H520" s="83"/>
      <c r="I520" s="83"/>
    </row>
    <row r="521" spans="3:9" ht="18" x14ac:dyDescent="0.25">
      <c r="C521" s="97">
        <f>+$H$43</f>
        <v>46183</v>
      </c>
      <c r="D521" s="157">
        <f>+G503</f>
        <v>250334.33655399998</v>
      </c>
      <c r="E521" s="83"/>
      <c r="F521" s="83" t="s">
        <v>74</v>
      </c>
      <c r="G521" s="102">
        <f>+G503</f>
        <v>250334.33655399998</v>
      </c>
      <c r="H521" s="83"/>
      <c r="I521" s="83"/>
    </row>
    <row r="522" spans="3:9" ht="18" x14ac:dyDescent="0.25">
      <c r="C522" s="83"/>
      <c r="D522" s="88"/>
      <c r="E522" s="83"/>
      <c r="F522" s="100"/>
      <c r="G522" s="83"/>
      <c r="H522" s="83"/>
      <c r="I522" s="83"/>
    </row>
    <row r="523" spans="3:9" ht="18" x14ac:dyDescent="0.25">
      <c r="C523" s="83"/>
      <c r="D523" s="88"/>
      <c r="E523" s="83"/>
      <c r="G523" s="83"/>
      <c r="H523" s="83"/>
      <c r="I523" s="83"/>
    </row>
    <row r="524" spans="3:9" ht="18" x14ac:dyDescent="0.25">
      <c r="C524" s="83"/>
      <c r="D524" s="88"/>
      <c r="E524" s="83"/>
      <c r="F524" s="83"/>
      <c r="G524" s="83"/>
      <c r="H524" s="83"/>
      <c r="I524" s="83"/>
    </row>
    <row r="525" spans="3:9" ht="18" x14ac:dyDescent="0.25">
      <c r="C525" s="83"/>
      <c r="D525" s="88"/>
      <c r="E525" s="83"/>
      <c r="F525" s="83"/>
      <c r="G525" s="83"/>
      <c r="H525" s="83"/>
      <c r="I525" s="83"/>
    </row>
    <row r="526" spans="3:9" ht="18" x14ac:dyDescent="0.25">
      <c r="C526" s="83"/>
      <c r="D526" s="88"/>
      <c r="E526" s="83"/>
      <c r="F526" s="83"/>
      <c r="G526" s="83"/>
      <c r="H526" s="83"/>
      <c r="I526" s="83"/>
    </row>
    <row r="527" spans="3:9" ht="18" x14ac:dyDescent="0.25">
      <c r="C527" s="83"/>
      <c r="D527" s="88"/>
      <c r="E527" s="83"/>
      <c r="F527" s="83"/>
      <c r="G527" s="83"/>
      <c r="H527" s="425"/>
      <c r="I527" s="425"/>
    </row>
    <row r="528" spans="3:9" ht="18" x14ac:dyDescent="0.25">
      <c r="C528" s="83"/>
      <c r="D528" s="88"/>
      <c r="E528" s="83"/>
      <c r="F528" s="83"/>
      <c r="G528" s="83"/>
      <c r="H528" s="83"/>
      <c r="I528" s="83"/>
    </row>
    <row r="529" spans="3:9" ht="18" x14ac:dyDescent="0.25">
      <c r="C529" s="83"/>
      <c r="D529" s="88"/>
      <c r="E529" s="83"/>
      <c r="F529" s="83"/>
      <c r="G529" s="83"/>
      <c r="H529" s="83"/>
      <c r="I529" s="83"/>
    </row>
    <row r="530" spans="3:9" ht="18" x14ac:dyDescent="0.25">
      <c r="C530" s="424"/>
      <c r="D530" s="424"/>
      <c r="E530" s="424"/>
      <c r="F530" s="83"/>
      <c r="G530" s="83"/>
      <c r="I530" s="83"/>
    </row>
    <row r="531" spans="3:9" ht="18" x14ac:dyDescent="0.25">
      <c r="C531" s="424"/>
      <c r="D531" s="424"/>
      <c r="E531" s="424"/>
      <c r="F531" s="96">
        <f>+$C$1</f>
        <v>46143</v>
      </c>
      <c r="G531" s="83"/>
      <c r="H531" s="97">
        <f>+$E$1</f>
        <v>46183</v>
      </c>
      <c r="I531" s="95"/>
    </row>
    <row r="532" spans="3:9" ht="18" x14ac:dyDescent="0.25">
      <c r="C532" s="82"/>
      <c r="D532" s="82"/>
      <c r="E532" s="98"/>
      <c r="F532" s="96"/>
      <c r="G532" s="83"/>
    </row>
    <row r="533" spans="3:9" ht="21.75" customHeight="1" x14ac:dyDescent="0.25">
      <c r="D533" s="88"/>
      <c r="E533" s="83"/>
      <c r="G533" s="83"/>
    </row>
    <row r="534" spans="3:9" ht="18" x14ac:dyDescent="0.25">
      <c r="D534" s="88"/>
      <c r="E534" s="83"/>
      <c r="F534" s="83" t="str">
        <f>+$F$1</f>
        <v>MONTES DE OCA 1068/1070 C.A.B.A.</v>
      </c>
      <c r="G534" s="83"/>
      <c r="I534" s="90" t="s">
        <v>88</v>
      </c>
    </row>
    <row r="535" spans="3:9" ht="18" x14ac:dyDescent="0.25">
      <c r="C535" s="83" t="str">
        <f>+C15</f>
        <v>FERNANDEZ MANUEL</v>
      </c>
      <c r="D535" s="88"/>
      <c r="E535" s="83"/>
      <c r="G535" s="83"/>
      <c r="H535" s="84"/>
      <c r="I535" s="90" t="str">
        <f>+'RES CUENTA'!B28</f>
        <v>7 A</v>
      </c>
    </row>
    <row r="536" spans="3:9" ht="18" x14ac:dyDescent="0.25">
      <c r="C536" s="83"/>
      <c r="D536" s="88"/>
      <c r="E536" s="83"/>
      <c r="F536" s="84"/>
      <c r="G536" s="83"/>
      <c r="H536" s="83"/>
      <c r="I536" s="84"/>
    </row>
    <row r="537" spans="3:9" ht="18" x14ac:dyDescent="0.25">
      <c r="C537" s="91"/>
      <c r="D537" s="88"/>
      <c r="E537" s="91"/>
      <c r="F537" s="83"/>
      <c r="G537" s="83"/>
      <c r="H537" s="83"/>
      <c r="I537" s="83"/>
    </row>
    <row r="538" spans="3:9" ht="18" x14ac:dyDescent="0.25">
      <c r="C538" s="83" t="s">
        <v>68</v>
      </c>
      <c r="D538" s="88"/>
      <c r="E538" s="103">
        <f>+'RES CUENTA'!G36</f>
        <v>4623849.72</v>
      </c>
      <c r="F538" s="104">
        <f>+'RES CUENTA'!F28</f>
        <v>5.52</v>
      </c>
      <c r="G538" s="101">
        <f>+E538*F538/100</f>
        <v>255236.50454399997</v>
      </c>
      <c r="H538" s="83"/>
      <c r="I538" s="91"/>
    </row>
    <row r="539" spans="3:9" ht="18" x14ac:dyDescent="0.25">
      <c r="C539" s="83" t="s">
        <v>69</v>
      </c>
      <c r="D539" s="88"/>
      <c r="E539" s="103">
        <f>+'RES CUENTA'!J36</f>
        <v>1180425.75</v>
      </c>
      <c r="F539" s="104">
        <f>+'RES CUENTA'!H28</f>
        <v>6.1689999999999996</v>
      </c>
      <c r="G539" s="101">
        <f>+E539*F539/100</f>
        <v>72820.46451749999</v>
      </c>
      <c r="H539" s="91"/>
      <c r="I539" s="87"/>
    </row>
    <row r="540" spans="3:9" ht="18" x14ac:dyDescent="0.25">
      <c r="C540" s="83" t="s">
        <v>215</v>
      </c>
      <c r="D540" s="88"/>
      <c r="E540" s="103">
        <f>+'RES CUENTA'!K28</f>
        <v>0</v>
      </c>
      <c r="F540" s="104">
        <v>0</v>
      </c>
      <c r="G540" s="101">
        <f>+E540</f>
        <v>0</v>
      </c>
      <c r="H540" s="87"/>
      <c r="I540" s="87"/>
    </row>
    <row r="541" spans="3:9" ht="18" x14ac:dyDescent="0.25">
      <c r="C541" s="83" t="s">
        <v>181</v>
      </c>
      <c r="D541" s="88"/>
      <c r="E541" s="103">
        <v>0</v>
      </c>
      <c r="F541" s="104">
        <v>0</v>
      </c>
      <c r="G541" s="101">
        <f>+'RES CUENTA'!M28</f>
        <v>0</v>
      </c>
      <c r="H541" s="87"/>
      <c r="I541" s="87"/>
    </row>
    <row r="542" spans="3:9" ht="18" x14ac:dyDescent="0.25">
      <c r="C542" s="83" t="s">
        <v>289</v>
      </c>
      <c r="D542" s="88"/>
      <c r="E542" s="103">
        <v>0</v>
      </c>
      <c r="F542" s="104">
        <v>0</v>
      </c>
      <c r="G542" s="134">
        <f>+'RES CUENTA'!N28</f>
        <v>0</v>
      </c>
      <c r="H542" s="87"/>
      <c r="I542" s="87"/>
    </row>
    <row r="543" spans="3:9" ht="18" x14ac:dyDescent="0.25">
      <c r="C543" s="84"/>
      <c r="D543" s="88"/>
      <c r="E543" s="83"/>
      <c r="G543" s="101">
        <f>SUM(G538:G542)</f>
        <v>328056.96906149993</v>
      </c>
      <c r="H543" s="87"/>
      <c r="I543" s="88"/>
    </row>
    <row r="544" spans="3:9" ht="18" x14ac:dyDescent="0.25">
      <c r="C544" s="83"/>
      <c r="D544" s="88"/>
      <c r="E544" s="83"/>
      <c r="F544" s="83"/>
      <c r="G544" s="89"/>
      <c r="H544" s="88"/>
      <c r="I544" s="88"/>
    </row>
    <row r="545" spans="3:9" ht="18" x14ac:dyDescent="0.25">
      <c r="C545" s="83"/>
      <c r="D545" s="88"/>
      <c r="E545" s="83"/>
      <c r="F545" s="83"/>
      <c r="G545" s="89"/>
      <c r="H545" s="88"/>
      <c r="I545" s="88"/>
    </row>
    <row r="546" spans="3:9" ht="17.25" customHeight="1" x14ac:dyDescent="0.25">
      <c r="C546" s="83"/>
      <c r="D546" s="88"/>
      <c r="E546" s="83"/>
      <c r="F546" s="83"/>
      <c r="G546" s="89"/>
      <c r="H546" s="88"/>
      <c r="I546" s="88"/>
    </row>
    <row r="547" spans="3:9" ht="17.25" customHeight="1" x14ac:dyDescent="0.25">
      <c r="C547" s="83"/>
      <c r="D547" s="88"/>
      <c r="E547" s="83"/>
      <c r="F547" s="83"/>
      <c r="G547" s="89"/>
      <c r="H547" s="88"/>
      <c r="I547" s="88"/>
    </row>
    <row r="548" spans="3:9" ht="21.75" customHeight="1" x14ac:dyDescent="0.25">
      <c r="C548" s="83" t="str">
        <f>+C535</f>
        <v>FERNANDEZ MANUEL</v>
      </c>
      <c r="D548" s="88"/>
      <c r="E548" s="83"/>
      <c r="F548" s="83" t="str">
        <f>+C535</f>
        <v>FERNANDEZ MANUEL</v>
      </c>
      <c r="G548" s="83"/>
      <c r="H548" s="83"/>
      <c r="I548" s="99"/>
    </row>
    <row r="549" spans="3:9" ht="18" x14ac:dyDescent="0.25">
      <c r="C549" s="84"/>
      <c r="D549" s="88"/>
      <c r="E549" s="83"/>
      <c r="G549" s="83"/>
      <c r="H549" s="99"/>
      <c r="I549" s="90" t="str">
        <f>+I534</f>
        <v>Unid. 14</v>
      </c>
    </row>
    <row r="550" spans="3:9" ht="18" x14ac:dyDescent="0.25">
      <c r="C550" s="83" t="str">
        <f>+$F$1</f>
        <v>MONTES DE OCA 1068/1070 C.A.B.A.</v>
      </c>
      <c r="D550" s="88"/>
      <c r="E550" s="88" t="str">
        <f>+I549</f>
        <v>Unid. 14</v>
      </c>
      <c r="F550" s="83" t="str">
        <f>+$F$1</f>
        <v>MONTES DE OCA 1068/1070 C.A.B.A.</v>
      </c>
      <c r="G550" s="83"/>
      <c r="H550" s="83"/>
      <c r="I550" s="90" t="str">
        <f>+I535</f>
        <v>7 A</v>
      </c>
    </row>
    <row r="551" spans="3:9" ht="18" x14ac:dyDescent="0.25">
      <c r="C551" s="84"/>
      <c r="D551" s="91"/>
      <c r="E551" s="88" t="str">
        <f>+I550</f>
        <v>7 A</v>
      </c>
      <c r="G551" s="83"/>
      <c r="H551" s="83"/>
    </row>
    <row r="552" spans="3:9" ht="18" customHeight="1" x14ac:dyDescent="0.25">
      <c r="C552" s="83" t="str">
        <f>+$F$2</f>
        <v>P/Depósito o transferencia en Banco Santander Rio</v>
      </c>
      <c r="D552" s="88"/>
      <c r="E552" s="83"/>
      <c r="F552" s="84"/>
      <c r="G552" s="83"/>
      <c r="H552" s="83"/>
      <c r="I552" s="99"/>
    </row>
    <row r="553" spans="3:9" ht="18" x14ac:dyDescent="0.25">
      <c r="C553" s="83" t="str">
        <f>+$F$3</f>
        <v xml:space="preserve">Cta. Cte. $ N° 558-000162/1 </v>
      </c>
      <c r="D553" s="88"/>
      <c r="E553" s="83"/>
      <c r="F553" s="83"/>
      <c r="G553" s="128"/>
      <c r="H553" s="84"/>
      <c r="I553" s="83"/>
    </row>
    <row r="554" spans="3:9" ht="18" x14ac:dyDescent="0.25">
      <c r="C554" s="83" t="str">
        <f>+$F$4</f>
        <v>CBU: 0720558320000000016218</v>
      </c>
      <c r="D554" s="88"/>
      <c r="E554" s="83"/>
      <c r="F554" s="93"/>
      <c r="H554" s="91"/>
      <c r="I554" s="92"/>
    </row>
    <row r="555" spans="3:9" ht="18" x14ac:dyDescent="0.25">
      <c r="C555" s="83" t="str">
        <f>+$F$5</f>
        <v>CUIT: 30-66148861-8</v>
      </c>
      <c r="D555" s="88"/>
      <c r="E555" s="83"/>
      <c r="F555" s="83" t="s">
        <v>70</v>
      </c>
      <c r="G555" s="102">
        <f>+G538</f>
        <v>255236.50454399997</v>
      </c>
      <c r="H555" s="92"/>
      <c r="I555" s="97">
        <f>+C560</f>
        <v>46183</v>
      </c>
    </row>
    <row r="556" spans="3:9" ht="18" x14ac:dyDescent="0.25">
      <c r="D556" s="88"/>
      <c r="E556" s="83"/>
      <c r="F556" s="83" t="s">
        <v>71</v>
      </c>
      <c r="G556" s="102">
        <f>+G539</f>
        <v>72820.46451749999</v>
      </c>
      <c r="I556" s="83"/>
    </row>
    <row r="557" spans="3:9" ht="18" x14ac:dyDescent="0.25">
      <c r="C557" s="83"/>
      <c r="D557" s="88"/>
      <c r="E557" s="83"/>
      <c r="F557" s="83" t="s">
        <v>72</v>
      </c>
      <c r="G557" s="102">
        <f>+G541</f>
        <v>0</v>
      </c>
      <c r="H557" s="83"/>
      <c r="I557" s="83"/>
    </row>
    <row r="558" spans="3:9" ht="18" x14ac:dyDescent="0.25">
      <c r="C558" s="93"/>
      <c r="D558" s="93"/>
      <c r="E558" s="93"/>
      <c r="F558" s="83" t="s">
        <v>73</v>
      </c>
      <c r="G558" s="102">
        <f>+G542</f>
        <v>0</v>
      </c>
      <c r="H558" s="83"/>
      <c r="I558" s="83"/>
    </row>
    <row r="559" spans="3:9" ht="18" x14ac:dyDescent="0.25">
      <c r="E559" s="83"/>
      <c r="F559" s="83" t="s">
        <v>215</v>
      </c>
      <c r="G559" s="135">
        <f>+G540</f>
        <v>0</v>
      </c>
      <c r="H559" s="83"/>
      <c r="I559" s="83"/>
    </row>
    <row r="560" spans="3:9" ht="18" x14ac:dyDescent="0.25">
      <c r="C560" s="97">
        <f>+$H$43</f>
        <v>46183</v>
      </c>
      <c r="D560" s="157">
        <f>+G543</f>
        <v>328056.96906149993</v>
      </c>
      <c r="E560" s="83"/>
      <c r="F560" s="83" t="s">
        <v>74</v>
      </c>
      <c r="G560" s="102">
        <f>+G543</f>
        <v>328056.96906149993</v>
      </c>
      <c r="H560" s="83"/>
      <c r="I560" s="83"/>
    </row>
    <row r="561" spans="3:9" ht="18" x14ac:dyDescent="0.25">
      <c r="C561" s="83"/>
      <c r="D561" s="88"/>
      <c r="E561" s="83"/>
      <c r="F561" s="83"/>
      <c r="G561" s="83"/>
      <c r="H561" s="83"/>
      <c r="I561" s="83"/>
    </row>
    <row r="562" spans="3:9" ht="18" x14ac:dyDescent="0.25">
      <c r="C562" s="83"/>
      <c r="D562" s="88"/>
      <c r="E562" s="83"/>
      <c r="F562" s="100"/>
      <c r="G562" s="83"/>
      <c r="H562" s="83"/>
      <c r="I562" s="83"/>
    </row>
    <row r="563" spans="3:9" ht="18" x14ac:dyDescent="0.25">
      <c r="C563" s="83"/>
      <c r="D563" s="88"/>
      <c r="E563" s="83"/>
      <c r="F563" s="83"/>
      <c r="G563" s="83"/>
      <c r="H563" s="83"/>
      <c r="I563" s="91"/>
    </row>
    <row r="564" spans="3:9" ht="8.25" customHeight="1" x14ac:dyDescent="0.25">
      <c r="C564" s="250"/>
      <c r="F564" s="83"/>
      <c r="H564" s="91"/>
      <c r="I564" s="83"/>
    </row>
    <row r="565" spans="3:9" ht="11.25" customHeight="1" x14ac:dyDescent="0.2"/>
    <row r="566" spans="3:9" ht="18" x14ac:dyDescent="0.25">
      <c r="C566" s="424"/>
      <c r="D566" s="424"/>
      <c r="E566" s="424"/>
      <c r="F566" s="433">
        <f>+$C$1</f>
        <v>46143</v>
      </c>
      <c r="G566" s="83"/>
      <c r="H566" s="429">
        <f>+$E$1</f>
        <v>46183</v>
      </c>
      <c r="I566" s="83"/>
    </row>
    <row r="567" spans="3:9" ht="18" x14ac:dyDescent="0.25">
      <c r="C567" s="82"/>
      <c r="D567" s="82"/>
      <c r="E567" s="98"/>
      <c r="F567" s="433"/>
      <c r="G567" s="83"/>
      <c r="H567" s="429"/>
      <c r="I567" s="83"/>
    </row>
    <row r="568" spans="3:9" ht="18" x14ac:dyDescent="0.25">
      <c r="C568" s="83"/>
      <c r="D568" s="88"/>
      <c r="E568" s="83"/>
      <c r="F568" s="84"/>
      <c r="G568" s="83"/>
      <c r="H568" s="84"/>
      <c r="I568" s="83"/>
    </row>
    <row r="569" spans="3:9" ht="21.75" customHeight="1" x14ac:dyDescent="0.25">
      <c r="D569" s="88"/>
      <c r="E569" s="83"/>
      <c r="F569" s="84"/>
      <c r="G569" s="83"/>
      <c r="H569" s="84"/>
      <c r="I569" s="83"/>
    </row>
    <row r="570" spans="3:9" ht="18" x14ac:dyDescent="0.25">
      <c r="C570" s="83" t="str">
        <f>+C16</f>
        <v>ABOSSIO GONZALES MATIAS y OTRA (GONZALES PLATAS MARIANGELES)</v>
      </c>
      <c r="D570" s="88"/>
      <c r="E570" s="83"/>
      <c r="F570" s="83" t="s">
        <v>293</v>
      </c>
      <c r="G570" s="83"/>
      <c r="H570" s="83"/>
      <c r="I570" s="90" t="s">
        <v>89</v>
      </c>
    </row>
    <row r="571" spans="3:9" ht="18" x14ac:dyDescent="0.25">
      <c r="C571" s="83"/>
      <c r="D571" s="88"/>
      <c r="E571" s="83"/>
      <c r="F571" s="84"/>
      <c r="G571" s="83"/>
      <c r="H571" s="83"/>
      <c r="I571" s="90" t="str">
        <f>+'RES CUENTA'!B29</f>
        <v>7 B</v>
      </c>
    </row>
    <row r="572" spans="3:9" ht="18" x14ac:dyDescent="0.25">
      <c r="C572" s="91"/>
      <c r="D572" s="88"/>
      <c r="E572" s="91"/>
      <c r="F572" s="83"/>
      <c r="G572" s="83"/>
      <c r="H572" s="83"/>
      <c r="I572" s="83"/>
    </row>
    <row r="573" spans="3:9" ht="14.25" customHeight="1" x14ac:dyDescent="0.25">
      <c r="C573" s="91"/>
      <c r="D573" s="88"/>
      <c r="E573" s="91"/>
      <c r="F573" s="83"/>
      <c r="G573" s="83"/>
      <c r="H573" s="83"/>
      <c r="I573" s="83"/>
    </row>
    <row r="574" spans="3:9" ht="18" x14ac:dyDescent="0.25">
      <c r="C574" s="83" t="s">
        <v>68</v>
      </c>
      <c r="D574" s="88"/>
      <c r="E574" s="103">
        <f>+'RES CUENTA'!G36</f>
        <v>4623849.72</v>
      </c>
      <c r="F574" s="104">
        <f>+'RES CUENTA'!F29</f>
        <v>4.22</v>
      </c>
      <c r="G574" s="101">
        <f>+E574*F574/100</f>
        <v>195126.45818399999</v>
      </c>
      <c r="H574" s="425"/>
      <c r="I574" s="425"/>
    </row>
    <row r="575" spans="3:9" ht="18" x14ac:dyDescent="0.25">
      <c r="C575" s="83" t="s">
        <v>69</v>
      </c>
      <c r="D575" s="88"/>
      <c r="E575" s="103">
        <f>+'RES CUENTA'!J36</f>
        <v>1180425.75</v>
      </c>
      <c r="F575" s="104">
        <f>+'RES CUENTA'!H29</f>
        <v>4.7160000000000002</v>
      </c>
      <c r="G575" s="101">
        <f>+E575*F575/100</f>
        <v>55668.878370000006</v>
      </c>
      <c r="H575" s="430"/>
      <c r="I575" s="430"/>
    </row>
    <row r="576" spans="3:9" ht="18" x14ac:dyDescent="0.25">
      <c r="C576" s="83" t="s">
        <v>215</v>
      </c>
      <c r="D576" s="88"/>
      <c r="E576" s="103">
        <f>+'RES CUENTA'!K29</f>
        <v>0</v>
      </c>
      <c r="F576" s="104">
        <v>0</v>
      </c>
      <c r="G576" s="101">
        <f>+E576</f>
        <v>0</v>
      </c>
      <c r="H576" s="430"/>
      <c r="I576" s="430"/>
    </row>
    <row r="577" spans="3:9" ht="18" x14ac:dyDescent="0.25">
      <c r="C577" s="83" t="s">
        <v>181</v>
      </c>
      <c r="D577" s="88"/>
      <c r="E577" s="103">
        <v>0</v>
      </c>
      <c r="F577" s="104">
        <v>0</v>
      </c>
      <c r="G577" s="101">
        <f>+'RES CUENTA'!M29</f>
        <v>-633</v>
      </c>
      <c r="H577" s="430"/>
      <c r="I577" s="430"/>
    </row>
    <row r="578" spans="3:9" ht="18" x14ac:dyDescent="0.25">
      <c r="C578" s="83" t="s">
        <v>289</v>
      </c>
      <c r="D578" s="88"/>
      <c r="E578" s="103">
        <v>0</v>
      </c>
      <c r="F578" s="104">
        <v>0</v>
      </c>
      <c r="G578" s="134">
        <f>+'RES CUENTA'!N29</f>
        <v>0</v>
      </c>
      <c r="H578" s="430"/>
      <c r="I578" s="430"/>
    </row>
    <row r="579" spans="3:9" ht="18" x14ac:dyDescent="0.25">
      <c r="C579" s="84"/>
      <c r="D579" s="88"/>
      <c r="E579" s="83"/>
      <c r="F579" s="89"/>
      <c r="G579" s="101">
        <f>SUM(G574:G578)</f>
        <v>250162.33655399998</v>
      </c>
      <c r="H579" s="432"/>
      <c r="I579" s="432"/>
    </row>
    <row r="580" spans="3:9" ht="18" x14ac:dyDescent="0.25">
      <c r="C580" s="84"/>
      <c r="D580" s="88"/>
      <c r="E580" s="83"/>
      <c r="F580" s="83"/>
      <c r="H580" s="88"/>
      <c r="I580" s="88"/>
    </row>
    <row r="581" spans="3:9" ht="18" x14ac:dyDescent="0.25">
      <c r="C581" s="84"/>
      <c r="D581" s="88"/>
      <c r="E581" s="83"/>
      <c r="F581" s="83"/>
      <c r="H581" s="88"/>
      <c r="I581" s="88"/>
    </row>
    <row r="582" spans="3:9" ht="18" x14ac:dyDescent="0.25">
      <c r="C582" s="83"/>
      <c r="D582" s="88"/>
      <c r="E582" s="83"/>
      <c r="F582" s="83"/>
      <c r="G582" s="85"/>
      <c r="H582" s="88"/>
      <c r="I582" s="88"/>
    </row>
    <row r="583" spans="3:9" ht="18" x14ac:dyDescent="0.25">
      <c r="C583" s="83"/>
      <c r="D583" s="88"/>
      <c r="E583" s="83"/>
      <c r="F583" s="83"/>
      <c r="G583" s="89"/>
      <c r="H583" s="83"/>
      <c r="I583" s="83"/>
    </row>
    <row r="584" spans="3:9" ht="11.25" customHeight="1" x14ac:dyDescent="0.25">
      <c r="C584" s="83"/>
      <c r="D584" s="88"/>
      <c r="E584" s="83"/>
      <c r="F584" s="83"/>
      <c r="G584" s="89"/>
      <c r="H584" s="83"/>
      <c r="I584" s="83"/>
    </row>
    <row r="585" spans="3:9" ht="18" x14ac:dyDescent="0.25">
      <c r="C585" s="83" t="str">
        <f>+C570</f>
        <v>ABOSSIO GONZALES MATIAS y OTRA (GONZALES PLATAS MARIANGELES)</v>
      </c>
      <c r="D585" s="427"/>
      <c r="E585" s="427"/>
      <c r="F585" s="83" t="str">
        <f>+C585</f>
        <v>ABOSSIO GONZALES MATIAS y OTRA (GONZALES PLATAS MARIANGELES)</v>
      </c>
      <c r="G585" s="89"/>
      <c r="H585" s="83"/>
      <c r="I585" s="83"/>
    </row>
    <row r="586" spans="3:9" ht="18" x14ac:dyDescent="0.25">
      <c r="D586" s="88"/>
      <c r="E586" s="83"/>
      <c r="G586" s="427"/>
      <c r="H586" s="427"/>
      <c r="I586" s="427"/>
    </row>
    <row r="587" spans="3:9" ht="18" x14ac:dyDescent="0.25">
      <c r="C587" s="83" t="str">
        <f>+$F$1</f>
        <v>MONTES DE OCA 1068/1070 C.A.B.A.</v>
      </c>
      <c r="D587" s="88"/>
      <c r="E587" s="88" t="str">
        <f>+I570</f>
        <v>Unid. 15</v>
      </c>
      <c r="F587" s="83" t="str">
        <f>+$F$1</f>
        <v>MONTES DE OCA 1068/1070 C.A.B.A.</v>
      </c>
      <c r="G587" s="83"/>
      <c r="H587" s="83"/>
      <c r="I587" s="90" t="str">
        <f>+E587</f>
        <v>Unid. 15</v>
      </c>
    </row>
    <row r="588" spans="3:9" ht="18" x14ac:dyDescent="0.25">
      <c r="E588" s="88" t="str">
        <f>+I588</f>
        <v>7 B</v>
      </c>
      <c r="I588" s="90" t="str">
        <f>+I571</f>
        <v>7 B</v>
      </c>
    </row>
    <row r="589" spans="3:9" ht="16.5" customHeight="1" x14ac:dyDescent="0.25">
      <c r="C589" s="83" t="str">
        <f>+$F$2</f>
        <v>P/Depósito o transferencia en Banco Santander Rio</v>
      </c>
      <c r="D589" s="91"/>
      <c r="E589" s="84"/>
      <c r="F589" s="84"/>
      <c r="G589" s="83"/>
      <c r="H589" s="83"/>
    </row>
    <row r="590" spans="3:9" ht="18" x14ac:dyDescent="0.25">
      <c r="C590" s="83" t="str">
        <f>+$F$3</f>
        <v xml:space="preserve">Cta. Cte. $ N° 558-000162/1 </v>
      </c>
      <c r="D590" s="88"/>
      <c r="E590" s="83"/>
      <c r="F590" s="83"/>
      <c r="G590" s="83"/>
      <c r="H590" s="84"/>
      <c r="I590" s="99"/>
    </row>
    <row r="591" spans="3:9" ht="18" x14ac:dyDescent="0.25">
      <c r="C591" s="83" t="str">
        <f>+$F$4</f>
        <v>CBU: 0720558320000000016218</v>
      </c>
      <c r="D591" s="88"/>
      <c r="E591" s="83"/>
      <c r="F591" s="93"/>
      <c r="G591" s="83"/>
      <c r="H591" s="91"/>
      <c r="I591" s="83"/>
    </row>
    <row r="592" spans="3:9" ht="18" x14ac:dyDescent="0.25">
      <c r="C592" s="83" t="str">
        <f>+$F$5</f>
        <v>CUIT: 30-66148861-8</v>
      </c>
      <c r="D592" s="88"/>
      <c r="E592" s="83"/>
      <c r="F592" s="83" t="s">
        <v>70</v>
      </c>
      <c r="G592" s="102">
        <f>+G574</f>
        <v>195126.45818399999</v>
      </c>
      <c r="I592" s="97">
        <f>+C597</f>
        <v>46183</v>
      </c>
    </row>
    <row r="593" spans="3:9" ht="18" x14ac:dyDescent="0.25">
      <c r="C593" s="273"/>
      <c r="D593" s="88"/>
      <c r="E593" s="83"/>
      <c r="F593" s="83" t="s">
        <v>71</v>
      </c>
      <c r="G593" s="102">
        <f>+G575</f>
        <v>55668.878370000006</v>
      </c>
    </row>
    <row r="594" spans="3:9" ht="18" x14ac:dyDescent="0.25">
      <c r="D594" s="88"/>
      <c r="E594" s="83"/>
      <c r="F594" s="83" t="s">
        <v>72</v>
      </c>
      <c r="G594" s="102">
        <f>+G577</f>
        <v>-633</v>
      </c>
      <c r="H594" s="83"/>
      <c r="I594" s="83"/>
    </row>
    <row r="595" spans="3:9" ht="18" x14ac:dyDescent="0.25">
      <c r="C595" s="83"/>
      <c r="D595" s="88"/>
      <c r="E595" s="83"/>
      <c r="F595" s="83" t="s">
        <v>73</v>
      </c>
      <c r="G595" s="102">
        <f>+G578</f>
        <v>0</v>
      </c>
      <c r="H595" s="83"/>
      <c r="I595" s="83"/>
    </row>
    <row r="596" spans="3:9" ht="18" x14ac:dyDescent="0.25">
      <c r="C596" s="93"/>
      <c r="D596" s="93"/>
      <c r="E596" s="93"/>
      <c r="F596" s="83" t="s">
        <v>215</v>
      </c>
      <c r="G596" s="135">
        <f>+G576</f>
        <v>0</v>
      </c>
      <c r="H596" s="83"/>
      <c r="I596" s="83"/>
    </row>
    <row r="597" spans="3:9" ht="18" x14ac:dyDescent="0.25">
      <c r="C597" s="97">
        <f>+$H$43</f>
        <v>46183</v>
      </c>
      <c r="D597" s="157">
        <f>+G579</f>
        <v>250162.33655399998</v>
      </c>
      <c r="E597" s="83"/>
      <c r="F597" s="83" t="s">
        <v>74</v>
      </c>
      <c r="G597" s="102">
        <f>+G579</f>
        <v>250162.33655399998</v>
      </c>
      <c r="H597" s="83"/>
      <c r="I597" s="83"/>
    </row>
    <row r="598" spans="3:9" ht="18" x14ac:dyDescent="0.25">
      <c r="C598" s="83"/>
      <c r="D598" s="88"/>
      <c r="E598" s="83"/>
      <c r="F598" s="100"/>
      <c r="G598" s="83"/>
      <c r="H598" s="83"/>
      <c r="I598" s="83"/>
    </row>
    <row r="599" spans="3:9" ht="18" x14ac:dyDescent="0.25">
      <c r="C599" s="83"/>
      <c r="D599" s="88"/>
      <c r="E599" s="83"/>
      <c r="G599" s="83"/>
      <c r="H599" s="83"/>
      <c r="I599" s="83"/>
    </row>
    <row r="600" spans="3:9" ht="18" x14ac:dyDescent="0.25">
      <c r="C600" s="83"/>
      <c r="D600" s="88"/>
      <c r="E600" s="83"/>
      <c r="F600" s="83"/>
      <c r="G600" s="83"/>
      <c r="H600" s="83"/>
      <c r="I600" s="83"/>
    </row>
    <row r="601" spans="3:9" ht="18" x14ac:dyDescent="0.25">
      <c r="C601" s="83"/>
      <c r="D601" s="88"/>
      <c r="E601" s="83"/>
      <c r="F601" s="83"/>
      <c r="G601" s="83"/>
      <c r="H601" s="425"/>
      <c r="I601" s="425"/>
    </row>
    <row r="602" spans="3:9" ht="18" x14ac:dyDescent="0.25">
      <c r="C602" s="83"/>
      <c r="D602" s="88"/>
      <c r="E602" s="83"/>
      <c r="F602" s="83"/>
      <c r="G602" s="83"/>
      <c r="H602" s="91"/>
      <c r="I602" s="91"/>
    </row>
    <row r="603" spans="3:9" ht="18" x14ac:dyDescent="0.25">
      <c r="C603" s="83"/>
      <c r="D603" s="88"/>
      <c r="E603" s="83"/>
      <c r="F603" s="83"/>
      <c r="G603" s="83"/>
      <c r="H603" s="91"/>
      <c r="I603" s="91"/>
    </row>
    <row r="604" spans="3:9" ht="18" x14ac:dyDescent="0.25">
      <c r="C604" s="83"/>
      <c r="D604" s="88"/>
      <c r="E604" s="83"/>
      <c r="F604" s="83"/>
      <c r="G604" s="83"/>
      <c r="H604" s="83"/>
      <c r="I604" s="83"/>
    </row>
    <row r="605" spans="3:9" ht="18" x14ac:dyDescent="0.25">
      <c r="C605" s="83"/>
      <c r="D605" s="88"/>
      <c r="E605" s="83"/>
      <c r="F605" s="83"/>
      <c r="G605" s="83"/>
      <c r="H605" s="83"/>
      <c r="I605" s="83"/>
    </row>
    <row r="606" spans="3:9" ht="18" x14ac:dyDescent="0.25">
      <c r="C606" s="424"/>
      <c r="D606" s="424"/>
      <c r="E606" s="424"/>
      <c r="F606" s="83"/>
      <c r="G606" s="83"/>
      <c r="I606" s="83"/>
    </row>
    <row r="607" spans="3:9" ht="18" x14ac:dyDescent="0.25">
      <c r="C607" s="424"/>
      <c r="D607" s="424"/>
      <c r="E607" s="424"/>
      <c r="F607" s="96">
        <f>+$C$1</f>
        <v>46143</v>
      </c>
      <c r="G607" s="83"/>
      <c r="H607" s="97">
        <f>+$E$1</f>
        <v>46183</v>
      </c>
      <c r="I607" s="95"/>
    </row>
    <row r="608" spans="3:9" ht="18" x14ac:dyDescent="0.25">
      <c r="C608" s="82"/>
      <c r="D608" s="82"/>
      <c r="E608" s="98"/>
      <c r="F608" s="96"/>
      <c r="G608" s="83"/>
    </row>
    <row r="609" spans="3:9" ht="24.75" customHeight="1" x14ac:dyDescent="0.25">
      <c r="D609" s="88"/>
      <c r="E609" s="83"/>
      <c r="G609" s="83"/>
    </row>
    <row r="610" spans="3:9" ht="18" x14ac:dyDescent="0.25">
      <c r="C610" s="83" t="str">
        <f>+C17</f>
        <v>KUZIW ANTONIO</v>
      </c>
      <c r="D610" s="88"/>
      <c r="E610" s="83"/>
      <c r="F610" s="83" t="str">
        <f>+$F$1</f>
        <v>MONTES DE OCA 1068/1070 C.A.B.A.</v>
      </c>
      <c r="G610" s="83"/>
      <c r="I610" s="90" t="s">
        <v>90</v>
      </c>
    </row>
    <row r="611" spans="3:9" ht="18" x14ac:dyDescent="0.25">
      <c r="C611" s="84"/>
      <c r="D611" s="88"/>
      <c r="E611" s="83"/>
      <c r="G611" s="83"/>
      <c r="H611" s="84"/>
      <c r="I611" s="90" t="str">
        <f>+'RES CUENTA'!B30</f>
        <v>8 A</v>
      </c>
    </row>
    <row r="612" spans="3:9" ht="18" x14ac:dyDescent="0.25">
      <c r="C612" s="83"/>
      <c r="D612" s="88"/>
      <c r="E612" s="83"/>
      <c r="F612" s="84"/>
      <c r="G612" s="83"/>
      <c r="H612" s="83"/>
      <c r="I612" s="84"/>
    </row>
    <row r="613" spans="3:9" ht="18" x14ac:dyDescent="0.25">
      <c r="C613" s="91"/>
      <c r="D613" s="88"/>
      <c r="E613" s="91"/>
      <c r="F613" s="83"/>
      <c r="G613" s="83"/>
      <c r="H613" s="83"/>
      <c r="I613" s="83"/>
    </row>
    <row r="614" spans="3:9" ht="18" x14ac:dyDescent="0.25">
      <c r="C614" s="83" t="s">
        <v>68</v>
      </c>
      <c r="D614" s="88"/>
      <c r="E614" s="103">
        <f>+'RES CUENTA'!G36</f>
        <v>4623849.72</v>
      </c>
      <c r="F614" s="104">
        <f>+'RES CUENTA'!F30</f>
        <v>5.0599999999999996</v>
      </c>
      <c r="G614" s="101">
        <f>+E614*F614/100</f>
        <v>233966.79583199997</v>
      </c>
      <c r="H614" s="83"/>
      <c r="I614" s="91"/>
    </row>
    <row r="615" spans="3:9" ht="18" x14ac:dyDescent="0.25">
      <c r="C615" s="83" t="s">
        <v>69</v>
      </c>
      <c r="D615" s="88"/>
      <c r="E615" s="103">
        <f>+'RES CUENTA'!J36</f>
        <v>1180425.75</v>
      </c>
      <c r="F615" s="104">
        <f>+'RES CUENTA'!H30</f>
        <v>5.6550000000000002</v>
      </c>
      <c r="G615" s="101">
        <f>+E615*F615/100</f>
        <v>66753.076162500001</v>
      </c>
      <c r="H615" s="91"/>
      <c r="I615" s="87"/>
    </row>
    <row r="616" spans="3:9" ht="18" x14ac:dyDescent="0.25">
      <c r="C616" s="83" t="s">
        <v>215</v>
      </c>
      <c r="D616" s="88"/>
      <c r="E616" s="103">
        <f>+'RES CUENTA'!K30</f>
        <v>0</v>
      </c>
      <c r="F616" s="104">
        <v>0</v>
      </c>
      <c r="G616" s="101">
        <f>+E616</f>
        <v>0</v>
      </c>
      <c r="H616" s="87"/>
      <c r="I616" s="87"/>
    </row>
    <row r="617" spans="3:9" ht="18" x14ac:dyDescent="0.25">
      <c r="C617" s="83" t="s">
        <v>181</v>
      </c>
      <c r="D617" s="88"/>
      <c r="E617" s="103">
        <v>0</v>
      </c>
      <c r="F617" s="104">
        <v>0</v>
      </c>
      <c r="G617" s="101">
        <f>+'RES CUENTA'!M30</f>
        <v>127</v>
      </c>
      <c r="H617" s="87"/>
      <c r="I617" s="87"/>
    </row>
    <row r="618" spans="3:9" ht="18" x14ac:dyDescent="0.25">
      <c r="C618" s="83" t="s">
        <v>289</v>
      </c>
      <c r="D618" s="88"/>
      <c r="E618" s="103">
        <v>0</v>
      </c>
      <c r="F618" s="104">
        <v>0</v>
      </c>
      <c r="G618" s="134">
        <f>+'RES CUENTA'!N30</f>
        <v>3.81</v>
      </c>
      <c r="H618" s="87"/>
      <c r="I618" s="87"/>
    </row>
    <row r="619" spans="3:9" ht="18" x14ac:dyDescent="0.25">
      <c r="C619" s="84"/>
      <c r="D619" s="88"/>
      <c r="E619" s="103"/>
      <c r="F619" s="103"/>
      <c r="G619" s="101">
        <f>SUM(G614:G618)</f>
        <v>300850.68199449999</v>
      </c>
      <c r="H619" s="87"/>
      <c r="I619" s="88"/>
    </row>
    <row r="620" spans="3:9" ht="18" x14ac:dyDescent="0.25">
      <c r="C620" s="83"/>
      <c r="D620" s="88"/>
      <c r="E620" s="103"/>
      <c r="F620" s="103"/>
      <c r="G620" s="89"/>
      <c r="H620" s="88"/>
      <c r="I620" s="88"/>
    </row>
    <row r="621" spans="3:9" ht="18" x14ac:dyDescent="0.25">
      <c r="C621" s="83"/>
      <c r="D621" s="88"/>
      <c r="E621" s="83"/>
      <c r="F621" s="83"/>
      <c r="G621" s="89"/>
      <c r="H621" s="88"/>
      <c r="I621" s="88"/>
    </row>
    <row r="622" spans="3:9" ht="18" x14ac:dyDescent="0.25">
      <c r="C622" s="83"/>
      <c r="D622" s="88"/>
      <c r="E622" s="83"/>
      <c r="F622" s="83"/>
      <c r="G622" s="89"/>
      <c r="H622" s="88"/>
      <c r="I622" s="88"/>
    </row>
    <row r="623" spans="3:9" ht="16.5" customHeight="1" x14ac:dyDescent="0.25">
      <c r="C623" s="83"/>
      <c r="D623" s="88"/>
      <c r="E623" s="83"/>
      <c r="F623" s="83"/>
      <c r="G623" s="89"/>
      <c r="H623" s="88"/>
      <c r="I623" s="88"/>
    </row>
    <row r="624" spans="3:9" ht="23.25" customHeight="1" x14ac:dyDescent="0.25">
      <c r="C624" s="83" t="str">
        <f>+C610</f>
        <v>KUZIW ANTONIO</v>
      </c>
      <c r="D624" s="88"/>
      <c r="E624" s="83"/>
      <c r="F624" s="83" t="str">
        <f>+C610</f>
        <v>KUZIW ANTONIO</v>
      </c>
      <c r="G624" s="83"/>
      <c r="H624" s="83"/>
      <c r="I624" s="99"/>
    </row>
    <row r="625" spans="3:9" ht="18" x14ac:dyDescent="0.25">
      <c r="C625" s="84"/>
      <c r="D625" s="88"/>
      <c r="E625" s="83"/>
      <c r="G625" s="83"/>
      <c r="H625" s="99"/>
      <c r="I625" s="90" t="str">
        <f>+I610</f>
        <v>Unid. 16</v>
      </c>
    </row>
    <row r="626" spans="3:9" ht="18" x14ac:dyDescent="0.25">
      <c r="C626" s="83" t="str">
        <f>+$F$1</f>
        <v>MONTES DE OCA 1068/1070 C.A.B.A.</v>
      </c>
      <c r="D626" s="88"/>
      <c r="E626" s="88" t="str">
        <f>+I625</f>
        <v>Unid. 16</v>
      </c>
      <c r="F626" s="83" t="str">
        <f>+$F$1</f>
        <v>MONTES DE OCA 1068/1070 C.A.B.A.</v>
      </c>
      <c r="G626" s="83"/>
      <c r="H626" s="83"/>
      <c r="I626" s="90" t="str">
        <f>+I611</f>
        <v>8 A</v>
      </c>
    </row>
    <row r="627" spans="3:9" ht="18" x14ac:dyDescent="0.25">
      <c r="C627" s="84"/>
      <c r="D627" s="91"/>
      <c r="E627" s="88" t="str">
        <f>+I626</f>
        <v>8 A</v>
      </c>
      <c r="G627" s="83"/>
      <c r="H627" s="83"/>
    </row>
    <row r="628" spans="3:9" ht="15" customHeight="1" x14ac:dyDescent="0.25">
      <c r="C628" s="83" t="str">
        <f>+$F$2</f>
        <v>P/Depósito o transferencia en Banco Santander Rio</v>
      </c>
      <c r="D628" s="88"/>
      <c r="E628" s="83"/>
      <c r="F628" s="84"/>
      <c r="G628" s="83"/>
      <c r="H628" s="83"/>
      <c r="I628" s="99"/>
    </row>
    <row r="629" spans="3:9" ht="18" x14ac:dyDescent="0.25">
      <c r="C629" s="83" t="str">
        <f>+$F$3</f>
        <v xml:space="preserve">Cta. Cte. $ N° 558-000162/1 </v>
      </c>
      <c r="D629" s="88"/>
      <c r="E629" s="83"/>
      <c r="F629" s="83"/>
      <c r="G629" s="128"/>
      <c r="H629" s="84"/>
      <c r="I629" s="83"/>
    </row>
    <row r="630" spans="3:9" ht="18" x14ac:dyDescent="0.25">
      <c r="C630" s="83" t="str">
        <f>+$F$4</f>
        <v>CBU: 0720558320000000016218</v>
      </c>
      <c r="D630" s="88"/>
      <c r="E630" s="83"/>
      <c r="F630" s="93"/>
      <c r="H630" s="91"/>
      <c r="I630" s="92"/>
    </row>
    <row r="631" spans="3:9" ht="18" x14ac:dyDescent="0.25">
      <c r="C631" s="83" t="str">
        <f>+$F$5</f>
        <v>CUIT: 30-66148861-8</v>
      </c>
      <c r="D631" s="88"/>
      <c r="E631" s="83"/>
      <c r="F631" s="83" t="s">
        <v>70</v>
      </c>
      <c r="G631" s="102">
        <f>+G614</f>
        <v>233966.79583199997</v>
      </c>
      <c r="H631" s="92"/>
      <c r="I631" s="97">
        <f>+C636</f>
        <v>46183</v>
      </c>
    </row>
    <row r="632" spans="3:9" ht="18" x14ac:dyDescent="0.25">
      <c r="C632" s="273"/>
      <c r="D632" s="88"/>
      <c r="E632" s="83"/>
      <c r="F632" s="83" t="s">
        <v>71</v>
      </c>
      <c r="G632" s="102">
        <f>+G615</f>
        <v>66753.076162500001</v>
      </c>
      <c r="I632" s="83"/>
    </row>
    <row r="633" spans="3:9" ht="18" x14ac:dyDescent="0.25">
      <c r="D633" s="88"/>
      <c r="E633" s="83"/>
      <c r="F633" s="83" t="s">
        <v>72</v>
      </c>
      <c r="G633" s="102">
        <f>+G617</f>
        <v>127</v>
      </c>
      <c r="H633" s="83"/>
      <c r="I633" s="83"/>
    </row>
    <row r="634" spans="3:9" ht="18" x14ac:dyDescent="0.25">
      <c r="C634" s="93"/>
      <c r="D634" s="93"/>
      <c r="E634" s="93"/>
      <c r="F634" s="83" t="s">
        <v>73</v>
      </c>
      <c r="G634" s="102">
        <f>+G618</f>
        <v>3.81</v>
      </c>
      <c r="H634" s="83"/>
      <c r="I634" s="83"/>
    </row>
    <row r="635" spans="3:9" ht="18" x14ac:dyDescent="0.25">
      <c r="E635" s="83"/>
      <c r="F635" s="83" t="s">
        <v>215</v>
      </c>
      <c r="G635" s="135">
        <f>+G616</f>
        <v>0</v>
      </c>
      <c r="H635" s="83"/>
      <c r="I635" s="83"/>
    </row>
    <row r="636" spans="3:9" ht="18" x14ac:dyDescent="0.25">
      <c r="C636" s="97">
        <f>+$H$43</f>
        <v>46183</v>
      </c>
      <c r="D636" s="157">
        <f>+G619</f>
        <v>300850.68199449999</v>
      </c>
      <c r="E636" s="83"/>
      <c r="F636" s="83" t="s">
        <v>74</v>
      </c>
      <c r="G636" s="102">
        <f>+G619</f>
        <v>300850.68199449999</v>
      </c>
      <c r="H636" s="83"/>
      <c r="I636" s="83"/>
    </row>
    <row r="637" spans="3:9" ht="18" x14ac:dyDescent="0.25">
      <c r="C637" s="83"/>
      <c r="D637" s="88"/>
      <c r="E637" s="83"/>
      <c r="F637" s="83"/>
      <c r="G637" s="83"/>
      <c r="H637" s="83"/>
      <c r="I637" s="83"/>
    </row>
    <row r="638" spans="3:9" ht="18" x14ac:dyDescent="0.25">
      <c r="C638" s="83"/>
      <c r="D638" s="88"/>
      <c r="E638" s="83"/>
      <c r="F638" s="100"/>
      <c r="G638" s="83"/>
      <c r="H638" s="83"/>
      <c r="I638" s="83"/>
    </row>
    <row r="639" spans="3:9" ht="18" x14ac:dyDescent="0.25">
      <c r="C639" s="83"/>
      <c r="D639" s="88"/>
      <c r="E639" s="83"/>
      <c r="F639" s="83"/>
      <c r="G639" s="83"/>
      <c r="H639" s="83"/>
      <c r="I639" s="91"/>
    </row>
    <row r="640" spans="3:9" ht="6" customHeight="1" x14ac:dyDescent="0.25">
      <c r="F640" s="83"/>
      <c r="H640" s="91"/>
      <c r="I640" s="83"/>
    </row>
    <row r="641" spans="3:9" ht="13.5" customHeight="1" x14ac:dyDescent="0.2"/>
    <row r="642" spans="3:9" ht="18" x14ac:dyDescent="0.25">
      <c r="C642" s="424"/>
      <c r="D642" s="424"/>
      <c r="E642" s="424"/>
      <c r="F642" s="433">
        <f>+$C$1</f>
        <v>46143</v>
      </c>
      <c r="G642" s="83"/>
      <c r="H642" s="429">
        <f>+$E$1</f>
        <v>46183</v>
      </c>
      <c r="I642" s="83"/>
    </row>
    <row r="643" spans="3:9" ht="18" x14ac:dyDescent="0.25">
      <c r="C643" s="82"/>
      <c r="D643" s="82"/>
      <c r="E643" s="98"/>
      <c r="F643" s="433"/>
      <c r="G643" s="83"/>
      <c r="H643" s="429"/>
      <c r="I643" s="83"/>
    </row>
    <row r="644" spans="3:9" ht="18" x14ac:dyDescent="0.25">
      <c r="C644" s="83"/>
      <c r="D644" s="88"/>
      <c r="E644" s="83"/>
      <c r="F644" s="84"/>
      <c r="G644" s="83"/>
      <c r="H644" s="84"/>
      <c r="I644" s="83"/>
    </row>
    <row r="645" spans="3:9" ht="27" customHeight="1" x14ac:dyDescent="0.25">
      <c r="D645" s="88"/>
      <c r="E645" s="83"/>
      <c r="F645" s="84"/>
      <c r="G645" s="83"/>
      <c r="H645" s="84"/>
      <c r="I645" s="83"/>
    </row>
    <row r="646" spans="3:9" ht="18" x14ac:dyDescent="0.25">
      <c r="C646" s="83" t="str">
        <f>+C18</f>
        <v>SEIGNEUR ULISES</v>
      </c>
      <c r="D646" s="88"/>
      <c r="E646" s="83"/>
      <c r="F646" s="83" t="s">
        <v>293</v>
      </c>
      <c r="G646" s="83"/>
      <c r="H646" s="83"/>
      <c r="I646" s="90" t="s">
        <v>91</v>
      </c>
    </row>
    <row r="647" spans="3:9" ht="18" x14ac:dyDescent="0.25">
      <c r="C647" s="83"/>
      <c r="D647" s="88"/>
      <c r="E647" s="83"/>
      <c r="F647" s="84"/>
      <c r="G647" s="83"/>
      <c r="H647" s="83"/>
      <c r="I647" s="90" t="str">
        <f>+'RES CUENTA'!B31</f>
        <v>8 B</v>
      </c>
    </row>
    <row r="648" spans="3:9" ht="18" x14ac:dyDescent="0.25">
      <c r="C648" s="91"/>
      <c r="D648" s="88"/>
      <c r="E648" s="91"/>
      <c r="F648" s="83"/>
      <c r="G648" s="83"/>
      <c r="H648" s="83"/>
      <c r="I648" s="83"/>
    </row>
    <row r="649" spans="3:9" ht="9" customHeight="1" x14ac:dyDescent="0.25">
      <c r="C649" s="91"/>
      <c r="D649" s="88"/>
      <c r="E649" s="91"/>
      <c r="F649" s="83"/>
      <c r="G649" s="83"/>
      <c r="H649" s="83"/>
      <c r="I649" s="83"/>
    </row>
    <row r="650" spans="3:9" ht="18" x14ac:dyDescent="0.25">
      <c r="C650" s="83" t="s">
        <v>68</v>
      </c>
      <c r="D650" s="88"/>
      <c r="E650" s="103">
        <f>+'RES CUENTA'!G36</f>
        <v>4623849.72</v>
      </c>
      <c r="F650" s="104">
        <f>+'RES CUENTA'!F31</f>
        <v>3.92</v>
      </c>
      <c r="G650" s="101">
        <f>+E650*F650/100</f>
        <v>181254.90902399999</v>
      </c>
      <c r="H650" s="425"/>
      <c r="I650" s="425"/>
    </row>
    <row r="651" spans="3:9" ht="18" x14ac:dyDescent="0.25">
      <c r="C651" s="83" t="s">
        <v>69</v>
      </c>
      <c r="D651" s="88"/>
      <c r="E651" s="103">
        <f>+'RES CUENTA'!J36</f>
        <v>1180425.75</v>
      </c>
      <c r="F651" s="104">
        <f>+'RES CUENTA'!H31</f>
        <v>3.92</v>
      </c>
      <c r="G651" s="101">
        <f>+E651*F651/100</f>
        <v>46272.689399999996</v>
      </c>
      <c r="H651" s="430"/>
      <c r="I651" s="430"/>
    </row>
    <row r="652" spans="3:9" ht="18" x14ac:dyDescent="0.25">
      <c r="C652" s="83" t="s">
        <v>215</v>
      </c>
      <c r="D652" s="88"/>
      <c r="E652" s="103">
        <f>+'RES CUENTA'!K31</f>
        <v>0</v>
      </c>
      <c r="F652" s="104">
        <v>0</v>
      </c>
      <c r="G652" s="101">
        <f>+E652</f>
        <v>0</v>
      </c>
      <c r="H652" s="430"/>
      <c r="I652" s="430"/>
    </row>
    <row r="653" spans="3:9" ht="18" x14ac:dyDescent="0.25">
      <c r="C653" s="83" t="s">
        <v>181</v>
      </c>
      <c r="D653" s="88"/>
      <c r="E653" s="103">
        <v>0</v>
      </c>
      <c r="F653" s="104">
        <v>0</v>
      </c>
      <c r="G653" s="101">
        <f>+'RES CUENTA'!M31</f>
        <v>0</v>
      </c>
      <c r="H653" s="430"/>
      <c r="I653" s="430"/>
    </row>
    <row r="654" spans="3:9" ht="18" x14ac:dyDescent="0.25">
      <c r="C654" s="83" t="s">
        <v>289</v>
      </c>
      <c r="D654" s="88"/>
      <c r="E654" s="103">
        <v>0</v>
      </c>
      <c r="F654" s="104">
        <v>0</v>
      </c>
      <c r="G654" s="134">
        <f>+'RES CUENTA'!N31</f>
        <v>0</v>
      </c>
      <c r="H654" s="430"/>
      <c r="I654" s="430"/>
    </row>
    <row r="655" spans="3:9" ht="18" x14ac:dyDescent="0.25">
      <c r="C655" s="84"/>
      <c r="D655" s="88"/>
      <c r="E655" s="83"/>
      <c r="F655" s="89"/>
      <c r="G655" s="101">
        <f>SUM(G650:G654)</f>
        <v>227527.598424</v>
      </c>
      <c r="H655" s="432"/>
      <c r="I655" s="432"/>
    </row>
    <row r="656" spans="3:9" ht="18" x14ac:dyDescent="0.25">
      <c r="C656" s="83"/>
      <c r="D656" s="88"/>
      <c r="E656" s="83"/>
      <c r="F656" s="83"/>
      <c r="G656" s="85"/>
      <c r="H656" s="88"/>
      <c r="I656" s="88"/>
    </row>
    <row r="657" spans="3:9" ht="18" x14ac:dyDescent="0.25">
      <c r="C657" s="83"/>
      <c r="D657" s="88"/>
      <c r="E657" s="83"/>
      <c r="F657" s="83"/>
      <c r="G657" s="85"/>
      <c r="H657" s="88"/>
      <c r="I657" s="88"/>
    </row>
    <row r="658" spans="3:9" ht="18" x14ac:dyDescent="0.25">
      <c r="C658" s="83"/>
      <c r="D658" s="88"/>
      <c r="E658" s="83"/>
      <c r="F658" s="83"/>
      <c r="G658" s="89"/>
      <c r="H658" s="83"/>
      <c r="I658" s="83"/>
    </row>
    <row r="659" spans="3:9" ht="18" x14ac:dyDescent="0.25">
      <c r="C659" s="83"/>
      <c r="D659" s="88"/>
      <c r="E659" s="83"/>
      <c r="F659" s="83"/>
      <c r="G659" s="89"/>
      <c r="H659" s="83"/>
      <c r="I659" s="83"/>
    </row>
    <row r="660" spans="3:9" ht="7.5" customHeight="1" x14ac:dyDescent="0.25">
      <c r="C660" s="83"/>
      <c r="D660" s="88"/>
      <c r="E660" s="83"/>
      <c r="F660" s="83"/>
      <c r="G660" s="89"/>
      <c r="H660" s="83"/>
      <c r="I660" s="83"/>
    </row>
    <row r="661" spans="3:9" ht="18" x14ac:dyDescent="0.25">
      <c r="C661" s="83" t="str">
        <f>+C646</f>
        <v>SEIGNEUR ULISES</v>
      </c>
      <c r="D661" s="427"/>
      <c r="E661" s="427"/>
      <c r="F661" s="83" t="str">
        <f>+C661</f>
        <v>SEIGNEUR ULISES</v>
      </c>
      <c r="G661" s="89"/>
      <c r="H661" s="83"/>
      <c r="I661" s="83"/>
    </row>
    <row r="662" spans="3:9" ht="18" x14ac:dyDescent="0.25">
      <c r="D662" s="88"/>
      <c r="E662" s="83"/>
      <c r="G662" s="427"/>
      <c r="H662" s="427"/>
      <c r="I662" s="427"/>
    </row>
    <row r="663" spans="3:9" ht="18" x14ac:dyDescent="0.25">
      <c r="C663" s="83" t="str">
        <f>+$F$1</f>
        <v>MONTES DE OCA 1068/1070 C.A.B.A.</v>
      </c>
      <c r="D663" s="88"/>
      <c r="E663" s="88" t="str">
        <f>+I646</f>
        <v>Unid. 17</v>
      </c>
      <c r="F663" s="83" t="str">
        <f>+$F$1</f>
        <v>MONTES DE OCA 1068/1070 C.A.B.A.</v>
      </c>
      <c r="G663" s="83"/>
      <c r="H663" s="83"/>
      <c r="I663" s="90" t="str">
        <f>+E663</f>
        <v>Unid. 17</v>
      </c>
    </row>
    <row r="664" spans="3:9" ht="18" x14ac:dyDescent="0.25">
      <c r="E664" s="88" t="str">
        <f>+I647</f>
        <v>8 B</v>
      </c>
      <c r="I664" s="90" t="str">
        <f>+I647</f>
        <v>8 B</v>
      </c>
    </row>
    <row r="665" spans="3:9" ht="15.75" customHeight="1" x14ac:dyDescent="0.25">
      <c r="C665" s="83" t="str">
        <f>+$F$2</f>
        <v>P/Depósito o transferencia en Banco Santander Rio</v>
      </c>
      <c r="D665" s="91"/>
      <c r="E665" s="84"/>
      <c r="F665" s="84"/>
      <c r="G665" s="83"/>
      <c r="H665" s="83"/>
    </row>
    <row r="666" spans="3:9" ht="18" x14ac:dyDescent="0.25">
      <c r="C666" s="83" t="str">
        <f>+$F$3</f>
        <v xml:space="preserve">Cta. Cte. $ N° 558-000162/1 </v>
      </c>
      <c r="D666" s="88"/>
      <c r="E666" s="83"/>
      <c r="F666" s="83"/>
      <c r="G666" s="83"/>
      <c r="H666" s="84"/>
      <c r="I666" s="99"/>
    </row>
    <row r="667" spans="3:9" ht="18" x14ac:dyDescent="0.25">
      <c r="C667" s="83" t="str">
        <f>+$F$4</f>
        <v>CBU: 0720558320000000016218</v>
      </c>
      <c r="D667" s="88"/>
      <c r="E667" s="83"/>
      <c r="F667" s="93"/>
      <c r="G667" s="83"/>
      <c r="H667" s="91"/>
      <c r="I667" s="83"/>
    </row>
    <row r="668" spans="3:9" ht="18" x14ac:dyDescent="0.25">
      <c r="C668" s="83" t="str">
        <f>+$F$5</f>
        <v>CUIT: 30-66148861-8</v>
      </c>
      <c r="D668" s="88"/>
      <c r="E668" s="83"/>
      <c r="F668" s="83" t="s">
        <v>70</v>
      </c>
      <c r="G668" s="102">
        <f>+G650</f>
        <v>181254.90902399999</v>
      </c>
      <c r="I668" s="97">
        <f>+C673</f>
        <v>46183</v>
      </c>
    </row>
    <row r="669" spans="3:9" ht="18" x14ac:dyDescent="0.25">
      <c r="C669" s="273"/>
      <c r="D669" s="88"/>
      <c r="E669" s="83"/>
      <c r="F669" s="83" t="s">
        <v>71</v>
      </c>
      <c r="G669" s="102">
        <f>+G651</f>
        <v>46272.689399999996</v>
      </c>
    </row>
    <row r="670" spans="3:9" ht="18" x14ac:dyDescent="0.25">
      <c r="D670" s="88"/>
      <c r="E670" s="83"/>
      <c r="F670" s="83" t="s">
        <v>72</v>
      </c>
      <c r="G670" s="102">
        <f>+G653</f>
        <v>0</v>
      </c>
      <c r="H670" s="83"/>
      <c r="I670" s="83"/>
    </row>
    <row r="671" spans="3:9" ht="18" x14ac:dyDescent="0.25">
      <c r="C671" s="83"/>
      <c r="D671" s="88"/>
      <c r="E671" s="83"/>
      <c r="F671" s="83" t="s">
        <v>73</v>
      </c>
      <c r="G671" s="102">
        <f>+G654</f>
        <v>0</v>
      </c>
      <c r="H671" s="83"/>
      <c r="I671" s="83"/>
    </row>
    <row r="672" spans="3:9" ht="18" x14ac:dyDescent="0.25">
      <c r="C672" s="93"/>
      <c r="D672" s="93"/>
      <c r="E672" s="93"/>
      <c r="F672" s="83" t="s">
        <v>215</v>
      </c>
      <c r="G672" s="135">
        <f>+G652</f>
        <v>0</v>
      </c>
      <c r="H672" s="102"/>
      <c r="I672" s="83"/>
    </row>
    <row r="673" spans="3:9" ht="18" x14ac:dyDescent="0.25">
      <c r="C673" s="97">
        <f>+$H$43</f>
        <v>46183</v>
      </c>
      <c r="D673" s="157">
        <f>+G655</f>
        <v>227527.598424</v>
      </c>
      <c r="E673" s="83"/>
      <c r="F673" s="83" t="s">
        <v>74</v>
      </c>
      <c r="G673" s="102">
        <f>+G655</f>
        <v>227527.598424</v>
      </c>
      <c r="H673" s="83"/>
      <c r="I673" s="83"/>
    </row>
    <row r="674" spans="3:9" ht="18" x14ac:dyDescent="0.25">
      <c r="C674" s="83"/>
      <c r="D674" s="88"/>
      <c r="E674" s="83"/>
      <c r="F674" s="100"/>
      <c r="G674" s="83"/>
      <c r="H674" s="83"/>
      <c r="I674" s="83"/>
    </row>
    <row r="675" spans="3:9" ht="18" x14ac:dyDescent="0.25">
      <c r="C675" s="83"/>
      <c r="D675" s="88"/>
      <c r="E675" s="83"/>
      <c r="G675" s="83"/>
      <c r="H675" s="83"/>
      <c r="I675" s="83"/>
    </row>
    <row r="676" spans="3:9" ht="18" x14ac:dyDescent="0.25">
      <c r="C676" s="83"/>
      <c r="D676" s="88"/>
      <c r="E676" s="83"/>
      <c r="G676" s="83"/>
      <c r="H676" s="83"/>
      <c r="I676" s="83"/>
    </row>
    <row r="677" spans="3:9" ht="18" x14ac:dyDescent="0.25">
      <c r="C677" s="83"/>
      <c r="D677" s="88"/>
      <c r="E677" s="83"/>
      <c r="F677" s="83"/>
      <c r="G677" s="83"/>
      <c r="H677" s="83"/>
      <c r="I677" s="83"/>
    </row>
    <row r="678" spans="3:9" ht="18" x14ac:dyDescent="0.25">
      <c r="C678" s="83"/>
      <c r="D678" s="88"/>
      <c r="E678" s="83"/>
      <c r="F678" s="83"/>
      <c r="G678" s="83"/>
      <c r="H678" s="425"/>
      <c r="I678" s="425"/>
    </row>
    <row r="679" spans="3:9" ht="18" x14ac:dyDescent="0.25">
      <c r="C679" s="83"/>
      <c r="D679" s="88"/>
      <c r="E679" s="83"/>
      <c r="F679" s="83"/>
      <c r="G679" s="83"/>
      <c r="H679" s="83"/>
      <c r="I679" s="83"/>
    </row>
    <row r="680" spans="3:9" ht="18" x14ac:dyDescent="0.25">
      <c r="C680" s="83"/>
      <c r="D680" s="88"/>
      <c r="E680" s="83"/>
      <c r="F680" s="83"/>
      <c r="G680" s="83"/>
      <c r="H680" s="83"/>
      <c r="I680" s="83"/>
    </row>
    <row r="681" spans="3:9" ht="18" x14ac:dyDescent="0.25">
      <c r="C681" s="83"/>
      <c r="D681" s="88"/>
      <c r="E681" s="83"/>
      <c r="F681" s="83"/>
      <c r="G681" s="83"/>
      <c r="H681" s="83"/>
      <c r="I681" s="83"/>
    </row>
    <row r="682" spans="3:9" ht="18" x14ac:dyDescent="0.25">
      <c r="C682" s="424"/>
      <c r="D682" s="424"/>
      <c r="E682" s="424"/>
      <c r="F682" s="83"/>
      <c r="G682" s="83"/>
      <c r="I682" s="83"/>
    </row>
    <row r="683" spans="3:9" ht="18" x14ac:dyDescent="0.25">
      <c r="C683" s="424"/>
      <c r="D683" s="424"/>
      <c r="E683" s="424"/>
      <c r="F683" s="96">
        <f>+$C$1</f>
        <v>46143</v>
      </c>
      <c r="G683" s="83"/>
      <c r="H683" s="97">
        <f>+$E$1</f>
        <v>46183</v>
      </c>
      <c r="I683" s="95"/>
    </row>
    <row r="684" spans="3:9" ht="18" x14ac:dyDescent="0.25">
      <c r="C684" s="82"/>
      <c r="D684" s="82"/>
      <c r="E684" s="98"/>
      <c r="F684" s="96"/>
      <c r="G684" s="83"/>
    </row>
    <row r="685" spans="3:9" ht="26.25" customHeight="1" x14ac:dyDescent="0.25">
      <c r="D685" s="88"/>
      <c r="E685" s="83"/>
      <c r="G685" s="83"/>
    </row>
    <row r="686" spans="3:9" ht="27" customHeight="1" x14ac:dyDescent="0.25">
      <c r="C686" s="83" t="str">
        <f>+C19</f>
        <v>VITA NORBERTO</v>
      </c>
      <c r="D686" s="88"/>
      <c r="E686" s="83"/>
      <c r="F686" s="83" t="str">
        <f>+$F$1</f>
        <v>MONTES DE OCA 1068/1070 C.A.B.A.</v>
      </c>
      <c r="G686" s="83"/>
      <c r="I686" s="90" t="s">
        <v>92</v>
      </c>
    </row>
    <row r="687" spans="3:9" ht="18" x14ac:dyDescent="0.25">
      <c r="C687" s="84"/>
      <c r="D687" s="88"/>
      <c r="E687" s="83"/>
      <c r="G687" s="83"/>
      <c r="H687" s="84"/>
      <c r="I687" s="90" t="str">
        <f>+'RES CUENTA'!B32</f>
        <v>9 A</v>
      </c>
    </row>
    <row r="688" spans="3:9" ht="18" x14ac:dyDescent="0.25">
      <c r="C688" s="83"/>
      <c r="D688" s="88"/>
      <c r="E688" s="83"/>
      <c r="F688" s="84"/>
      <c r="G688" s="83"/>
      <c r="H688" s="83"/>
      <c r="I688" s="84"/>
    </row>
    <row r="689" spans="3:9" ht="18" x14ac:dyDescent="0.25">
      <c r="C689" s="91"/>
      <c r="D689" s="88"/>
      <c r="E689" s="91"/>
      <c r="F689" s="83"/>
      <c r="G689" s="83"/>
      <c r="H689" s="83"/>
      <c r="I689" s="83"/>
    </row>
    <row r="690" spans="3:9" ht="18" x14ac:dyDescent="0.25">
      <c r="C690" s="83" t="s">
        <v>68</v>
      </c>
      <c r="D690" s="88"/>
      <c r="E690" s="103">
        <f>+'RES CUENTA'!G36</f>
        <v>4623849.72</v>
      </c>
      <c r="F690" s="104">
        <f>+'RES CUENTA'!F32</f>
        <v>5.25</v>
      </c>
      <c r="G690" s="101">
        <f>+E690*F690/100</f>
        <v>242752.11029999997</v>
      </c>
      <c r="H690" s="83"/>
      <c r="I690" s="91"/>
    </row>
    <row r="691" spans="3:9" ht="18" x14ac:dyDescent="0.25">
      <c r="C691" s="83" t="s">
        <v>69</v>
      </c>
      <c r="D691" s="88"/>
      <c r="E691" s="103">
        <f>+'RES CUENTA'!J36</f>
        <v>1180425.75</v>
      </c>
      <c r="F691" s="104">
        <f>+'RES CUENTA'!H32</f>
        <v>5.867</v>
      </c>
      <c r="G691" s="101">
        <f>+E691*F691/100</f>
        <v>69255.578752499991</v>
      </c>
      <c r="H691" s="91"/>
      <c r="I691" s="87"/>
    </row>
    <row r="692" spans="3:9" ht="18" x14ac:dyDescent="0.25">
      <c r="C692" s="83" t="s">
        <v>215</v>
      </c>
      <c r="D692" s="88"/>
      <c r="E692" s="103">
        <f>+'RES CUENTA'!K32</f>
        <v>0</v>
      </c>
      <c r="F692" s="104">
        <v>0</v>
      </c>
      <c r="G692" s="101">
        <f>+E692</f>
        <v>0</v>
      </c>
      <c r="H692" s="87"/>
      <c r="I692" s="87"/>
    </row>
    <row r="693" spans="3:9" ht="18" x14ac:dyDescent="0.25">
      <c r="C693" s="83" t="s">
        <v>311</v>
      </c>
      <c r="D693" s="88"/>
      <c r="E693" s="103">
        <v>0</v>
      </c>
      <c r="F693" s="104">
        <v>0</v>
      </c>
      <c r="G693" s="101">
        <f>+'RES CUENTA'!M32</f>
        <v>0</v>
      </c>
      <c r="H693" s="87"/>
      <c r="I693" s="87"/>
    </row>
    <row r="694" spans="3:9" ht="18" x14ac:dyDescent="0.25">
      <c r="C694" s="83" t="s">
        <v>289</v>
      </c>
      <c r="D694" s="88"/>
      <c r="E694" s="103">
        <v>0</v>
      </c>
      <c r="F694" s="104">
        <v>0</v>
      </c>
      <c r="G694" s="134">
        <f>+'RES CUENTA'!N32</f>
        <v>0</v>
      </c>
      <c r="H694" s="87"/>
      <c r="I694" s="87"/>
    </row>
    <row r="695" spans="3:9" ht="18" x14ac:dyDescent="0.25">
      <c r="C695" s="84"/>
      <c r="D695" s="88"/>
      <c r="E695" s="83"/>
      <c r="G695" s="101">
        <f>SUM(G690:G694)</f>
        <v>312007.68905249995</v>
      </c>
      <c r="H695" s="87"/>
      <c r="I695" s="88"/>
    </row>
    <row r="696" spans="3:9" ht="18" x14ac:dyDescent="0.25">
      <c r="C696" s="83"/>
      <c r="D696" s="88"/>
      <c r="E696" s="83"/>
      <c r="F696" s="83"/>
      <c r="G696" s="89"/>
      <c r="H696" s="88"/>
      <c r="I696" s="88"/>
    </row>
    <row r="697" spans="3:9" ht="18" x14ac:dyDescent="0.25">
      <c r="C697" s="83"/>
      <c r="D697" s="88"/>
      <c r="E697" s="83"/>
      <c r="F697" s="83"/>
      <c r="G697" s="89"/>
      <c r="H697" s="88"/>
      <c r="I697" s="88"/>
    </row>
    <row r="698" spans="3:9" ht="11.25" customHeight="1" x14ac:dyDescent="0.25">
      <c r="C698" s="83"/>
      <c r="D698" s="88"/>
      <c r="E698" s="83"/>
      <c r="F698" s="83"/>
      <c r="G698" s="89"/>
      <c r="H698" s="88"/>
      <c r="I698" s="88"/>
    </row>
    <row r="699" spans="3:9" ht="15" customHeight="1" x14ac:dyDescent="0.25">
      <c r="C699" s="83"/>
      <c r="D699" s="88"/>
      <c r="E699" s="83"/>
      <c r="F699" s="83"/>
      <c r="G699" s="89"/>
      <c r="H699" s="88"/>
      <c r="I699" s="88"/>
    </row>
    <row r="700" spans="3:9" ht="23.25" customHeight="1" x14ac:dyDescent="0.25">
      <c r="C700" s="83" t="str">
        <f>+C686</f>
        <v>VITA NORBERTO</v>
      </c>
      <c r="D700" s="88"/>
      <c r="E700" s="83"/>
      <c r="F700" s="83" t="str">
        <f>+C686</f>
        <v>VITA NORBERTO</v>
      </c>
      <c r="G700" s="83"/>
      <c r="H700" s="83"/>
      <c r="I700" s="99"/>
    </row>
    <row r="701" spans="3:9" ht="18" x14ac:dyDescent="0.25">
      <c r="C701" s="84"/>
      <c r="D701" s="88"/>
      <c r="E701" s="83"/>
      <c r="G701" s="83"/>
      <c r="H701" s="99"/>
      <c r="I701" s="90" t="str">
        <f>+I686</f>
        <v>Unid. 18</v>
      </c>
    </row>
    <row r="702" spans="3:9" ht="18" x14ac:dyDescent="0.25">
      <c r="C702" s="83" t="str">
        <f>+$F$1</f>
        <v>MONTES DE OCA 1068/1070 C.A.B.A.</v>
      </c>
      <c r="D702" s="88"/>
      <c r="E702" s="88" t="str">
        <f>+I701</f>
        <v>Unid. 18</v>
      </c>
      <c r="F702" s="83" t="str">
        <f>+$F$1</f>
        <v>MONTES DE OCA 1068/1070 C.A.B.A.</v>
      </c>
      <c r="G702" s="83"/>
      <c r="H702" s="83"/>
      <c r="I702" s="90" t="str">
        <f>+I687</f>
        <v>9 A</v>
      </c>
    </row>
    <row r="703" spans="3:9" ht="18" x14ac:dyDescent="0.25">
      <c r="C703" s="84"/>
      <c r="D703" s="91"/>
      <c r="E703" s="88" t="str">
        <f>+I687</f>
        <v>9 A</v>
      </c>
      <c r="G703" s="83"/>
      <c r="H703" s="83"/>
    </row>
    <row r="704" spans="3:9" ht="17.25" customHeight="1" x14ac:dyDescent="0.25">
      <c r="C704" s="83" t="str">
        <f>+$F$2</f>
        <v>P/Depósito o transferencia en Banco Santander Rio</v>
      </c>
      <c r="D704" s="88"/>
      <c r="E704" s="83"/>
      <c r="F704" s="84"/>
      <c r="G704" s="83"/>
      <c r="H704" s="83"/>
      <c r="I704" s="99"/>
    </row>
    <row r="705" spans="3:9" ht="18" x14ac:dyDescent="0.25">
      <c r="C705" s="83" t="str">
        <f>+$F$3</f>
        <v xml:space="preserve">Cta. Cte. $ N° 558-000162/1 </v>
      </c>
      <c r="D705" s="88"/>
      <c r="E705" s="83"/>
      <c r="F705" s="83"/>
      <c r="G705" s="128"/>
      <c r="H705" s="84"/>
      <c r="I705" s="83"/>
    </row>
    <row r="706" spans="3:9" ht="18" x14ac:dyDescent="0.25">
      <c r="C706" s="83" t="str">
        <f>+$F$4</f>
        <v>CBU: 0720558320000000016218</v>
      </c>
      <c r="D706" s="88"/>
      <c r="E706" s="83"/>
      <c r="F706" s="93"/>
      <c r="H706" s="91"/>
      <c r="I706" s="92"/>
    </row>
    <row r="707" spans="3:9" ht="18" x14ac:dyDescent="0.25">
      <c r="C707" s="83" t="str">
        <f>+$F$5</f>
        <v>CUIT: 30-66148861-8</v>
      </c>
      <c r="D707" s="88"/>
      <c r="E707" s="83"/>
      <c r="F707" s="83" t="s">
        <v>70</v>
      </c>
      <c r="G707" s="102">
        <f>+G690</f>
        <v>242752.11029999997</v>
      </c>
      <c r="H707" s="92"/>
      <c r="I707" s="97">
        <f>+C712</f>
        <v>46183</v>
      </c>
    </row>
    <row r="708" spans="3:9" ht="18" x14ac:dyDescent="0.25">
      <c r="C708" s="273"/>
      <c r="D708" s="88"/>
      <c r="E708" s="83"/>
      <c r="F708" s="83" t="s">
        <v>71</v>
      </c>
      <c r="G708" s="102">
        <f>+G691</f>
        <v>69255.578752499991</v>
      </c>
      <c r="I708" s="83"/>
    </row>
    <row r="709" spans="3:9" ht="18" x14ac:dyDescent="0.25">
      <c r="D709" s="88"/>
      <c r="E709" s="83"/>
      <c r="F709" s="83" t="s">
        <v>72</v>
      </c>
      <c r="G709" s="102">
        <f>+G693</f>
        <v>0</v>
      </c>
      <c r="H709" s="83"/>
      <c r="I709" s="83"/>
    </row>
    <row r="710" spans="3:9" ht="18" x14ac:dyDescent="0.25">
      <c r="C710" s="93"/>
      <c r="D710" s="93"/>
      <c r="E710" s="93"/>
      <c r="F710" s="83" t="s">
        <v>73</v>
      </c>
      <c r="G710" s="102">
        <f>+G694</f>
        <v>0</v>
      </c>
      <c r="H710" s="83"/>
      <c r="I710" s="83"/>
    </row>
    <row r="711" spans="3:9" ht="18" x14ac:dyDescent="0.25">
      <c r="E711" s="83"/>
      <c r="F711" s="83" t="s">
        <v>215</v>
      </c>
      <c r="G711" s="135">
        <f>+G692</f>
        <v>0</v>
      </c>
      <c r="H711" s="83"/>
      <c r="I711" s="83"/>
    </row>
    <row r="712" spans="3:9" ht="18" x14ac:dyDescent="0.25">
      <c r="C712" s="97">
        <f>+$H$43</f>
        <v>46183</v>
      </c>
      <c r="D712" s="157">
        <f>+G695</f>
        <v>312007.68905249995</v>
      </c>
      <c r="E712" s="83"/>
      <c r="F712" s="83" t="s">
        <v>74</v>
      </c>
      <c r="G712" s="102">
        <f>+G695</f>
        <v>312007.68905249995</v>
      </c>
      <c r="H712" s="83"/>
      <c r="I712" s="83"/>
    </row>
    <row r="713" spans="3:9" ht="18" x14ac:dyDescent="0.25">
      <c r="C713" s="83"/>
      <c r="D713" s="88"/>
      <c r="E713" s="83"/>
      <c r="F713" s="83"/>
      <c r="G713" s="83"/>
      <c r="H713" s="83"/>
      <c r="I713" s="83"/>
    </row>
    <row r="714" spans="3:9" ht="18" x14ac:dyDescent="0.25">
      <c r="C714" s="83"/>
      <c r="D714" s="88"/>
      <c r="E714" s="83"/>
      <c r="F714" s="100"/>
      <c r="G714" s="83"/>
      <c r="H714" s="83"/>
      <c r="I714" s="83"/>
    </row>
    <row r="715" spans="3:9" ht="18" x14ac:dyDescent="0.25">
      <c r="C715" s="83"/>
      <c r="D715" s="88"/>
      <c r="E715" s="83"/>
      <c r="F715" s="83"/>
      <c r="G715" s="83"/>
      <c r="H715" s="83"/>
      <c r="I715" s="91"/>
    </row>
    <row r="716" spans="3:9" ht="7.5" customHeight="1" x14ac:dyDescent="0.25">
      <c r="F716" s="83"/>
      <c r="H716" s="91"/>
      <c r="I716" s="83"/>
    </row>
    <row r="717" spans="3:9" ht="11.25" customHeight="1" x14ac:dyDescent="0.2"/>
    <row r="718" spans="3:9" ht="18" x14ac:dyDescent="0.25">
      <c r="C718" s="424"/>
      <c r="D718" s="424"/>
      <c r="E718" s="424"/>
      <c r="F718" s="433">
        <f>+$C$1</f>
        <v>46143</v>
      </c>
      <c r="G718" s="83"/>
      <c r="H718" s="429">
        <f>+$E$1</f>
        <v>46183</v>
      </c>
      <c r="I718" s="83"/>
    </row>
    <row r="719" spans="3:9" ht="18" x14ac:dyDescent="0.25">
      <c r="C719" s="82"/>
      <c r="D719" s="82"/>
      <c r="E719" s="98"/>
      <c r="F719" s="433"/>
      <c r="G719" s="83"/>
      <c r="H719" s="429"/>
      <c r="I719" s="83"/>
    </row>
    <row r="720" spans="3:9" ht="18" x14ac:dyDescent="0.25">
      <c r="C720" s="83"/>
      <c r="D720" s="88"/>
      <c r="E720" s="83"/>
      <c r="F720" s="84"/>
      <c r="G720" s="83"/>
      <c r="H720" s="84"/>
      <c r="I720" s="83"/>
    </row>
    <row r="721" spans="3:9" ht="24.75" customHeight="1" x14ac:dyDescent="0.25">
      <c r="D721" s="88"/>
      <c r="E721" s="83"/>
      <c r="F721" s="84"/>
      <c r="G721" s="83"/>
      <c r="H721" s="84"/>
      <c r="I721" s="83"/>
    </row>
    <row r="722" spans="3:9" ht="17.25" customHeight="1" x14ac:dyDescent="0.25">
      <c r="C722" s="83" t="str">
        <f>+C20</f>
        <v>LOMBARDI EDUARDO</v>
      </c>
      <c r="D722" s="88"/>
      <c r="E722" s="83"/>
      <c r="F722" s="83" t="s">
        <v>293</v>
      </c>
      <c r="G722" s="83"/>
      <c r="H722" s="83"/>
      <c r="I722" s="90" t="s">
        <v>93</v>
      </c>
    </row>
    <row r="723" spans="3:9" ht="18" x14ac:dyDescent="0.25">
      <c r="C723" s="83"/>
      <c r="D723" s="88"/>
      <c r="E723" s="83"/>
      <c r="F723" s="84"/>
      <c r="G723" s="83"/>
      <c r="H723" s="83"/>
      <c r="I723" s="90" t="str">
        <f>+'RES CUENTA'!B33</f>
        <v>9 B</v>
      </c>
    </row>
    <row r="724" spans="3:9" ht="18" x14ac:dyDescent="0.25">
      <c r="C724" s="91"/>
      <c r="D724" s="88"/>
      <c r="E724" s="91"/>
      <c r="F724" s="83"/>
      <c r="G724" s="83"/>
      <c r="H724" s="83"/>
      <c r="I724" s="83"/>
    </row>
    <row r="725" spans="3:9" ht="12.75" customHeight="1" x14ac:dyDescent="0.25">
      <c r="C725" s="91"/>
      <c r="D725" s="88"/>
      <c r="E725" s="91"/>
      <c r="F725" s="83"/>
      <c r="G725" s="83"/>
      <c r="H725" s="83"/>
      <c r="I725" s="83"/>
    </row>
    <row r="726" spans="3:9" ht="18" x14ac:dyDescent="0.25">
      <c r="C726" s="83" t="s">
        <v>68</v>
      </c>
      <c r="D726" s="88"/>
      <c r="E726" s="103">
        <f>+'RES CUENTA'!G36</f>
        <v>4623849.72</v>
      </c>
      <c r="F726" s="104">
        <f>+'RES CUENTA'!F33</f>
        <v>1.94</v>
      </c>
      <c r="G726" s="101">
        <f>+E726*F726/100</f>
        <v>89702.684567999982</v>
      </c>
      <c r="H726" s="425"/>
      <c r="I726" s="425"/>
    </row>
    <row r="727" spans="3:9" ht="18" x14ac:dyDescent="0.25">
      <c r="C727" s="83" t="s">
        <v>69</v>
      </c>
      <c r="D727" s="88"/>
      <c r="E727" s="103">
        <f>+'RES CUENTA'!J36</f>
        <v>1180425.75</v>
      </c>
      <c r="F727" s="104">
        <f>+'RES CUENTA'!H33</f>
        <v>2.1680000000000001</v>
      </c>
      <c r="G727" s="101">
        <f>+E727*F727/100</f>
        <v>25591.630260000002</v>
      </c>
      <c r="H727" s="430"/>
      <c r="I727" s="430"/>
    </row>
    <row r="728" spans="3:9" ht="18" x14ac:dyDescent="0.25">
      <c r="C728" s="83" t="s">
        <v>215</v>
      </c>
      <c r="D728" s="88"/>
      <c r="E728" s="103">
        <f>+'RES CUENTA'!K33</f>
        <v>0</v>
      </c>
      <c r="F728" s="104">
        <v>0</v>
      </c>
      <c r="G728" s="101">
        <f>+E728</f>
        <v>0</v>
      </c>
      <c r="H728" s="430"/>
      <c r="I728" s="430"/>
    </row>
    <row r="729" spans="3:9" ht="18" x14ac:dyDescent="0.25">
      <c r="C729" s="83" t="s">
        <v>181</v>
      </c>
      <c r="D729" s="88"/>
      <c r="E729" s="103">
        <v>0</v>
      </c>
      <c r="F729" s="104">
        <v>0</v>
      </c>
      <c r="G729" s="101">
        <f>+'RES CUENTA'!M33</f>
        <v>0</v>
      </c>
      <c r="H729" s="430"/>
      <c r="I729" s="430"/>
    </row>
    <row r="730" spans="3:9" ht="18" x14ac:dyDescent="0.25">
      <c r="C730" s="83" t="s">
        <v>289</v>
      </c>
      <c r="D730" s="88"/>
      <c r="E730" s="103">
        <v>0</v>
      </c>
      <c r="F730" s="104">
        <v>0</v>
      </c>
      <c r="G730" s="134">
        <f>+'RES CUENTA'!N33</f>
        <v>0</v>
      </c>
      <c r="H730" s="430"/>
      <c r="I730" s="430"/>
    </row>
    <row r="731" spans="3:9" ht="18" x14ac:dyDescent="0.25">
      <c r="C731" s="84"/>
      <c r="D731" s="88"/>
      <c r="E731" s="83"/>
      <c r="F731" s="89"/>
      <c r="G731" s="101">
        <f>SUM(G726:G730)</f>
        <v>115294.31482799999</v>
      </c>
      <c r="H731" s="87"/>
      <c r="I731" s="87"/>
    </row>
    <row r="732" spans="3:9" ht="18" x14ac:dyDescent="0.25">
      <c r="C732" s="84"/>
      <c r="D732" s="88"/>
      <c r="E732" s="83"/>
      <c r="F732" s="83"/>
      <c r="H732" s="432"/>
      <c r="I732" s="432"/>
    </row>
    <row r="733" spans="3:9" ht="18" x14ac:dyDescent="0.25">
      <c r="C733" s="83"/>
      <c r="D733" s="88"/>
      <c r="E733" s="83"/>
      <c r="F733" s="83"/>
      <c r="G733" s="85"/>
      <c r="H733" s="88"/>
      <c r="I733" s="88"/>
    </row>
    <row r="734" spans="3:9" ht="18" x14ac:dyDescent="0.25">
      <c r="C734" s="83"/>
      <c r="D734" s="88"/>
      <c r="E734" s="83"/>
      <c r="F734" s="83"/>
      <c r="G734" s="85"/>
      <c r="H734" s="88"/>
      <c r="I734" s="88"/>
    </row>
    <row r="735" spans="3:9" ht="18" x14ac:dyDescent="0.25">
      <c r="C735" s="83"/>
      <c r="D735" s="88"/>
      <c r="E735" s="83"/>
      <c r="F735" s="83"/>
      <c r="G735" s="89"/>
      <c r="H735" s="83"/>
      <c r="I735" s="83"/>
    </row>
    <row r="736" spans="3:9" ht="13.5" customHeight="1" x14ac:dyDescent="0.25">
      <c r="C736" s="83"/>
      <c r="D736" s="88"/>
      <c r="E736" s="83"/>
      <c r="F736" s="83"/>
      <c r="G736" s="89"/>
      <c r="H736" s="83"/>
      <c r="I736" s="83"/>
    </row>
    <row r="737" spans="3:9" ht="18" x14ac:dyDescent="0.25">
      <c r="C737" s="83" t="str">
        <f>+C722</f>
        <v>LOMBARDI EDUARDO</v>
      </c>
      <c r="D737" s="427"/>
      <c r="E737" s="427"/>
      <c r="F737" s="83" t="str">
        <f>+C737</f>
        <v>LOMBARDI EDUARDO</v>
      </c>
      <c r="G737" s="89"/>
      <c r="H737" s="83"/>
      <c r="I737" s="83"/>
    </row>
    <row r="738" spans="3:9" ht="18" x14ac:dyDescent="0.25">
      <c r="D738" s="88"/>
      <c r="E738" s="83"/>
      <c r="G738" s="427"/>
      <c r="H738" s="427"/>
      <c r="I738" s="427"/>
    </row>
    <row r="739" spans="3:9" ht="18" x14ac:dyDescent="0.25">
      <c r="C739" s="83" t="str">
        <f>+$F$1</f>
        <v>MONTES DE OCA 1068/1070 C.A.B.A.</v>
      </c>
      <c r="D739" s="88"/>
      <c r="E739" s="88" t="str">
        <f>+I722</f>
        <v>Unid. 19</v>
      </c>
      <c r="F739" s="83" t="str">
        <f>+$F$1</f>
        <v>MONTES DE OCA 1068/1070 C.A.B.A.</v>
      </c>
      <c r="G739" s="83"/>
      <c r="H739" s="83"/>
      <c r="I739" s="90" t="str">
        <f>+E739</f>
        <v>Unid. 19</v>
      </c>
    </row>
    <row r="740" spans="3:9" ht="18" x14ac:dyDescent="0.25">
      <c r="E740" s="88" t="str">
        <f>+I740</f>
        <v>9 B</v>
      </c>
      <c r="I740" s="90" t="str">
        <f>+I723</f>
        <v>9 B</v>
      </c>
    </row>
    <row r="741" spans="3:9" ht="14.25" customHeight="1" x14ac:dyDescent="0.25">
      <c r="C741" s="83" t="str">
        <f>+$F$2</f>
        <v>P/Depósito o transferencia en Banco Santander Rio</v>
      </c>
      <c r="D741" s="91"/>
      <c r="E741" s="84"/>
      <c r="F741" s="84"/>
      <c r="G741" s="83"/>
      <c r="H741" s="83"/>
    </row>
    <row r="742" spans="3:9" ht="18" x14ac:dyDescent="0.25">
      <c r="C742" s="83" t="str">
        <f>+$F$3</f>
        <v xml:space="preserve">Cta. Cte. $ N° 558-000162/1 </v>
      </c>
      <c r="D742" s="88"/>
      <c r="E742" s="83"/>
      <c r="F742" s="83"/>
      <c r="G742" s="83"/>
      <c r="H742" s="84"/>
      <c r="I742" s="99"/>
    </row>
    <row r="743" spans="3:9" ht="18" x14ac:dyDescent="0.25">
      <c r="C743" s="83" t="str">
        <f>+$F$4</f>
        <v>CBU: 0720558320000000016218</v>
      </c>
      <c r="D743" s="88"/>
      <c r="E743" s="83"/>
      <c r="F743" s="93"/>
      <c r="G743" s="83"/>
      <c r="H743" s="91"/>
      <c r="I743" s="83"/>
    </row>
    <row r="744" spans="3:9" ht="18" x14ac:dyDescent="0.25">
      <c r="C744" s="83" t="str">
        <f>+$F$5</f>
        <v>CUIT: 30-66148861-8</v>
      </c>
      <c r="D744" s="88"/>
      <c r="E744" s="83"/>
      <c r="F744" s="83" t="s">
        <v>70</v>
      </c>
      <c r="G744" s="102">
        <f>+G726</f>
        <v>89702.684567999982</v>
      </c>
      <c r="I744" s="97">
        <f>+C749</f>
        <v>46183</v>
      </c>
    </row>
    <row r="745" spans="3:9" ht="18" x14ac:dyDescent="0.25">
      <c r="C745" s="273"/>
      <c r="D745" s="88"/>
      <c r="E745" s="83"/>
      <c r="F745" s="83" t="s">
        <v>71</v>
      </c>
      <c r="G745" s="102">
        <f>+G727</f>
        <v>25591.630260000002</v>
      </c>
    </row>
    <row r="746" spans="3:9" ht="18" x14ac:dyDescent="0.25">
      <c r="D746" s="88"/>
      <c r="E746" s="83"/>
      <c r="F746" s="83" t="s">
        <v>72</v>
      </c>
      <c r="G746" s="102">
        <f>+G729</f>
        <v>0</v>
      </c>
      <c r="H746" s="83"/>
      <c r="I746" s="83"/>
    </row>
    <row r="747" spans="3:9" ht="18" x14ac:dyDescent="0.25">
      <c r="C747" s="83"/>
      <c r="D747" s="88"/>
      <c r="E747" s="83"/>
      <c r="F747" s="83" t="s">
        <v>73</v>
      </c>
      <c r="G747" s="102">
        <f>+G730</f>
        <v>0</v>
      </c>
      <c r="H747" s="83"/>
      <c r="I747" s="83"/>
    </row>
    <row r="748" spans="3:9" ht="18" x14ac:dyDescent="0.25">
      <c r="C748" s="93"/>
      <c r="D748" s="93"/>
      <c r="E748" s="93"/>
      <c r="F748" s="83" t="s">
        <v>215</v>
      </c>
      <c r="G748" s="135">
        <f>+G728</f>
        <v>0</v>
      </c>
      <c r="H748" s="83"/>
      <c r="I748" s="83"/>
    </row>
    <row r="749" spans="3:9" ht="18" x14ac:dyDescent="0.25">
      <c r="C749" s="97">
        <f>+$H$43</f>
        <v>46183</v>
      </c>
      <c r="D749" s="157">
        <f>+G731</f>
        <v>115294.31482799999</v>
      </c>
      <c r="E749" s="83"/>
      <c r="F749" s="83" t="s">
        <v>74</v>
      </c>
      <c r="G749" s="102">
        <f>+G731</f>
        <v>115294.31482799999</v>
      </c>
      <c r="H749" s="83"/>
      <c r="I749" s="83"/>
    </row>
    <row r="750" spans="3:9" ht="18" x14ac:dyDescent="0.25">
      <c r="C750" s="83"/>
      <c r="D750" s="88"/>
      <c r="E750" s="83"/>
      <c r="F750" s="100"/>
      <c r="G750" s="83"/>
      <c r="H750" s="83"/>
      <c r="I750" s="83"/>
    </row>
    <row r="751" spans="3:9" ht="18" x14ac:dyDescent="0.25">
      <c r="C751" s="83"/>
      <c r="D751" s="88"/>
      <c r="E751" s="83"/>
      <c r="G751" s="83"/>
      <c r="H751" s="83"/>
      <c r="I751" s="83"/>
    </row>
    <row r="752" spans="3:9" ht="18" x14ac:dyDescent="0.25">
      <c r="C752" s="83"/>
      <c r="D752" s="88"/>
      <c r="E752" s="83"/>
      <c r="F752" s="83"/>
      <c r="G752" s="83"/>
      <c r="H752" s="83"/>
      <c r="I752" s="83"/>
    </row>
    <row r="753" spans="3:9" ht="18" x14ac:dyDescent="0.25">
      <c r="C753" s="83"/>
      <c r="D753" s="88"/>
      <c r="E753" s="83"/>
      <c r="F753" s="83"/>
      <c r="G753" s="83"/>
      <c r="H753" s="425"/>
      <c r="I753" s="425"/>
    </row>
    <row r="754" spans="3:9" ht="18" x14ac:dyDescent="0.25">
      <c r="C754" s="83"/>
      <c r="D754" s="88"/>
      <c r="E754" s="83"/>
      <c r="F754" s="83"/>
      <c r="G754" s="83"/>
      <c r="H754" s="83"/>
      <c r="I754" s="83"/>
    </row>
    <row r="755" spans="3:9" ht="18" x14ac:dyDescent="0.25">
      <c r="C755" s="83"/>
      <c r="D755" s="88"/>
      <c r="E755" s="83"/>
      <c r="F755" s="83"/>
      <c r="G755" s="83"/>
      <c r="H755" s="83"/>
      <c r="I755" s="83"/>
    </row>
    <row r="756" spans="3:9" ht="18" x14ac:dyDescent="0.25">
      <c r="C756" s="83"/>
      <c r="D756" s="88"/>
      <c r="E756" s="83"/>
      <c r="F756" s="83"/>
      <c r="G756" s="83"/>
      <c r="H756" s="83"/>
      <c r="I756" s="83"/>
    </row>
    <row r="757" spans="3:9" ht="18" x14ac:dyDescent="0.25">
      <c r="C757" s="83"/>
      <c r="D757" s="88"/>
      <c r="E757" s="83"/>
      <c r="F757" s="83"/>
      <c r="G757" s="83"/>
      <c r="I757" s="83"/>
    </row>
    <row r="758" spans="3:9" ht="18" x14ac:dyDescent="0.25">
      <c r="C758" s="424"/>
      <c r="D758" s="424"/>
      <c r="E758" s="424"/>
      <c r="F758" s="83"/>
      <c r="G758" s="83"/>
      <c r="I758" s="83"/>
    </row>
    <row r="759" spans="3:9" ht="18" x14ac:dyDescent="0.25">
      <c r="C759" s="424"/>
      <c r="D759" s="424"/>
      <c r="E759" s="424"/>
      <c r="F759" s="96">
        <f>+$C$1</f>
        <v>46143</v>
      </c>
      <c r="G759" s="83"/>
      <c r="H759" s="97">
        <f>+$E$1</f>
        <v>46183</v>
      </c>
      <c r="I759" s="95"/>
    </row>
    <row r="760" spans="3:9" ht="18" x14ac:dyDescent="0.25">
      <c r="C760" s="82"/>
      <c r="D760" s="82"/>
      <c r="E760" s="98"/>
      <c r="F760" s="96"/>
      <c r="G760" s="83"/>
    </row>
    <row r="761" spans="3:9" ht="28.5" customHeight="1" x14ac:dyDescent="0.25">
      <c r="D761" s="88"/>
      <c r="E761" s="83"/>
      <c r="G761" s="83"/>
    </row>
    <row r="762" spans="3:9" ht="22.5" customHeight="1" x14ac:dyDescent="0.25">
      <c r="C762" s="83" t="str">
        <f>+C21</f>
        <v>RAMIREZ PATRICIA G. D.</v>
      </c>
      <c r="D762" s="88"/>
      <c r="E762" s="83"/>
      <c r="F762" s="83" t="str">
        <f>+$F$1</f>
        <v>MONTES DE OCA 1068/1070 C.A.B.A.</v>
      </c>
      <c r="G762" s="83"/>
      <c r="I762" s="90" t="s">
        <v>94</v>
      </c>
    </row>
    <row r="763" spans="3:9" ht="18" x14ac:dyDescent="0.25">
      <c r="C763" s="84"/>
      <c r="D763" s="88"/>
      <c r="E763" s="83"/>
      <c r="G763" s="83"/>
      <c r="H763" s="84"/>
      <c r="I763" s="90" t="str">
        <f>+'RES CUENTA'!B34</f>
        <v>10 A</v>
      </c>
    </row>
    <row r="764" spans="3:9" ht="18" x14ac:dyDescent="0.25">
      <c r="C764" s="83"/>
      <c r="D764" s="88"/>
      <c r="E764" s="83"/>
      <c r="F764" s="84"/>
      <c r="G764" s="83"/>
      <c r="H764" s="83"/>
      <c r="I764" s="84"/>
    </row>
    <row r="765" spans="3:9" ht="18" x14ac:dyDescent="0.25">
      <c r="C765" s="91"/>
      <c r="D765" s="88"/>
      <c r="E765" s="91"/>
      <c r="F765" s="83"/>
      <c r="G765" s="83"/>
      <c r="H765" s="83"/>
      <c r="I765" s="83"/>
    </row>
    <row r="766" spans="3:9" ht="18" x14ac:dyDescent="0.25">
      <c r="C766" s="83" t="s">
        <v>68</v>
      </c>
      <c r="D766" s="88"/>
      <c r="E766" s="103">
        <f>+'RES CUENTA'!G36</f>
        <v>4623849.72</v>
      </c>
      <c r="F766" s="104">
        <f>+'RES CUENTA'!F34</f>
        <v>2.86</v>
      </c>
      <c r="G766" s="101">
        <f>+E766*F766/100</f>
        <v>132242.10199199998</v>
      </c>
      <c r="H766" s="83"/>
      <c r="I766" s="91"/>
    </row>
    <row r="767" spans="3:9" ht="18" x14ac:dyDescent="0.25">
      <c r="C767" s="83" t="s">
        <v>69</v>
      </c>
      <c r="D767" s="88"/>
      <c r="E767" s="103">
        <f>+'RES CUENTA'!J36</f>
        <v>1180425.75</v>
      </c>
      <c r="F767" s="104">
        <f>+'RES CUENTA'!H34</f>
        <v>3.1960000000000002</v>
      </c>
      <c r="G767" s="101">
        <f>+E767*F767/100</f>
        <v>37726.406970000004</v>
      </c>
      <c r="H767" s="91"/>
      <c r="I767" s="87"/>
    </row>
    <row r="768" spans="3:9" ht="18" x14ac:dyDescent="0.25">
      <c r="C768" s="83" t="s">
        <v>215</v>
      </c>
      <c r="D768" s="88"/>
      <c r="E768" s="103">
        <f>+'RES CUENTA'!K34</f>
        <v>0</v>
      </c>
      <c r="F768" s="104">
        <v>0</v>
      </c>
      <c r="G768" s="101">
        <f>+E768</f>
        <v>0</v>
      </c>
      <c r="H768" s="87"/>
      <c r="I768" s="87"/>
    </row>
    <row r="769" spans="3:9" ht="18" x14ac:dyDescent="0.25">
      <c r="C769" s="83" t="s">
        <v>181</v>
      </c>
      <c r="D769" s="88"/>
      <c r="E769" s="103">
        <v>0</v>
      </c>
      <c r="F769" s="104">
        <v>0</v>
      </c>
      <c r="G769" s="101">
        <f>+'RES CUENTA'!M34</f>
        <v>0</v>
      </c>
      <c r="H769" s="87"/>
      <c r="I769" s="87"/>
    </row>
    <row r="770" spans="3:9" ht="18" x14ac:dyDescent="0.25">
      <c r="C770" s="83" t="s">
        <v>289</v>
      </c>
      <c r="D770" s="88"/>
      <c r="E770" s="103">
        <v>0</v>
      </c>
      <c r="F770" s="104">
        <v>0</v>
      </c>
      <c r="G770" s="134">
        <f>+'RES CUENTA'!N34</f>
        <v>0</v>
      </c>
      <c r="H770" s="87"/>
      <c r="I770" s="87"/>
    </row>
    <row r="771" spans="3:9" ht="18" x14ac:dyDescent="0.25">
      <c r="C771" s="84"/>
      <c r="D771" s="88"/>
      <c r="E771" s="83"/>
      <c r="G771" s="101">
        <f>SUM(G766:G770)</f>
        <v>169968.50896199999</v>
      </c>
      <c r="H771" s="87"/>
      <c r="I771" s="87"/>
    </row>
    <row r="772" spans="3:9" ht="18" x14ac:dyDescent="0.25">
      <c r="C772" s="84"/>
      <c r="D772" s="88"/>
      <c r="E772" s="83"/>
      <c r="G772" s="85"/>
      <c r="H772" s="87"/>
      <c r="I772" s="88"/>
    </row>
    <row r="773" spans="3:9" ht="12.75" customHeight="1" x14ac:dyDescent="0.25">
      <c r="C773" s="83"/>
      <c r="D773" s="88"/>
      <c r="E773" s="83"/>
      <c r="F773" s="83"/>
      <c r="G773" s="89"/>
      <c r="H773" s="88"/>
      <c r="I773" s="88"/>
    </row>
    <row r="774" spans="3:9" ht="18" x14ac:dyDescent="0.25">
      <c r="C774" s="83"/>
      <c r="D774" s="88"/>
      <c r="E774" s="83"/>
      <c r="F774" s="83"/>
      <c r="G774" s="89"/>
      <c r="H774" s="88"/>
      <c r="I774" s="88"/>
    </row>
    <row r="775" spans="3:9" ht="16.5" customHeight="1" x14ac:dyDescent="0.25">
      <c r="C775" s="83"/>
      <c r="D775" s="88"/>
      <c r="E775" s="83"/>
      <c r="F775" s="83"/>
      <c r="G775" s="89"/>
      <c r="H775" s="88"/>
      <c r="I775" s="88"/>
    </row>
    <row r="776" spans="3:9" ht="23.25" customHeight="1" x14ac:dyDescent="0.25">
      <c r="C776" s="83" t="str">
        <f>+C762</f>
        <v>RAMIREZ PATRICIA G. D.</v>
      </c>
      <c r="D776" s="88"/>
      <c r="E776" s="83"/>
      <c r="F776" s="83" t="str">
        <f>+C762</f>
        <v>RAMIREZ PATRICIA G. D.</v>
      </c>
      <c r="G776" s="83"/>
      <c r="H776" s="83"/>
      <c r="I776" s="99"/>
    </row>
    <row r="777" spans="3:9" ht="18" x14ac:dyDescent="0.25">
      <c r="C777" s="84"/>
      <c r="D777" s="88"/>
      <c r="E777" s="83"/>
      <c r="G777" s="83"/>
      <c r="H777" s="99"/>
      <c r="I777" s="90" t="str">
        <f>+I762</f>
        <v>Unid. 20</v>
      </c>
    </row>
    <row r="778" spans="3:9" ht="18" x14ac:dyDescent="0.25">
      <c r="C778" s="83" t="str">
        <f>+$F$1</f>
        <v>MONTES DE OCA 1068/1070 C.A.B.A.</v>
      </c>
      <c r="D778" s="88"/>
      <c r="E778" s="88" t="str">
        <f>+I777</f>
        <v>Unid. 20</v>
      </c>
      <c r="F778" s="83" t="str">
        <f>+$F$1</f>
        <v>MONTES DE OCA 1068/1070 C.A.B.A.</v>
      </c>
      <c r="G778" s="83"/>
      <c r="H778" s="83"/>
      <c r="I778" s="90" t="str">
        <f>+I763</f>
        <v>10 A</v>
      </c>
    </row>
    <row r="779" spans="3:9" ht="18" x14ac:dyDescent="0.25">
      <c r="C779" s="84"/>
      <c r="D779" s="91"/>
      <c r="E779" s="88" t="str">
        <f>+I778</f>
        <v>10 A</v>
      </c>
      <c r="G779" s="83"/>
      <c r="H779" s="83"/>
    </row>
    <row r="780" spans="3:9" ht="15.75" customHeight="1" x14ac:dyDescent="0.25">
      <c r="C780" s="83" t="str">
        <f>+$F$2</f>
        <v>P/Depósito o transferencia en Banco Santander Rio</v>
      </c>
      <c r="D780" s="88"/>
      <c r="E780" s="83"/>
      <c r="F780" s="84"/>
      <c r="G780" s="83"/>
      <c r="H780" s="83"/>
      <c r="I780" s="99"/>
    </row>
    <row r="781" spans="3:9" ht="18" x14ac:dyDescent="0.25">
      <c r="C781" s="83" t="str">
        <f>+$F$3</f>
        <v xml:space="preserve">Cta. Cte. $ N° 558-000162/1 </v>
      </c>
      <c r="D781" s="88"/>
      <c r="E781" s="83"/>
      <c r="F781" s="83"/>
      <c r="G781" s="128"/>
      <c r="H781" s="84"/>
      <c r="I781" s="83"/>
    </row>
    <row r="782" spans="3:9" ht="18" x14ac:dyDescent="0.25">
      <c r="C782" s="83" t="str">
        <f>+$F$4</f>
        <v>CBU: 0720558320000000016218</v>
      </c>
      <c r="D782" s="88"/>
      <c r="E782" s="83"/>
      <c r="F782" s="93"/>
      <c r="H782" s="91"/>
      <c r="I782" s="92"/>
    </row>
    <row r="783" spans="3:9" ht="15.75" customHeight="1" x14ac:dyDescent="0.25">
      <c r="C783" s="83" t="str">
        <f>+$F$5</f>
        <v>CUIT: 30-66148861-8</v>
      </c>
      <c r="D783" s="88"/>
      <c r="E783" s="83"/>
      <c r="F783" s="83" t="s">
        <v>70</v>
      </c>
      <c r="G783" s="102">
        <f>+G766</f>
        <v>132242.10199199998</v>
      </c>
      <c r="H783" s="92"/>
      <c r="I783" s="97">
        <f>+C788</f>
        <v>46183</v>
      </c>
    </row>
    <row r="784" spans="3:9" ht="18" x14ac:dyDescent="0.25">
      <c r="C784" s="273"/>
      <c r="D784" s="88"/>
      <c r="E784" s="83"/>
      <c r="F784" s="83" t="s">
        <v>71</v>
      </c>
      <c r="G784" s="102">
        <f>+G767</f>
        <v>37726.406970000004</v>
      </c>
      <c r="I784" s="83"/>
    </row>
    <row r="785" spans="3:9" ht="18" x14ac:dyDescent="0.25">
      <c r="D785" s="88"/>
      <c r="E785" s="83"/>
      <c r="F785" s="83" t="s">
        <v>72</v>
      </c>
      <c r="G785" s="102">
        <f>+G769</f>
        <v>0</v>
      </c>
      <c r="H785" s="83"/>
      <c r="I785" s="83"/>
    </row>
    <row r="786" spans="3:9" ht="18" x14ac:dyDescent="0.25">
      <c r="C786" s="93"/>
      <c r="D786" s="93"/>
      <c r="E786" s="93"/>
      <c r="F786" s="83" t="s">
        <v>73</v>
      </c>
      <c r="G786" s="102">
        <f>+G770</f>
        <v>0</v>
      </c>
      <c r="H786" s="83"/>
      <c r="I786" s="83"/>
    </row>
    <row r="787" spans="3:9" ht="18" x14ac:dyDescent="0.25">
      <c r="E787" s="83"/>
      <c r="F787" s="83" t="s">
        <v>215</v>
      </c>
      <c r="G787" s="135">
        <f>+G768</f>
        <v>0</v>
      </c>
      <c r="H787" s="83"/>
      <c r="I787" s="83"/>
    </row>
    <row r="788" spans="3:9" ht="18" x14ac:dyDescent="0.25">
      <c r="C788" s="97">
        <f>+$H$43</f>
        <v>46183</v>
      </c>
      <c r="D788" s="157">
        <f>+G771</f>
        <v>169968.50896199999</v>
      </c>
      <c r="E788" s="83"/>
      <c r="F788" s="83" t="s">
        <v>74</v>
      </c>
      <c r="G788" s="102">
        <f>+G771</f>
        <v>169968.50896199999</v>
      </c>
      <c r="H788" s="83"/>
      <c r="I788" s="83"/>
    </row>
    <row r="789" spans="3:9" ht="18" x14ac:dyDescent="0.25">
      <c r="C789" s="83"/>
      <c r="D789" s="88"/>
      <c r="E789" s="83"/>
      <c r="F789" s="83"/>
      <c r="G789" s="83"/>
      <c r="H789" s="83"/>
      <c r="I789" s="83"/>
    </row>
    <row r="790" spans="3:9" ht="18" x14ac:dyDescent="0.25">
      <c r="C790" s="83"/>
      <c r="D790" s="88"/>
      <c r="E790" s="83"/>
      <c r="F790" s="100"/>
      <c r="G790" s="83"/>
      <c r="H790" s="83"/>
      <c r="I790" s="83"/>
    </row>
    <row r="791" spans="3:9" ht="18" x14ac:dyDescent="0.25">
      <c r="C791" s="83"/>
      <c r="D791" s="88"/>
      <c r="E791" s="83"/>
      <c r="F791" s="83"/>
      <c r="G791" s="83"/>
      <c r="H791" s="83"/>
      <c r="I791" s="91"/>
    </row>
    <row r="792" spans="3:9" ht="9.75" customHeight="1" x14ac:dyDescent="0.25">
      <c r="F792" s="83"/>
      <c r="H792" s="91"/>
      <c r="I792" s="83"/>
    </row>
    <row r="793" spans="3:9" ht="8.25" customHeight="1" x14ac:dyDescent="0.2"/>
    <row r="794" spans="3:9" ht="18" x14ac:dyDescent="0.25">
      <c r="C794" s="424"/>
      <c r="D794" s="424"/>
      <c r="E794" s="424"/>
      <c r="F794" s="433">
        <f>+$C$1</f>
        <v>46143</v>
      </c>
      <c r="G794" s="83"/>
      <c r="H794" s="429">
        <f>+$E$1</f>
        <v>46183</v>
      </c>
      <c r="I794" s="83"/>
    </row>
    <row r="795" spans="3:9" ht="18" x14ac:dyDescent="0.25">
      <c r="C795" s="82"/>
      <c r="D795" s="82"/>
      <c r="E795" s="98"/>
      <c r="F795" s="433"/>
      <c r="G795" s="83"/>
      <c r="H795" s="429"/>
      <c r="I795" s="83"/>
    </row>
    <row r="796" spans="3:9" ht="18" x14ac:dyDescent="0.25">
      <c r="C796" s="83"/>
      <c r="D796" s="88"/>
      <c r="E796" s="83"/>
      <c r="F796" s="84"/>
      <c r="G796" s="83"/>
      <c r="H796" s="84"/>
      <c r="I796" s="83"/>
    </row>
    <row r="797" spans="3:9" ht="25.5" customHeight="1" x14ac:dyDescent="0.25">
      <c r="D797" s="88"/>
      <c r="E797" s="83"/>
      <c r="F797" s="84"/>
      <c r="G797" s="83"/>
      <c r="H797" s="84"/>
      <c r="I797" s="83"/>
    </row>
    <row r="798" spans="3:9" ht="18" x14ac:dyDescent="0.25">
      <c r="C798" s="83" t="str">
        <f>+C22</f>
        <v>FERNANDEZ MANUEL</v>
      </c>
      <c r="D798" s="88"/>
      <c r="E798" s="83"/>
      <c r="F798" s="83" t="s">
        <v>293</v>
      </c>
      <c r="G798" s="83"/>
      <c r="H798" s="83"/>
      <c r="I798" s="90" t="s">
        <v>95</v>
      </c>
    </row>
    <row r="799" spans="3:9" ht="18" x14ac:dyDescent="0.25">
      <c r="C799" s="83"/>
      <c r="D799" s="88"/>
      <c r="E799" s="83"/>
      <c r="F799" s="84"/>
      <c r="G799" s="83"/>
      <c r="H799" s="83"/>
      <c r="I799" s="90" t="str">
        <f>+'RES CUENTA'!B35</f>
        <v>C XX</v>
      </c>
    </row>
    <row r="800" spans="3:9" ht="18" x14ac:dyDescent="0.25">
      <c r="C800" s="91"/>
      <c r="D800" s="88"/>
      <c r="E800" s="91"/>
      <c r="F800" s="83"/>
      <c r="G800" s="83"/>
      <c r="H800" s="83"/>
      <c r="I800" s="83"/>
    </row>
    <row r="801" spans="3:9" ht="12" customHeight="1" x14ac:dyDescent="0.25">
      <c r="C801" s="91"/>
      <c r="D801" s="88"/>
      <c r="E801" s="91"/>
      <c r="F801" s="83"/>
      <c r="G801" s="83"/>
      <c r="H801" s="83"/>
      <c r="I801" s="83"/>
    </row>
    <row r="802" spans="3:9" ht="18" x14ac:dyDescent="0.25">
      <c r="C802" s="83" t="s">
        <v>68</v>
      </c>
      <c r="D802" s="88"/>
      <c r="E802" s="103">
        <f>+'RES CUENTA'!G36</f>
        <v>4623849.72</v>
      </c>
      <c r="F802" s="104">
        <f>+'RES CUENTA'!F35</f>
        <v>2.23</v>
      </c>
      <c r="G802" s="101">
        <f>+E802*F802/100</f>
        <v>103111.84875599999</v>
      </c>
      <c r="H802" s="425"/>
      <c r="I802" s="425"/>
    </row>
    <row r="803" spans="3:9" ht="18" x14ac:dyDescent="0.25">
      <c r="C803" s="83" t="s">
        <v>69</v>
      </c>
      <c r="D803" s="88"/>
      <c r="E803" s="103">
        <f>+'RES CUENTA'!J36</f>
        <v>1180425.75</v>
      </c>
      <c r="F803" s="104">
        <f>+'RES CUENTA'!H35</f>
        <v>2.492</v>
      </c>
      <c r="G803" s="101">
        <f>+E803*F803/100</f>
        <v>29416.20969</v>
      </c>
      <c r="H803" s="430"/>
      <c r="I803" s="430"/>
    </row>
    <row r="804" spans="3:9" ht="18" x14ac:dyDescent="0.25">
      <c r="C804" s="83" t="s">
        <v>215</v>
      </c>
      <c r="D804" s="88"/>
      <c r="E804" s="103">
        <f>+'RES CUENTA'!K35</f>
        <v>0</v>
      </c>
      <c r="F804" s="104">
        <v>0</v>
      </c>
      <c r="G804" s="101">
        <f>+E804</f>
        <v>0</v>
      </c>
      <c r="H804" s="430"/>
      <c r="I804" s="430"/>
    </row>
    <row r="805" spans="3:9" ht="18" x14ac:dyDescent="0.25">
      <c r="C805" s="83" t="s">
        <v>181</v>
      </c>
      <c r="D805" s="88"/>
      <c r="E805" s="103">
        <v>0</v>
      </c>
      <c r="F805" s="104">
        <v>0</v>
      </c>
      <c r="G805" s="101">
        <f>+'RES CUENTA'!M35</f>
        <v>0</v>
      </c>
      <c r="H805" s="430"/>
      <c r="I805" s="430"/>
    </row>
    <row r="806" spans="3:9" ht="18" x14ac:dyDescent="0.25">
      <c r="C806" s="83" t="s">
        <v>289</v>
      </c>
      <c r="D806" s="88"/>
      <c r="E806" s="103">
        <v>0</v>
      </c>
      <c r="F806" s="104">
        <v>0</v>
      </c>
      <c r="G806" s="134">
        <f>+'RES CUENTA'!N35</f>
        <v>0</v>
      </c>
      <c r="H806" s="430"/>
      <c r="I806" s="430"/>
    </row>
    <row r="807" spans="3:9" ht="18" x14ac:dyDescent="0.25">
      <c r="C807" s="84"/>
      <c r="D807" s="88"/>
      <c r="E807" s="83"/>
      <c r="F807" s="89"/>
      <c r="G807" s="101">
        <f>SUM(G802:G806)</f>
        <v>132528.05844599998</v>
      </c>
      <c r="H807" s="87"/>
      <c r="I807" s="87"/>
    </row>
    <row r="808" spans="3:9" ht="18" x14ac:dyDescent="0.25">
      <c r="C808" s="84"/>
      <c r="D808" s="88"/>
      <c r="E808" s="83"/>
      <c r="F808" s="83"/>
      <c r="H808" s="432"/>
      <c r="I808" s="432"/>
    </row>
    <row r="809" spans="3:9" ht="18" x14ac:dyDescent="0.25">
      <c r="C809" s="84"/>
      <c r="D809" s="88"/>
      <c r="E809" s="83"/>
      <c r="F809" s="83"/>
      <c r="H809" s="88"/>
      <c r="I809" s="88"/>
    </row>
    <row r="810" spans="3:9" ht="18" x14ac:dyDescent="0.25">
      <c r="C810" s="83"/>
      <c r="D810" s="88"/>
      <c r="E810" s="83"/>
      <c r="F810" s="83"/>
      <c r="G810" s="85"/>
      <c r="H810" s="88"/>
      <c r="I810" s="88"/>
    </row>
    <row r="811" spans="3:9" ht="18" x14ac:dyDescent="0.25">
      <c r="C811" s="83"/>
      <c r="D811" s="88"/>
      <c r="E811" s="83"/>
      <c r="F811" s="83"/>
      <c r="G811" s="89"/>
      <c r="H811" s="83"/>
      <c r="I811" s="83"/>
    </row>
    <row r="812" spans="3:9" ht="11.25" customHeight="1" x14ac:dyDescent="0.25">
      <c r="C812" s="83"/>
      <c r="D812" s="88"/>
      <c r="E812" s="83"/>
      <c r="F812" s="83"/>
      <c r="G812" s="89"/>
      <c r="H812" s="83"/>
      <c r="I812" s="83"/>
    </row>
    <row r="813" spans="3:9" ht="18" x14ac:dyDescent="0.25">
      <c r="C813" s="83" t="str">
        <f>+C798</f>
        <v>FERNANDEZ MANUEL</v>
      </c>
      <c r="D813" s="427"/>
      <c r="E813" s="427"/>
      <c r="F813" s="83" t="str">
        <f>+C813</f>
        <v>FERNANDEZ MANUEL</v>
      </c>
      <c r="G813" s="89"/>
      <c r="H813" s="83"/>
      <c r="I813" s="83"/>
    </row>
    <row r="814" spans="3:9" ht="18" x14ac:dyDescent="0.25">
      <c r="D814" s="88"/>
      <c r="E814" s="83"/>
      <c r="G814" s="427"/>
      <c r="H814" s="427"/>
      <c r="I814" s="427"/>
    </row>
    <row r="815" spans="3:9" ht="18" x14ac:dyDescent="0.25">
      <c r="C815" s="83" t="str">
        <f>+$F$1</f>
        <v>MONTES DE OCA 1068/1070 C.A.B.A.</v>
      </c>
      <c r="D815" s="88"/>
      <c r="E815" s="88" t="str">
        <f>+I798</f>
        <v>Unid. 21</v>
      </c>
      <c r="F815" s="83" t="str">
        <f>+$F$1</f>
        <v>MONTES DE OCA 1068/1070 C.A.B.A.</v>
      </c>
      <c r="G815" s="83"/>
      <c r="H815" s="83"/>
      <c r="I815" s="90" t="str">
        <f>+E815</f>
        <v>Unid. 21</v>
      </c>
    </row>
    <row r="816" spans="3:9" ht="18" x14ac:dyDescent="0.25">
      <c r="E816" s="88" t="str">
        <f>+I816</f>
        <v>C XX</v>
      </c>
      <c r="I816" s="90" t="str">
        <f>+I799</f>
        <v>C XX</v>
      </c>
    </row>
    <row r="817" spans="3:9" ht="14.25" customHeight="1" x14ac:dyDescent="0.25">
      <c r="C817" s="83" t="str">
        <f>+$F$2</f>
        <v>P/Depósito o transferencia en Banco Santander Rio</v>
      </c>
      <c r="D817" s="91"/>
      <c r="E817" s="84"/>
      <c r="F817" s="84"/>
      <c r="G817" s="83"/>
      <c r="H817" s="83"/>
    </row>
    <row r="818" spans="3:9" ht="18" x14ac:dyDescent="0.25">
      <c r="C818" s="83" t="str">
        <f>+$F$3</f>
        <v xml:space="preserve">Cta. Cte. $ N° 558-000162/1 </v>
      </c>
      <c r="D818" s="88"/>
      <c r="E818" s="83"/>
      <c r="F818" s="83"/>
      <c r="G818" s="83"/>
      <c r="H818" s="84"/>
      <c r="I818" s="99"/>
    </row>
    <row r="819" spans="3:9" ht="18" x14ac:dyDescent="0.25">
      <c r="C819" s="83" t="str">
        <f>+$F$4</f>
        <v>CBU: 0720558320000000016218</v>
      </c>
      <c r="D819" s="88"/>
      <c r="E819" s="83"/>
      <c r="F819" s="93"/>
      <c r="G819" s="83"/>
      <c r="H819" s="91"/>
      <c r="I819" s="83"/>
    </row>
    <row r="820" spans="3:9" ht="18" x14ac:dyDescent="0.25">
      <c r="C820" s="83" t="str">
        <f>+$F$5</f>
        <v>CUIT: 30-66148861-8</v>
      </c>
      <c r="D820" s="88"/>
      <c r="E820" s="83"/>
      <c r="F820" s="83" t="s">
        <v>70</v>
      </c>
      <c r="G820" s="102">
        <f>+G802</f>
        <v>103111.84875599999</v>
      </c>
      <c r="I820" s="97">
        <f>+C825</f>
        <v>46183</v>
      </c>
    </row>
    <row r="821" spans="3:9" ht="18" x14ac:dyDescent="0.25">
      <c r="C821" s="273"/>
      <c r="D821" s="88"/>
      <c r="E821" s="83"/>
      <c r="F821" s="83" t="s">
        <v>71</v>
      </c>
      <c r="G821" s="102">
        <f>+G803</f>
        <v>29416.20969</v>
      </c>
    </row>
    <row r="822" spans="3:9" ht="18" x14ac:dyDescent="0.25">
      <c r="D822" s="88"/>
      <c r="E822" s="83"/>
      <c r="F822" s="83" t="s">
        <v>72</v>
      </c>
      <c r="G822" s="102">
        <f>+G805</f>
        <v>0</v>
      </c>
      <c r="H822" s="83"/>
      <c r="I822" s="83"/>
    </row>
    <row r="823" spans="3:9" ht="18" x14ac:dyDescent="0.25">
      <c r="C823" s="83"/>
      <c r="D823" s="88"/>
      <c r="E823" s="83"/>
      <c r="F823" s="83" t="s">
        <v>73</v>
      </c>
      <c r="G823" s="102">
        <f>+G806</f>
        <v>0</v>
      </c>
      <c r="H823" s="83"/>
      <c r="I823" s="83"/>
    </row>
    <row r="824" spans="3:9" ht="18" x14ac:dyDescent="0.25">
      <c r="C824" s="93"/>
      <c r="D824" s="93"/>
      <c r="E824" s="93"/>
      <c r="F824" s="83" t="s">
        <v>215</v>
      </c>
      <c r="G824" s="135">
        <f>+G804</f>
        <v>0</v>
      </c>
      <c r="H824" s="83"/>
      <c r="I824" s="83"/>
    </row>
    <row r="825" spans="3:9" ht="18" x14ac:dyDescent="0.25">
      <c r="C825" s="97">
        <f>+$H$43</f>
        <v>46183</v>
      </c>
      <c r="D825" s="157">
        <f>+G807</f>
        <v>132528.05844599998</v>
      </c>
      <c r="E825" s="83"/>
      <c r="F825" s="83" t="s">
        <v>74</v>
      </c>
      <c r="G825" s="102">
        <f>+G807</f>
        <v>132528.05844599998</v>
      </c>
      <c r="H825" s="83"/>
      <c r="I825" s="83"/>
    </row>
    <row r="826" spans="3:9" ht="18" x14ac:dyDescent="0.25">
      <c r="C826" s="83"/>
      <c r="D826" s="88"/>
      <c r="E826" s="83"/>
      <c r="F826" s="100"/>
      <c r="G826" s="83"/>
      <c r="H826" s="83"/>
      <c r="I826" s="83"/>
    </row>
    <row r="827" spans="3:9" ht="18" x14ac:dyDescent="0.25">
      <c r="C827" s="83"/>
      <c r="D827" s="88"/>
      <c r="E827" s="83"/>
      <c r="G827" s="83"/>
      <c r="H827" s="83"/>
      <c r="I827" s="83"/>
    </row>
    <row r="828" spans="3:9" ht="18" x14ac:dyDescent="0.25">
      <c r="C828" s="83"/>
      <c r="D828" s="88"/>
      <c r="E828" s="83"/>
      <c r="F828" s="83"/>
      <c r="G828" s="83"/>
      <c r="H828" s="83"/>
      <c r="I828" s="83"/>
    </row>
    <row r="829" spans="3:9" ht="18" x14ac:dyDescent="0.25">
      <c r="C829" s="83"/>
      <c r="D829" s="88"/>
      <c r="E829" s="83"/>
      <c r="F829" s="83"/>
      <c r="G829" s="83"/>
      <c r="H829" s="425"/>
      <c r="I829" s="425"/>
    </row>
    <row r="830" spans="3:9" ht="18" x14ac:dyDescent="0.25">
      <c r="C830" s="83"/>
      <c r="D830" s="88"/>
      <c r="E830" s="83"/>
      <c r="F830" s="83"/>
      <c r="G830" s="83"/>
      <c r="H830" s="83"/>
      <c r="I830" s="83"/>
    </row>
    <row r="831" spans="3:9" ht="18" x14ac:dyDescent="0.25">
      <c r="C831" s="83"/>
      <c r="D831" s="88"/>
      <c r="E831" s="83"/>
      <c r="F831" s="83"/>
      <c r="G831" s="83"/>
      <c r="H831" s="83"/>
      <c r="I831" s="83"/>
    </row>
    <row r="832" spans="3:9" ht="18" x14ac:dyDescent="0.25">
      <c r="C832" s="83"/>
      <c r="D832" s="88"/>
      <c r="E832" s="83"/>
      <c r="F832" s="83"/>
      <c r="G832" s="83"/>
      <c r="H832" s="83"/>
      <c r="I832" s="83"/>
    </row>
    <row r="833" spans="3:9" ht="18" x14ac:dyDescent="0.25">
      <c r="C833" s="83"/>
      <c r="D833" s="88"/>
      <c r="E833" s="83"/>
      <c r="F833" s="83"/>
      <c r="G833" s="83"/>
      <c r="H833" s="83"/>
      <c r="I833" s="83"/>
    </row>
    <row r="834" spans="3:9" ht="18" x14ac:dyDescent="0.25">
      <c r="C834" s="424"/>
      <c r="D834" s="424"/>
      <c r="E834" s="424"/>
      <c r="F834" s="96">
        <f>+$C$1</f>
        <v>46143</v>
      </c>
      <c r="G834" s="83"/>
      <c r="H834" s="97">
        <f>+$E$1</f>
        <v>46183</v>
      </c>
      <c r="I834" s="95"/>
    </row>
    <row r="835" spans="3:9" ht="18" x14ac:dyDescent="0.25">
      <c r="C835" s="82"/>
      <c r="D835" s="82"/>
      <c r="E835" s="98"/>
      <c r="F835" s="96"/>
      <c r="G835" s="83"/>
    </row>
    <row r="836" spans="3:9" ht="27" customHeight="1" x14ac:dyDescent="0.25">
      <c r="D836" s="88"/>
      <c r="E836" s="83"/>
      <c r="G836" s="83"/>
    </row>
    <row r="837" spans="3:9" ht="23.25" customHeight="1" x14ac:dyDescent="0.25">
      <c r="C837" s="83" t="e">
        <f>+C23</f>
        <v>#REF!</v>
      </c>
      <c r="D837" s="88"/>
      <c r="E837" s="83"/>
      <c r="F837" s="83" t="str">
        <f>+$F$1</f>
        <v>MONTES DE OCA 1068/1070 C.A.B.A.</v>
      </c>
      <c r="G837" s="83"/>
      <c r="I837" s="90" t="s">
        <v>96</v>
      </c>
    </row>
    <row r="838" spans="3:9" ht="18" x14ac:dyDescent="0.25">
      <c r="C838" s="84"/>
      <c r="D838" s="88"/>
      <c r="E838" s="83"/>
      <c r="G838" s="83"/>
      <c r="H838" s="84"/>
      <c r="I838" s="90" t="e">
        <f>+'RES CUENTA'!#REF!</f>
        <v>#REF!</v>
      </c>
    </row>
    <row r="839" spans="3:9" ht="18" x14ac:dyDescent="0.25">
      <c r="C839" s="83"/>
      <c r="D839" s="88"/>
      <c r="E839" s="83"/>
      <c r="F839" s="84"/>
      <c r="G839" s="83"/>
      <c r="H839" s="83"/>
      <c r="I839" s="84"/>
    </row>
    <row r="840" spans="3:9" ht="18" x14ac:dyDescent="0.25">
      <c r="C840" s="91"/>
      <c r="D840" s="88"/>
      <c r="E840" s="91"/>
      <c r="F840" s="83"/>
      <c r="G840" s="83"/>
      <c r="H840" s="83"/>
      <c r="I840" s="83"/>
    </row>
    <row r="841" spans="3:9" ht="18" x14ac:dyDescent="0.25">
      <c r="C841" s="83" t="s">
        <v>68</v>
      </c>
      <c r="D841" s="88"/>
      <c r="E841" s="103">
        <f>+'RES CUENTA'!G36</f>
        <v>4623849.72</v>
      </c>
      <c r="F841" s="104" t="e">
        <f>+'RES CUENTA'!#REF!</f>
        <v>#REF!</v>
      </c>
      <c r="G841" s="101" t="e">
        <f>+E841*F841/100</f>
        <v>#REF!</v>
      </c>
      <c r="H841" s="83"/>
      <c r="I841" s="91"/>
    </row>
    <row r="842" spans="3:9" ht="18" x14ac:dyDescent="0.25">
      <c r="C842" s="83" t="s">
        <v>69</v>
      </c>
      <c r="D842" s="88"/>
      <c r="E842" s="103">
        <f>+'RES CUENTA'!J36</f>
        <v>1180425.75</v>
      </c>
      <c r="F842" s="104" t="e">
        <f>+'RES CUENTA'!#REF!</f>
        <v>#REF!</v>
      </c>
      <c r="G842" s="101" t="e">
        <f>+E842*F842/100</f>
        <v>#REF!</v>
      </c>
      <c r="H842" s="91"/>
      <c r="I842" s="87"/>
    </row>
    <row r="843" spans="3:9" ht="18" x14ac:dyDescent="0.25">
      <c r="C843" s="83" t="s">
        <v>181</v>
      </c>
      <c r="D843" s="88"/>
      <c r="E843" s="103" t="e">
        <f>+'RES CUENTA'!#REF!</f>
        <v>#REF!</v>
      </c>
      <c r="F843" s="104">
        <v>0</v>
      </c>
      <c r="G843" s="101" t="e">
        <f>+E843</f>
        <v>#REF!</v>
      </c>
      <c r="H843" s="87"/>
      <c r="I843" s="87"/>
    </row>
    <row r="844" spans="3:9" ht="18" x14ac:dyDescent="0.25">
      <c r="C844" s="83" t="s">
        <v>265</v>
      </c>
      <c r="D844" s="88"/>
      <c r="E844" s="103">
        <v>0</v>
      </c>
      <c r="F844" s="104">
        <v>0</v>
      </c>
      <c r="G844" s="101" t="e">
        <f>+'RES CUENTA'!#REF!</f>
        <v>#REF!</v>
      </c>
      <c r="H844" s="87"/>
      <c r="I844" s="87"/>
    </row>
    <row r="845" spans="3:9" ht="18" x14ac:dyDescent="0.25">
      <c r="C845" s="83" t="s">
        <v>213</v>
      </c>
      <c r="D845" s="88"/>
      <c r="E845" s="103" t="e">
        <f>+'RES CUENTA'!#REF!+'RES CUENTA'!#REF!</f>
        <v>#REF!</v>
      </c>
      <c r="F845" s="104">
        <v>0</v>
      </c>
      <c r="G845" s="134" t="e">
        <f>+E845</f>
        <v>#REF!</v>
      </c>
      <c r="H845" s="87"/>
      <c r="I845" s="87"/>
    </row>
    <row r="846" spans="3:9" ht="18" x14ac:dyDescent="0.25">
      <c r="C846" s="83"/>
      <c r="D846" s="88"/>
      <c r="E846" s="85"/>
      <c r="G846" s="101" t="e">
        <f>SUM(G841:G845)</f>
        <v>#REF!</v>
      </c>
      <c r="H846" s="87"/>
      <c r="I846" s="88"/>
    </row>
    <row r="847" spans="3:9" ht="18" x14ac:dyDescent="0.25">
      <c r="C847" s="84"/>
      <c r="D847" s="88"/>
      <c r="E847" s="83"/>
      <c r="G847" s="85"/>
      <c r="H847" s="88"/>
      <c r="I847" s="88"/>
    </row>
    <row r="848" spans="3:9" ht="20.25" customHeight="1" x14ac:dyDescent="0.25">
      <c r="C848" s="83"/>
      <c r="D848" s="88"/>
      <c r="E848" s="83"/>
      <c r="F848" s="83"/>
      <c r="G848" s="89"/>
      <c r="H848" s="88"/>
      <c r="I848" s="88"/>
    </row>
    <row r="849" spans="3:9" ht="18" x14ac:dyDescent="0.25">
      <c r="C849" s="83"/>
      <c r="D849" s="88"/>
      <c r="E849" s="83"/>
      <c r="F849" s="83"/>
      <c r="G849" s="89"/>
      <c r="H849" s="88"/>
      <c r="I849" s="88"/>
    </row>
    <row r="850" spans="3:9" ht="24" customHeight="1" x14ac:dyDescent="0.25">
      <c r="C850" s="83" t="e">
        <f>+C837</f>
        <v>#REF!</v>
      </c>
      <c r="D850" s="88"/>
      <c r="E850" s="83"/>
      <c r="F850" s="83" t="e">
        <f>+C837</f>
        <v>#REF!</v>
      </c>
      <c r="G850" s="83"/>
      <c r="H850" s="83"/>
      <c r="I850" s="99"/>
    </row>
    <row r="851" spans="3:9" ht="18" x14ac:dyDescent="0.25">
      <c r="C851" s="84"/>
      <c r="D851" s="88"/>
      <c r="E851" s="83"/>
      <c r="G851" s="83"/>
      <c r="H851" s="99"/>
      <c r="I851" s="90" t="str">
        <f>+I837</f>
        <v>Unid. 22</v>
      </c>
    </row>
    <row r="852" spans="3:9" ht="18" x14ac:dyDescent="0.25">
      <c r="C852" s="83" t="str">
        <f>+$F$1</f>
        <v>MONTES DE OCA 1068/1070 C.A.B.A.</v>
      </c>
      <c r="D852" s="88"/>
      <c r="E852" s="88" t="str">
        <f>+I851</f>
        <v>Unid. 22</v>
      </c>
      <c r="F852" s="83" t="str">
        <f>+$F$1</f>
        <v>MONTES DE OCA 1068/1070 C.A.B.A.</v>
      </c>
      <c r="G852" s="83"/>
      <c r="H852" s="83"/>
      <c r="I852" s="90" t="e">
        <f>+I838</f>
        <v>#REF!</v>
      </c>
    </row>
    <row r="853" spans="3:9" ht="18" x14ac:dyDescent="0.25">
      <c r="C853" s="84"/>
      <c r="D853" s="91"/>
      <c r="E853" s="88" t="e">
        <f>+I852</f>
        <v>#REF!</v>
      </c>
      <c r="G853" s="83"/>
      <c r="H853" s="83"/>
    </row>
    <row r="854" spans="3:9" ht="12.75" customHeight="1" x14ac:dyDescent="0.25">
      <c r="C854" s="83"/>
      <c r="D854" s="88"/>
      <c r="E854" s="83"/>
      <c r="F854" s="84"/>
      <c r="G854" s="83"/>
      <c r="H854" s="83"/>
      <c r="I854" s="99"/>
    </row>
    <row r="855" spans="3:9" ht="18" x14ac:dyDescent="0.25">
      <c r="C855" s="83" t="str">
        <f>+$F$2</f>
        <v>P/Depósito o transferencia en Banco Santander Rio</v>
      </c>
      <c r="D855" s="88"/>
      <c r="E855" s="83"/>
      <c r="F855" s="83"/>
      <c r="G855" s="128"/>
      <c r="H855" s="84"/>
      <c r="I855" s="83"/>
    </row>
    <row r="856" spans="3:9" ht="18" x14ac:dyDescent="0.25">
      <c r="C856" s="83" t="str">
        <f>+$F$3</f>
        <v xml:space="preserve">Cta. Cte. $ N° 558-000162/1 </v>
      </c>
      <c r="D856" s="88"/>
      <c r="E856" s="83"/>
      <c r="F856" s="93"/>
      <c r="H856" s="91"/>
      <c r="I856" s="92"/>
    </row>
    <row r="857" spans="3:9" ht="18" x14ac:dyDescent="0.25">
      <c r="C857" s="84"/>
      <c r="D857" s="88"/>
      <c r="E857" s="83"/>
      <c r="F857" s="83" t="s">
        <v>70</v>
      </c>
      <c r="G857" s="102" t="e">
        <f>+G841</f>
        <v>#REF!</v>
      </c>
      <c r="H857" s="92"/>
      <c r="I857" s="97">
        <f>+C862</f>
        <v>46183</v>
      </c>
    </row>
    <row r="858" spans="3:9" ht="18" x14ac:dyDescent="0.25">
      <c r="C858" s="84"/>
      <c r="D858" s="88"/>
      <c r="E858" s="83"/>
      <c r="F858" s="83" t="s">
        <v>71</v>
      </c>
      <c r="G858" s="102" t="e">
        <f>+G842</f>
        <v>#REF!</v>
      </c>
      <c r="I858" s="83"/>
    </row>
    <row r="859" spans="3:9" ht="18" x14ac:dyDescent="0.25">
      <c r="C859" s="83"/>
      <c r="D859" s="88"/>
      <c r="E859" s="83"/>
      <c r="F859" s="83" t="s">
        <v>72</v>
      </c>
      <c r="G859" s="102" t="e">
        <f>+G845</f>
        <v>#REF!</v>
      </c>
      <c r="H859" s="83"/>
      <c r="I859" s="83"/>
    </row>
    <row r="860" spans="3:9" ht="18" x14ac:dyDescent="0.25">
      <c r="C860" s="93"/>
      <c r="D860" s="93"/>
      <c r="E860" s="93"/>
      <c r="F860" s="83" t="s">
        <v>73</v>
      </c>
      <c r="G860" s="102">
        <f>+'RES CUENTA'!N686</f>
        <v>0</v>
      </c>
      <c r="H860" s="83"/>
      <c r="I860" s="83"/>
    </row>
    <row r="861" spans="3:9" ht="18" x14ac:dyDescent="0.25">
      <c r="E861" s="83"/>
      <c r="F861" s="83" t="s">
        <v>312</v>
      </c>
      <c r="G861" s="135" t="e">
        <f>+G843+G844</f>
        <v>#REF!</v>
      </c>
      <c r="H861" s="83"/>
      <c r="I861" s="83"/>
    </row>
    <row r="862" spans="3:9" ht="18" x14ac:dyDescent="0.25">
      <c r="C862" s="97">
        <f>+$H$43</f>
        <v>46183</v>
      </c>
      <c r="D862" s="157" t="e">
        <f>+G846</f>
        <v>#REF!</v>
      </c>
      <c r="E862" s="83"/>
      <c r="F862" s="83" t="s">
        <v>74</v>
      </c>
      <c r="G862" s="102" t="e">
        <f>+G846</f>
        <v>#REF!</v>
      </c>
      <c r="H862" s="83"/>
      <c r="I862" s="83"/>
    </row>
    <row r="863" spans="3:9" ht="18" x14ac:dyDescent="0.25">
      <c r="C863" s="83"/>
      <c r="D863" s="88"/>
      <c r="E863" s="83"/>
      <c r="F863" s="83"/>
      <c r="G863" s="83"/>
      <c r="H863" s="83"/>
      <c r="I863" s="83"/>
    </row>
    <row r="864" spans="3:9" ht="18" x14ac:dyDescent="0.25">
      <c r="C864" s="83"/>
      <c r="D864" s="88"/>
      <c r="E864" s="83"/>
      <c r="F864" s="100"/>
      <c r="G864" s="83"/>
      <c r="H864" s="83"/>
      <c r="I864" s="83"/>
    </row>
    <row r="865" spans="3:9" ht="18" x14ac:dyDescent="0.25">
      <c r="C865" s="83"/>
      <c r="D865" s="88"/>
      <c r="E865" s="83"/>
      <c r="F865" s="83"/>
      <c r="G865" s="83"/>
      <c r="H865" s="83"/>
      <c r="I865" s="91"/>
    </row>
    <row r="866" spans="3:9" ht="9.75" customHeight="1" x14ac:dyDescent="0.25">
      <c r="F866" s="83"/>
      <c r="H866" s="91"/>
      <c r="I866" s="83"/>
    </row>
    <row r="867" spans="3:9" ht="12" customHeight="1" x14ac:dyDescent="0.2"/>
    <row r="868" spans="3:9" ht="18" x14ac:dyDescent="0.25">
      <c r="C868" s="424"/>
      <c r="D868" s="424"/>
      <c r="E868" s="424"/>
      <c r="F868" s="433">
        <f>+$C$1</f>
        <v>46143</v>
      </c>
      <c r="G868" s="83"/>
      <c r="H868" s="429">
        <f>+$E$1</f>
        <v>46183</v>
      </c>
      <c r="I868" s="83"/>
    </row>
    <row r="869" spans="3:9" ht="18" x14ac:dyDescent="0.25">
      <c r="C869" s="82"/>
      <c r="D869" s="82"/>
      <c r="E869" s="98"/>
      <c r="F869" s="433"/>
      <c r="G869" s="83"/>
      <c r="H869" s="429"/>
      <c r="I869" s="83"/>
    </row>
    <row r="870" spans="3:9" ht="18" x14ac:dyDescent="0.25">
      <c r="C870" s="83"/>
      <c r="D870" s="88"/>
      <c r="E870" s="83"/>
      <c r="F870" s="84"/>
      <c r="G870" s="83"/>
      <c r="H870" s="84"/>
      <c r="I870" s="83"/>
    </row>
    <row r="871" spans="3:9" ht="18" customHeight="1" x14ac:dyDescent="0.25">
      <c r="D871" s="88"/>
      <c r="E871" s="83"/>
      <c r="F871" s="84"/>
      <c r="G871" s="83"/>
      <c r="H871" s="84"/>
      <c r="I871" s="83"/>
    </row>
    <row r="872" spans="3:9" ht="20.25" customHeight="1" x14ac:dyDescent="0.25">
      <c r="C872" s="83" t="e">
        <f>+C24</f>
        <v>#REF!</v>
      </c>
      <c r="D872" s="88"/>
      <c r="E872" s="83"/>
      <c r="F872" s="83" t="s">
        <v>293</v>
      </c>
      <c r="G872" s="83"/>
      <c r="H872" s="83"/>
      <c r="I872" s="90" t="s">
        <v>97</v>
      </c>
    </row>
    <row r="873" spans="3:9" ht="18" x14ac:dyDescent="0.25">
      <c r="C873" s="83"/>
      <c r="D873" s="88"/>
      <c r="E873" s="83"/>
      <c r="F873" s="84"/>
      <c r="G873" s="83"/>
      <c r="H873" s="83"/>
      <c r="I873" s="90" t="e">
        <f>+'RES CUENTA'!#REF!</f>
        <v>#REF!</v>
      </c>
    </row>
    <row r="874" spans="3:9" ht="18" x14ac:dyDescent="0.25">
      <c r="C874" s="91"/>
      <c r="D874" s="88"/>
      <c r="E874" s="91"/>
      <c r="F874" s="83"/>
      <c r="G874" s="83"/>
      <c r="H874" s="83"/>
      <c r="I874" s="83"/>
    </row>
    <row r="875" spans="3:9" ht="9.75" customHeight="1" x14ac:dyDescent="0.25">
      <c r="C875" s="91"/>
      <c r="D875" s="88"/>
      <c r="E875" s="91"/>
      <c r="F875" s="83"/>
      <c r="G875" s="83"/>
      <c r="H875" s="83"/>
      <c r="I875" s="83"/>
    </row>
    <row r="876" spans="3:9" ht="18" x14ac:dyDescent="0.25">
      <c r="C876" s="83" t="s">
        <v>68</v>
      </c>
      <c r="D876" s="88"/>
      <c r="E876" s="103">
        <f>+'RES CUENTA'!G36</f>
        <v>4623849.72</v>
      </c>
      <c r="F876" s="104" t="e">
        <f>+'RES CUENTA'!#REF!</f>
        <v>#REF!</v>
      </c>
      <c r="G876" s="101" t="e">
        <f>+E876*F876/100</f>
        <v>#REF!</v>
      </c>
      <c r="H876" s="425"/>
      <c r="I876" s="425"/>
    </row>
    <row r="877" spans="3:9" ht="18" x14ac:dyDescent="0.25">
      <c r="C877" s="83" t="s">
        <v>69</v>
      </c>
      <c r="D877" s="88"/>
      <c r="E877" s="103">
        <f>+'RES CUENTA'!J36</f>
        <v>1180425.75</v>
      </c>
      <c r="F877" s="104" t="e">
        <f>+'RES CUENTA'!#REF!</f>
        <v>#REF!</v>
      </c>
      <c r="G877" s="101" t="e">
        <f>+E877*F877/100</f>
        <v>#REF!</v>
      </c>
      <c r="H877" s="430"/>
      <c r="I877" s="430"/>
    </row>
    <row r="878" spans="3:9" ht="18" x14ac:dyDescent="0.25">
      <c r="C878" s="83" t="s">
        <v>181</v>
      </c>
      <c r="D878" s="88"/>
      <c r="E878" s="103" t="e">
        <f>+'RES CUENTA'!#REF!</f>
        <v>#REF!</v>
      </c>
      <c r="F878" s="104">
        <v>0</v>
      </c>
      <c r="G878" s="101" t="e">
        <f>+E878</f>
        <v>#REF!</v>
      </c>
      <c r="H878" s="430"/>
      <c r="I878" s="430"/>
    </row>
    <row r="879" spans="3:9" ht="18" x14ac:dyDescent="0.25">
      <c r="C879" s="83" t="s">
        <v>265</v>
      </c>
      <c r="D879" s="88"/>
      <c r="E879" s="103">
        <v>0</v>
      </c>
      <c r="F879" s="104">
        <v>0</v>
      </c>
      <c r="G879" s="101" t="e">
        <f>+'RES CUENTA'!#REF!</f>
        <v>#REF!</v>
      </c>
      <c r="H879" s="430"/>
      <c r="I879" s="430"/>
    </row>
    <row r="880" spans="3:9" ht="18" x14ac:dyDescent="0.25">
      <c r="C880" s="83" t="s">
        <v>213</v>
      </c>
      <c r="D880" s="88"/>
      <c r="E880" s="103" t="e">
        <f>+'RES CUENTA'!#REF!+'RES CUENTA'!#REF!</f>
        <v>#REF!</v>
      </c>
      <c r="F880" s="104">
        <v>0</v>
      </c>
      <c r="G880" s="134" t="e">
        <f>+E880</f>
        <v>#REF!</v>
      </c>
      <c r="H880" s="430"/>
      <c r="I880" s="430"/>
    </row>
    <row r="881" spans="3:9" ht="18" x14ac:dyDescent="0.25">
      <c r="C881" s="84"/>
      <c r="D881" s="88"/>
      <c r="E881" s="83"/>
      <c r="F881" s="89"/>
      <c r="G881" s="101" t="e">
        <f>SUM(G876:G880)</f>
        <v>#REF!</v>
      </c>
      <c r="H881" s="87"/>
      <c r="I881" s="87"/>
    </row>
    <row r="882" spans="3:9" ht="18" x14ac:dyDescent="0.25">
      <c r="C882" s="84"/>
      <c r="D882" s="88"/>
      <c r="E882" s="83"/>
      <c r="F882" s="89"/>
      <c r="G882" s="101"/>
      <c r="H882" s="432"/>
      <c r="I882" s="432"/>
    </row>
    <row r="883" spans="3:9" ht="18" x14ac:dyDescent="0.25">
      <c r="C883" s="84"/>
      <c r="D883" s="88"/>
      <c r="E883" s="83"/>
      <c r="F883" s="89"/>
      <c r="G883" s="101"/>
      <c r="H883" s="88"/>
      <c r="I883" s="88"/>
    </row>
    <row r="884" spans="3:9" ht="18" x14ac:dyDescent="0.25">
      <c r="C884" s="83"/>
      <c r="D884" s="88"/>
      <c r="E884" s="83"/>
      <c r="F884" s="83"/>
      <c r="G884" s="85"/>
      <c r="H884" s="88"/>
      <c r="I884" s="88"/>
    </row>
    <row r="885" spans="3:9" ht="18" x14ac:dyDescent="0.25">
      <c r="C885" s="83"/>
      <c r="D885" s="88"/>
      <c r="E885" s="83"/>
      <c r="F885" s="83"/>
      <c r="G885" s="89"/>
      <c r="H885" s="83"/>
      <c r="I885" s="83"/>
    </row>
    <row r="886" spans="3:9" ht="11.25" customHeight="1" x14ac:dyDescent="0.25">
      <c r="C886" s="83"/>
      <c r="D886" s="88"/>
      <c r="E886" s="83"/>
      <c r="F886" s="83"/>
      <c r="G886" s="89"/>
      <c r="H886" s="83"/>
      <c r="I886" s="83"/>
    </row>
    <row r="887" spans="3:9" ht="18" x14ac:dyDescent="0.25">
      <c r="C887" s="83" t="e">
        <f>+C872</f>
        <v>#REF!</v>
      </c>
      <c r="D887" s="427"/>
      <c r="E887" s="427"/>
      <c r="F887" s="83" t="e">
        <f>+C887</f>
        <v>#REF!</v>
      </c>
      <c r="G887" s="89"/>
      <c r="H887" s="83"/>
      <c r="I887" s="83"/>
    </row>
    <row r="888" spans="3:9" ht="18" x14ac:dyDescent="0.25">
      <c r="D888" s="88"/>
      <c r="E888" s="83"/>
      <c r="G888" s="427"/>
      <c r="H888" s="427"/>
      <c r="I888" s="427"/>
    </row>
    <row r="889" spans="3:9" ht="18" x14ac:dyDescent="0.25">
      <c r="C889" s="83" t="str">
        <f>+$F$1</f>
        <v>MONTES DE OCA 1068/1070 C.A.B.A.</v>
      </c>
      <c r="D889" s="88"/>
      <c r="E889" s="88" t="str">
        <f>+I872</f>
        <v>Unid. 23</v>
      </c>
      <c r="F889" s="83" t="str">
        <f>+$F$1</f>
        <v>MONTES DE OCA 1068/1070 C.A.B.A.</v>
      </c>
      <c r="G889" s="83"/>
      <c r="H889" s="83"/>
      <c r="I889" s="90" t="str">
        <f>+E889</f>
        <v>Unid. 23</v>
      </c>
    </row>
    <row r="890" spans="3:9" ht="18" x14ac:dyDescent="0.25">
      <c r="E890" s="88" t="e">
        <f>+I890</f>
        <v>#REF!</v>
      </c>
      <c r="I890" s="90" t="e">
        <f>+I873</f>
        <v>#REF!</v>
      </c>
    </row>
    <row r="891" spans="3:9" ht="9.75" customHeight="1" x14ac:dyDescent="0.25">
      <c r="C891" s="84"/>
      <c r="D891" s="91"/>
      <c r="E891" s="84"/>
      <c r="F891" s="84"/>
      <c r="G891" s="83"/>
      <c r="H891" s="83"/>
    </row>
    <row r="892" spans="3:9" ht="18" x14ac:dyDescent="0.25">
      <c r="C892" s="83" t="str">
        <f>+$F$2</f>
        <v>P/Depósito o transferencia en Banco Santander Rio</v>
      </c>
      <c r="D892" s="88"/>
      <c r="E892" s="83"/>
      <c r="F892" s="83"/>
      <c r="G892" s="83"/>
      <c r="H892" s="84"/>
      <c r="I892" s="99"/>
    </row>
    <row r="893" spans="3:9" ht="15" customHeight="1" x14ac:dyDescent="0.25">
      <c r="C893" s="83" t="str">
        <f>+$F$3</f>
        <v xml:space="preserve">Cta. Cte. $ N° 558-000162/1 </v>
      </c>
      <c r="D893" s="88"/>
      <c r="E893" s="83"/>
      <c r="F893" s="93"/>
      <c r="G893" s="83"/>
      <c r="H893" s="91"/>
      <c r="I893" s="83"/>
    </row>
    <row r="894" spans="3:9" ht="18" x14ac:dyDescent="0.25">
      <c r="D894" s="88"/>
      <c r="E894" s="83"/>
      <c r="F894" s="83" t="s">
        <v>70</v>
      </c>
      <c r="G894" s="102" t="e">
        <f>+G876</f>
        <v>#REF!</v>
      </c>
      <c r="I894" s="97">
        <f>+C899</f>
        <v>46183</v>
      </c>
    </row>
    <row r="895" spans="3:9" ht="18" x14ac:dyDescent="0.25">
      <c r="C895" s="84"/>
      <c r="D895" s="88"/>
      <c r="E895" s="83"/>
      <c r="F895" s="83" t="s">
        <v>71</v>
      </c>
      <c r="G895" s="102" t="e">
        <f>+G877</f>
        <v>#REF!</v>
      </c>
    </row>
    <row r="896" spans="3:9" ht="18" x14ac:dyDescent="0.25">
      <c r="C896" s="84"/>
      <c r="D896" s="88"/>
      <c r="E896" s="83"/>
      <c r="F896" s="83" t="s">
        <v>72</v>
      </c>
      <c r="G896" s="102">
        <v>0</v>
      </c>
      <c r="H896" s="83"/>
      <c r="I896" s="83"/>
    </row>
    <row r="897" spans="3:9" ht="18" x14ac:dyDescent="0.25">
      <c r="C897" s="83"/>
      <c r="D897" s="88"/>
      <c r="E897" s="83"/>
      <c r="F897" s="83" t="s">
        <v>73</v>
      </c>
      <c r="G897" s="102" t="e">
        <f>+G880</f>
        <v>#REF!</v>
      </c>
      <c r="H897" s="83"/>
      <c r="I897" s="83"/>
    </row>
    <row r="898" spans="3:9" ht="18" x14ac:dyDescent="0.25">
      <c r="C898" s="93"/>
      <c r="D898" s="93"/>
      <c r="E898" s="93"/>
      <c r="F898" s="83" t="s">
        <v>312</v>
      </c>
      <c r="G898" s="135" t="e">
        <f>+G878+G879</f>
        <v>#REF!</v>
      </c>
      <c r="H898" s="83"/>
      <c r="I898" s="83"/>
    </row>
    <row r="899" spans="3:9" ht="18" x14ac:dyDescent="0.25">
      <c r="C899" s="97">
        <f>+$H$43</f>
        <v>46183</v>
      </c>
      <c r="D899" s="157" t="e">
        <f>+G881</f>
        <v>#REF!</v>
      </c>
      <c r="E899" s="83"/>
      <c r="F899" s="83" t="s">
        <v>74</v>
      </c>
      <c r="G899" s="102" t="e">
        <f>+G881</f>
        <v>#REF!</v>
      </c>
      <c r="H899" s="83"/>
      <c r="I899" s="83"/>
    </row>
    <row r="900" spans="3:9" ht="18" x14ac:dyDescent="0.25">
      <c r="C900" s="83"/>
      <c r="D900" s="88"/>
      <c r="E900" s="83"/>
      <c r="F900" s="100"/>
      <c r="G900" s="83"/>
      <c r="H900" s="83"/>
      <c r="I900" s="83"/>
    </row>
    <row r="901" spans="3:9" ht="18" x14ac:dyDescent="0.25">
      <c r="C901" s="83"/>
      <c r="D901" s="88"/>
      <c r="E901" s="83"/>
      <c r="G901" s="83"/>
      <c r="H901" s="83"/>
      <c r="I901" s="83"/>
    </row>
    <row r="902" spans="3:9" ht="18" x14ac:dyDescent="0.25">
      <c r="C902" s="83"/>
      <c r="D902" s="88"/>
      <c r="E902" s="83"/>
      <c r="F902" s="83"/>
      <c r="G902" s="83"/>
      <c r="H902" s="83"/>
      <c r="I902" s="83"/>
    </row>
    <row r="903" spans="3:9" ht="18" x14ac:dyDescent="0.25">
      <c r="C903" s="83"/>
      <c r="D903" s="88"/>
      <c r="E903" s="83"/>
      <c r="F903" s="83"/>
      <c r="G903" s="83"/>
      <c r="H903" s="425"/>
      <c r="I903" s="425"/>
    </row>
    <row r="904" spans="3:9" ht="18" x14ac:dyDescent="0.25">
      <c r="C904" s="83"/>
      <c r="D904" s="88"/>
      <c r="E904" s="83"/>
      <c r="F904" s="83"/>
      <c r="G904" s="83"/>
      <c r="H904" s="83"/>
      <c r="I904" s="83"/>
    </row>
    <row r="905" spans="3:9" ht="18" x14ac:dyDescent="0.25">
      <c r="C905" s="83"/>
      <c r="D905" s="88"/>
      <c r="E905" s="83"/>
      <c r="F905" s="83"/>
      <c r="G905" s="83"/>
      <c r="H905" s="83"/>
      <c r="I905" s="83"/>
    </row>
    <row r="906" spans="3:9" ht="18" x14ac:dyDescent="0.25">
      <c r="C906" s="83"/>
      <c r="D906" s="88"/>
      <c r="E906" s="83"/>
      <c r="F906" s="83"/>
      <c r="G906" s="83"/>
      <c r="H906" s="83"/>
      <c r="I906" s="83"/>
    </row>
    <row r="907" spans="3:9" ht="18" x14ac:dyDescent="0.25">
      <c r="C907" s="83"/>
      <c r="D907" s="88"/>
      <c r="E907" s="83"/>
      <c r="F907" s="83"/>
      <c r="G907" s="83"/>
      <c r="H907" s="83"/>
      <c r="I907" s="83"/>
    </row>
    <row r="908" spans="3:9" ht="18" x14ac:dyDescent="0.25">
      <c r="C908" s="424"/>
      <c r="D908" s="424"/>
      <c r="E908" s="424"/>
      <c r="F908" s="96">
        <f>+$C$1</f>
        <v>46143</v>
      </c>
      <c r="G908" s="83"/>
      <c r="H908" s="97">
        <f>+$E$1</f>
        <v>46183</v>
      </c>
      <c r="I908" s="95"/>
    </row>
    <row r="909" spans="3:9" ht="24.75" customHeight="1" x14ac:dyDescent="0.25">
      <c r="C909" s="82"/>
      <c r="D909" s="82"/>
      <c r="E909" s="98"/>
      <c r="F909" s="96"/>
      <c r="G909" s="83"/>
    </row>
    <row r="910" spans="3:9" ht="27" customHeight="1" x14ac:dyDescent="0.25">
      <c r="D910" s="88"/>
      <c r="E910" s="83"/>
      <c r="G910" s="83"/>
    </row>
    <row r="911" spans="3:9" ht="21.75" customHeight="1" x14ac:dyDescent="0.25">
      <c r="G911" s="83"/>
      <c r="I911" s="90" t="s">
        <v>98</v>
      </c>
    </row>
    <row r="912" spans="3:9" ht="18" x14ac:dyDescent="0.25">
      <c r="C912" s="83" t="e">
        <f>+C25</f>
        <v>#REF!</v>
      </c>
      <c r="D912" s="88"/>
      <c r="E912" s="83"/>
      <c r="F912" s="83" t="str">
        <f>+$F$1</f>
        <v>MONTES DE OCA 1068/1070 C.A.B.A.</v>
      </c>
      <c r="G912" s="83"/>
      <c r="H912" s="84"/>
      <c r="I912" s="90" t="e">
        <f>+'RES CUENTA'!#REF!</f>
        <v>#REF!</v>
      </c>
    </row>
    <row r="913" spans="3:9" ht="18" x14ac:dyDescent="0.25">
      <c r="C913" s="83"/>
      <c r="D913" s="88"/>
      <c r="E913" s="83"/>
      <c r="F913" s="84"/>
      <c r="G913" s="83"/>
      <c r="H913" s="83"/>
      <c r="I913" s="84"/>
    </row>
    <row r="914" spans="3:9" ht="18" x14ac:dyDescent="0.25">
      <c r="C914" s="91"/>
      <c r="D914" s="88"/>
      <c r="E914" s="91"/>
      <c r="F914" s="83"/>
      <c r="G914" s="83"/>
      <c r="H914" s="83"/>
      <c r="I914" s="83"/>
    </row>
    <row r="915" spans="3:9" ht="18" x14ac:dyDescent="0.25">
      <c r="C915" s="83" t="s">
        <v>68</v>
      </c>
      <c r="D915" s="88"/>
      <c r="E915" s="103">
        <f>+'RES CUENTA'!G36</f>
        <v>4623849.72</v>
      </c>
      <c r="F915" s="104" t="e">
        <f>+'RES CUENTA'!#REF!</f>
        <v>#REF!</v>
      </c>
      <c r="G915" s="101" t="e">
        <f>+E915*F915/100</f>
        <v>#REF!</v>
      </c>
      <c r="H915" s="83"/>
      <c r="I915" s="91"/>
    </row>
    <row r="916" spans="3:9" ht="18" x14ac:dyDescent="0.25">
      <c r="C916" s="83" t="s">
        <v>69</v>
      </c>
      <c r="D916" s="88"/>
      <c r="E916" s="103">
        <f>+'RES CUENTA'!J36</f>
        <v>1180425.75</v>
      </c>
      <c r="F916" s="104" t="e">
        <f>+'RES CUENTA'!#REF!</f>
        <v>#REF!</v>
      </c>
      <c r="G916" s="101" t="e">
        <f>+E916*F916/100</f>
        <v>#REF!</v>
      </c>
      <c r="H916" s="91"/>
      <c r="I916" s="87"/>
    </row>
    <row r="917" spans="3:9" ht="18" x14ac:dyDescent="0.25">
      <c r="C917" s="83" t="s">
        <v>181</v>
      </c>
      <c r="D917" s="88"/>
      <c r="E917" s="103" t="e">
        <f>+'RES CUENTA'!#REF!</f>
        <v>#REF!</v>
      </c>
      <c r="F917" s="104">
        <v>0</v>
      </c>
      <c r="G917" s="101" t="e">
        <f>+E917</f>
        <v>#REF!</v>
      </c>
      <c r="H917" s="87"/>
      <c r="I917" s="87"/>
    </row>
    <row r="918" spans="3:9" ht="18" x14ac:dyDescent="0.25">
      <c r="C918" s="83" t="s">
        <v>265</v>
      </c>
      <c r="D918" s="88"/>
      <c r="E918" s="103">
        <v>0</v>
      </c>
      <c r="F918" s="104">
        <v>0</v>
      </c>
      <c r="G918" s="101" t="e">
        <f>+'RES CUENTA'!#REF!</f>
        <v>#REF!</v>
      </c>
      <c r="H918" s="87"/>
      <c r="I918" s="87"/>
    </row>
    <row r="919" spans="3:9" ht="18" x14ac:dyDescent="0.25">
      <c r="C919" s="83" t="s">
        <v>213</v>
      </c>
      <c r="D919" s="88"/>
      <c r="E919" s="103" t="e">
        <f>+'RES CUENTA'!#REF!+'RES CUENTA'!#REF!</f>
        <v>#REF!</v>
      </c>
      <c r="F919" s="104" t="e">
        <f>+'RES CUENTA'!#REF!</f>
        <v>#REF!</v>
      </c>
      <c r="G919" s="134" t="e">
        <f>+E919</f>
        <v>#REF!</v>
      </c>
      <c r="H919" s="87"/>
      <c r="I919" s="87"/>
    </row>
    <row r="920" spans="3:9" ht="18" x14ac:dyDescent="0.25">
      <c r="C920" s="84"/>
      <c r="D920" s="88"/>
      <c r="E920" s="83"/>
      <c r="G920" s="101" t="e">
        <f>SUM(G915:G919)</f>
        <v>#REF!</v>
      </c>
      <c r="H920" s="87"/>
      <c r="I920" s="87"/>
    </row>
    <row r="921" spans="3:9" ht="18" x14ac:dyDescent="0.25">
      <c r="C921" s="84"/>
      <c r="D921" s="88"/>
      <c r="E921" s="83"/>
      <c r="G921" s="85"/>
      <c r="H921" s="87"/>
      <c r="I921" s="88"/>
    </row>
    <row r="922" spans="3:9" ht="18" x14ac:dyDescent="0.25">
      <c r="C922" s="83"/>
      <c r="D922" s="88"/>
      <c r="E922" s="83"/>
      <c r="F922" s="83"/>
      <c r="G922" s="89"/>
      <c r="H922" s="88"/>
      <c r="I922" s="88"/>
    </row>
    <row r="923" spans="3:9" ht="13.5" customHeight="1" x14ac:dyDescent="0.25">
      <c r="C923" s="83"/>
      <c r="D923" s="88"/>
      <c r="E923" s="83"/>
      <c r="F923" s="83"/>
      <c r="G923" s="89"/>
      <c r="H923" s="88"/>
      <c r="I923" s="88"/>
    </row>
    <row r="924" spans="3:9" ht="13.5" customHeight="1" x14ac:dyDescent="0.25">
      <c r="C924" s="83"/>
      <c r="D924" s="88"/>
      <c r="E924" s="83"/>
      <c r="F924" s="83"/>
      <c r="G924" s="89"/>
      <c r="H924" s="88"/>
      <c r="I924" s="83"/>
    </row>
    <row r="925" spans="3:9" ht="26.25" customHeight="1" x14ac:dyDescent="0.25">
      <c r="C925" s="83" t="e">
        <f>+C912</f>
        <v>#REF!</v>
      </c>
      <c r="D925" s="88"/>
      <c r="E925" s="83"/>
      <c r="F925" s="83" t="e">
        <f>+C912</f>
        <v>#REF!</v>
      </c>
      <c r="G925" s="83"/>
      <c r="H925" s="83"/>
      <c r="I925" s="99"/>
    </row>
    <row r="926" spans="3:9" ht="18" x14ac:dyDescent="0.25">
      <c r="C926" s="84"/>
      <c r="D926" s="88"/>
      <c r="E926" s="83"/>
      <c r="G926" s="83"/>
      <c r="H926" s="99"/>
      <c r="I926" s="90" t="str">
        <f>+I911</f>
        <v>Unid. 24</v>
      </c>
    </row>
    <row r="927" spans="3:9" ht="18" x14ac:dyDescent="0.25">
      <c r="C927" s="83" t="str">
        <f>+$F$1</f>
        <v>MONTES DE OCA 1068/1070 C.A.B.A.</v>
      </c>
      <c r="D927" s="88"/>
      <c r="E927" s="88" t="str">
        <f>+I926</f>
        <v>Unid. 24</v>
      </c>
      <c r="F927" s="83" t="str">
        <f>+$F$1</f>
        <v>MONTES DE OCA 1068/1070 C.A.B.A.</v>
      </c>
      <c r="G927" s="83"/>
      <c r="H927" s="83"/>
      <c r="I927" s="90" t="e">
        <f>+I912</f>
        <v>#REF!</v>
      </c>
    </row>
    <row r="928" spans="3:9" ht="18" x14ac:dyDescent="0.25">
      <c r="C928" s="84"/>
      <c r="D928" s="91"/>
      <c r="E928" s="88" t="e">
        <f>+I927</f>
        <v>#REF!</v>
      </c>
      <c r="G928" s="83"/>
      <c r="H928" s="83"/>
    </row>
    <row r="929" spans="3:9" ht="12.75" customHeight="1" x14ac:dyDescent="0.25">
      <c r="C929" s="83"/>
      <c r="D929" s="88"/>
      <c r="E929" s="83"/>
      <c r="F929" s="84"/>
      <c r="G929" s="83"/>
      <c r="H929" s="83"/>
      <c r="I929" s="99"/>
    </row>
    <row r="930" spans="3:9" ht="18" x14ac:dyDescent="0.25">
      <c r="C930" s="83" t="str">
        <f>+$F$2</f>
        <v>P/Depósito o transferencia en Banco Santander Rio</v>
      </c>
      <c r="D930" s="88"/>
      <c r="E930" s="83"/>
      <c r="F930" s="83"/>
      <c r="G930" s="128"/>
      <c r="H930" s="84"/>
      <c r="I930" s="83"/>
    </row>
    <row r="931" spans="3:9" ht="18" x14ac:dyDescent="0.25">
      <c r="C931" s="83" t="str">
        <f>+$F$3</f>
        <v xml:space="preserve">Cta. Cte. $ N° 558-000162/1 </v>
      </c>
      <c r="D931" s="88"/>
      <c r="E931" s="83"/>
      <c r="F931" s="93"/>
      <c r="H931" s="91"/>
      <c r="I931" s="92"/>
    </row>
    <row r="932" spans="3:9" ht="18" x14ac:dyDescent="0.25">
      <c r="C932" s="84"/>
      <c r="D932" s="88"/>
      <c r="E932" s="83"/>
      <c r="F932" s="83" t="s">
        <v>70</v>
      </c>
      <c r="G932" s="102" t="e">
        <f>+G915</f>
        <v>#REF!</v>
      </c>
      <c r="H932" s="92"/>
      <c r="I932" s="97">
        <f>+C937</f>
        <v>46183</v>
      </c>
    </row>
    <row r="933" spans="3:9" ht="18" x14ac:dyDescent="0.25">
      <c r="C933" s="84"/>
      <c r="D933" s="88"/>
      <c r="E933" s="83"/>
      <c r="F933" s="83" t="s">
        <v>71</v>
      </c>
      <c r="G933" s="102" t="e">
        <f>+G916</f>
        <v>#REF!</v>
      </c>
      <c r="I933" s="83"/>
    </row>
    <row r="934" spans="3:9" ht="18" x14ac:dyDescent="0.25">
      <c r="C934" s="83"/>
      <c r="D934" s="88"/>
      <c r="E934" s="83"/>
      <c r="F934" s="83" t="s">
        <v>72</v>
      </c>
      <c r="G934" s="102" t="e">
        <f>+G919</f>
        <v>#REF!</v>
      </c>
      <c r="H934" s="83"/>
      <c r="I934" s="83"/>
    </row>
    <row r="935" spans="3:9" ht="18" x14ac:dyDescent="0.25">
      <c r="C935" s="93"/>
      <c r="D935" s="93"/>
      <c r="E935" s="93"/>
      <c r="F935" s="83" t="s">
        <v>73</v>
      </c>
      <c r="G935" s="102">
        <f>+'RES CUENTA'!N762</f>
        <v>0</v>
      </c>
      <c r="H935" s="83"/>
      <c r="I935" s="83"/>
    </row>
    <row r="936" spans="3:9" ht="18" x14ac:dyDescent="0.25">
      <c r="E936" s="83"/>
      <c r="F936" s="83" t="s">
        <v>312</v>
      </c>
      <c r="G936" s="135" t="e">
        <f>+G917+G918</f>
        <v>#REF!</v>
      </c>
      <c r="H936" s="83"/>
      <c r="I936" s="83"/>
    </row>
    <row r="937" spans="3:9" ht="18" x14ac:dyDescent="0.25">
      <c r="C937" s="97">
        <f>+$H$43</f>
        <v>46183</v>
      </c>
      <c r="D937" s="157" t="e">
        <f>+G920</f>
        <v>#REF!</v>
      </c>
      <c r="E937" s="83"/>
      <c r="F937" s="83" t="s">
        <v>74</v>
      </c>
      <c r="G937" s="102" t="e">
        <f>+G920</f>
        <v>#REF!</v>
      </c>
      <c r="H937" s="83"/>
      <c r="I937" s="83"/>
    </row>
    <row r="938" spans="3:9" ht="18" x14ac:dyDescent="0.25">
      <c r="C938" s="83"/>
      <c r="D938" s="88"/>
      <c r="E938" s="83"/>
      <c r="F938" s="83"/>
      <c r="G938" s="83"/>
      <c r="H938" s="83"/>
      <c r="I938" s="83"/>
    </row>
    <row r="939" spans="3:9" ht="18" x14ac:dyDescent="0.25">
      <c r="C939" s="83"/>
      <c r="D939" s="88"/>
      <c r="E939" s="83"/>
      <c r="F939" s="100"/>
      <c r="G939" s="83"/>
      <c r="H939" s="83"/>
      <c r="I939" s="83"/>
    </row>
    <row r="940" spans="3:9" ht="18" x14ac:dyDescent="0.25">
      <c r="C940" s="83"/>
      <c r="D940" s="88"/>
      <c r="E940" s="83"/>
      <c r="F940" s="83"/>
      <c r="G940" s="83"/>
      <c r="H940" s="83"/>
      <c r="I940" s="91"/>
    </row>
    <row r="941" spans="3:9" ht="7.5" customHeight="1" x14ac:dyDescent="0.25">
      <c r="F941" s="83"/>
      <c r="H941" s="91"/>
      <c r="I941" s="83"/>
    </row>
    <row r="942" spans="3:9" ht="12.75" customHeight="1" x14ac:dyDescent="0.2"/>
    <row r="943" spans="3:9" ht="18" x14ac:dyDescent="0.25">
      <c r="C943" s="424"/>
      <c r="D943" s="424"/>
      <c r="E943" s="424"/>
      <c r="F943" s="433">
        <f>+$C$1</f>
        <v>46143</v>
      </c>
      <c r="G943" s="83"/>
      <c r="H943" s="429">
        <f>+$E$1</f>
        <v>46183</v>
      </c>
      <c r="I943" s="83"/>
    </row>
    <row r="944" spans="3:9" ht="18" x14ac:dyDescent="0.25">
      <c r="C944" s="82"/>
      <c r="D944" s="82"/>
      <c r="E944" s="98"/>
      <c r="F944" s="433"/>
      <c r="G944" s="83"/>
      <c r="H944" s="429"/>
      <c r="I944" s="83"/>
    </row>
    <row r="945" spans="3:9" ht="18" x14ac:dyDescent="0.25">
      <c r="C945" s="83"/>
      <c r="D945" s="88"/>
      <c r="E945" s="83"/>
      <c r="F945" s="84"/>
      <c r="G945" s="83"/>
      <c r="H945" s="84"/>
      <c r="I945" s="83"/>
    </row>
    <row r="946" spans="3:9" ht="27.75" customHeight="1" x14ac:dyDescent="0.25">
      <c r="D946" s="88"/>
      <c r="E946" s="83"/>
      <c r="F946" s="84"/>
      <c r="G946" s="83"/>
      <c r="H946" s="84"/>
      <c r="I946" s="83"/>
    </row>
    <row r="947" spans="3:9" ht="15.75" customHeight="1" x14ac:dyDescent="0.25">
      <c r="C947" s="83" t="e">
        <f>+C26</f>
        <v>#REF!</v>
      </c>
      <c r="D947" s="88"/>
      <c r="E947" s="83"/>
      <c r="F947" s="83" t="s">
        <v>293</v>
      </c>
      <c r="G947" s="83"/>
      <c r="H947" s="83"/>
      <c r="I947" s="90" t="s">
        <v>99</v>
      </c>
    </row>
    <row r="948" spans="3:9" ht="18" x14ac:dyDescent="0.25">
      <c r="C948" s="83"/>
      <c r="D948" s="88"/>
      <c r="E948" s="83"/>
      <c r="F948" s="84"/>
      <c r="G948" s="83"/>
      <c r="H948" s="83"/>
      <c r="I948" s="90" t="e">
        <f>+'RES CUENTA'!#REF!</f>
        <v>#REF!</v>
      </c>
    </row>
    <row r="949" spans="3:9" ht="18" x14ac:dyDescent="0.25">
      <c r="C949" s="91"/>
      <c r="D949" s="88"/>
      <c r="E949" s="91"/>
      <c r="F949" s="83"/>
      <c r="G949" s="83"/>
      <c r="H949" s="83"/>
      <c r="I949" s="83"/>
    </row>
    <row r="950" spans="3:9" ht="12" customHeight="1" x14ac:dyDescent="0.25">
      <c r="C950" s="91"/>
      <c r="D950" s="88"/>
      <c r="E950" s="91"/>
      <c r="F950" s="83"/>
      <c r="G950" s="83"/>
      <c r="H950" s="83"/>
      <c r="I950" s="83"/>
    </row>
    <row r="951" spans="3:9" ht="18" x14ac:dyDescent="0.25">
      <c r="C951" s="83" t="s">
        <v>68</v>
      </c>
      <c r="D951" s="88"/>
      <c r="E951" s="103">
        <f>+'RES CUENTA'!G36</f>
        <v>4623849.72</v>
      </c>
      <c r="F951" s="104" t="e">
        <f>+'RES CUENTA'!#REF!</f>
        <v>#REF!</v>
      </c>
      <c r="G951" s="101" t="e">
        <f>+E951*F951/100</f>
        <v>#REF!</v>
      </c>
      <c r="H951" s="425"/>
      <c r="I951" s="425"/>
    </row>
    <row r="952" spans="3:9" ht="18" x14ac:dyDescent="0.25">
      <c r="C952" s="83" t="s">
        <v>69</v>
      </c>
      <c r="D952" s="88"/>
      <c r="E952" s="103">
        <f>+'RES CUENTA'!J36</f>
        <v>1180425.75</v>
      </c>
      <c r="F952" s="104" t="e">
        <f>+'RES CUENTA'!#REF!</f>
        <v>#REF!</v>
      </c>
      <c r="G952" s="101" t="e">
        <f>+E952*F952/100</f>
        <v>#REF!</v>
      </c>
      <c r="H952" s="430"/>
      <c r="I952" s="430"/>
    </row>
    <row r="953" spans="3:9" ht="18" x14ac:dyDescent="0.25">
      <c r="C953" s="83" t="s">
        <v>181</v>
      </c>
      <c r="D953" s="88"/>
      <c r="E953" s="103" t="e">
        <f>+'RES CUENTA'!#REF!</f>
        <v>#REF!</v>
      </c>
      <c r="F953" s="104">
        <v>0</v>
      </c>
      <c r="G953" s="101" t="e">
        <f>+E953</f>
        <v>#REF!</v>
      </c>
      <c r="H953" s="430"/>
      <c r="I953" s="430"/>
    </row>
    <row r="954" spans="3:9" ht="18" x14ac:dyDescent="0.25">
      <c r="C954" s="83" t="s">
        <v>265</v>
      </c>
      <c r="D954" s="88"/>
      <c r="E954" s="103">
        <v>0</v>
      </c>
      <c r="F954" s="104">
        <v>0</v>
      </c>
      <c r="G954" s="101" t="e">
        <f>+'RES CUENTA'!#REF!</f>
        <v>#REF!</v>
      </c>
      <c r="H954" s="430"/>
      <c r="I954" s="430"/>
    </row>
    <row r="955" spans="3:9" ht="18" x14ac:dyDescent="0.25">
      <c r="C955" s="83" t="s">
        <v>213</v>
      </c>
      <c r="D955" s="88"/>
      <c r="E955" s="103" t="e">
        <f>+'RES CUENTA'!#REF!+'RES CUENTA'!#REF!</f>
        <v>#REF!</v>
      </c>
      <c r="F955" s="104">
        <v>0</v>
      </c>
      <c r="G955" s="134" t="e">
        <f>+E955</f>
        <v>#REF!</v>
      </c>
      <c r="H955" s="430"/>
      <c r="I955" s="430"/>
    </row>
    <row r="956" spans="3:9" ht="18" x14ac:dyDescent="0.25">
      <c r="C956" s="84"/>
      <c r="D956" s="88"/>
      <c r="E956" s="83"/>
      <c r="F956" s="89"/>
      <c r="G956" s="101" t="e">
        <f>SUM(G951:G955)</f>
        <v>#REF!</v>
      </c>
      <c r="H956" s="87"/>
      <c r="I956" s="87"/>
    </row>
    <row r="957" spans="3:9" ht="18" x14ac:dyDescent="0.25">
      <c r="C957" s="84"/>
      <c r="D957" s="88"/>
      <c r="E957" s="83"/>
      <c r="F957" s="83"/>
      <c r="H957" s="432"/>
      <c r="I957" s="432"/>
    </row>
    <row r="958" spans="3:9" ht="18" x14ac:dyDescent="0.25">
      <c r="C958" s="83"/>
      <c r="D958" s="88"/>
      <c r="E958" s="83"/>
      <c r="F958" s="83"/>
      <c r="G958" s="85"/>
      <c r="H958" s="88"/>
      <c r="I958" s="88"/>
    </row>
    <row r="959" spans="3:9" ht="18" x14ac:dyDescent="0.25">
      <c r="C959" s="83"/>
      <c r="D959" s="88"/>
      <c r="E959" s="83"/>
      <c r="F959" s="83"/>
      <c r="G959" s="85"/>
      <c r="H959" s="88"/>
      <c r="I959" s="88"/>
    </row>
    <row r="960" spans="3:9" ht="18" x14ac:dyDescent="0.25">
      <c r="C960" s="83"/>
      <c r="D960" s="88"/>
      <c r="E960" s="83"/>
      <c r="F960" s="83"/>
      <c r="G960" s="89"/>
      <c r="H960" s="83"/>
      <c r="I960" s="83"/>
    </row>
    <row r="961" spans="3:9" ht="11.25" customHeight="1" x14ac:dyDescent="0.25">
      <c r="C961" s="83"/>
      <c r="D961" s="88"/>
      <c r="E961" s="83"/>
      <c r="F961" s="83"/>
      <c r="G961" s="89"/>
      <c r="H961" s="83"/>
      <c r="I961" s="83"/>
    </row>
    <row r="962" spans="3:9" ht="18" x14ac:dyDescent="0.25">
      <c r="C962" s="83" t="e">
        <f>+C947</f>
        <v>#REF!</v>
      </c>
      <c r="D962" s="427"/>
      <c r="E962" s="427"/>
      <c r="F962" s="83" t="e">
        <f>+C962</f>
        <v>#REF!</v>
      </c>
      <c r="G962" s="89"/>
      <c r="H962" s="83"/>
      <c r="I962" s="83"/>
    </row>
    <row r="963" spans="3:9" ht="18" x14ac:dyDescent="0.25">
      <c r="D963" s="88"/>
      <c r="E963" s="83"/>
      <c r="G963" s="427"/>
      <c r="H963" s="427"/>
      <c r="I963" s="427"/>
    </row>
    <row r="964" spans="3:9" ht="18" x14ac:dyDescent="0.25">
      <c r="C964" s="83" t="str">
        <f>+$F$1</f>
        <v>MONTES DE OCA 1068/1070 C.A.B.A.</v>
      </c>
      <c r="D964" s="88"/>
      <c r="E964" s="88" t="str">
        <f>+I947</f>
        <v>Unid. 25</v>
      </c>
      <c r="F964" s="83" t="str">
        <f>+$F$1</f>
        <v>MONTES DE OCA 1068/1070 C.A.B.A.</v>
      </c>
      <c r="G964" s="83"/>
      <c r="H964" s="83"/>
      <c r="I964" s="90" t="str">
        <f>+E964</f>
        <v>Unid. 25</v>
      </c>
    </row>
    <row r="965" spans="3:9" ht="18" x14ac:dyDescent="0.25">
      <c r="E965" s="88" t="e">
        <f>+I965</f>
        <v>#REF!</v>
      </c>
      <c r="I965" s="90" t="e">
        <f>+I948</f>
        <v>#REF!</v>
      </c>
    </row>
    <row r="966" spans="3:9" ht="12.75" customHeight="1" x14ac:dyDescent="0.25">
      <c r="C966" s="84"/>
      <c r="D966" s="91"/>
      <c r="E966" s="84"/>
      <c r="F966" s="84"/>
      <c r="G966" s="83"/>
      <c r="H966" s="83"/>
    </row>
    <row r="967" spans="3:9" ht="18" x14ac:dyDescent="0.25">
      <c r="C967" s="83" t="str">
        <f>+$F$2</f>
        <v>P/Depósito o transferencia en Banco Santander Rio</v>
      </c>
      <c r="D967" s="88"/>
      <c r="E967" s="83"/>
      <c r="F967" s="83"/>
      <c r="G967" s="83"/>
      <c r="H967" s="84"/>
      <c r="I967" s="99"/>
    </row>
    <row r="968" spans="3:9" ht="18" x14ac:dyDescent="0.25">
      <c r="C968" s="83" t="str">
        <f>+$F$3</f>
        <v xml:space="preserve">Cta. Cte. $ N° 558-000162/1 </v>
      </c>
      <c r="D968" s="88"/>
      <c r="E968" s="83"/>
      <c r="F968" s="93"/>
      <c r="G968" s="83"/>
      <c r="H968" s="91"/>
      <c r="I968" s="83"/>
    </row>
    <row r="969" spans="3:9" ht="18" x14ac:dyDescent="0.25">
      <c r="D969" s="88"/>
      <c r="E969" s="83"/>
      <c r="F969" s="83" t="s">
        <v>70</v>
      </c>
      <c r="G969" s="102" t="e">
        <f>+G951</f>
        <v>#REF!</v>
      </c>
      <c r="I969" s="97">
        <f>+RECIBOS!C974</f>
        <v>46183</v>
      </c>
    </row>
    <row r="970" spans="3:9" ht="18" x14ac:dyDescent="0.25">
      <c r="C970" s="84"/>
      <c r="D970" s="88"/>
      <c r="E970" s="83"/>
      <c r="F970" s="83" t="s">
        <v>71</v>
      </c>
      <c r="G970" s="102" t="e">
        <f>+G952</f>
        <v>#REF!</v>
      </c>
    </row>
    <row r="971" spans="3:9" ht="18" x14ac:dyDescent="0.25">
      <c r="C971" s="84"/>
      <c r="D971" s="88"/>
      <c r="E971" s="83"/>
      <c r="F971" s="83" t="s">
        <v>72</v>
      </c>
      <c r="G971" s="102">
        <v>0</v>
      </c>
      <c r="H971" s="83"/>
      <c r="I971" s="83"/>
    </row>
    <row r="972" spans="3:9" ht="18" x14ac:dyDescent="0.25">
      <c r="C972" s="83"/>
      <c r="D972" s="88"/>
      <c r="E972" s="83"/>
      <c r="F972" s="83" t="s">
        <v>73</v>
      </c>
      <c r="G972" s="102" t="e">
        <f>+G955</f>
        <v>#REF!</v>
      </c>
      <c r="H972" s="83"/>
      <c r="I972" s="83"/>
    </row>
    <row r="973" spans="3:9" ht="18" x14ac:dyDescent="0.25">
      <c r="C973" s="93"/>
      <c r="D973" s="93"/>
      <c r="E973" s="93"/>
      <c r="F973" s="83" t="s">
        <v>181</v>
      </c>
      <c r="G973" s="135" t="e">
        <f>+G953+G954</f>
        <v>#REF!</v>
      </c>
      <c r="H973" s="83"/>
      <c r="I973" s="83"/>
    </row>
    <row r="974" spans="3:9" ht="18" x14ac:dyDescent="0.25">
      <c r="C974" s="97">
        <f>+$H$43</f>
        <v>46183</v>
      </c>
      <c r="D974" s="157" t="e">
        <f>+G956</f>
        <v>#REF!</v>
      </c>
      <c r="E974" s="83"/>
      <c r="F974" s="83" t="s">
        <v>74</v>
      </c>
      <c r="G974" s="102" t="e">
        <f>SUM(G969:G973)</f>
        <v>#REF!</v>
      </c>
      <c r="H974" s="83"/>
      <c r="I974" s="83"/>
    </row>
    <row r="975" spans="3:9" ht="18" x14ac:dyDescent="0.25">
      <c r="C975" s="83"/>
      <c r="D975" s="88"/>
      <c r="E975" s="83"/>
      <c r="F975" s="100"/>
      <c r="G975" s="83"/>
      <c r="H975" s="83"/>
      <c r="I975" s="83"/>
    </row>
    <row r="976" spans="3:9" ht="18" x14ac:dyDescent="0.25">
      <c r="C976" s="83"/>
      <c r="D976" s="88"/>
      <c r="E976" s="83"/>
      <c r="G976" s="83"/>
      <c r="H976" s="83"/>
      <c r="I976" s="83"/>
    </row>
    <row r="977" spans="3:9" ht="18" x14ac:dyDescent="0.25">
      <c r="C977" s="83"/>
      <c r="D977" s="88"/>
      <c r="E977" s="83"/>
      <c r="F977" s="83"/>
      <c r="G977" s="83"/>
      <c r="H977" s="83"/>
      <c r="I977" s="83"/>
    </row>
    <row r="978" spans="3:9" ht="18" x14ac:dyDescent="0.25">
      <c r="C978" s="83"/>
      <c r="D978" s="88"/>
      <c r="E978" s="83"/>
      <c r="F978" s="83"/>
      <c r="G978" s="83"/>
      <c r="H978" s="425"/>
      <c r="I978" s="425"/>
    </row>
    <row r="979" spans="3:9" ht="18" x14ac:dyDescent="0.25">
      <c r="C979" s="83"/>
      <c r="D979" s="88"/>
      <c r="E979" s="83"/>
      <c r="F979" s="83"/>
      <c r="G979" s="83"/>
      <c r="H979" s="91"/>
      <c r="I979" s="91"/>
    </row>
    <row r="980" spans="3:9" ht="18" x14ac:dyDescent="0.25">
      <c r="C980" s="83"/>
      <c r="D980" s="88"/>
      <c r="E980" s="83"/>
      <c r="F980" s="83"/>
      <c r="G980" s="83"/>
      <c r="H980" s="83"/>
      <c r="I980" s="83"/>
    </row>
    <row r="981" spans="3:9" ht="18" x14ac:dyDescent="0.25">
      <c r="C981" s="83"/>
      <c r="D981" s="88"/>
      <c r="E981" s="83"/>
      <c r="F981" s="83"/>
      <c r="G981" s="83"/>
      <c r="H981" s="83"/>
      <c r="I981" s="83"/>
    </row>
    <row r="982" spans="3:9" ht="18" x14ac:dyDescent="0.25">
      <c r="C982" s="424"/>
      <c r="D982" s="424"/>
      <c r="E982" s="424"/>
      <c r="F982" s="83"/>
      <c r="G982" s="83"/>
      <c r="I982" s="83"/>
    </row>
    <row r="983" spans="3:9" ht="18" x14ac:dyDescent="0.25">
      <c r="C983" s="424"/>
      <c r="D983" s="424"/>
      <c r="E983" s="424"/>
      <c r="F983" s="96">
        <f>+$C$1</f>
        <v>46143</v>
      </c>
      <c r="G983" s="83"/>
      <c r="H983" s="97">
        <f>+$E$1</f>
        <v>46183</v>
      </c>
      <c r="I983" s="95"/>
    </row>
    <row r="984" spans="3:9" ht="18" x14ac:dyDescent="0.25">
      <c r="C984" s="82"/>
      <c r="D984" s="82"/>
      <c r="E984" s="98"/>
      <c r="F984" s="96"/>
      <c r="G984" s="83"/>
    </row>
    <row r="985" spans="3:9" ht="29.25" customHeight="1" x14ac:dyDescent="0.25">
      <c r="D985" s="88"/>
      <c r="E985" s="83"/>
      <c r="G985" s="83"/>
    </row>
    <row r="986" spans="3:9" ht="19.5" customHeight="1" x14ac:dyDescent="0.25">
      <c r="C986" s="83" t="e">
        <f>+C27</f>
        <v>#REF!</v>
      </c>
      <c r="D986" s="88"/>
      <c r="E986" s="83"/>
      <c r="F986" s="83" t="str">
        <f>+$F$1</f>
        <v>MONTES DE OCA 1068/1070 C.A.B.A.</v>
      </c>
      <c r="G986" s="83"/>
      <c r="I986" s="90" t="s">
        <v>100</v>
      </c>
    </row>
    <row r="987" spans="3:9" ht="18" x14ac:dyDescent="0.25">
      <c r="C987" s="84"/>
      <c r="D987" s="88"/>
      <c r="E987" s="83"/>
      <c r="G987" s="83"/>
      <c r="H987" s="84"/>
      <c r="I987" s="90" t="e">
        <f>+'RES CUENTA'!#REF!</f>
        <v>#REF!</v>
      </c>
    </row>
    <row r="988" spans="3:9" ht="18" x14ac:dyDescent="0.25">
      <c r="C988" s="83"/>
      <c r="D988" s="88"/>
      <c r="E988" s="83"/>
      <c r="F988" s="84"/>
      <c r="G988" s="83"/>
      <c r="H988" s="83"/>
      <c r="I988" s="84"/>
    </row>
    <row r="989" spans="3:9" ht="18" x14ac:dyDescent="0.25">
      <c r="C989" s="91"/>
      <c r="D989" s="88"/>
      <c r="E989" s="91"/>
      <c r="F989" s="83"/>
      <c r="G989" s="83"/>
      <c r="H989" s="83"/>
      <c r="I989" s="83"/>
    </row>
    <row r="990" spans="3:9" ht="18" x14ac:dyDescent="0.25">
      <c r="C990" s="83" t="s">
        <v>68</v>
      </c>
      <c r="D990" s="88"/>
      <c r="E990" s="103">
        <f>+'RES CUENTA'!G36</f>
        <v>4623849.72</v>
      </c>
      <c r="F990" s="104" t="e">
        <f>+'RES CUENTA'!#REF!</f>
        <v>#REF!</v>
      </c>
      <c r="G990" s="101" t="e">
        <f>+E990*F990/100</f>
        <v>#REF!</v>
      </c>
      <c r="H990" s="83"/>
      <c r="I990" s="91"/>
    </row>
    <row r="991" spans="3:9" ht="18" x14ac:dyDescent="0.25">
      <c r="C991" s="83" t="s">
        <v>69</v>
      </c>
      <c r="D991" s="88"/>
      <c r="E991" s="103">
        <f>+'RES CUENTA'!J36</f>
        <v>1180425.75</v>
      </c>
      <c r="F991" s="104" t="e">
        <f>+'RES CUENTA'!#REF!</f>
        <v>#REF!</v>
      </c>
      <c r="G991" s="101" t="e">
        <f>+E991*F991/100</f>
        <v>#REF!</v>
      </c>
      <c r="H991" s="91"/>
      <c r="I991" s="87"/>
    </row>
    <row r="992" spans="3:9" ht="18" x14ac:dyDescent="0.25">
      <c r="C992" s="83" t="s">
        <v>181</v>
      </c>
      <c r="D992" s="88"/>
      <c r="E992" s="103" t="e">
        <f>+'RES CUENTA'!#REF!</f>
        <v>#REF!</v>
      </c>
      <c r="F992" s="104">
        <v>0</v>
      </c>
      <c r="G992" s="101" t="e">
        <f>+E992</f>
        <v>#REF!</v>
      </c>
      <c r="H992" s="87"/>
      <c r="I992" s="87"/>
    </row>
    <row r="993" spans="3:9" ht="18" x14ac:dyDescent="0.25">
      <c r="C993" s="83" t="s">
        <v>265</v>
      </c>
      <c r="D993" s="88"/>
      <c r="E993" s="103">
        <v>0</v>
      </c>
      <c r="F993" s="104">
        <v>0</v>
      </c>
      <c r="G993" s="101" t="e">
        <f>+'RES CUENTA'!#REF!</f>
        <v>#REF!</v>
      </c>
      <c r="H993" s="87"/>
      <c r="I993" s="87"/>
    </row>
    <row r="994" spans="3:9" ht="18" x14ac:dyDescent="0.25">
      <c r="C994" s="83" t="s">
        <v>213</v>
      </c>
      <c r="D994" s="88"/>
      <c r="E994" s="103" t="e">
        <f>+'RES CUENTA'!#REF!+'RES CUENTA'!#REF!</f>
        <v>#REF!</v>
      </c>
      <c r="F994" s="104">
        <v>0</v>
      </c>
      <c r="G994" s="136" t="e">
        <f>+E994</f>
        <v>#REF!</v>
      </c>
      <c r="H994" s="87"/>
      <c r="I994" s="87"/>
    </row>
    <row r="995" spans="3:9" ht="18" x14ac:dyDescent="0.25">
      <c r="C995" s="84"/>
      <c r="D995" s="88"/>
      <c r="E995" s="83"/>
      <c r="G995" s="101" t="e">
        <f>SUM(G990:G994)</f>
        <v>#REF!</v>
      </c>
      <c r="H995" s="87"/>
      <c r="I995" s="87"/>
    </row>
    <row r="996" spans="3:9" ht="18" x14ac:dyDescent="0.25">
      <c r="C996" s="84"/>
      <c r="D996" s="88"/>
      <c r="E996" s="83"/>
      <c r="G996" s="101"/>
      <c r="H996" s="87"/>
      <c r="I996" s="88"/>
    </row>
    <row r="997" spans="3:9" ht="18" x14ac:dyDescent="0.25">
      <c r="C997" s="83"/>
      <c r="D997" s="88"/>
      <c r="E997" s="83"/>
      <c r="F997" s="83"/>
      <c r="G997" s="89"/>
      <c r="H997" s="88"/>
      <c r="I997" s="88"/>
    </row>
    <row r="998" spans="3:9" ht="18" customHeight="1" x14ac:dyDescent="0.25">
      <c r="C998" s="83"/>
      <c r="D998" s="88"/>
      <c r="E998" s="83"/>
      <c r="F998" s="83"/>
      <c r="G998" s="89"/>
      <c r="H998" s="88"/>
      <c r="I998" s="88"/>
    </row>
    <row r="999" spans="3:9" ht="15" customHeight="1" x14ac:dyDescent="0.25">
      <c r="C999" s="83"/>
      <c r="D999" s="88"/>
      <c r="E999" s="83"/>
      <c r="F999" s="83"/>
      <c r="G999" s="89"/>
      <c r="H999" s="88"/>
      <c r="I999" s="83"/>
    </row>
    <row r="1000" spans="3:9" ht="24" customHeight="1" x14ac:dyDescent="0.25">
      <c r="C1000" s="83" t="e">
        <f>+C986</f>
        <v>#REF!</v>
      </c>
      <c r="D1000" s="88"/>
      <c r="E1000" s="83"/>
      <c r="F1000" s="83" t="e">
        <f>+C986</f>
        <v>#REF!</v>
      </c>
      <c r="G1000" s="83"/>
      <c r="H1000" s="83"/>
      <c r="I1000" s="99"/>
    </row>
    <row r="1001" spans="3:9" ht="18" x14ac:dyDescent="0.25">
      <c r="C1001" s="84"/>
      <c r="D1001" s="88"/>
      <c r="E1001" s="83"/>
      <c r="G1001" s="83"/>
      <c r="H1001" s="99"/>
      <c r="I1001" s="90" t="str">
        <f>+I986</f>
        <v>Unid. 26</v>
      </c>
    </row>
    <row r="1002" spans="3:9" ht="18" x14ac:dyDescent="0.25">
      <c r="C1002" s="83" t="str">
        <f>+$F$1</f>
        <v>MONTES DE OCA 1068/1070 C.A.B.A.</v>
      </c>
      <c r="D1002" s="88"/>
      <c r="E1002" s="88" t="str">
        <f>+I1001</f>
        <v>Unid. 26</v>
      </c>
      <c r="F1002" s="83" t="str">
        <f>+$F$1</f>
        <v>MONTES DE OCA 1068/1070 C.A.B.A.</v>
      </c>
      <c r="G1002" s="83"/>
      <c r="H1002" s="83"/>
      <c r="I1002" s="90" t="e">
        <f>+I987</f>
        <v>#REF!</v>
      </c>
    </row>
    <row r="1003" spans="3:9" ht="18" x14ac:dyDescent="0.25">
      <c r="C1003" s="84"/>
      <c r="D1003" s="91"/>
      <c r="E1003" s="88" t="e">
        <f>+I1002</f>
        <v>#REF!</v>
      </c>
      <c r="G1003" s="83"/>
      <c r="H1003" s="83"/>
    </row>
    <row r="1004" spans="3:9" ht="12" customHeight="1" x14ac:dyDescent="0.25">
      <c r="C1004" s="83"/>
      <c r="D1004" s="88"/>
      <c r="E1004" s="83"/>
      <c r="F1004" s="84"/>
      <c r="G1004" s="83"/>
      <c r="H1004" s="83"/>
      <c r="I1004" s="99"/>
    </row>
    <row r="1005" spans="3:9" ht="18" x14ac:dyDescent="0.25">
      <c r="C1005" s="83" t="str">
        <f>+$F$2</f>
        <v>P/Depósito o transferencia en Banco Santander Rio</v>
      </c>
      <c r="D1005" s="88"/>
      <c r="E1005" s="83"/>
      <c r="F1005" s="83"/>
      <c r="G1005" s="128"/>
      <c r="H1005" s="84"/>
      <c r="I1005" s="83"/>
    </row>
    <row r="1006" spans="3:9" ht="18" x14ac:dyDescent="0.25">
      <c r="C1006" s="83" t="str">
        <f>+$F$3</f>
        <v xml:space="preserve">Cta. Cte. $ N° 558-000162/1 </v>
      </c>
      <c r="D1006" s="88"/>
      <c r="E1006" s="83"/>
      <c r="F1006" s="93"/>
      <c r="H1006" s="91"/>
      <c r="I1006" s="92"/>
    </row>
    <row r="1007" spans="3:9" ht="18" x14ac:dyDescent="0.25">
      <c r="C1007" s="84"/>
      <c r="D1007" s="88"/>
      <c r="E1007" s="83"/>
      <c r="F1007" s="83" t="s">
        <v>70</v>
      </c>
      <c r="G1007" s="102" t="e">
        <f>+G990</f>
        <v>#REF!</v>
      </c>
      <c r="H1007" s="92"/>
      <c r="I1007" s="97">
        <f>+C1012</f>
        <v>46183</v>
      </c>
    </row>
    <row r="1008" spans="3:9" ht="18" x14ac:dyDescent="0.25">
      <c r="C1008" s="84"/>
      <c r="D1008" s="88"/>
      <c r="E1008" s="83"/>
      <c r="F1008" s="83" t="s">
        <v>71</v>
      </c>
      <c r="G1008" s="102" t="e">
        <f>+G991</f>
        <v>#REF!</v>
      </c>
      <c r="I1008" s="83"/>
    </row>
    <row r="1009" spans="3:9" ht="18" x14ac:dyDescent="0.25">
      <c r="C1009" s="83"/>
      <c r="D1009" s="88"/>
      <c r="E1009" s="83"/>
      <c r="F1009" s="83" t="s">
        <v>72</v>
      </c>
      <c r="G1009" s="102" t="e">
        <f>+G994</f>
        <v>#REF!</v>
      </c>
      <c r="H1009" s="83"/>
      <c r="I1009" s="83"/>
    </row>
    <row r="1010" spans="3:9" ht="18" x14ac:dyDescent="0.25">
      <c r="C1010" s="93"/>
      <c r="D1010" s="93"/>
      <c r="E1010" s="93"/>
      <c r="F1010" s="83" t="s">
        <v>73</v>
      </c>
      <c r="G1010" s="102">
        <f>+'RES CUENTA'!N838</f>
        <v>0</v>
      </c>
      <c r="H1010" s="83"/>
      <c r="I1010" s="83"/>
    </row>
    <row r="1011" spans="3:9" ht="18" x14ac:dyDescent="0.25">
      <c r="E1011" s="83"/>
      <c r="F1011" s="83" t="s">
        <v>312</v>
      </c>
      <c r="G1011" s="135" t="e">
        <f>+G992+G993</f>
        <v>#REF!</v>
      </c>
      <c r="H1011" s="83"/>
      <c r="I1011" s="83"/>
    </row>
    <row r="1012" spans="3:9" ht="18" x14ac:dyDescent="0.25">
      <c r="C1012" s="97">
        <f>+$H$43</f>
        <v>46183</v>
      </c>
      <c r="D1012" s="157" t="e">
        <f>+G995</f>
        <v>#REF!</v>
      </c>
      <c r="E1012" s="83"/>
      <c r="F1012" s="83" t="s">
        <v>74</v>
      </c>
      <c r="G1012" s="102" t="e">
        <f>+G995</f>
        <v>#REF!</v>
      </c>
      <c r="H1012" s="83"/>
      <c r="I1012" s="83"/>
    </row>
    <row r="1013" spans="3:9" ht="18" x14ac:dyDescent="0.25">
      <c r="C1013" s="83"/>
      <c r="D1013" s="88"/>
      <c r="E1013" s="83"/>
      <c r="F1013" s="83"/>
      <c r="G1013" s="83"/>
      <c r="H1013" s="83"/>
      <c r="I1013" s="83"/>
    </row>
    <row r="1014" spans="3:9" ht="18" x14ac:dyDescent="0.25">
      <c r="C1014" s="83"/>
      <c r="D1014" s="88"/>
      <c r="E1014" s="83"/>
      <c r="F1014" s="100"/>
      <c r="G1014" s="83"/>
      <c r="H1014" s="83"/>
      <c r="I1014" s="83"/>
    </row>
    <row r="1015" spans="3:9" ht="18" x14ac:dyDescent="0.25">
      <c r="C1015" s="83"/>
      <c r="D1015" s="88"/>
      <c r="E1015" s="83"/>
      <c r="F1015" s="83"/>
      <c r="G1015" s="83"/>
      <c r="H1015" s="83"/>
      <c r="I1015" s="91"/>
    </row>
    <row r="1016" spans="3:9" ht="11.25" customHeight="1" x14ac:dyDescent="0.25">
      <c r="C1016" s="175"/>
      <c r="F1016" s="83"/>
      <c r="H1016" s="91"/>
      <c r="I1016" s="83"/>
    </row>
    <row r="1017" spans="3:9" ht="18" customHeight="1" x14ac:dyDescent="0.2"/>
    <row r="1018" spans="3:9" ht="18" x14ac:dyDescent="0.25">
      <c r="C1018" s="424"/>
      <c r="D1018" s="424"/>
      <c r="E1018" s="424"/>
      <c r="F1018" s="433">
        <f>+$C$1</f>
        <v>46143</v>
      </c>
      <c r="G1018" s="83"/>
      <c r="H1018" s="429">
        <f>+$E$1</f>
        <v>46183</v>
      </c>
      <c r="I1018" s="83"/>
    </row>
    <row r="1019" spans="3:9" ht="18" x14ac:dyDescent="0.25">
      <c r="C1019" s="82"/>
      <c r="D1019" s="82"/>
      <c r="E1019" s="98"/>
      <c r="F1019" s="433"/>
      <c r="G1019" s="83"/>
      <c r="H1019" s="429"/>
      <c r="I1019" s="83"/>
    </row>
    <row r="1020" spans="3:9" ht="18" x14ac:dyDescent="0.25">
      <c r="C1020" s="83"/>
      <c r="D1020" s="88"/>
      <c r="E1020" s="83"/>
      <c r="F1020" s="84"/>
      <c r="G1020" s="83"/>
      <c r="H1020" s="84"/>
      <c r="I1020" s="83"/>
    </row>
    <row r="1021" spans="3:9" ht="34.5" customHeight="1" x14ac:dyDescent="0.25">
      <c r="D1021" s="88"/>
      <c r="E1021" s="83"/>
      <c r="F1021" s="84"/>
      <c r="G1021" s="83"/>
      <c r="H1021" s="84"/>
      <c r="I1021" s="83"/>
    </row>
    <row r="1022" spans="3:9" ht="18" x14ac:dyDescent="0.25">
      <c r="C1022" s="83" t="e">
        <f>+C28</f>
        <v>#REF!</v>
      </c>
      <c r="D1022" s="88"/>
      <c r="E1022" s="83"/>
      <c r="F1022" s="83" t="s">
        <v>293</v>
      </c>
      <c r="G1022" s="83"/>
      <c r="H1022" s="83"/>
      <c r="I1022" s="90" t="s">
        <v>101</v>
      </c>
    </row>
    <row r="1023" spans="3:9" ht="18" x14ac:dyDescent="0.25">
      <c r="C1023" s="83"/>
      <c r="D1023" s="88"/>
      <c r="E1023" s="83"/>
      <c r="F1023" s="84"/>
      <c r="G1023" s="83"/>
      <c r="H1023" s="83"/>
      <c r="I1023" s="90" t="e">
        <f>+'RES CUENTA'!#REF!</f>
        <v>#REF!</v>
      </c>
    </row>
    <row r="1024" spans="3:9" ht="18" x14ac:dyDescent="0.25">
      <c r="C1024" s="91"/>
      <c r="D1024" s="88"/>
      <c r="E1024" s="91"/>
      <c r="F1024" s="83"/>
      <c r="G1024" s="83"/>
      <c r="H1024" s="83"/>
      <c r="I1024" s="83"/>
    </row>
    <row r="1025" spans="3:9" ht="14.25" customHeight="1" x14ac:dyDescent="0.25">
      <c r="C1025" s="91"/>
      <c r="D1025" s="88"/>
      <c r="E1025" s="91"/>
      <c r="F1025" s="83"/>
      <c r="G1025" s="83"/>
      <c r="H1025" s="83"/>
      <c r="I1025" s="83"/>
    </row>
    <row r="1026" spans="3:9" ht="18" x14ac:dyDescent="0.25">
      <c r="C1026" s="83" t="s">
        <v>68</v>
      </c>
      <c r="D1026" s="88"/>
      <c r="E1026" s="103">
        <f>+'RES CUENTA'!G36</f>
        <v>4623849.72</v>
      </c>
      <c r="F1026" s="104" t="e">
        <f>+'RES CUENTA'!#REF!</f>
        <v>#REF!</v>
      </c>
      <c r="G1026" s="101" t="e">
        <f>+E1026*F1026/100</f>
        <v>#REF!</v>
      </c>
      <c r="H1026" s="425"/>
      <c r="I1026" s="425"/>
    </row>
    <row r="1027" spans="3:9" ht="18" x14ac:dyDescent="0.25">
      <c r="C1027" s="83" t="s">
        <v>69</v>
      </c>
      <c r="D1027" s="88"/>
      <c r="E1027" s="103">
        <f>+'RES CUENTA'!J36</f>
        <v>1180425.75</v>
      </c>
      <c r="F1027" s="104" t="e">
        <f>+'RES CUENTA'!#REF!</f>
        <v>#REF!</v>
      </c>
      <c r="G1027" s="101" t="e">
        <f>+E1027*F1027/100</f>
        <v>#REF!</v>
      </c>
      <c r="H1027" s="430"/>
      <c r="I1027" s="430"/>
    </row>
    <row r="1028" spans="3:9" ht="18" x14ac:dyDescent="0.25">
      <c r="C1028" s="83" t="s">
        <v>181</v>
      </c>
      <c r="D1028" s="88"/>
      <c r="E1028" s="103" t="e">
        <f>+'RES CUENTA'!#REF!</f>
        <v>#REF!</v>
      </c>
      <c r="F1028" s="104">
        <v>0</v>
      </c>
      <c r="G1028" s="101" t="e">
        <f>+E1028</f>
        <v>#REF!</v>
      </c>
      <c r="H1028" s="430"/>
      <c r="I1028" s="430"/>
    </row>
    <row r="1029" spans="3:9" ht="18" x14ac:dyDescent="0.25">
      <c r="C1029" s="83" t="s">
        <v>265</v>
      </c>
      <c r="D1029" s="88"/>
      <c r="E1029" s="103">
        <v>0</v>
      </c>
      <c r="F1029" s="104">
        <v>0</v>
      </c>
      <c r="G1029" s="101" t="e">
        <f>+'RES CUENTA'!#REF!</f>
        <v>#REF!</v>
      </c>
      <c r="H1029" s="430"/>
      <c r="I1029" s="430"/>
    </row>
    <row r="1030" spans="3:9" ht="18" x14ac:dyDescent="0.25">
      <c r="C1030" s="83" t="s">
        <v>213</v>
      </c>
      <c r="D1030" s="88"/>
      <c r="E1030" s="103" t="e">
        <f>+'RES CUENTA'!#REF!</f>
        <v>#REF!</v>
      </c>
      <c r="F1030" s="104">
        <v>0</v>
      </c>
      <c r="G1030" s="134" t="e">
        <f>+'RES CUENTA'!#REF!+'RES CUENTA'!#REF!</f>
        <v>#REF!</v>
      </c>
      <c r="H1030" s="430"/>
      <c r="I1030" s="430"/>
    </row>
    <row r="1031" spans="3:9" ht="18" x14ac:dyDescent="0.25">
      <c r="C1031" s="84"/>
      <c r="D1031" s="88"/>
      <c r="E1031" s="83"/>
      <c r="F1031" s="89"/>
      <c r="G1031" s="101" t="e">
        <f>SUM(G1026:G1030)</f>
        <v>#REF!</v>
      </c>
      <c r="H1031" s="87"/>
      <c r="I1031" s="87"/>
    </row>
    <row r="1032" spans="3:9" ht="18" x14ac:dyDescent="0.25">
      <c r="C1032" s="84"/>
      <c r="D1032" s="88"/>
      <c r="E1032" s="83"/>
      <c r="F1032" s="83"/>
      <c r="H1032" s="432"/>
      <c r="I1032" s="432"/>
    </row>
    <row r="1033" spans="3:9" ht="18" x14ac:dyDescent="0.25">
      <c r="C1033" s="83"/>
      <c r="D1033" s="88"/>
      <c r="E1033" s="83"/>
      <c r="F1033" s="83"/>
      <c r="G1033" s="85"/>
      <c r="H1033" s="88"/>
      <c r="I1033" s="88"/>
    </row>
    <row r="1034" spans="3:9" ht="18" x14ac:dyDescent="0.25">
      <c r="C1034" s="83"/>
      <c r="D1034" s="88"/>
      <c r="E1034" s="83"/>
      <c r="F1034" s="83"/>
      <c r="G1034" s="85"/>
      <c r="H1034" s="88"/>
      <c r="I1034" s="88"/>
    </row>
    <row r="1035" spans="3:9" ht="18" x14ac:dyDescent="0.25">
      <c r="C1035" s="83"/>
      <c r="D1035" s="88"/>
      <c r="E1035" s="83"/>
      <c r="F1035" s="83"/>
      <c r="G1035" s="89"/>
      <c r="H1035" s="83"/>
      <c r="I1035" s="83"/>
    </row>
    <row r="1036" spans="3:9" ht="18" x14ac:dyDescent="0.25">
      <c r="C1036" s="83" t="e">
        <f>+C1022</f>
        <v>#REF!</v>
      </c>
      <c r="D1036" s="427"/>
      <c r="E1036" s="427"/>
      <c r="F1036" s="83" t="e">
        <f>+C1036</f>
        <v>#REF!</v>
      </c>
      <c r="G1036" s="89"/>
      <c r="H1036" s="83"/>
      <c r="I1036" s="83"/>
    </row>
    <row r="1037" spans="3:9" ht="18" x14ac:dyDescent="0.25">
      <c r="D1037" s="88"/>
      <c r="E1037" s="83"/>
      <c r="G1037" s="427"/>
      <c r="H1037" s="427"/>
      <c r="I1037" s="427"/>
    </row>
    <row r="1038" spans="3:9" ht="18" x14ac:dyDescent="0.25">
      <c r="C1038" s="83" t="str">
        <f>+$F$1</f>
        <v>MONTES DE OCA 1068/1070 C.A.B.A.</v>
      </c>
      <c r="D1038" s="88"/>
      <c r="E1038" s="88" t="str">
        <f>+I1022</f>
        <v>Unid. 27</v>
      </c>
      <c r="F1038" s="83" t="str">
        <f>+$F$1</f>
        <v>MONTES DE OCA 1068/1070 C.A.B.A.</v>
      </c>
      <c r="G1038" s="83"/>
      <c r="H1038" s="83"/>
      <c r="I1038" s="90" t="str">
        <f>+E1038</f>
        <v>Unid. 27</v>
      </c>
    </row>
    <row r="1039" spans="3:9" ht="18" x14ac:dyDescent="0.25">
      <c r="E1039" s="88" t="e">
        <f>+I1039</f>
        <v>#REF!</v>
      </c>
      <c r="I1039" s="90" t="e">
        <f>+I1023</f>
        <v>#REF!</v>
      </c>
    </row>
    <row r="1040" spans="3:9" ht="12" customHeight="1" x14ac:dyDescent="0.25">
      <c r="C1040" s="84"/>
      <c r="D1040" s="91"/>
      <c r="E1040" s="84"/>
      <c r="F1040" s="84"/>
      <c r="G1040" s="83"/>
      <c r="H1040" s="83"/>
    </row>
    <row r="1041" spans="3:9" ht="18" x14ac:dyDescent="0.25">
      <c r="C1041" s="83" t="str">
        <f>+$F$2</f>
        <v>P/Depósito o transferencia en Banco Santander Rio</v>
      </c>
      <c r="D1041" s="88"/>
      <c r="E1041" s="83"/>
      <c r="F1041" s="83"/>
      <c r="G1041" s="83"/>
      <c r="H1041" s="84"/>
      <c r="I1041" s="99"/>
    </row>
    <row r="1042" spans="3:9" ht="18" x14ac:dyDescent="0.25">
      <c r="C1042" s="83" t="str">
        <f>+$F$3</f>
        <v xml:space="preserve">Cta. Cte. $ N° 558-000162/1 </v>
      </c>
      <c r="D1042" s="88"/>
      <c r="E1042" s="83"/>
      <c r="F1042" s="93"/>
      <c r="G1042" s="83"/>
      <c r="H1042" s="91"/>
      <c r="I1042" s="83"/>
    </row>
    <row r="1043" spans="3:9" ht="18" x14ac:dyDescent="0.25">
      <c r="D1043" s="88"/>
      <c r="E1043" s="83"/>
      <c r="F1043" s="83" t="s">
        <v>70</v>
      </c>
      <c r="G1043" s="102" t="e">
        <f>+G1026</f>
        <v>#REF!</v>
      </c>
      <c r="I1043" s="97">
        <f>+C1048</f>
        <v>46183</v>
      </c>
    </row>
    <row r="1044" spans="3:9" ht="18" x14ac:dyDescent="0.25">
      <c r="C1044" s="84"/>
      <c r="D1044" s="88"/>
      <c r="E1044" s="83"/>
      <c r="F1044" s="83" t="s">
        <v>71</v>
      </c>
      <c r="G1044" s="102" t="e">
        <f>+G1027</f>
        <v>#REF!</v>
      </c>
    </row>
    <row r="1045" spans="3:9" ht="18" x14ac:dyDescent="0.25">
      <c r="C1045" s="84"/>
      <c r="D1045" s="88"/>
      <c r="E1045" s="83"/>
      <c r="F1045" s="83" t="s">
        <v>72</v>
      </c>
      <c r="G1045" s="102">
        <v>0</v>
      </c>
      <c r="H1045" s="83"/>
      <c r="I1045" s="83"/>
    </row>
    <row r="1046" spans="3:9" ht="18" x14ac:dyDescent="0.25">
      <c r="C1046" s="83"/>
      <c r="D1046" s="88"/>
      <c r="E1046" s="83"/>
      <c r="F1046" s="83" t="s">
        <v>73</v>
      </c>
      <c r="G1046" s="102" t="e">
        <f>+G1030</f>
        <v>#REF!</v>
      </c>
      <c r="H1046" s="83"/>
      <c r="I1046" s="83"/>
    </row>
    <row r="1047" spans="3:9" ht="18" x14ac:dyDescent="0.25">
      <c r="C1047" s="93"/>
      <c r="D1047" s="93"/>
      <c r="E1047" s="93"/>
      <c r="F1047" s="83" t="s">
        <v>312</v>
      </c>
      <c r="G1047" s="135" t="e">
        <f>+G1028+G1029</f>
        <v>#REF!</v>
      </c>
      <c r="H1047" s="83"/>
      <c r="I1047" s="83"/>
    </row>
    <row r="1048" spans="3:9" ht="18" x14ac:dyDescent="0.25">
      <c r="C1048" s="97">
        <f>+$H$43</f>
        <v>46183</v>
      </c>
      <c r="D1048" s="157" t="e">
        <f>+G1031</f>
        <v>#REF!</v>
      </c>
      <c r="E1048" s="83"/>
      <c r="F1048" s="83" t="s">
        <v>74</v>
      </c>
      <c r="G1048" s="102" t="e">
        <f>+G1031</f>
        <v>#REF!</v>
      </c>
      <c r="H1048" s="83"/>
      <c r="I1048" s="83"/>
    </row>
    <row r="1049" spans="3:9" ht="18" x14ac:dyDescent="0.25">
      <c r="C1049" s="83"/>
      <c r="D1049" s="88"/>
      <c r="E1049" s="83"/>
      <c r="F1049" s="100"/>
      <c r="G1049" s="83"/>
      <c r="H1049" s="83"/>
      <c r="I1049" s="83"/>
    </row>
    <row r="1050" spans="3:9" ht="18" x14ac:dyDescent="0.25">
      <c r="C1050" s="83"/>
      <c r="D1050" s="88"/>
      <c r="E1050" s="83"/>
      <c r="G1050" s="83"/>
      <c r="H1050" s="83"/>
      <c r="I1050" s="83"/>
    </row>
    <row r="1051" spans="3:9" ht="18" x14ac:dyDescent="0.25">
      <c r="C1051" s="83"/>
      <c r="D1051" s="88"/>
      <c r="E1051" s="83"/>
      <c r="F1051" s="83"/>
      <c r="G1051" s="83"/>
      <c r="H1051" s="83"/>
      <c r="I1051" s="83"/>
    </row>
    <row r="1052" spans="3:9" ht="18" x14ac:dyDescent="0.25">
      <c r="C1052" s="83"/>
      <c r="D1052" s="88"/>
      <c r="E1052" s="83"/>
      <c r="F1052" s="83"/>
      <c r="G1052" s="83"/>
      <c r="H1052" s="425"/>
      <c r="I1052" s="425"/>
    </row>
    <row r="1053" spans="3:9" ht="18" x14ac:dyDescent="0.25">
      <c r="C1053" s="83"/>
      <c r="D1053" s="88"/>
      <c r="E1053" s="83"/>
      <c r="F1053" s="83"/>
      <c r="G1053" s="83"/>
      <c r="H1053" s="83"/>
      <c r="I1053" s="83"/>
    </row>
    <row r="1054" spans="3:9" ht="18" x14ac:dyDescent="0.25">
      <c r="C1054" s="83"/>
      <c r="D1054" s="88"/>
      <c r="E1054" s="83"/>
      <c r="F1054" s="83"/>
      <c r="G1054" s="83"/>
      <c r="H1054" s="83"/>
      <c r="I1054" s="83"/>
    </row>
    <row r="1055" spans="3:9" ht="18" x14ac:dyDescent="0.25">
      <c r="C1055" s="83"/>
      <c r="D1055" s="88"/>
      <c r="E1055" s="83"/>
      <c r="F1055" s="83"/>
      <c r="G1055" s="83"/>
      <c r="H1055" s="83"/>
      <c r="I1055" s="83"/>
    </row>
    <row r="1056" spans="3:9" ht="18" x14ac:dyDescent="0.25">
      <c r="C1056" s="83"/>
      <c r="D1056" s="88"/>
      <c r="E1056" s="83"/>
      <c r="F1056" s="83"/>
      <c r="G1056" s="83"/>
      <c r="H1056" s="83"/>
      <c r="I1056" s="83"/>
    </row>
    <row r="1057" spans="3:9" ht="18" x14ac:dyDescent="0.25">
      <c r="C1057" s="424"/>
      <c r="D1057" s="424"/>
      <c r="E1057" s="424"/>
      <c r="F1057" s="96">
        <f>+$C$1</f>
        <v>46143</v>
      </c>
      <c r="G1057" s="83"/>
      <c r="H1057" s="97">
        <f>+$E$1</f>
        <v>46183</v>
      </c>
      <c r="I1057" s="95"/>
    </row>
    <row r="1058" spans="3:9" ht="18" x14ac:dyDescent="0.25">
      <c r="C1058" s="82"/>
      <c r="D1058" s="82"/>
      <c r="E1058" s="98"/>
      <c r="F1058" s="96"/>
      <c r="G1058" s="83"/>
    </row>
    <row r="1059" spans="3:9" ht="29.25" customHeight="1" x14ac:dyDescent="0.25">
      <c r="D1059" s="88"/>
      <c r="E1059" s="83"/>
      <c r="G1059" s="83"/>
    </row>
    <row r="1060" spans="3:9" ht="21" customHeight="1" x14ac:dyDescent="0.25">
      <c r="C1060" s="83" t="e">
        <f>+C29</f>
        <v>#REF!</v>
      </c>
      <c r="D1060" s="88"/>
      <c r="E1060" s="83"/>
      <c r="F1060" s="83" t="str">
        <f>+$F$1</f>
        <v>MONTES DE OCA 1068/1070 C.A.B.A.</v>
      </c>
      <c r="G1060" s="83"/>
      <c r="I1060" s="90" t="s">
        <v>102</v>
      </c>
    </row>
    <row r="1061" spans="3:9" ht="18" x14ac:dyDescent="0.25">
      <c r="C1061" s="84"/>
      <c r="D1061" s="88"/>
      <c r="E1061" s="83"/>
      <c r="G1061" s="83"/>
      <c r="H1061" s="84"/>
      <c r="I1061" s="90" t="e">
        <f>+'RES CUENTA'!#REF!</f>
        <v>#REF!</v>
      </c>
    </row>
    <row r="1062" spans="3:9" ht="11.25" customHeight="1" x14ac:dyDescent="0.25">
      <c r="C1062" s="83"/>
      <c r="D1062" s="88"/>
      <c r="E1062" s="83"/>
      <c r="F1062" s="84"/>
      <c r="G1062" s="83"/>
      <c r="H1062" s="83"/>
      <c r="I1062" s="84"/>
    </row>
    <row r="1063" spans="3:9" ht="18" x14ac:dyDescent="0.25">
      <c r="C1063" s="91"/>
      <c r="D1063" s="88"/>
      <c r="E1063" s="91"/>
      <c r="F1063" s="83"/>
      <c r="G1063" s="83"/>
      <c r="H1063" s="83"/>
      <c r="I1063" s="83"/>
    </row>
    <row r="1064" spans="3:9" ht="18" x14ac:dyDescent="0.25">
      <c r="C1064" s="83" t="s">
        <v>68</v>
      </c>
      <c r="D1064" s="88"/>
      <c r="E1064" s="103">
        <f>+'RES CUENTA'!G36</f>
        <v>4623849.72</v>
      </c>
      <c r="F1064" s="104" t="e">
        <f>+'RES CUENTA'!#REF!</f>
        <v>#REF!</v>
      </c>
      <c r="G1064" s="101" t="e">
        <f>+E1064*F1064/100</f>
        <v>#REF!</v>
      </c>
      <c r="H1064" s="83"/>
      <c r="I1064" s="91"/>
    </row>
    <row r="1065" spans="3:9" ht="18" x14ac:dyDescent="0.25">
      <c r="C1065" s="83" t="s">
        <v>69</v>
      </c>
      <c r="D1065" s="88"/>
      <c r="E1065" s="103">
        <f>+'RES CUENTA'!J36</f>
        <v>1180425.75</v>
      </c>
      <c r="F1065" s="104" t="e">
        <f>+'RES CUENTA'!#REF!</f>
        <v>#REF!</v>
      </c>
      <c r="G1065" s="101" t="e">
        <f>+E1065*F1065/100</f>
        <v>#REF!</v>
      </c>
      <c r="H1065" s="91"/>
      <c r="I1065" s="87"/>
    </row>
    <row r="1066" spans="3:9" ht="18" x14ac:dyDescent="0.25">
      <c r="C1066" s="83" t="s">
        <v>181</v>
      </c>
      <c r="D1066" s="88"/>
      <c r="E1066" s="103" t="e">
        <f>+'RES CUENTA'!#REF!</f>
        <v>#REF!</v>
      </c>
      <c r="F1066" s="104">
        <f>+'RES CUENTA'!M96</f>
        <v>0</v>
      </c>
      <c r="G1066" s="101" t="e">
        <f>+E1066</f>
        <v>#REF!</v>
      </c>
      <c r="H1066" s="87"/>
      <c r="I1066" s="87"/>
    </row>
    <row r="1067" spans="3:9" ht="18" x14ac:dyDescent="0.25">
      <c r="C1067" s="83" t="s">
        <v>265</v>
      </c>
      <c r="D1067" s="88"/>
      <c r="E1067" s="103">
        <v>0</v>
      </c>
      <c r="F1067" s="104">
        <v>0</v>
      </c>
      <c r="G1067" s="101" t="e">
        <f>+'RES CUENTA'!#REF!</f>
        <v>#REF!</v>
      </c>
      <c r="H1067" s="87"/>
      <c r="I1067" s="87"/>
    </row>
    <row r="1068" spans="3:9" ht="18" x14ac:dyDescent="0.25">
      <c r="C1068" s="83" t="s">
        <v>213</v>
      </c>
      <c r="D1068" s="88"/>
      <c r="E1068" s="103" t="e">
        <f>+'RES CUENTA'!#REF!+'RES CUENTA'!#REF!</f>
        <v>#REF!</v>
      </c>
      <c r="F1068" s="104">
        <f>+'RES CUENTA'!N95</f>
        <v>0</v>
      </c>
      <c r="G1068" s="134" t="e">
        <f>+E1068</f>
        <v>#REF!</v>
      </c>
      <c r="H1068" s="87"/>
      <c r="I1068" s="87"/>
    </row>
    <row r="1069" spans="3:9" ht="18" x14ac:dyDescent="0.25">
      <c r="C1069" s="84"/>
      <c r="D1069" s="88"/>
      <c r="E1069" s="83"/>
      <c r="G1069" s="101" t="e">
        <f>SUM(G1064:G1068)</f>
        <v>#REF!</v>
      </c>
      <c r="H1069" s="87"/>
      <c r="I1069" s="87"/>
    </row>
    <row r="1070" spans="3:9" ht="18" x14ac:dyDescent="0.25">
      <c r="C1070" s="84"/>
      <c r="D1070" s="88"/>
      <c r="E1070" s="83"/>
      <c r="G1070" s="85"/>
      <c r="H1070" s="87"/>
      <c r="I1070" s="88"/>
    </row>
    <row r="1071" spans="3:9" ht="18" x14ac:dyDescent="0.25">
      <c r="C1071" s="83"/>
      <c r="D1071" s="88"/>
      <c r="E1071" s="83"/>
      <c r="F1071" s="83"/>
      <c r="G1071" s="89"/>
      <c r="H1071" s="88"/>
      <c r="I1071" s="88"/>
    </row>
    <row r="1072" spans="3:9" ht="15.75" customHeight="1" x14ac:dyDescent="0.25">
      <c r="C1072" s="83"/>
      <c r="D1072" s="88"/>
      <c r="E1072" s="83"/>
      <c r="F1072" s="83"/>
      <c r="G1072" s="89"/>
      <c r="H1072" s="88"/>
      <c r="I1072" s="88"/>
    </row>
    <row r="1073" spans="3:9" ht="13.5" customHeight="1" x14ac:dyDescent="0.25">
      <c r="C1073" s="83"/>
      <c r="D1073" s="88"/>
      <c r="E1073" s="83"/>
      <c r="F1073" s="83"/>
      <c r="G1073" s="89"/>
      <c r="H1073" s="88"/>
      <c r="I1073" s="88"/>
    </row>
    <row r="1074" spans="3:9" ht="23.25" customHeight="1" x14ac:dyDescent="0.25">
      <c r="C1074" s="83" t="e">
        <f>+C1060</f>
        <v>#REF!</v>
      </c>
      <c r="D1074" s="88"/>
      <c r="E1074" s="83"/>
      <c r="F1074" s="83" t="e">
        <f>+C1060</f>
        <v>#REF!</v>
      </c>
      <c r="G1074" s="83"/>
      <c r="H1074" s="83"/>
      <c r="I1074" s="99"/>
    </row>
    <row r="1075" spans="3:9" ht="18" x14ac:dyDescent="0.25">
      <c r="C1075" s="84"/>
      <c r="D1075" s="88"/>
      <c r="E1075" s="83"/>
      <c r="G1075" s="83"/>
      <c r="H1075" s="99"/>
      <c r="I1075" s="90" t="str">
        <f>+I1060</f>
        <v>Unid. 28</v>
      </c>
    </row>
    <row r="1076" spans="3:9" ht="18" x14ac:dyDescent="0.25">
      <c r="C1076" s="83" t="str">
        <f>+$F$1</f>
        <v>MONTES DE OCA 1068/1070 C.A.B.A.</v>
      </c>
      <c r="D1076" s="88"/>
      <c r="E1076" s="88" t="str">
        <f>+I1075</f>
        <v>Unid. 28</v>
      </c>
      <c r="F1076" s="83" t="str">
        <f>+$F$1</f>
        <v>MONTES DE OCA 1068/1070 C.A.B.A.</v>
      </c>
      <c r="G1076" s="83"/>
      <c r="H1076" s="83"/>
      <c r="I1076" s="90" t="e">
        <f>+I1061</f>
        <v>#REF!</v>
      </c>
    </row>
    <row r="1077" spans="3:9" ht="18" x14ac:dyDescent="0.25">
      <c r="C1077" s="84"/>
      <c r="D1077" s="91"/>
      <c r="E1077" s="88" t="e">
        <f>+I1076</f>
        <v>#REF!</v>
      </c>
      <c r="G1077" s="83"/>
      <c r="H1077" s="83"/>
    </row>
    <row r="1078" spans="3:9" ht="14.25" customHeight="1" x14ac:dyDescent="0.25">
      <c r="C1078" s="83"/>
      <c r="D1078" s="88"/>
      <c r="E1078" s="83"/>
      <c r="F1078" s="84"/>
      <c r="G1078" s="83"/>
      <c r="H1078" s="83"/>
      <c r="I1078" s="99"/>
    </row>
    <row r="1079" spans="3:9" ht="18" x14ac:dyDescent="0.25">
      <c r="C1079" s="83" t="str">
        <f>+$F$2</f>
        <v>P/Depósito o transferencia en Banco Santander Rio</v>
      </c>
      <c r="D1079" s="88"/>
      <c r="E1079" s="83"/>
      <c r="F1079" s="83"/>
      <c r="G1079" s="128"/>
      <c r="H1079" s="84"/>
      <c r="I1079" s="83"/>
    </row>
    <row r="1080" spans="3:9" ht="18" x14ac:dyDescent="0.25">
      <c r="C1080" s="83" t="str">
        <f>+$F$3</f>
        <v xml:space="preserve">Cta. Cte. $ N° 558-000162/1 </v>
      </c>
      <c r="D1080" s="88"/>
      <c r="E1080" s="83"/>
      <c r="F1080" s="93"/>
      <c r="H1080" s="91"/>
      <c r="I1080" s="92"/>
    </row>
    <row r="1081" spans="3:9" ht="18" x14ac:dyDescent="0.25">
      <c r="C1081" s="84"/>
      <c r="D1081" s="88"/>
      <c r="E1081" s="83"/>
      <c r="F1081" s="83" t="s">
        <v>70</v>
      </c>
      <c r="G1081" s="102" t="e">
        <f>+G1064</f>
        <v>#REF!</v>
      </c>
      <c r="H1081" s="92"/>
      <c r="I1081" s="97">
        <f>+C1086</f>
        <v>46183</v>
      </c>
    </row>
    <row r="1082" spans="3:9" ht="18" x14ac:dyDescent="0.25">
      <c r="C1082" s="84"/>
      <c r="D1082" s="88"/>
      <c r="E1082" s="83"/>
      <c r="F1082" s="83" t="s">
        <v>71</v>
      </c>
      <c r="G1082" s="102" t="e">
        <f>+G1065</f>
        <v>#REF!</v>
      </c>
      <c r="I1082" s="83"/>
    </row>
    <row r="1083" spans="3:9" ht="18" x14ac:dyDescent="0.25">
      <c r="C1083" s="83"/>
      <c r="D1083" s="88"/>
      <c r="E1083" s="83"/>
      <c r="F1083" s="83" t="s">
        <v>72</v>
      </c>
      <c r="G1083" s="102" t="e">
        <f>+'RES CUENTA'!#REF!</f>
        <v>#REF!</v>
      </c>
      <c r="H1083" s="83"/>
      <c r="I1083" s="83"/>
    </row>
    <row r="1084" spans="3:9" ht="18" x14ac:dyDescent="0.25">
      <c r="C1084" s="93"/>
      <c r="D1084" s="93"/>
      <c r="E1084" s="93"/>
      <c r="F1084" s="83" t="s">
        <v>73</v>
      </c>
      <c r="G1084" s="102">
        <f>+'RES CUENTA'!N914</f>
        <v>0</v>
      </c>
      <c r="H1084" s="83"/>
      <c r="I1084" s="83"/>
    </row>
    <row r="1085" spans="3:9" ht="18" x14ac:dyDescent="0.25">
      <c r="E1085" s="83"/>
      <c r="F1085" s="83" t="s">
        <v>312</v>
      </c>
      <c r="G1085" s="135" t="e">
        <f>+G1066+G1067</f>
        <v>#REF!</v>
      </c>
      <c r="H1085" s="83"/>
      <c r="I1085" s="83"/>
    </row>
    <row r="1086" spans="3:9" ht="18" x14ac:dyDescent="0.25">
      <c r="C1086" s="97">
        <f>+$H$43</f>
        <v>46183</v>
      </c>
      <c r="D1086" s="157" t="e">
        <f>+G1069</f>
        <v>#REF!</v>
      </c>
      <c r="E1086" s="83"/>
      <c r="F1086" s="83" t="s">
        <v>74</v>
      </c>
      <c r="G1086" s="102" t="e">
        <f>+G1069</f>
        <v>#REF!</v>
      </c>
      <c r="H1086" s="83"/>
      <c r="I1086" s="83"/>
    </row>
    <row r="1087" spans="3:9" ht="18" x14ac:dyDescent="0.25">
      <c r="C1087" s="83"/>
      <c r="D1087" s="88"/>
      <c r="E1087" s="83"/>
      <c r="F1087" s="83"/>
      <c r="G1087" s="83"/>
      <c r="H1087" s="83"/>
      <c r="I1087" s="83"/>
    </row>
    <row r="1088" spans="3:9" ht="18" x14ac:dyDescent="0.25">
      <c r="C1088" s="83"/>
      <c r="D1088" s="88"/>
      <c r="E1088" s="83"/>
      <c r="F1088" s="100"/>
      <c r="G1088" s="83"/>
      <c r="H1088" s="83"/>
      <c r="I1088" s="83"/>
    </row>
    <row r="1089" spans="3:9" ht="18" x14ac:dyDescent="0.25">
      <c r="C1089" s="83"/>
      <c r="D1089" s="88"/>
      <c r="E1089" s="83"/>
      <c r="F1089" s="83"/>
      <c r="G1089" s="83"/>
      <c r="H1089" s="83"/>
      <c r="I1089" s="91"/>
    </row>
    <row r="1090" spans="3:9" ht="11.25" customHeight="1" x14ac:dyDescent="0.25">
      <c r="F1090" s="83"/>
      <c r="H1090" s="91"/>
      <c r="I1090" s="83"/>
    </row>
    <row r="1091" spans="3:9" ht="10.5" customHeight="1" x14ac:dyDescent="0.2"/>
    <row r="1092" spans="3:9" ht="18" x14ac:dyDescent="0.25">
      <c r="C1092" s="424"/>
      <c r="D1092" s="424"/>
      <c r="E1092" s="424"/>
      <c r="F1092" s="433">
        <f>+$C$1</f>
        <v>46143</v>
      </c>
      <c r="G1092" s="83"/>
      <c r="H1092" s="429">
        <f>+$E$1</f>
        <v>46183</v>
      </c>
      <c r="I1092" s="83"/>
    </row>
    <row r="1093" spans="3:9" ht="18" x14ac:dyDescent="0.25">
      <c r="C1093" s="82"/>
      <c r="D1093" s="82"/>
      <c r="E1093" s="98"/>
      <c r="F1093" s="433"/>
      <c r="G1093" s="83"/>
      <c r="H1093" s="429"/>
      <c r="I1093" s="83"/>
    </row>
    <row r="1094" spans="3:9" ht="18" x14ac:dyDescent="0.25">
      <c r="C1094" s="83"/>
      <c r="D1094" s="88"/>
      <c r="E1094" s="83"/>
      <c r="F1094" s="84"/>
      <c r="G1094" s="83"/>
      <c r="H1094" s="84"/>
      <c r="I1094" s="83"/>
    </row>
    <row r="1095" spans="3:9" ht="24.75" customHeight="1" x14ac:dyDescent="0.25">
      <c r="D1095" s="88"/>
      <c r="E1095" s="83"/>
      <c r="F1095" s="84"/>
      <c r="G1095" s="83"/>
      <c r="H1095" s="84"/>
      <c r="I1095" s="83"/>
    </row>
    <row r="1096" spans="3:9" ht="18" x14ac:dyDescent="0.25">
      <c r="C1096" s="83" t="e">
        <f>+C30</f>
        <v>#REF!</v>
      </c>
      <c r="D1096" s="88"/>
      <c r="E1096" s="83"/>
      <c r="F1096" s="83" t="s">
        <v>293</v>
      </c>
      <c r="G1096" s="83"/>
      <c r="H1096" s="83"/>
      <c r="I1096" s="90" t="s">
        <v>103</v>
      </c>
    </row>
    <row r="1097" spans="3:9" ht="18" x14ac:dyDescent="0.25">
      <c r="C1097" s="83"/>
      <c r="D1097" s="88"/>
      <c r="E1097" s="83"/>
      <c r="F1097" s="84"/>
      <c r="G1097" s="83"/>
      <c r="H1097" s="83"/>
      <c r="I1097" s="90" t="e">
        <f>+'RES CUENTA'!#REF!</f>
        <v>#REF!</v>
      </c>
    </row>
    <row r="1098" spans="3:9" ht="18" x14ac:dyDescent="0.25">
      <c r="C1098" s="91"/>
      <c r="D1098" s="88"/>
      <c r="E1098" s="91"/>
      <c r="F1098" s="83"/>
      <c r="G1098" s="83"/>
      <c r="H1098" s="83"/>
      <c r="I1098" s="83"/>
    </row>
    <row r="1099" spans="3:9" ht="12" customHeight="1" x14ac:dyDescent="0.25">
      <c r="C1099" s="91"/>
      <c r="D1099" s="88"/>
      <c r="E1099" s="91"/>
      <c r="F1099" s="83"/>
      <c r="G1099" s="83"/>
      <c r="H1099" s="83"/>
      <c r="I1099" s="83"/>
    </row>
    <row r="1100" spans="3:9" ht="18" x14ac:dyDescent="0.25">
      <c r="C1100" s="83" t="s">
        <v>68</v>
      </c>
      <c r="D1100" s="88"/>
      <c r="E1100" s="103">
        <f>+'RES CUENTA'!G36</f>
        <v>4623849.72</v>
      </c>
      <c r="F1100" s="104" t="e">
        <f>+'RES CUENTA'!#REF!</f>
        <v>#REF!</v>
      </c>
      <c r="G1100" s="101" t="e">
        <f>+E1100*F1100/100</f>
        <v>#REF!</v>
      </c>
      <c r="H1100" s="425"/>
      <c r="I1100" s="425"/>
    </row>
    <row r="1101" spans="3:9" ht="18" x14ac:dyDescent="0.25">
      <c r="C1101" s="83" t="s">
        <v>69</v>
      </c>
      <c r="D1101" s="88"/>
      <c r="E1101" s="103">
        <f>+'RES CUENTA'!J36</f>
        <v>1180425.75</v>
      </c>
      <c r="F1101" s="104" t="e">
        <f>+'RES CUENTA'!#REF!</f>
        <v>#REF!</v>
      </c>
      <c r="G1101" s="101" t="e">
        <f>+E1101*F1101/100</f>
        <v>#REF!</v>
      </c>
      <c r="H1101" s="430"/>
      <c r="I1101" s="430"/>
    </row>
    <row r="1102" spans="3:9" ht="18" x14ac:dyDescent="0.25">
      <c r="C1102" s="83" t="s">
        <v>181</v>
      </c>
      <c r="D1102" s="88"/>
      <c r="E1102" s="103" t="e">
        <f>+'RES CUENTA'!#REF!</f>
        <v>#REF!</v>
      </c>
      <c r="F1102" s="104">
        <v>0</v>
      </c>
      <c r="G1102" s="101" t="e">
        <f>+E1102</f>
        <v>#REF!</v>
      </c>
      <c r="H1102" s="430"/>
      <c r="I1102" s="430"/>
    </row>
    <row r="1103" spans="3:9" ht="18" x14ac:dyDescent="0.25">
      <c r="C1103" s="83" t="s">
        <v>265</v>
      </c>
      <c r="D1103" s="88"/>
      <c r="E1103" s="103">
        <v>0</v>
      </c>
      <c r="F1103" s="104">
        <v>0</v>
      </c>
      <c r="G1103" s="101" t="e">
        <f>+'RES CUENTA'!#REF!</f>
        <v>#REF!</v>
      </c>
      <c r="H1103" s="430"/>
      <c r="I1103" s="430"/>
    </row>
    <row r="1104" spans="3:9" ht="18" x14ac:dyDescent="0.25">
      <c r="C1104" s="83" t="s">
        <v>213</v>
      </c>
      <c r="D1104" s="88"/>
      <c r="E1104" s="103" t="e">
        <f>+'RES CUENTA'!#REF!+'RES CUENTA'!#REF!</f>
        <v>#REF!</v>
      </c>
      <c r="F1104" s="104">
        <v>0</v>
      </c>
      <c r="G1104" s="134" t="e">
        <f>+E1104</f>
        <v>#REF!</v>
      </c>
      <c r="H1104" s="430"/>
      <c r="I1104" s="430"/>
    </row>
    <row r="1105" spans="3:9" ht="18" x14ac:dyDescent="0.25">
      <c r="C1105" s="84"/>
      <c r="D1105" s="88"/>
      <c r="E1105" s="83"/>
      <c r="F1105" s="89"/>
      <c r="G1105" s="101" t="e">
        <f>SUM(G1100:G1104)</f>
        <v>#REF!</v>
      </c>
      <c r="H1105" s="432"/>
      <c r="I1105" s="432"/>
    </row>
    <row r="1106" spans="3:9" ht="18" x14ac:dyDescent="0.25">
      <c r="C1106" s="83"/>
      <c r="D1106" s="88"/>
      <c r="E1106" s="83"/>
      <c r="F1106" s="83"/>
      <c r="G1106" s="85"/>
      <c r="H1106" s="88"/>
      <c r="I1106" s="88"/>
    </row>
    <row r="1107" spans="3:9" ht="18" x14ac:dyDescent="0.25">
      <c r="C1107" s="83"/>
      <c r="D1107" s="88"/>
      <c r="E1107" s="83"/>
      <c r="F1107" s="83"/>
      <c r="G1107" s="85"/>
      <c r="H1107" s="88"/>
      <c r="I1107" s="88"/>
    </row>
    <row r="1108" spans="3:9" ht="18" x14ac:dyDescent="0.25">
      <c r="C1108" s="83"/>
      <c r="D1108" s="88"/>
      <c r="E1108" s="83"/>
      <c r="F1108" s="83"/>
      <c r="G1108" s="85"/>
      <c r="H1108" s="88"/>
      <c r="I1108" s="88"/>
    </row>
    <row r="1109" spans="3:9" ht="18" x14ac:dyDescent="0.25">
      <c r="C1109" s="83"/>
      <c r="D1109" s="88"/>
      <c r="E1109" s="83"/>
      <c r="F1109" s="83"/>
      <c r="G1109" s="89"/>
      <c r="H1109" s="83"/>
      <c r="I1109" s="83"/>
    </row>
    <row r="1110" spans="3:9" ht="10.5" customHeight="1" x14ac:dyDescent="0.25">
      <c r="C1110" s="83"/>
      <c r="D1110" s="88"/>
      <c r="E1110" s="83"/>
      <c r="F1110" s="83"/>
      <c r="G1110" s="89"/>
      <c r="H1110" s="83"/>
      <c r="I1110" s="83"/>
    </row>
    <row r="1111" spans="3:9" ht="18" x14ac:dyDescent="0.25">
      <c r="C1111" s="83" t="e">
        <f>+C1096</f>
        <v>#REF!</v>
      </c>
      <c r="D1111" s="427"/>
      <c r="E1111" s="427"/>
      <c r="F1111" s="83" t="e">
        <f>+C1111</f>
        <v>#REF!</v>
      </c>
      <c r="G1111" s="89"/>
      <c r="H1111" s="83"/>
      <c r="I1111" s="83"/>
    </row>
    <row r="1112" spans="3:9" ht="18" x14ac:dyDescent="0.25">
      <c r="D1112" s="88"/>
      <c r="E1112" s="83"/>
      <c r="G1112" s="427"/>
      <c r="H1112" s="427"/>
      <c r="I1112" s="427"/>
    </row>
    <row r="1113" spans="3:9" ht="18" x14ac:dyDescent="0.25">
      <c r="C1113" s="83" t="str">
        <f>+$F$1</f>
        <v>MONTES DE OCA 1068/1070 C.A.B.A.</v>
      </c>
      <c r="D1113" s="88"/>
      <c r="E1113" s="88" t="str">
        <f>+I1096</f>
        <v>Unid. 29</v>
      </c>
      <c r="F1113" s="83" t="str">
        <f>+$F$1</f>
        <v>MONTES DE OCA 1068/1070 C.A.B.A.</v>
      </c>
      <c r="G1113" s="83"/>
      <c r="H1113" s="83"/>
      <c r="I1113" s="90" t="str">
        <f>+E1113</f>
        <v>Unid. 29</v>
      </c>
    </row>
    <row r="1114" spans="3:9" ht="18" x14ac:dyDescent="0.25">
      <c r="E1114" s="88" t="e">
        <f>+I1114</f>
        <v>#REF!</v>
      </c>
      <c r="I1114" s="90" t="e">
        <f>+I1097</f>
        <v>#REF!</v>
      </c>
    </row>
    <row r="1115" spans="3:9" ht="15" customHeight="1" x14ac:dyDescent="0.25">
      <c r="C1115" s="84"/>
      <c r="D1115" s="91"/>
      <c r="E1115" s="84"/>
      <c r="F1115" s="84"/>
      <c r="G1115" s="83"/>
      <c r="H1115" s="83"/>
    </row>
    <row r="1116" spans="3:9" ht="18" x14ac:dyDescent="0.25">
      <c r="C1116" s="83" t="str">
        <f>+$F$2</f>
        <v>P/Depósito o transferencia en Banco Santander Rio</v>
      </c>
      <c r="D1116" s="88"/>
      <c r="E1116" s="83"/>
      <c r="F1116" s="83"/>
      <c r="G1116" s="83"/>
      <c r="H1116" s="84"/>
      <c r="I1116" s="99"/>
    </row>
    <row r="1117" spans="3:9" ht="18" x14ac:dyDescent="0.25">
      <c r="C1117" s="83" t="str">
        <f>+$F$3</f>
        <v xml:space="preserve">Cta. Cte. $ N° 558-000162/1 </v>
      </c>
      <c r="D1117" s="88"/>
      <c r="E1117" s="83"/>
      <c r="F1117" s="93"/>
      <c r="G1117" s="83"/>
      <c r="H1117" s="91"/>
      <c r="I1117" s="83"/>
    </row>
    <row r="1118" spans="3:9" ht="18" x14ac:dyDescent="0.25">
      <c r="D1118" s="88"/>
      <c r="E1118" s="83"/>
      <c r="F1118" s="83" t="s">
        <v>70</v>
      </c>
      <c r="G1118" s="102" t="e">
        <f>+G1100</f>
        <v>#REF!</v>
      </c>
      <c r="I1118" s="97">
        <f>+C1123</f>
        <v>46183</v>
      </c>
    </row>
    <row r="1119" spans="3:9" ht="18" x14ac:dyDescent="0.25">
      <c r="C1119" s="84"/>
      <c r="D1119" s="88"/>
      <c r="E1119" s="83"/>
      <c r="F1119" s="83" t="s">
        <v>71</v>
      </c>
      <c r="G1119" s="102" t="e">
        <f>+G1101</f>
        <v>#REF!</v>
      </c>
    </row>
    <row r="1120" spans="3:9" ht="18" x14ac:dyDescent="0.25">
      <c r="C1120" s="84"/>
      <c r="D1120" s="88"/>
      <c r="E1120" s="83"/>
      <c r="F1120" s="83" t="s">
        <v>72</v>
      </c>
      <c r="G1120" s="102">
        <v>0</v>
      </c>
      <c r="H1120" s="83"/>
      <c r="I1120" s="83"/>
    </row>
    <row r="1121" spans="3:9" ht="18" x14ac:dyDescent="0.25">
      <c r="C1121" s="83"/>
      <c r="D1121" s="88"/>
      <c r="E1121" s="83"/>
      <c r="F1121" s="83" t="s">
        <v>73</v>
      </c>
      <c r="G1121" s="102" t="e">
        <f>+G1104</f>
        <v>#REF!</v>
      </c>
      <c r="H1121" s="83"/>
      <c r="I1121" s="83"/>
    </row>
    <row r="1122" spans="3:9" ht="18" x14ac:dyDescent="0.25">
      <c r="C1122" s="93"/>
      <c r="D1122" s="93"/>
      <c r="E1122" s="93"/>
      <c r="F1122" s="83" t="s">
        <v>312</v>
      </c>
      <c r="G1122" s="135" t="e">
        <f>+G1102+G1103</f>
        <v>#REF!</v>
      </c>
      <c r="H1122" s="83"/>
      <c r="I1122" s="83"/>
    </row>
    <row r="1123" spans="3:9" ht="18" x14ac:dyDescent="0.25">
      <c r="C1123" s="97">
        <f>+$H$43</f>
        <v>46183</v>
      </c>
      <c r="D1123" s="157" t="e">
        <f>+G1105</f>
        <v>#REF!</v>
      </c>
      <c r="E1123" s="83"/>
      <c r="F1123" s="83" t="s">
        <v>74</v>
      </c>
      <c r="G1123" s="102" t="e">
        <f>+G1105</f>
        <v>#REF!</v>
      </c>
      <c r="H1123" s="83"/>
      <c r="I1123" s="83"/>
    </row>
    <row r="1124" spans="3:9" ht="18" x14ac:dyDescent="0.25">
      <c r="C1124" s="83"/>
      <c r="D1124" s="88"/>
      <c r="E1124" s="83"/>
      <c r="F1124" s="100"/>
      <c r="G1124" s="83"/>
      <c r="H1124" s="83"/>
      <c r="I1124" s="83"/>
    </row>
    <row r="1125" spans="3:9" ht="18" x14ac:dyDescent="0.25">
      <c r="C1125" s="83"/>
      <c r="D1125" s="88"/>
      <c r="E1125" s="83"/>
      <c r="F1125" s="83"/>
      <c r="G1125" s="83"/>
      <c r="H1125" s="425"/>
      <c r="I1125" s="425"/>
    </row>
    <row r="1126" spans="3:9" ht="18" x14ac:dyDescent="0.25">
      <c r="C1126" s="83"/>
      <c r="D1126" s="88"/>
      <c r="E1126" s="83"/>
      <c r="F1126" s="83"/>
      <c r="G1126" s="83"/>
      <c r="H1126" s="83"/>
      <c r="I1126" s="83"/>
    </row>
    <row r="1127" spans="3:9" ht="18" x14ac:dyDescent="0.25">
      <c r="C1127" s="83"/>
      <c r="D1127" s="88"/>
      <c r="E1127" s="83"/>
      <c r="F1127" s="83"/>
      <c r="G1127" s="83"/>
      <c r="H1127" s="83"/>
      <c r="I1127" s="83"/>
    </row>
    <row r="1128" spans="3:9" ht="18" x14ac:dyDescent="0.25">
      <c r="C1128" s="83"/>
      <c r="D1128" s="88"/>
      <c r="E1128" s="83"/>
      <c r="F1128" s="83"/>
      <c r="G1128" s="83"/>
      <c r="H1128" s="83"/>
      <c r="I1128" s="83"/>
    </row>
    <row r="1129" spans="3:9" ht="18" x14ac:dyDescent="0.25">
      <c r="C1129" s="83"/>
      <c r="D1129" s="88"/>
      <c r="E1129" s="83"/>
      <c r="F1129" s="83"/>
      <c r="G1129" s="83"/>
      <c r="I1129" s="83"/>
    </row>
    <row r="1130" spans="3:9" ht="18" x14ac:dyDescent="0.25">
      <c r="C1130" s="83"/>
      <c r="D1130" s="88"/>
      <c r="E1130" s="83"/>
      <c r="F1130" s="83"/>
      <c r="G1130" s="83"/>
      <c r="I1130" s="83"/>
    </row>
    <row r="1131" spans="3:9" ht="18" x14ac:dyDescent="0.25">
      <c r="C1131" s="424"/>
      <c r="D1131" s="424"/>
      <c r="E1131" s="424"/>
      <c r="F1131" s="83"/>
      <c r="G1131" s="83"/>
      <c r="I1131" s="83"/>
    </row>
    <row r="1132" spans="3:9" ht="18" x14ac:dyDescent="0.25">
      <c r="C1132" s="424"/>
      <c r="D1132" s="424"/>
      <c r="E1132" s="424"/>
      <c r="F1132" s="96">
        <f>+$C$1</f>
        <v>46143</v>
      </c>
      <c r="G1132" s="83"/>
      <c r="H1132" s="97">
        <f>+$E$1</f>
        <v>46183</v>
      </c>
      <c r="I1132" s="95"/>
    </row>
    <row r="1133" spans="3:9" ht="18" x14ac:dyDescent="0.25">
      <c r="C1133" s="82"/>
      <c r="D1133" s="82"/>
      <c r="E1133" s="98"/>
      <c r="F1133" s="96"/>
      <c r="G1133" s="83"/>
    </row>
    <row r="1134" spans="3:9" ht="26.25" customHeight="1" x14ac:dyDescent="0.25">
      <c r="D1134" s="88"/>
      <c r="E1134" s="83"/>
      <c r="G1134" s="83"/>
    </row>
    <row r="1135" spans="3:9" ht="23.25" customHeight="1" x14ac:dyDescent="0.25">
      <c r="C1135" s="83" t="e">
        <f>+C31</f>
        <v>#REF!</v>
      </c>
      <c r="D1135" s="88"/>
      <c r="E1135" s="83"/>
      <c r="F1135" s="83" t="str">
        <f>+$F$1</f>
        <v>MONTES DE OCA 1068/1070 C.A.B.A.</v>
      </c>
      <c r="G1135" s="83"/>
      <c r="I1135" s="90" t="s">
        <v>104</v>
      </c>
    </row>
    <row r="1136" spans="3:9" ht="18" x14ac:dyDescent="0.25">
      <c r="C1136" s="84"/>
      <c r="D1136" s="88"/>
      <c r="E1136" s="83"/>
      <c r="G1136" s="83"/>
      <c r="H1136" s="84"/>
      <c r="I1136" s="90" t="e">
        <f>+'RES CUENTA'!#REF!</f>
        <v>#REF!</v>
      </c>
    </row>
    <row r="1137" spans="3:9" ht="18" x14ac:dyDescent="0.25">
      <c r="C1137" s="83"/>
      <c r="D1137" s="88"/>
      <c r="E1137" s="83"/>
      <c r="F1137" s="84"/>
      <c r="G1137" s="83"/>
      <c r="H1137" s="83"/>
      <c r="I1137" s="84"/>
    </row>
    <row r="1138" spans="3:9" ht="18" x14ac:dyDescent="0.25">
      <c r="C1138" s="91"/>
      <c r="D1138" s="88"/>
      <c r="E1138" s="91"/>
      <c r="F1138" s="83"/>
      <c r="G1138" s="83"/>
      <c r="H1138" s="83"/>
      <c r="I1138" s="83"/>
    </row>
    <row r="1139" spans="3:9" ht="18" x14ac:dyDescent="0.25">
      <c r="C1139" s="83" t="s">
        <v>68</v>
      </c>
      <c r="D1139" s="88"/>
      <c r="E1139" s="103">
        <f>+'RES CUENTA'!G36</f>
        <v>4623849.72</v>
      </c>
      <c r="F1139" s="104" t="e">
        <f>+'RES CUENTA'!#REF!</f>
        <v>#REF!</v>
      </c>
      <c r="G1139" s="101" t="e">
        <f>+E1139*F1139/100</f>
        <v>#REF!</v>
      </c>
      <c r="H1139" s="83"/>
      <c r="I1139" s="91"/>
    </row>
    <row r="1140" spans="3:9" ht="18" x14ac:dyDescent="0.25">
      <c r="C1140" s="83" t="s">
        <v>69</v>
      </c>
      <c r="D1140" s="88"/>
      <c r="E1140" s="103">
        <f>+'RES CUENTA'!J36</f>
        <v>1180425.75</v>
      </c>
      <c r="F1140" s="104" t="e">
        <f>+'RES CUENTA'!#REF!</f>
        <v>#REF!</v>
      </c>
      <c r="G1140" s="101" t="e">
        <f>+E1140*F1140/100</f>
        <v>#REF!</v>
      </c>
      <c r="H1140" s="91"/>
      <c r="I1140" s="87"/>
    </row>
    <row r="1141" spans="3:9" ht="18" x14ac:dyDescent="0.25">
      <c r="C1141" s="83" t="s">
        <v>181</v>
      </c>
      <c r="D1141" s="88"/>
      <c r="E1141" s="103" t="e">
        <f>+'RES CUENTA'!#REF!</f>
        <v>#REF!</v>
      </c>
      <c r="F1141" s="104">
        <f>+'RES CUENTA'!M172</f>
        <v>0</v>
      </c>
      <c r="G1141" s="101" t="e">
        <f>+E1141</f>
        <v>#REF!</v>
      </c>
      <c r="H1141" s="87"/>
      <c r="I1141" s="87"/>
    </row>
    <row r="1142" spans="3:9" ht="18" x14ac:dyDescent="0.25">
      <c r="C1142" s="83" t="s">
        <v>265</v>
      </c>
      <c r="D1142" s="88"/>
      <c r="E1142" s="103">
        <v>0</v>
      </c>
      <c r="F1142" s="104">
        <v>0</v>
      </c>
      <c r="G1142" s="101" t="e">
        <f>+'RES CUENTA'!#REF!</f>
        <v>#REF!</v>
      </c>
      <c r="H1142" s="87"/>
      <c r="I1142" s="87"/>
    </row>
    <row r="1143" spans="3:9" ht="18" x14ac:dyDescent="0.25">
      <c r="C1143" s="83" t="s">
        <v>213</v>
      </c>
      <c r="D1143" s="88"/>
      <c r="E1143" s="103" t="e">
        <f>+'RES CUENTA'!#REF!+'RES CUENTA'!#REF!</f>
        <v>#REF!</v>
      </c>
      <c r="F1143" s="104">
        <f>+'RES CUENTA'!N171</f>
        <v>0</v>
      </c>
      <c r="G1143" s="134" t="e">
        <f>+E1143</f>
        <v>#REF!</v>
      </c>
      <c r="H1143" s="87"/>
      <c r="I1143" s="87"/>
    </row>
    <row r="1144" spans="3:9" ht="18" x14ac:dyDescent="0.25">
      <c r="C1144" s="84"/>
      <c r="D1144" s="88"/>
      <c r="E1144" s="83"/>
      <c r="G1144" s="101" t="e">
        <f>SUM(G1139:G1143)</f>
        <v>#REF!</v>
      </c>
      <c r="H1144" s="87"/>
      <c r="I1144" s="88"/>
    </row>
    <row r="1145" spans="3:9" ht="18" x14ac:dyDescent="0.25">
      <c r="C1145" s="84"/>
      <c r="D1145" s="88"/>
      <c r="E1145" s="83"/>
      <c r="G1145" s="85"/>
      <c r="H1145" s="87"/>
      <c r="I1145" s="88"/>
    </row>
    <row r="1146" spans="3:9" ht="18" x14ac:dyDescent="0.25">
      <c r="C1146" s="83"/>
      <c r="D1146" s="88"/>
      <c r="E1146" s="83"/>
      <c r="F1146" s="83"/>
      <c r="G1146" s="89"/>
      <c r="H1146" s="88"/>
      <c r="I1146" s="88"/>
    </row>
    <row r="1147" spans="3:9" ht="15.75" customHeight="1" x14ac:dyDescent="0.25">
      <c r="C1147" s="83"/>
      <c r="D1147" s="88"/>
      <c r="E1147" s="83"/>
      <c r="F1147" s="83"/>
      <c r="G1147" s="89"/>
      <c r="H1147" s="88"/>
      <c r="I1147" s="88"/>
    </row>
    <row r="1148" spans="3:9" ht="15.75" customHeight="1" x14ac:dyDescent="0.25">
      <c r="C1148" s="83"/>
      <c r="D1148" s="88"/>
      <c r="E1148" s="83"/>
      <c r="F1148" s="83"/>
      <c r="G1148" s="89"/>
      <c r="H1148" s="88"/>
      <c r="I1148" s="83"/>
    </row>
    <row r="1149" spans="3:9" ht="23.25" customHeight="1" x14ac:dyDescent="0.25">
      <c r="C1149" s="83" t="e">
        <f>+C1135</f>
        <v>#REF!</v>
      </c>
      <c r="D1149" s="88"/>
      <c r="E1149" s="83"/>
      <c r="F1149" s="83" t="e">
        <f>+C1135</f>
        <v>#REF!</v>
      </c>
      <c r="G1149" s="83"/>
      <c r="H1149" s="83"/>
      <c r="I1149" s="99"/>
    </row>
    <row r="1150" spans="3:9" ht="18" x14ac:dyDescent="0.25">
      <c r="C1150" s="84"/>
      <c r="D1150" s="88"/>
      <c r="E1150" s="83"/>
      <c r="G1150" s="83"/>
      <c r="H1150" s="99"/>
      <c r="I1150" s="90" t="str">
        <f>+I1135</f>
        <v>Unid. 30</v>
      </c>
    </row>
    <row r="1151" spans="3:9" ht="18" x14ac:dyDescent="0.25">
      <c r="C1151" s="83" t="str">
        <f>+$F$1</f>
        <v>MONTES DE OCA 1068/1070 C.A.B.A.</v>
      </c>
      <c r="D1151" s="88"/>
      <c r="E1151" s="88" t="str">
        <f>+I1150</f>
        <v>Unid. 30</v>
      </c>
      <c r="F1151" s="83" t="str">
        <f>+$F$1</f>
        <v>MONTES DE OCA 1068/1070 C.A.B.A.</v>
      </c>
      <c r="G1151" s="83"/>
      <c r="H1151" s="83"/>
      <c r="I1151" s="90" t="e">
        <f>+I1136</f>
        <v>#REF!</v>
      </c>
    </row>
    <row r="1152" spans="3:9" ht="18" x14ac:dyDescent="0.25">
      <c r="C1152" s="84"/>
      <c r="D1152" s="91"/>
      <c r="E1152" s="88" t="e">
        <f>+I1151</f>
        <v>#REF!</v>
      </c>
      <c r="G1152" s="83"/>
      <c r="H1152" s="83"/>
    </row>
    <row r="1153" spans="3:9" ht="9" customHeight="1" x14ac:dyDescent="0.25">
      <c r="C1153" s="83"/>
      <c r="D1153" s="88"/>
      <c r="E1153" s="83"/>
      <c r="F1153" s="84"/>
      <c r="G1153" s="83"/>
      <c r="H1153" s="83"/>
      <c r="I1153" s="99"/>
    </row>
    <row r="1154" spans="3:9" ht="18" x14ac:dyDescent="0.25">
      <c r="C1154" s="83" t="str">
        <f>+$F$2</f>
        <v>P/Depósito o transferencia en Banco Santander Rio</v>
      </c>
      <c r="D1154" s="88"/>
      <c r="E1154" s="83"/>
      <c r="F1154" s="83"/>
      <c r="G1154" s="128"/>
      <c r="H1154" s="84"/>
      <c r="I1154" s="83"/>
    </row>
    <row r="1155" spans="3:9" ht="18" x14ac:dyDescent="0.25">
      <c r="C1155" s="83" t="str">
        <f>+$F$3</f>
        <v xml:space="preserve">Cta. Cte. $ N° 558-000162/1 </v>
      </c>
      <c r="D1155" s="88"/>
      <c r="E1155" s="83"/>
      <c r="F1155" s="93"/>
      <c r="H1155" s="91"/>
      <c r="I1155" s="92"/>
    </row>
    <row r="1156" spans="3:9" ht="18" x14ac:dyDescent="0.25">
      <c r="C1156" s="84"/>
      <c r="D1156" s="88"/>
      <c r="E1156" s="83"/>
      <c r="F1156" s="83" t="s">
        <v>70</v>
      </c>
      <c r="G1156" s="102" t="e">
        <f>+G1139</f>
        <v>#REF!</v>
      </c>
      <c r="H1156" s="92"/>
      <c r="I1156" s="97">
        <f>+C1161</f>
        <v>46183</v>
      </c>
    </row>
    <row r="1157" spans="3:9" ht="18" x14ac:dyDescent="0.25">
      <c r="C1157" s="84"/>
      <c r="D1157" s="88"/>
      <c r="E1157" s="83"/>
      <c r="F1157" s="83" t="s">
        <v>71</v>
      </c>
      <c r="G1157" s="102" t="e">
        <f>+G1140</f>
        <v>#REF!</v>
      </c>
      <c r="I1157" s="83"/>
    </row>
    <row r="1158" spans="3:9" ht="18" x14ac:dyDescent="0.25">
      <c r="C1158" s="83"/>
      <c r="D1158" s="88"/>
      <c r="E1158" s="83"/>
      <c r="F1158" s="83" t="s">
        <v>72</v>
      </c>
      <c r="G1158" s="102" t="e">
        <f>+G1143</f>
        <v>#REF!</v>
      </c>
      <c r="H1158" s="83"/>
      <c r="I1158" s="83"/>
    </row>
    <row r="1159" spans="3:9" ht="18" x14ac:dyDescent="0.25">
      <c r="C1159" s="93"/>
      <c r="D1159" s="93"/>
      <c r="E1159" s="93"/>
      <c r="F1159" s="83" t="s">
        <v>73</v>
      </c>
      <c r="G1159" s="102">
        <f>+'RES CUENTA'!N990</f>
        <v>0</v>
      </c>
      <c r="H1159" s="83"/>
      <c r="I1159" s="83"/>
    </row>
    <row r="1160" spans="3:9" ht="18" x14ac:dyDescent="0.25">
      <c r="E1160" s="83"/>
      <c r="F1160" s="83" t="s">
        <v>312</v>
      </c>
      <c r="G1160" s="135" t="e">
        <f>+G1141+G1142</f>
        <v>#REF!</v>
      </c>
      <c r="H1160" s="83"/>
      <c r="I1160" s="83"/>
    </row>
    <row r="1161" spans="3:9" ht="18" x14ac:dyDescent="0.25">
      <c r="C1161" s="97">
        <f>+$H$43</f>
        <v>46183</v>
      </c>
      <c r="D1161" s="157" t="e">
        <f>+G1144</f>
        <v>#REF!</v>
      </c>
      <c r="E1161" s="83"/>
      <c r="F1161" s="83" t="s">
        <v>74</v>
      </c>
      <c r="G1161" s="102" t="e">
        <f>+G1144</f>
        <v>#REF!</v>
      </c>
      <c r="H1161" s="83"/>
      <c r="I1161" s="83"/>
    </row>
    <row r="1162" spans="3:9" ht="18" x14ac:dyDescent="0.25">
      <c r="C1162" s="83"/>
      <c r="D1162" s="88"/>
      <c r="E1162" s="83"/>
      <c r="F1162" s="83"/>
      <c r="G1162" s="83"/>
      <c r="H1162" s="83"/>
      <c r="I1162" s="83"/>
    </row>
    <row r="1163" spans="3:9" ht="18" x14ac:dyDescent="0.25">
      <c r="C1163" s="83"/>
      <c r="D1163" s="88"/>
      <c r="E1163" s="83"/>
      <c r="F1163" s="100"/>
      <c r="G1163" s="83"/>
      <c r="H1163" s="83"/>
      <c r="I1163" s="83"/>
    </row>
    <row r="1164" spans="3:9" ht="18" x14ac:dyDescent="0.25">
      <c r="C1164" s="83"/>
      <c r="D1164" s="88"/>
      <c r="E1164" s="83"/>
      <c r="F1164" s="83"/>
      <c r="G1164" s="83"/>
      <c r="H1164" s="83"/>
      <c r="I1164" s="91"/>
    </row>
    <row r="1165" spans="3:9" ht="9.75" customHeight="1" x14ac:dyDescent="0.25">
      <c r="C1165" s="175"/>
      <c r="F1165" s="83"/>
      <c r="H1165" s="91"/>
      <c r="I1165" s="83"/>
    </row>
    <row r="1166" spans="3:9" ht="11.25" customHeight="1" x14ac:dyDescent="0.2"/>
    <row r="1167" spans="3:9" ht="18" x14ac:dyDescent="0.25">
      <c r="C1167" s="424"/>
      <c r="D1167" s="424"/>
      <c r="E1167" s="424"/>
      <c r="F1167" s="433">
        <f>+$C$1</f>
        <v>46143</v>
      </c>
      <c r="G1167" s="83"/>
      <c r="H1167" s="429">
        <f>+$E$1</f>
        <v>46183</v>
      </c>
      <c r="I1167" s="83"/>
    </row>
    <row r="1168" spans="3:9" ht="18" x14ac:dyDescent="0.25">
      <c r="C1168" s="82"/>
      <c r="D1168" s="82"/>
      <c r="E1168" s="98"/>
      <c r="F1168" s="433"/>
      <c r="G1168" s="83"/>
      <c r="H1168" s="429"/>
      <c r="I1168" s="83"/>
    </row>
    <row r="1169" spans="3:9" ht="18" x14ac:dyDescent="0.25">
      <c r="C1169" s="83"/>
      <c r="D1169" s="88"/>
      <c r="E1169" s="83"/>
      <c r="F1169" s="84"/>
      <c r="G1169" s="83"/>
      <c r="H1169" s="84"/>
      <c r="I1169" s="83"/>
    </row>
    <row r="1170" spans="3:9" ht="27.75" customHeight="1" x14ac:dyDescent="0.25">
      <c r="D1170" s="88"/>
      <c r="E1170" s="83"/>
      <c r="F1170" s="84"/>
      <c r="G1170" s="83"/>
      <c r="H1170" s="84"/>
      <c r="I1170" s="83"/>
    </row>
    <row r="1171" spans="3:9" ht="18" x14ac:dyDescent="0.25">
      <c r="C1171" s="83" t="e">
        <f>+C32</f>
        <v>#REF!</v>
      </c>
      <c r="D1171" s="88"/>
      <c r="E1171" s="83"/>
      <c r="F1171" s="83" t="s">
        <v>293</v>
      </c>
      <c r="G1171" s="83"/>
      <c r="H1171" s="83"/>
      <c r="I1171" s="90" t="s">
        <v>105</v>
      </c>
    </row>
    <row r="1172" spans="3:9" ht="18" x14ac:dyDescent="0.25">
      <c r="C1172" s="83"/>
      <c r="D1172" s="88"/>
      <c r="E1172" s="83"/>
      <c r="F1172" s="84"/>
      <c r="G1172" s="83"/>
      <c r="H1172" s="83"/>
      <c r="I1172" s="90" t="e">
        <f>+'RES CUENTA'!#REF!</f>
        <v>#REF!</v>
      </c>
    </row>
    <row r="1173" spans="3:9" ht="18" x14ac:dyDescent="0.25">
      <c r="C1173" s="91"/>
      <c r="D1173" s="88"/>
      <c r="E1173" s="91"/>
      <c r="F1173" s="83"/>
      <c r="G1173" s="83"/>
      <c r="H1173" s="83"/>
      <c r="I1173" s="83"/>
    </row>
    <row r="1174" spans="3:9" ht="11.25" customHeight="1" x14ac:dyDescent="0.25">
      <c r="C1174" s="91"/>
      <c r="D1174" s="88"/>
      <c r="E1174" s="91"/>
      <c r="F1174" s="83"/>
      <c r="G1174" s="83"/>
      <c r="H1174" s="83"/>
      <c r="I1174" s="83"/>
    </row>
    <row r="1175" spans="3:9" ht="18" x14ac:dyDescent="0.25">
      <c r="C1175" s="83" t="s">
        <v>68</v>
      </c>
      <c r="D1175" s="88"/>
      <c r="E1175" s="103">
        <f>+'RES CUENTA'!G36</f>
        <v>4623849.72</v>
      </c>
      <c r="F1175" s="104" t="e">
        <f>+'RES CUENTA'!#REF!</f>
        <v>#REF!</v>
      </c>
      <c r="G1175" s="101" t="e">
        <f>+E1175*F1175/100</f>
        <v>#REF!</v>
      </c>
      <c r="H1175" s="425"/>
      <c r="I1175" s="425"/>
    </row>
    <row r="1176" spans="3:9" ht="18" x14ac:dyDescent="0.25">
      <c r="C1176" s="83" t="s">
        <v>69</v>
      </c>
      <c r="D1176" s="88"/>
      <c r="E1176" s="103">
        <f>+'RES CUENTA'!J36</f>
        <v>1180425.75</v>
      </c>
      <c r="F1176" s="104" t="e">
        <f>+'RES CUENTA'!#REF!</f>
        <v>#REF!</v>
      </c>
      <c r="G1176" s="101" t="e">
        <f>+E1176*F1176/100</f>
        <v>#REF!</v>
      </c>
      <c r="H1176" s="430"/>
      <c r="I1176" s="430"/>
    </row>
    <row r="1177" spans="3:9" ht="18" x14ac:dyDescent="0.25">
      <c r="C1177" s="83" t="s">
        <v>181</v>
      </c>
      <c r="D1177" s="88"/>
      <c r="E1177" s="103" t="e">
        <f>+'RES CUENTA'!#REF!</f>
        <v>#REF!</v>
      </c>
      <c r="F1177" s="104">
        <v>0</v>
      </c>
      <c r="G1177" s="101" t="e">
        <f>+E1177</f>
        <v>#REF!</v>
      </c>
      <c r="H1177" s="430"/>
      <c r="I1177" s="430"/>
    </row>
    <row r="1178" spans="3:9" ht="18" x14ac:dyDescent="0.25">
      <c r="C1178" s="83" t="s">
        <v>265</v>
      </c>
      <c r="D1178" s="88"/>
      <c r="E1178" s="103">
        <v>0</v>
      </c>
      <c r="F1178" s="104">
        <v>0</v>
      </c>
      <c r="G1178" s="101" t="e">
        <f>+'RES CUENTA'!#REF!</f>
        <v>#REF!</v>
      </c>
      <c r="H1178" s="430"/>
      <c r="I1178" s="430"/>
    </row>
    <row r="1179" spans="3:9" ht="18" x14ac:dyDescent="0.25">
      <c r="C1179" s="83" t="s">
        <v>213</v>
      </c>
      <c r="D1179" s="88"/>
      <c r="E1179" s="103">
        <v>0</v>
      </c>
      <c r="F1179" s="104">
        <v>0</v>
      </c>
      <c r="G1179" s="134" t="e">
        <f>+'RES CUENTA'!#REF!+'RES CUENTA'!#REF!</f>
        <v>#REF!</v>
      </c>
      <c r="H1179" s="430"/>
      <c r="I1179" s="430"/>
    </row>
    <row r="1180" spans="3:9" ht="18" x14ac:dyDescent="0.25">
      <c r="C1180" s="84"/>
      <c r="D1180" s="88"/>
      <c r="E1180" s="83"/>
      <c r="F1180" s="89"/>
      <c r="G1180" s="101" t="e">
        <f>SUM(G1175:G1179)</f>
        <v>#REF!</v>
      </c>
      <c r="H1180" s="87"/>
      <c r="I1180" s="87"/>
    </row>
    <row r="1181" spans="3:9" ht="18" x14ac:dyDescent="0.25">
      <c r="C1181" s="84"/>
      <c r="D1181" s="88"/>
      <c r="E1181" s="83"/>
      <c r="F1181" s="83"/>
      <c r="H1181" s="432"/>
      <c r="I1181" s="432"/>
    </row>
    <row r="1182" spans="3:9" ht="18" x14ac:dyDescent="0.25">
      <c r="C1182" s="83"/>
      <c r="D1182" s="88"/>
      <c r="E1182" s="83"/>
      <c r="F1182" s="83"/>
      <c r="G1182" s="85"/>
      <c r="H1182" s="88"/>
      <c r="I1182" s="88"/>
    </row>
    <row r="1183" spans="3:9" ht="18" x14ac:dyDescent="0.25">
      <c r="C1183" s="83"/>
      <c r="D1183" s="88"/>
      <c r="E1183" s="83"/>
      <c r="F1183" s="83"/>
      <c r="G1183" s="85"/>
      <c r="H1183" s="88"/>
      <c r="I1183" s="88"/>
    </row>
    <row r="1184" spans="3:9" ht="18" x14ac:dyDescent="0.25">
      <c r="C1184" s="83"/>
      <c r="D1184" s="88"/>
      <c r="E1184" s="83"/>
      <c r="F1184" s="83"/>
      <c r="G1184" s="89"/>
      <c r="H1184" s="83"/>
      <c r="I1184" s="83"/>
    </row>
    <row r="1185" spans="3:9" ht="12" customHeight="1" x14ac:dyDescent="0.25">
      <c r="C1185" s="83"/>
      <c r="D1185" s="88"/>
      <c r="E1185" s="83"/>
      <c r="F1185" s="83"/>
      <c r="G1185" s="89"/>
      <c r="H1185" s="83"/>
      <c r="I1185" s="83"/>
    </row>
    <row r="1186" spans="3:9" ht="18" x14ac:dyDescent="0.25">
      <c r="C1186" s="83" t="e">
        <f>+C1171</f>
        <v>#REF!</v>
      </c>
      <c r="D1186" s="427"/>
      <c r="E1186" s="427"/>
      <c r="F1186" s="83" t="e">
        <f>+C1186</f>
        <v>#REF!</v>
      </c>
      <c r="G1186" s="89"/>
      <c r="H1186" s="83"/>
      <c r="I1186" s="83"/>
    </row>
    <row r="1187" spans="3:9" ht="18" x14ac:dyDescent="0.25">
      <c r="D1187" s="88"/>
      <c r="E1187" s="83"/>
      <c r="G1187" s="427"/>
      <c r="H1187" s="427"/>
      <c r="I1187" s="427"/>
    </row>
    <row r="1188" spans="3:9" ht="18" x14ac:dyDescent="0.25">
      <c r="C1188" s="83" t="str">
        <f>+$F$1</f>
        <v>MONTES DE OCA 1068/1070 C.A.B.A.</v>
      </c>
      <c r="D1188" s="88"/>
      <c r="E1188" s="88" t="str">
        <f>+I1171</f>
        <v>Unid. 31</v>
      </c>
      <c r="F1188" s="83" t="str">
        <f>+$F$1</f>
        <v>MONTES DE OCA 1068/1070 C.A.B.A.</v>
      </c>
      <c r="G1188" s="83"/>
      <c r="H1188" s="83"/>
      <c r="I1188" s="90" t="str">
        <f>+E1188</f>
        <v>Unid. 31</v>
      </c>
    </row>
    <row r="1189" spans="3:9" ht="18" x14ac:dyDescent="0.25">
      <c r="E1189" s="88" t="e">
        <f>+I1172</f>
        <v>#REF!</v>
      </c>
      <c r="I1189" s="90" t="e">
        <f>+I1172</f>
        <v>#REF!</v>
      </c>
    </row>
    <row r="1190" spans="3:9" ht="12" customHeight="1" x14ac:dyDescent="0.25">
      <c r="C1190" s="84"/>
      <c r="D1190" s="91"/>
      <c r="E1190" s="84"/>
      <c r="F1190" s="84"/>
      <c r="G1190" s="83"/>
      <c r="H1190" s="83"/>
    </row>
    <row r="1191" spans="3:9" ht="18" x14ac:dyDescent="0.25">
      <c r="C1191" s="83" t="str">
        <f>+$F$2</f>
        <v>P/Depósito o transferencia en Banco Santander Rio</v>
      </c>
      <c r="D1191" s="88"/>
      <c r="E1191" s="83"/>
      <c r="F1191" s="83"/>
      <c r="G1191" s="83"/>
      <c r="H1191" s="84"/>
      <c r="I1191" s="99"/>
    </row>
    <row r="1192" spans="3:9" ht="18" x14ac:dyDescent="0.25">
      <c r="C1192" s="83" t="str">
        <f>+$F$3</f>
        <v xml:space="preserve">Cta. Cte. $ N° 558-000162/1 </v>
      </c>
      <c r="D1192" s="88"/>
      <c r="E1192" s="83"/>
      <c r="F1192" s="93"/>
      <c r="G1192" s="83"/>
      <c r="H1192" s="91"/>
      <c r="I1192" s="83"/>
    </row>
    <row r="1193" spans="3:9" ht="18" x14ac:dyDescent="0.25">
      <c r="D1193" s="88"/>
      <c r="E1193" s="83"/>
      <c r="F1193" s="83" t="s">
        <v>70</v>
      </c>
      <c r="G1193" s="102" t="e">
        <f>+G1175</f>
        <v>#REF!</v>
      </c>
      <c r="I1193" s="97">
        <f>+C1198</f>
        <v>46183</v>
      </c>
    </row>
    <row r="1194" spans="3:9" ht="18" x14ac:dyDescent="0.25">
      <c r="C1194" s="84"/>
      <c r="D1194" s="88"/>
      <c r="E1194" s="83"/>
      <c r="F1194" s="83" t="s">
        <v>71</v>
      </c>
      <c r="G1194" s="102" t="e">
        <f>+G1176</f>
        <v>#REF!</v>
      </c>
    </row>
    <row r="1195" spans="3:9" ht="18" x14ac:dyDescent="0.25">
      <c r="C1195" s="84"/>
      <c r="D1195" s="88"/>
      <c r="E1195" s="83"/>
      <c r="F1195" s="83" t="s">
        <v>72</v>
      </c>
      <c r="G1195" s="102">
        <v>0</v>
      </c>
      <c r="H1195" s="83"/>
      <c r="I1195" s="83"/>
    </row>
    <row r="1196" spans="3:9" ht="18" x14ac:dyDescent="0.25">
      <c r="C1196" s="83"/>
      <c r="D1196" s="88"/>
      <c r="E1196" s="83"/>
      <c r="F1196" s="83" t="s">
        <v>73</v>
      </c>
      <c r="G1196" s="102" t="e">
        <f>+G1179</f>
        <v>#REF!</v>
      </c>
      <c r="H1196" s="83"/>
      <c r="I1196" s="83"/>
    </row>
    <row r="1197" spans="3:9" ht="18" x14ac:dyDescent="0.25">
      <c r="C1197" s="93"/>
      <c r="D1197" s="93"/>
      <c r="E1197" s="93"/>
      <c r="F1197" s="83" t="s">
        <v>312</v>
      </c>
      <c r="G1197" s="135" t="e">
        <f>+G1177+G1178</f>
        <v>#REF!</v>
      </c>
      <c r="H1197" s="83"/>
      <c r="I1197" s="83"/>
    </row>
    <row r="1198" spans="3:9" ht="18" x14ac:dyDescent="0.25">
      <c r="C1198" s="97">
        <f>+$H$43</f>
        <v>46183</v>
      </c>
      <c r="D1198" s="157" t="e">
        <f>+G1180</f>
        <v>#REF!</v>
      </c>
      <c r="E1198" s="83"/>
      <c r="F1198" s="83" t="s">
        <v>74</v>
      </c>
      <c r="G1198" s="102" t="e">
        <f>+G1180</f>
        <v>#REF!</v>
      </c>
      <c r="H1198" s="83"/>
      <c r="I1198" s="83"/>
    </row>
    <row r="1199" spans="3:9" ht="18" x14ac:dyDescent="0.25">
      <c r="C1199" s="83"/>
      <c r="D1199" s="88"/>
      <c r="E1199" s="83"/>
      <c r="F1199" s="83"/>
      <c r="G1199" s="83"/>
      <c r="H1199" s="83"/>
      <c r="I1199" s="83"/>
    </row>
    <row r="1200" spans="3:9" ht="18" x14ac:dyDescent="0.25">
      <c r="C1200" s="83"/>
      <c r="D1200" s="88"/>
      <c r="E1200" s="83"/>
      <c r="F1200" s="83"/>
      <c r="G1200" s="83"/>
      <c r="H1200" s="425"/>
      <c r="I1200" s="425"/>
    </row>
    <row r="1201" spans="3:9" ht="18" x14ac:dyDescent="0.25">
      <c r="C1201" s="83"/>
      <c r="D1201" s="88"/>
      <c r="E1201" s="83"/>
      <c r="F1201" s="83"/>
      <c r="G1201" s="83"/>
      <c r="H1201" s="83"/>
      <c r="I1201" s="83"/>
    </row>
    <row r="1202" spans="3:9" ht="18" x14ac:dyDescent="0.25">
      <c r="C1202" s="83"/>
      <c r="D1202" s="88"/>
      <c r="E1202" s="83"/>
      <c r="F1202" s="83"/>
      <c r="G1202" s="83"/>
      <c r="H1202" s="83"/>
      <c r="I1202" s="83"/>
    </row>
    <row r="1203" spans="3:9" ht="18" x14ac:dyDescent="0.25">
      <c r="C1203" s="83"/>
      <c r="D1203" s="88"/>
      <c r="E1203" s="83"/>
      <c r="F1203" s="83"/>
      <c r="G1203" s="83"/>
      <c r="H1203" s="83"/>
      <c r="I1203" s="83"/>
    </row>
    <row r="1204" spans="3:9" ht="18" x14ac:dyDescent="0.25">
      <c r="C1204" s="83"/>
      <c r="D1204" s="88"/>
      <c r="E1204" s="83"/>
      <c r="F1204" s="83"/>
      <c r="G1204" s="83"/>
      <c r="I1204" s="83"/>
    </row>
    <row r="1205" spans="3:9" ht="18" x14ac:dyDescent="0.25">
      <c r="C1205" s="83"/>
      <c r="D1205" s="88"/>
      <c r="E1205" s="83"/>
      <c r="F1205" s="83"/>
      <c r="G1205" s="83"/>
      <c r="I1205" s="83"/>
    </row>
    <row r="1206" spans="3:9" ht="18" x14ac:dyDescent="0.25">
      <c r="C1206" s="424"/>
      <c r="D1206" s="424"/>
      <c r="E1206" s="424"/>
      <c r="F1206" s="83"/>
      <c r="G1206" s="83"/>
      <c r="I1206" s="83"/>
    </row>
    <row r="1207" spans="3:9" ht="18" x14ac:dyDescent="0.25">
      <c r="C1207" s="424"/>
      <c r="D1207" s="424"/>
      <c r="E1207" s="424"/>
      <c r="F1207" s="96">
        <f>+$C$1</f>
        <v>46143</v>
      </c>
      <c r="G1207" s="83"/>
      <c r="H1207" s="97">
        <f>+$E$1</f>
        <v>46183</v>
      </c>
      <c r="I1207" s="95"/>
    </row>
    <row r="1208" spans="3:9" ht="18" x14ac:dyDescent="0.25">
      <c r="C1208" s="82"/>
      <c r="D1208" s="82"/>
      <c r="E1208" s="98"/>
      <c r="F1208" s="96"/>
      <c r="G1208" s="83"/>
    </row>
    <row r="1209" spans="3:9" ht="33" customHeight="1" x14ac:dyDescent="0.25">
      <c r="D1209" s="88"/>
      <c r="E1209" s="83"/>
      <c r="G1209" s="83"/>
    </row>
    <row r="1210" spans="3:9" ht="23.25" customHeight="1" x14ac:dyDescent="0.25">
      <c r="C1210" s="83" t="e">
        <f>+C33</f>
        <v>#REF!</v>
      </c>
      <c r="D1210" s="88"/>
      <c r="E1210" s="83"/>
      <c r="F1210" s="83" t="str">
        <f>+$F$1</f>
        <v>MONTES DE OCA 1068/1070 C.A.B.A.</v>
      </c>
      <c r="G1210" s="83"/>
      <c r="I1210" s="90" t="s">
        <v>106</v>
      </c>
    </row>
    <row r="1211" spans="3:9" ht="18" x14ac:dyDescent="0.25">
      <c r="C1211" s="84"/>
      <c r="D1211" s="88"/>
      <c r="E1211" s="83"/>
      <c r="G1211" s="83"/>
      <c r="H1211" s="84"/>
      <c r="I1211" s="90" t="e">
        <f>+'RES CUENTA'!#REF!</f>
        <v>#REF!</v>
      </c>
    </row>
    <row r="1212" spans="3:9" ht="18" x14ac:dyDescent="0.25">
      <c r="C1212" s="83"/>
      <c r="D1212" s="88"/>
      <c r="E1212" s="83"/>
      <c r="F1212" s="84"/>
      <c r="G1212" s="83"/>
      <c r="H1212" s="83"/>
      <c r="I1212" s="84"/>
    </row>
    <row r="1213" spans="3:9" ht="9.75" customHeight="1" x14ac:dyDescent="0.25">
      <c r="C1213" s="91"/>
      <c r="D1213" s="88"/>
      <c r="E1213" s="91"/>
      <c r="F1213" s="83"/>
      <c r="G1213" s="83"/>
      <c r="H1213" s="83"/>
      <c r="I1213" s="83"/>
    </row>
    <row r="1214" spans="3:9" ht="18" x14ac:dyDescent="0.25">
      <c r="C1214" s="83" t="s">
        <v>68</v>
      </c>
      <c r="D1214" s="88"/>
      <c r="E1214" s="103">
        <f>+'RES CUENTA'!G36</f>
        <v>4623849.72</v>
      </c>
      <c r="F1214" s="104" t="e">
        <f>+'RES CUENTA'!#REF!</f>
        <v>#REF!</v>
      </c>
      <c r="G1214" s="101" t="e">
        <f>+E1214*F1214/100</f>
        <v>#REF!</v>
      </c>
      <c r="H1214" s="83"/>
      <c r="I1214" s="91"/>
    </row>
    <row r="1215" spans="3:9" ht="18" x14ac:dyDescent="0.25">
      <c r="C1215" s="83" t="s">
        <v>69</v>
      </c>
      <c r="D1215" s="88"/>
      <c r="E1215" s="103">
        <f>+'RES CUENTA'!J36</f>
        <v>1180425.75</v>
      </c>
      <c r="F1215" s="104" t="e">
        <f>+'RES CUENTA'!#REF!</f>
        <v>#REF!</v>
      </c>
      <c r="G1215" s="101" t="e">
        <f>+E1215*F1215/100</f>
        <v>#REF!</v>
      </c>
      <c r="H1215" s="91"/>
      <c r="I1215" s="87"/>
    </row>
    <row r="1216" spans="3:9" ht="18" x14ac:dyDescent="0.25">
      <c r="C1216" s="83" t="s">
        <v>181</v>
      </c>
      <c r="D1216" s="88"/>
      <c r="E1216" s="103" t="e">
        <f>+'RES CUENTA'!#REF!</f>
        <v>#REF!</v>
      </c>
      <c r="F1216" s="104">
        <f>+'RES CUENTA'!M248</f>
        <v>0</v>
      </c>
      <c r="G1216" s="101" t="e">
        <f>+E1216</f>
        <v>#REF!</v>
      </c>
      <c r="H1216" s="87"/>
      <c r="I1216" s="87"/>
    </row>
    <row r="1217" spans="3:9" ht="18" x14ac:dyDescent="0.25">
      <c r="C1217" s="83" t="s">
        <v>265</v>
      </c>
      <c r="D1217" s="88"/>
      <c r="E1217" s="103">
        <v>0</v>
      </c>
      <c r="F1217" s="104">
        <v>0</v>
      </c>
      <c r="G1217" s="101" t="e">
        <f>+'RES CUENTA'!#REF!</f>
        <v>#REF!</v>
      </c>
      <c r="H1217" s="87"/>
      <c r="I1217" s="87"/>
    </row>
    <row r="1218" spans="3:9" ht="18" x14ac:dyDescent="0.25">
      <c r="C1218" s="83" t="s">
        <v>213</v>
      </c>
      <c r="D1218" s="88"/>
      <c r="E1218" s="103" t="e">
        <f>+'RES CUENTA'!#REF!+'RES CUENTA'!#REF!</f>
        <v>#REF!</v>
      </c>
      <c r="F1218" s="104">
        <f>+'RES CUENTA'!N247</f>
        <v>0</v>
      </c>
      <c r="G1218" s="134" t="e">
        <f>+E1218</f>
        <v>#REF!</v>
      </c>
      <c r="H1218" s="87"/>
      <c r="I1218" s="87"/>
    </row>
    <row r="1219" spans="3:9" ht="18" x14ac:dyDescent="0.25">
      <c r="C1219" s="84"/>
      <c r="D1219" s="88"/>
      <c r="E1219" s="83"/>
      <c r="G1219" s="101" t="e">
        <f>SUM(G1214:G1218)</f>
        <v>#REF!</v>
      </c>
      <c r="H1219" s="87"/>
      <c r="I1219" s="88"/>
    </row>
    <row r="1220" spans="3:9" ht="18" x14ac:dyDescent="0.25">
      <c r="C1220" s="84"/>
      <c r="D1220" s="88"/>
      <c r="E1220" s="83"/>
      <c r="G1220" s="85"/>
      <c r="H1220" s="87"/>
      <c r="I1220" s="88"/>
    </row>
    <row r="1221" spans="3:9" ht="15" customHeight="1" x14ac:dyDescent="0.25">
      <c r="C1221" s="83"/>
      <c r="D1221" s="88"/>
      <c r="E1221" s="83"/>
      <c r="F1221" s="83"/>
      <c r="G1221" s="89"/>
      <c r="H1221" s="88"/>
      <c r="I1221" s="88"/>
    </row>
    <row r="1222" spans="3:9" ht="15.75" customHeight="1" x14ac:dyDescent="0.25">
      <c r="C1222" s="83"/>
      <c r="D1222" s="88"/>
      <c r="E1222" s="83"/>
      <c r="F1222" s="83"/>
      <c r="G1222" s="89"/>
      <c r="H1222" s="88"/>
      <c r="I1222" s="88"/>
    </row>
    <row r="1223" spans="3:9" ht="12.75" customHeight="1" x14ac:dyDescent="0.25">
      <c r="C1223" s="83"/>
      <c r="D1223" s="88"/>
      <c r="E1223" s="83"/>
      <c r="F1223" s="83"/>
      <c r="G1223" s="89"/>
      <c r="H1223" s="88"/>
      <c r="I1223" s="83"/>
    </row>
    <row r="1224" spans="3:9" ht="23.25" customHeight="1" x14ac:dyDescent="0.25">
      <c r="C1224" s="83" t="e">
        <f>+C1210</f>
        <v>#REF!</v>
      </c>
      <c r="D1224" s="88"/>
      <c r="E1224" s="83"/>
      <c r="F1224" s="83" t="e">
        <f>+C1210</f>
        <v>#REF!</v>
      </c>
      <c r="G1224" s="83"/>
      <c r="H1224" s="83"/>
      <c r="I1224" s="99"/>
    </row>
    <row r="1225" spans="3:9" ht="18" x14ac:dyDescent="0.25">
      <c r="C1225" s="84"/>
      <c r="D1225" s="88"/>
      <c r="E1225" s="83"/>
      <c r="G1225" s="83"/>
      <c r="H1225" s="99"/>
      <c r="I1225" s="90" t="str">
        <f>+I1210</f>
        <v>Unid. 32</v>
      </c>
    </row>
    <row r="1226" spans="3:9" ht="18" x14ac:dyDescent="0.25">
      <c r="C1226" s="83" t="str">
        <f>+$F$1</f>
        <v>MONTES DE OCA 1068/1070 C.A.B.A.</v>
      </c>
      <c r="D1226" s="88"/>
      <c r="E1226" s="88" t="str">
        <f>+I1225</f>
        <v>Unid. 32</v>
      </c>
      <c r="F1226" s="83" t="str">
        <f>+$F$1</f>
        <v>MONTES DE OCA 1068/1070 C.A.B.A.</v>
      </c>
      <c r="G1226" s="83"/>
      <c r="H1226" s="83"/>
      <c r="I1226" s="90" t="e">
        <f>+I1211</f>
        <v>#REF!</v>
      </c>
    </row>
    <row r="1227" spans="3:9" ht="18" x14ac:dyDescent="0.25">
      <c r="C1227" s="84"/>
      <c r="D1227" s="91"/>
      <c r="E1227" s="88" t="e">
        <f>+I1226</f>
        <v>#REF!</v>
      </c>
      <c r="G1227" s="83"/>
      <c r="H1227" s="83"/>
    </row>
    <row r="1228" spans="3:9" ht="14.25" customHeight="1" x14ac:dyDescent="0.25">
      <c r="C1228" s="83"/>
      <c r="D1228" s="88"/>
      <c r="E1228" s="83"/>
      <c r="F1228" s="84"/>
      <c r="G1228" s="83"/>
      <c r="H1228" s="83"/>
      <c r="I1228" s="99"/>
    </row>
    <row r="1229" spans="3:9" ht="18" x14ac:dyDescent="0.25">
      <c r="C1229" s="83" t="str">
        <f>+$F$2</f>
        <v>P/Depósito o transferencia en Banco Santander Rio</v>
      </c>
      <c r="D1229" s="88"/>
      <c r="E1229" s="83"/>
      <c r="F1229" s="83"/>
      <c r="G1229" s="128"/>
      <c r="H1229" s="84"/>
      <c r="I1229" s="83"/>
    </row>
    <row r="1230" spans="3:9" ht="18" x14ac:dyDescent="0.25">
      <c r="C1230" s="83" t="str">
        <f>+$F$3</f>
        <v xml:space="preserve">Cta. Cte. $ N° 558-000162/1 </v>
      </c>
      <c r="D1230" s="88"/>
      <c r="E1230" s="83"/>
      <c r="F1230" s="93"/>
      <c r="H1230" s="91"/>
      <c r="I1230" s="92"/>
    </row>
    <row r="1231" spans="3:9" ht="18" x14ac:dyDescent="0.25">
      <c r="C1231" s="84"/>
      <c r="D1231" s="88"/>
      <c r="E1231" s="83"/>
      <c r="F1231" s="83" t="s">
        <v>70</v>
      </c>
      <c r="G1231" s="102" t="e">
        <f>+G1214</f>
        <v>#REF!</v>
      </c>
      <c r="H1231" s="92"/>
      <c r="I1231" s="97">
        <f>+C1236</f>
        <v>46183</v>
      </c>
    </row>
    <row r="1232" spans="3:9" ht="18" x14ac:dyDescent="0.25">
      <c r="C1232" s="84"/>
      <c r="D1232" s="88"/>
      <c r="E1232" s="83"/>
      <c r="F1232" s="83" t="s">
        <v>71</v>
      </c>
      <c r="G1232" s="102" t="e">
        <f>+G1215</f>
        <v>#REF!</v>
      </c>
      <c r="I1232" s="83"/>
    </row>
    <row r="1233" spans="3:9" ht="18" x14ac:dyDescent="0.25">
      <c r="C1233" s="83"/>
      <c r="D1233" s="88"/>
      <c r="E1233" s="83"/>
      <c r="F1233" s="83" t="s">
        <v>72</v>
      </c>
      <c r="G1233" s="102" t="e">
        <f>+'RES CUENTA'!#REF!</f>
        <v>#REF!</v>
      </c>
      <c r="H1233" s="83"/>
      <c r="I1233" s="83"/>
    </row>
    <row r="1234" spans="3:9" ht="18" x14ac:dyDescent="0.25">
      <c r="C1234" s="93"/>
      <c r="D1234" s="93"/>
      <c r="E1234" s="93"/>
      <c r="F1234" s="83" t="s">
        <v>73</v>
      </c>
      <c r="G1234" s="102" t="e">
        <f>+'RES CUENTA'!#REF!</f>
        <v>#REF!</v>
      </c>
      <c r="H1234" s="83"/>
      <c r="I1234" s="83"/>
    </row>
    <row r="1235" spans="3:9" ht="18" x14ac:dyDescent="0.25">
      <c r="E1235" s="83"/>
      <c r="F1235" s="83" t="s">
        <v>181</v>
      </c>
      <c r="G1235" s="135" t="e">
        <f>+G1216+G1217</f>
        <v>#REF!</v>
      </c>
      <c r="H1235" s="83"/>
      <c r="I1235" s="83"/>
    </row>
    <row r="1236" spans="3:9" ht="18" x14ac:dyDescent="0.25">
      <c r="C1236" s="97">
        <f>+$H$43</f>
        <v>46183</v>
      </c>
      <c r="D1236" s="157" t="e">
        <f>+G1219</f>
        <v>#REF!</v>
      </c>
      <c r="E1236" s="83"/>
      <c r="F1236" s="83" t="s">
        <v>74</v>
      </c>
      <c r="G1236" s="102" t="e">
        <f>+G1219</f>
        <v>#REF!</v>
      </c>
      <c r="H1236" s="83"/>
      <c r="I1236" s="83"/>
    </row>
    <row r="1237" spans="3:9" ht="18" x14ac:dyDescent="0.25">
      <c r="C1237" s="83"/>
      <c r="D1237" s="88"/>
      <c r="E1237" s="83"/>
      <c r="F1237" s="83"/>
      <c r="G1237" s="83"/>
      <c r="H1237" s="83"/>
      <c r="I1237" s="83"/>
    </row>
    <row r="1238" spans="3:9" ht="18" x14ac:dyDescent="0.25">
      <c r="C1238" s="83"/>
      <c r="D1238" s="88"/>
      <c r="E1238" s="83"/>
      <c r="F1238" s="100"/>
      <c r="G1238" s="83"/>
      <c r="H1238" s="83"/>
      <c r="I1238" s="83"/>
    </row>
    <row r="1239" spans="3:9" ht="18" x14ac:dyDescent="0.25">
      <c r="C1239" s="83"/>
      <c r="D1239" s="88"/>
      <c r="E1239" s="83"/>
      <c r="F1239" s="83"/>
      <c r="G1239" s="83"/>
      <c r="H1239" s="83"/>
      <c r="I1239" s="91"/>
    </row>
    <row r="1240" spans="3:9" ht="9.75" customHeight="1" x14ac:dyDescent="0.25">
      <c r="F1240" s="83"/>
      <c r="H1240" s="91"/>
      <c r="I1240" s="83"/>
    </row>
    <row r="1241" spans="3:9" ht="7.5" customHeight="1" x14ac:dyDescent="0.2"/>
    <row r="1242" spans="3:9" ht="18" x14ac:dyDescent="0.25">
      <c r="C1242" s="424"/>
      <c r="D1242" s="424"/>
      <c r="E1242" s="424"/>
      <c r="F1242" s="433">
        <f>+$C$1</f>
        <v>46143</v>
      </c>
      <c r="G1242" s="83"/>
      <c r="H1242" s="429">
        <f>+$E$1</f>
        <v>46183</v>
      </c>
      <c r="I1242" s="83"/>
    </row>
    <row r="1243" spans="3:9" ht="18" x14ac:dyDescent="0.25">
      <c r="C1243" s="82"/>
      <c r="D1243" s="82"/>
      <c r="E1243" s="98"/>
      <c r="F1243" s="433"/>
      <c r="G1243" s="83"/>
      <c r="H1243" s="429"/>
      <c r="I1243" s="83"/>
    </row>
    <row r="1244" spans="3:9" ht="18" x14ac:dyDescent="0.25">
      <c r="C1244" s="83"/>
      <c r="D1244" s="88"/>
      <c r="E1244" s="83"/>
      <c r="F1244" s="84"/>
      <c r="G1244" s="83"/>
      <c r="H1244" s="84"/>
      <c r="I1244" s="83"/>
    </row>
    <row r="1245" spans="3:9" ht="20.25" customHeight="1" x14ac:dyDescent="0.25">
      <c r="D1245" s="88"/>
      <c r="E1245" s="83"/>
      <c r="F1245" s="84"/>
      <c r="G1245" s="83"/>
      <c r="H1245" s="84"/>
      <c r="I1245" s="83"/>
    </row>
    <row r="1246" spans="3:9" ht="24" customHeight="1" x14ac:dyDescent="0.25">
      <c r="C1246" s="83" t="e">
        <f>+C34</f>
        <v>#REF!</v>
      </c>
      <c r="D1246" s="88"/>
      <c r="E1246" s="83"/>
      <c r="F1246" s="83" t="s">
        <v>293</v>
      </c>
      <c r="G1246" s="83"/>
      <c r="H1246" s="83"/>
      <c r="I1246" s="90" t="s">
        <v>107</v>
      </c>
    </row>
    <row r="1247" spans="3:9" ht="18" x14ac:dyDescent="0.25">
      <c r="C1247" s="83"/>
      <c r="D1247" s="88"/>
      <c r="E1247" s="83"/>
      <c r="F1247" s="84"/>
      <c r="G1247" s="83"/>
      <c r="H1247" s="83"/>
      <c r="I1247" s="90" t="e">
        <f>+'RES CUENTA'!#REF!</f>
        <v>#REF!</v>
      </c>
    </row>
    <row r="1248" spans="3:9" ht="18" x14ac:dyDescent="0.25">
      <c r="C1248" s="91"/>
      <c r="D1248" s="88"/>
      <c r="E1248" s="91"/>
      <c r="F1248" s="83"/>
      <c r="G1248" s="83"/>
      <c r="H1248" s="83"/>
      <c r="I1248" s="83"/>
    </row>
    <row r="1249" spans="3:9" ht="11.25" customHeight="1" x14ac:dyDescent="0.25">
      <c r="C1249" s="91"/>
      <c r="D1249" s="88"/>
      <c r="E1249" s="91"/>
      <c r="F1249" s="83"/>
      <c r="G1249" s="83"/>
      <c r="H1249" s="83"/>
      <c r="I1249" s="83"/>
    </row>
    <row r="1250" spans="3:9" ht="18" x14ac:dyDescent="0.25">
      <c r="C1250" s="83" t="s">
        <v>68</v>
      </c>
      <c r="D1250" s="88"/>
      <c r="E1250" s="103">
        <f>+'RES CUENTA'!G36</f>
        <v>4623849.72</v>
      </c>
      <c r="F1250" s="104" t="e">
        <f>+'RES CUENTA'!#REF!</f>
        <v>#REF!</v>
      </c>
      <c r="G1250" s="101" t="e">
        <f>+E1250*F1250/100</f>
        <v>#REF!</v>
      </c>
      <c r="H1250" s="425"/>
      <c r="I1250" s="425"/>
    </row>
    <row r="1251" spans="3:9" ht="18" x14ac:dyDescent="0.25">
      <c r="C1251" s="83" t="s">
        <v>69</v>
      </c>
      <c r="D1251" s="88"/>
      <c r="E1251" s="103">
        <f>+'RES CUENTA'!J36</f>
        <v>1180425.75</v>
      </c>
      <c r="F1251" s="104" t="e">
        <f>+'RES CUENTA'!#REF!</f>
        <v>#REF!</v>
      </c>
      <c r="G1251" s="101" t="e">
        <f>+E1251*F1251/100</f>
        <v>#REF!</v>
      </c>
      <c r="H1251" s="430"/>
      <c r="I1251" s="430"/>
    </row>
    <row r="1252" spans="3:9" ht="18" x14ac:dyDescent="0.25">
      <c r="C1252" s="83" t="s">
        <v>181</v>
      </c>
      <c r="D1252" s="88"/>
      <c r="E1252" s="103" t="e">
        <f>+'RES CUENTA'!#REF!</f>
        <v>#REF!</v>
      </c>
      <c r="F1252" s="104">
        <v>0</v>
      </c>
      <c r="G1252" s="101" t="e">
        <f>+E1252</f>
        <v>#REF!</v>
      </c>
      <c r="H1252" s="430"/>
      <c r="I1252" s="430"/>
    </row>
    <row r="1253" spans="3:9" ht="18" x14ac:dyDescent="0.25">
      <c r="C1253" s="83" t="s">
        <v>265</v>
      </c>
      <c r="D1253" s="88"/>
      <c r="E1253" s="103">
        <v>0</v>
      </c>
      <c r="F1253" s="104">
        <v>0</v>
      </c>
      <c r="G1253" s="101" t="e">
        <f>+'RES CUENTA'!#REF!</f>
        <v>#REF!</v>
      </c>
      <c r="H1253" s="430"/>
      <c r="I1253" s="430"/>
    </row>
    <row r="1254" spans="3:9" ht="18" x14ac:dyDescent="0.25">
      <c r="C1254" s="83" t="s">
        <v>213</v>
      </c>
      <c r="D1254" s="88"/>
      <c r="E1254" s="103" t="e">
        <f>+'RES CUENTA'!#REF!+'RES CUENTA'!#REF!</f>
        <v>#REF!</v>
      </c>
      <c r="F1254" s="104">
        <v>0</v>
      </c>
      <c r="G1254" s="134" t="e">
        <f>+E1254</f>
        <v>#REF!</v>
      </c>
      <c r="H1254" s="430"/>
      <c r="I1254" s="430"/>
    </row>
    <row r="1255" spans="3:9" ht="18" x14ac:dyDescent="0.25">
      <c r="C1255" s="84"/>
      <c r="D1255" s="88"/>
      <c r="E1255" s="83"/>
      <c r="F1255" s="89"/>
      <c r="G1255" s="101" t="e">
        <f>SUM(G1250:G1254)</f>
        <v>#REF!</v>
      </c>
      <c r="H1255" s="87"/>
      <c r="I1255" s="87"/>
    </row>
    <row r="1256" spans="3:9" ht="18" x14ac:dyDescent="0.25">
      <c r="C1256" s="84"/>
      <c r="D1256" s="88"/>
      <c r="E1256" s="83"/>
      <c r="F1256" s="83"/>
      <c r="H1256" s="432"/>
      <c r="I1256" s="432"/>
    </row>
    <row r="1257" spans="3:9" ht="18" x14ac:dyDescent="0.25">
      <c r="C1257" s="84"/>
      <c r="D1257" s="88"/>
      <c r="E1257" s="83"/>
      <c r="F1257" s="83"/>
      <c r="H1257" s="88"/>
      <c r="I1257" s="88"/>
    </row>
    <row r="1258" spans="3:9" ht="18" x14ac:dyDescent="0.25">
      <c r="C1258" s="83"/>
      <c r="D1258" s="88"/>
      <c r="E1258" s="83"/>
      <c r="F1258" s="83"/>
      <c r="G1258" s="85"/>
      <c r="H1258" s="88"/>
      <c r="I1258" s="88"/>
    </row>
    <row r="1259" spans="3:9" ht="18" x14ac:dyDescent="0.25">
      <c r="C1259" s="83"/>
      <c r="D1259" s="88"/>
      <c r="E1259" s="83"/>
      <c r="F1259" s="83"/>
      <c r="G1259" s="89"/>
      <c r="H1259" s="83"/>
      <c r="I1259" s="83"/>
    </row>
    <row r="1260" spans="3:9" ht="6.75" customHeight="1" x14ac:dyDescent="0.25">
      <c r="C1260" s="83"/>
      <c r="D1260" s="88"/>
      <c r="E1260" s="83"/>
      <c r="F1260" s="83"/>
      <c r="G1260" s="89"/>
      <c r="H1260" s="83"/>
      <c r="I1260" s="83"/>
    </row>
    <row r="1261" spans="3:9" ht="21.75" customHeight="1" x14ac:dyDescent="0.25">
      <c r="C1261" s="83" t="e">
        <f>+C1246</f>
        <v>#REF!</v>
      </c>
      <c r="D1261" s="427"/>
      <c r="E1261" s="427"/>
      <c r="F1261" s="83" t="e">
        <f>+C1261</f>
        <v>#REF!</v>
      </c>
      <c r="G1261" s="89"/>
      <c r="H1261" s="83"/>
      <c r="I1261" s="83"/>
    </row>
    <row r="1262" spans="3:9" ht="18" x14ac:dyDescent="0.25">
      <c r="D1262" s="88"/>
      <c r="E1262" s="83"/>
      <c r="G1262" s="427"/>
      <c r="H1262" s="427"/>
      <c r="I1262" s="427"/>
    </row>
    <row r="1263" spans="3:9" ht="20.25" customHeight="1" x14ac:dyDescent="0.25">
      <c r="C1263" s="83" t="str">
        <f>+$F$1</f>
        <v>MONTES DE OCA 1068/1070 C.A.B.A.</v>
      </c>
      <c r="D1263" s="88"/>
      <c r="E1263" s="88" t="str">
        <f>+I1246</f>
        <v>Unid. 33</v>
      </c>
      <c r="F1263" s="83" t="str">
        <f>+$F$1</f>
        <v>MONTES DE OCA 1068/1070 C.A.B.A.</v>
      </c>
      <c r="G1263" s="83"/>
      <c r="H1263" s="83"/>
      <c r="I1263" s="90" t="str">
        <f>+E1263</f>
        <v>Unid. 33</v>
      </c>
    </row>
    <row r="1264" spans="3:9" ht="18" x14ac:dyDescent="0.25">
      <c r="E1264" s="88" t="e">
        <f>+I1264</f>
        <v>#REF!</v>
      </c>
      <c r="I1264" s="90" t="e">
        <f>+I1247</f>
        <v>#REF!</v>
      </c>
    </row>
    <row r="1265" spans="3:9" ht="18" x14ac:dyDescent="0.25">
      <c r="C1265" s="84"/>
      <c r="D1265" s="91"/>
      <c r="E1265" s="84"/>
      <c r="F1265" s="84"/>
      <c r="G1265" s="83"/>
      <c r="H1265" s="83"/>
    </row>
    <row r="1266" spans="3:9" ht="18" x14ac:dyDescent="0.25">
      <c r="C1266" s="83" t="str">
        <f>+$F$2</f>
        <v>P/Depósito o transferencia en Banco Santander Rio</v>
      </c>
      <c r="D1266" s="88"/>
      <c r="E1266" s="83"/>
      <c r="F1266" s="83"/>
      <c r="G1266" s="83"/>
      <c r="H1266" s="84"/>
      <c r="I1266" s="99"/>
    </row>
    <row r="1267" spans="3:9" ht="18" x14ac:dyDescent="0.25">
      <c r="C1267" s="83" t="str">
        <f>+$F$3</f>
        <v xml:space="preserve">Cta. Cte. $ N° 558-000162/1 </v>
      </c>
      <c r="D1267" s="88"/>
      <c r="E1267" s="83"/>
      <c r="F1267" s="93"/>
      <c r="G1267" s="83"/>
      <c r="H1267" s="91"/>
      <c r="I1267" s="83"/>
    </row>
    <row r="1268" spans="3:9" ht="18" x14ac:dyDescent="0.25">
      <c r="D1268" s="88"/>
      <c r="E1268" s="83"/>
      <c r="F1268" s="83" t="s">
        <v>70</v>
      </c>
      <c r="G1268" s="102" t="e">
        <f>+G1250</f>
        <v>#REF!</v>
      </c>
      <c r="I1268" s="97">
        <f>+C1273</f>
        <v>46183</v>
      </c>
    </row>
    <row r="1269" spans="3:9" ht="18" x14ac:dyDescent="0.25">
      <c r="C1269" s="84"/>
      <c r="D1269" s="88"/>
      <c r="E1269" s="83"/>
      <c r="F1269" s="83" t="s">
        <v>71</v>
      </c>
      <c r="G1269" s="102" t="e">
        <f>+G1251</f>
        <v>#REF!</v>
      </c>
    </row>
    <row r="1270" spans="3:9" ht="18" x14ac:dyDescent="0.25">
      <c r="C1270" s="84"/>
      <c r="D1270" s="88"/>
      <c r="E1270" s="83"/>
      <c r="F1270" s="83" t="s">
        <v>72</v>
      </c>
      <c r="G1270" s="102" t="e">
        <f>+G1252</f>
        <v>#REF!</v>
      </c>
      <c r="H1270" s="83"/>
      <c r="I1270" s="83"/>
    </row>
    <row r="1271" spans="3:9" ht="18" x14ac:dyDescent="0.25">
      <c r="C1271" s="83"/>
      <c r="D1271" s="88"/>
      <c r="E1271" s="83"/>
      <c r="F1271" s="83" t="s">
        <v>73</v>
      </c>
      <c r="G1271" s="102" t="e">
        <f>+G1254</f>
        <v>#REF!</v>
      </c>
      <c r="H1271" s="83"/>
      <c r="I1271" s="83"/>
    </row>
    <row r="1272" spans="3:9" ht="18" x14ac:dyDescent="0.25">
      <c r="C1272" s="93"/>
      <c r="D1272" s="93"/>
      <c r="E1272" s="93"/>
      <c r="F1272" s="83" t="s">
        <v>312</v>
      </c>
      <c r="G1272" s="135" t="e">
        <f>+G1253+G1252</f>
        <v>#REF!</v>
      </c>
      <c r="H1272" s="83"/>
      <c r="I1272" s="83"/>
    </row>
    <row r="1273" spans="3:9" ht="18" x14ac:dyDescent="0.25">
      <c r="C1273" s="97">
        <f>+$H$43</f>
        <v>46183</v>
      </c>
      <c r="D1273" s="157" t="e">
        <f>+G1255</f>
        <v>#REF!</v>
      </c>
      <c r="E1273" s="83"/>
      <c r="F1273" s="83" t="s">
        <v>216</v>
      </c>
      <c r="G1273" s="102" t="e">
        <f>+G1255</f>
        <v>#REF!</v>
      </c>
      <c r="H1273" s="83"/>
      <c r="I1273" s="83"/>
    </row>
    <row r="1274" spans="3:9" ht="18" x14ac:dyDescent="0.25">
      <c r="C1274" s="83"/>
      <c r="D1274" s="88"/>
      <c r="E1274" s="83"/>
      <c r="F1274" s="83"/>
      <c r="G1274" s="83"/>
      <c r="H1274" s="83"/>
      <c r="I1274" s="83"/>
    </row>
    <row r="1275" spans="3:9" ht="18" x14ac:dyDescent="0.25">
      <c r="C1275" s="83"/>
      <c r="D1275" s="88"/>
      <c r="E1275" s="83"/>
      <c r="F1275" s="83"/>
      <c r="G1275" s="83"/>
      <c r="H1275" s="425"/>
      <c r="I1275" s="425"/>
    </row>
    <row r="1276" spans="3:9" ht="18" x14ac:dyDescent="0.25">
      <c r="C1276" s="83"/>
      <c r="D1276" s="88"/>
      <c r="E1276" s="83"/>
      <c r="F1276" s="83"/>
      <c r="G1276" s="83"/>
      <c r="H1276" s="83"/>
      <c r="I1276" s="83"/>
    </row>
    <row r="1277" spans="3:9" ht="18" x14ac:dyDescent="0.25">
      <c r="C1277" s="83"/>
      <c r="D1277" s="88"/>
      <c r="E1277" s="83"/>
      <c r="F1277" s="83"/>
      <c r="G1277" s="83"/>
      <c r="H1277" s="83"/>
      <c r="I1277" s="83"/>
    </row>
    <row r="1278" spans="3:9" ht="18" x14ac:dyDescent="0.25">
      <c r="C1278" s="83"/>
      <c r="D1278" s="88"/>
      <c r="E1278" s="83"/>
      <c r="F1278" s="83"/>
      <c r="G1278" s="83"/>
      <c r="H1278" s="83"/>
      <c r="I1278" s="83"/>
    </row>
    <row r="1279" spans="3:9" ht="18" x14ac:dyDescent="0.25">
      <c r="C1279" s="83"/>
      <c r="D1279" s="88"/>
      <c r="E1279" s="83"/>
      <c r="F1279" s="83"/>
      <c r="G1279" s="83"/>
      <c r="I1279" s="83"/>
    </row>
    <row r="1280" spans="3:9" ht="18" x14ac:dyDescent="0.25">
      <c r="C1280" s="83"/>
      <c r="D1280" s="88"/>
      <c r="E1280" s="83"/>
      <c r="F1280" s="83"/>
      <c r="G1280" s="83"/>
      <c r="I1280" s="83"/>
    </row>
    <row r="1281" spans="3:9" ht="18" x14ac:dyDescent="0.25">
      <c r="C1281" s="424"/>
      <c r="D1281" s="424"/>
      <c r="E1281" s="424"/>
      <c r="F1281" s="83"/>
      <c r="G1281" s="83"/>
      <c r="I1281" s="83"/>
    </row>
    <row r="1282" spans="3:9" ht="18" x14ac:dyDescent="0.25">
      <c r="C1282" s="424"/>
      <c r="D1282" s="424"/>
      <c r="E1282" s="424"/>
      <c r="F1282" s="96">
        <f>+$C$1</f>
        <v>46143</v>
      </c>
      <c r="G1282" s="83"/>
      <c r="H1282" s="97">
        <f>+$E$1</f>
        <v>46183</v>
      </c>
      <c r="I1282" s="95"/>
    </row>
    <row r="1283" spans="3:9" ht="18" x14ac:dyDescent="0.25">
      <c r="C1283" s="82"/>
      <c r="D1283" s="82"/>
      <c r="E1283" s="98"/>
      <c r="F1283" s="96"/>
      <c r="G1283" s="83"/>
    </row>
    <row r="1284" spans="3:9" ht="27" customHeight="1" x14ac:dyDescent="0.25">
      <c r="D1284" s="88"/>
      <c r="E1284" s="83"/>
      <c r="G1284" s="83"/>
    </row>
    <row r="1285" spans="3:9" ht="23.25" customHeight="1" x14ac:dyDescent="0.25">
      <c r="C1285" s="83" t="e">
        <f>+C35</f>
        <v>#REF!</v>
      </c>
      <c r="D1285" s="88"/>
      <c r="E1285" s="83"/>
      <c r="F1285" s="83" t="str">
        <f>+$F$1</f>
        <v>MONTES DE OCA 1068/1070 C.A.B.A.</v>
      </c>
      <c r="G1285" s="83"/>
      <c r="I1285" s="90" t="s">
        <v>108</v>
      </c>
    </row>
    <row r="1286" spans="3:9" ht="18" x14ac:dyDescent="0.25">
      <c r="C1286" s="84"/>
      <c r="D1286" s="88"/>
      <c r="E1286" s="83"/>
      <c r="G1286" s="83"/>
      <c r="H1286" s="84"/>
      <c r="I1286" s="90" t="e">
        <f>+'RES CUENTA'!#REF!</f>
        <v>#REF!</v>
      </c>
    </row>
    <row r="1287" spans="3:9" ht="18" x14ac:dyDescent="0.25">
      <c r="C1287" s="83"/>
      <c r="D1287" s="88"/>
      <c r="E1287" s="83"/>
      <c r="F1287" s="84"/>
      <c r="G1287" s="83"/>
      <c r="H1287" s="83"/>
      <c r="I1287" s="84"/>
    </row>
    <row r="1288" spans="3:9" ht="18" x14ac:dyDescent="0.25">
      <c r="C1288" s="91"/>
      <c r="D1288" s="88"/>
      <c r="E1288" s="103"/>
      <c r="F1288" s="104"/>
      <c r="G1288" s="83"/>
      <c r="H1288" s="83"/>
      <c r="I1288" s="83"/>
    </row>
    <row r="1289" spans="3:9" ht="18" x14ac:dyDescent="0.25">
      <c r="C1289" s="83" t="s">
        <v>68</v>
      </c>
      <c r="D1289" s="88"/>
      <c r="E1289" s="103">
        <f>+'RES CUENTA'!G36</f>
        <v>4623849.72</v>
      </c>
      <c r="F1289" s="104" t="e">
        <f>+'RES CUENTA'!#REF!</f>
        <v>#REF!</v>
      </c>
      <c r="G1289" s="101" t="e">
        <f>+E1289*F1289/100</f>
        <v>#REF!</v>
      </c>
      <c r="H1289" s="83"/>
      <c r="I1289" s="91"/>
    </row>
    <row r="1290" spans="3:9" ht="18" x14ac:dyDescent="0.25">
      <c r="C1290" s="83" t="s">
        <v>69</v>
      </c>
      <c r="D1290" s="88"/>
      <c r="E1290" s="103">
        <f>+'RES CUENTA'!J36</f>
        <v>1180425.75</v>
      </c>
      <c r="F1290" s="104" t="e">
        <f>+'RES CUENTA'!#REF!</f>
        <v>#REF!</v>
      </c>
      <c r="G1290" s="101" t="e">
        <f>+E1290*F1290/100</f>
        <v>#REF!</v>
      </c>
      <c r="H1290" s="91"/>
      <c r="I1290" s="87"/>
    </row>
    <row r="1291" spans="3:9" ht="18" x14ac:dyDescent="0.25">
      <c r="C1291" s="83" t="s">
        <v>181</v>
      </c>
      <c r="D1291" s="88"/>
      <c r="E1291" s="103" t="e">
        <f>+'RES CUENTA'!#REF!</f>
        <v>#REF!</v>
      </c>
      <c r="F1291" s="104">
        <f>+'RES CUENTA'!M324</f>
        <v>0</v>
      </c>
      <c r="G1291" s="101" t="e">
        <f>+E1291</f>
        <v>#REF!</v>
      </c>
      <c r="H1291" s="87"/>
      <c r="I1291" s="87"/>
    </row>
    <row r="1292" spans="3:9" ht="18" x14ac:dyDescent="0.25">
      <c r="C1292" s="83" t="s">
        <v>265</v>
      </c>
      <c r="D1292" s="88"/>
      <c r="E1292" s="103">
        <v>0</v>
      </c>
      <c r="F1292" s="104">
        <v>0</v>
      </c>
      <c r="G1292" s="101" t="e">
        <f>+'RES CUENTA'!#REF!</f>
        <v>#REF!</v>
      </c>
      <c r="H1292" s="87"/>
      <c r="I1292" s="87"/>
    </row>
    <row r="1293" spans="3:9" ht="18" x14ac:dyDescent="0.25">
      <c r="C1293" s="83" t="s">
        <v>213</v>
      </c>
      <c r="D1293" s="88"/>
      <c r="E1293" s="103" t="e">
        <f>+'RES CUENTA'!#REF!+'RES CUENTA'!#REF!</f>
        <v>#REF!</v>
      </c>
      <c r="F1293" s="104">
        <f>+'RES CUENTA'!N323</f>
        <v>0</v>
      </c>
      <c r="G1293" s="134" t="e">
        <f>+E1293</f>
        <v>#REF!</v>
      </c>
      <c r="H1293" s="87"/>
      <c r="I1293" s="87"/>
    </row>
    <row r="1294" spans="3:9" ht="18" x14ac:dyDescent="0.25">
      <c r="C1294" s="84"/>
      <c r="D1294" s="88"/>
      <c r="E1294" s="83"/>
      <c r="G1294" s="101" t="e">
        <f>SUM(G1289:G1293)</f>
        <v>#REF!</v>
      </c>
      <c r="H1294" s="87"/>
      <c r="I1294" s="88"/>
    </row>
    <row r="1295" spans="3:9" ht="18" x14ac:dyDescent="0.25">
      <c r="C1295" s="84"/>
      <c r="D1295" s="88"/>
      <c r="E1295" s="83"/>
      <c r="G1295" s="85"/>
      <c r="H1295" s="87"/>
      <c r="I1295" s="88"/>
    </row>
    <row r="1296" spans="3:9" ht="18" x14ac:dyDescent="0.25">
      <c r="C1296" s="83"/>
      <c r="D1296" s="88"/>
      <c r="E1296" s="83"/>
      <c r="F1296" s="83"/>
      <c r="G1296" s="89"/>
      <c r="H1296" s="88"/>
      <c r="I1296" s="88"/>
    </row>
    <row r="1297" spans="3:9" ht="10.5" customHeight="1" x14ac:dyDescent="0.25">
      <c r="C1297" s="83"/>
      <c r="D1297" s="88"/>
      <c r="E1297" s="83"/>
      <c r="F1297" s="83"/>
      <c r="G1297" s="89"/>
      <c r="H1297" s="88"/>
      <c r="I1297" s="88"/>
    </row>
    <row r="1298" spans="3:9" ht="12" customHeight="1" x14ac:dyDescent="0.25">
      <c r="C1298" s="83"/>
      <c r="D1298" s="88"/>
      <c r="E1298" s="83"/>
      <c r="F1298" s="83"/>
      <c r="G1298" s="89"/>
      <c r="H1298" s="88"/>
      <c r="I1298" s="83"/>
    </row>
    <row r="1299" spans="3:9" ht="23.25" customHeight="1" x14ac:dyDescent="0.25">
      <c r="C1299" s="83" t="e">
        <f>+C1285</f>
        <v>#REF!</v>
      </c>
      <c r="D1299" s="88"/>
      <c r="E1299" s="83"/>
      <c r="F1299" s="83" t="e">
        <f>+C1285</f>
        <v>#REF!</v>
      </c>
      <c r="G1299" s="83"/>
      <c r="H1299" s="83"/>
      <c r="I1299" s="99"/>
    </row>
    <row r="1300" spans="3:9" ht="18" x14ac:dyDescent="0.25">
      <c r="C1300" s="84"/>
      <c r="D1300" s="88"/>
      <c r="E1300" s="83"/>
      <c r="G1300" s="83"/>
      <c r="H1300" s="99"/>
      <c r="I1300" s="90" t="str">
        <f>+I1285</f>
        <v>Unid. 34</v>
      </c>
    </row>
    <row r="1301" spans="3:9" ht="18" x14ac:dyDescent="0.25">
      <c r="C1301" s="83" t="str">
        <f>+$F$1</f>
        <v>MONTES DE OCA 1068/1070 C.A.B.A.</v>
      </c>
      <c r="D1301" s="88"/>
      <c r="E1301" s="88" t="str">
        <f>+I1300</f>
        <v>Unid. 34</v>
      </c>
      <c r="F1301" s="83" t="str">
        <f>+$F$1</f>
        <v>MONTES DE OCA 1068/1070 C.A.B.A.</v>
      </c>
      <c r="G1301" s="83"/>
      <c r="H1301" s="83"/>
      <c r="I1301" s="90" t="e">
        <f>+I1286</f>
        <v>#REF!</v>
      </c>
    </row>
    <row r="1302" spans="3:9" ht="18" x14ac:dyDescent="0.25">
      <c r="C1302" s="84"/>
      <c r="D1302" s="91"/>
      <c r="E1302" s="88" t="e">
        <f>+I1286</f>
        <v>#REF!</v>
      </c>
      <c r="G1302" s="83"/>
      <c r="H1302" s="83"/>
    </row>
    <row r="1303" spans="3:9" ht="18" x14ac:dyDescent="0.25">
      <c r="C1303" s="83"/>
      <c r="D1303" s="88"/>
      <c r="E1303" s="83"/>
      <c r="F1303" s="84"/>
      <c r="G1303" s="83"/>
      <c r="H1303" s="83"/>
      <c r="I1303" s="99"/>
    </row>
    <row r="1304" spans="3:9" ht="18" x14ac:dyDescent="0.25">
      <c r="C1304" s="83" t="str">
        <f>+$F$2</f>
        <v>P/Depósito o transferencia en Banco Santander Rio</v>
      </c>
      <c r="D1304" s="88"/>
      <c r="E1304" s="83"/>
      <c r="F1304" s="83"/>
      <c r="G1304" s="128"/>
      <c r="H1304" s="84"/>
      <c r="I1304" s="83"/>
    </row>
    <row r="1305" spans="3:9" ht="18" x14ac:dyDescent="0.25">
      <c r="C1305" s="83" t="str">
        <f>+$F$3</f>
        <v xml:space="preserve">Cta. Cte. $ N° 558-000162/1 </v>
      </c>
      <c r="D1305" s="88"/>
      <c r="E1305" s="83"/>
      <c r="F1305" s="93"/>
      <c r="H1305" s="91"/>
      <c r="I1305" s="92"/>
    </row>
    <row r="1306" spans="3:9" ht="18" x14ac:dyDescent="0.25">
      <c r="C1306" s="84"/>
      <c r="D1306" s="88"/>
      <c r="E1306" s="83"/>
      <c r="F1306" s="83" t="s">
        <v>70</v>
      </c>
      <c r="G1306" s="102" t="e">
        <f>+G1289</f>
        <v>#REF!</v>
      </c>
      <c r="H1306" s="92"/>
      <c r="I1306" s="97">
        <f>+C1311</f>
        <v>46183</v>
      </c>
    </row>
    <row r="1307" spans="3:9" ht="18" x14ac:dyDescent="0.25">
      <c r="C1307" s="84"/>
      <c r="D1307" s="88"/>
      <c r="E1307" s="83"/>
      <c r="F1307" s="83" t="s">
        <v>71</v>
      </c>
      <c r="G1307" s="102" t="e">
        <f>+G1290</f>
        <v>#REF!</v>
      </c>
      <c r="I1307" s="83"/>
    </row>
    <row r="1308" spans="3:9" ht="18" x14ac:dyDescent="0.25">
      <c r="C1308" s="83"/>
      <c r="D1308" s="88"/>
      <c r="E1308" s="83"/>
      <c r="F1308" s="83" t="s">
        <v>72</v>
      </c>
      <c r="G1308" s="102">
        <v>0</v>
      </c>
      <c r="H1308" s="83"/>
      <c r="I1308" s="83"/>
    </row>
    <row r="1309" spans="3:9" ht="18" x14ac:dyDescent="0.25">
      <c r="C1309" s="93"/>
      <c r="D1309" s="93"/>
      <c r="E1309" s="93"/>
      <c r="F1309" s="83" t="s">
        <v>73</v>
      </c>
      <c r="G1309" s="102" t="e">
        <f>+G1293</f>
        <v>#REF!</v>
      </c>
      <c r="H1309" s="83"/>
      <c r="I1309" s="83"/>
    </row>
    <row r="1310" spans="3:9" ht="18" x14ac:dyDescent="0.25">
      <c r="E1310" s="83"/>
      <c r="F1310" s="83" t="s">
        <v>181</v>
      </c>
      <c r="G1310" s="135" t="e">
        <f>+G1291+G1292</f>
        <v>#REF!</v>
      </c>
      <c r="H1310" s="83"/>
      <c r="I1310" s="83"/>
    </row>
    <row r="1311" spans="3:9" ht="18" x14ac:dyDescent="0.25">
      <c r="C1311" s="97">
        <f>+$H$43</f>
        <v>46183</v>
      </c>
      <c r="D1311" s="157" t="e">
        <f>+G1294</f>
        <v>#REF!</v>
      </c>
      <c r="E1311" s="83"/>
      <c r="F1311" s="83" t="s">
        <v>74</v>
      </c>
      <c r="G1311" s="102" t="e">
        <f>+G1294</f>
        <v>#REF!</v>
      </c>
      <c r="H1311" s="83"/>
      <c r="I1311" s="83"/>
    </row>
    <row r="1312" spans="3:9" ht="18" x14ac:dyDescent="0.25">
      <c r="C1312" s="83"/>
      <c r="D1312" s="88"/>
      <c r="E1312" s="83"/>
      <c r="F1312" s="83"/>
      <c r="G1312" s="83"/>
      <c r="H1312" s="83"/>
      <c r="I1312" s="83"/>
    </row>
    <row r="1313" spans="3:9" ht="18" x14ac:dyDescent="0.25">
      <c r="C1313" s="83"/>
      <c r="D1313" s="88"/>
      <c r="E1313" s="83"/>
      <c r="F1313" s="100"/>
      <c r="G1313" s="83"/>
      <c r="H1313" s="83"/>
      <c r="I1313" s="83"/>
    </row>
    <row r="1314" spans="3:9" ht="18" x14ac:dyDescent="0.25">
      <c r="C1314" s="83"/>
      <c r="D1314" s="88"/>
      <c r="E1314" s="83"/>
      <c r="F1314" s="83"/>
      <c r="G1314" s="83"/>
      <c r="H1314" s="83"/>
      <c r="I1314" s="91"/>
    </row>
    <row r="1315" spans="3:9" ht="9.75" customHeight="1" x14ac:dyDescent="0.25">
      <c r="F1315" s="83"/>
      <c r="H1315" s="91"/>
      <c r="I1315" s="83"/>
    </row>
    <row r="1316" spans="3:9" ht="7.5" customHeight="1" x14ac:dyDescent="0.2"/>
    <row r="1317" spans="3:9" ht="18" x14ac:dyDescent="0.25">
      <c r="C1317" s="424"/>
      <c r="D1317" s="424"/>
      <c r="E1317" s="424"/>
      <c r="F1317" s="433">
        <f>+$C$1</f>
        <v>46143</v>
      </c>
      <c r="G1317" s="83"/>
      <c r="H1317" s="429">
        <f>+$E$1</f>
        <v>46183</v>
      </c>
      <c r="I1317" s="83"/>
    </row>
    <row r="1318" spans="3:9" ht="18" x14ac:dyDescent="0.25">
      <c r="C1318" s="82"/>
      <c r="D1318" s="82"/>
      <c r="E1318" s="98"/>
      <c r="F1318" s="433"/>
      <c r="G1318" s="83"/>
      <c r="H1318" s="429"/>
      <c r="I1318" s="83"/>
    </row>
    <row r="1319" spans="3:9" ht="18" x14ac:dyDescent="0.25">
      <c r="C1319" s="83"/>
      <c r="D1319" s="88"/>
      <c r="E1319" s="83"/>
      <c r="F1319" s="84"/>
      <c r="G1319" s="83"/>
      <c r="H1319" s="84"/>
      <c r="I1319" s="83"/>
    </row>
    <row r="1320" spans="3:9" ht="27.75" customHeight="1" x14ac:dyDescent="0.25">
      <c r="D1320" s="88"/>
      <c r="E1320" s="83"/>
      <c r="F1320" s="84"/>
      <c r="G1320" s="83"/>
      <c r="H1320" s="84"/>
      <c r="I1320" s="83"/>
    </row>
    <row r="1321" spans="3:9" ht="18" x14ac:dyDescent="0.25">
      <c r="C1321" s="83" t="e">
        <f>+C36</f>
        <v>#REF!</v>
      </c>
      <c r="D1321" s="88"/>
      <c r="E1321" s="83"/>
      <c r="F1321" s="83" t="s">
        <v>293</v>
      </c>
      <c r="G1321" s="83"/>
      <c r="H1321" s="83"/>
      <c r="I1321" s="90" t="s">
        <v>109</v>
      </c>
    </row>
    <row r="1322" spans="3:9" ht="18" x14ac:dyDescent="0.25">
      <c r="C1322" s="83"/>
      <c r="D1322" s="88"/>
      <c r="E1322" s="83"/>
      <c r="F1322" s="84"/>
      <c r="G1322" s="83"/>
      <c r="H1322" s="83"/>
      <c r="I1322" s="90" t="e">
        <f>+'RES CUENTA'!#REF!</f>
        <v>#REF!</v>
      </c>
    </row>
    <row r="1323" spans="3:9" ht="18" x14ac:dyDescent="0.25">
      <c r="C1323" s="91"/>
      <c r="D1323" s="88"/>
      <c r="E1323" s="91"/>
      <c r="F1323" s="83"/>
      <c r="G1323" s="83"/>
      <c r="H1323" s="83"/>
      <c r="I1323" s="83"/>
    </row>
    <row r="1324" spans="3:9" ht="11.25" customHeight="1" x14ac:dyDescent="0.25">
      <c r="C1324" s="91"/>
      <c r="D1324" s="88"/>
      <c r="E1324" s="91"/>
      <c r="F1324" s="83"/>
      <c r="G1324" s="83"/>
      <c r="H1324" s="83"/>
      <c r="I1324" s="83"/>
    </row>
    <row r="1325" spans="3:9" ht="18" x14ac:dyDescent="0.25">
      <c r="C1325" s="83" t="s">
        <v>68</v>
      </c>
      <c r="D1325" s="88"/>
      <c r="E1325" s="103">
        <f>+'RES CUENTA'!G36</f>
        <v>4623849.72</v>
      </c>
      <c r="F1325" s="104" t="e">
        <f>+'RES CUENTA'!#REF!</f>
        <v>#REF!</v>
      </c>
      <c r="G1325" s="101" t="e">
        <f>+E1325*F1325/100</f>
        <v>#REF!</v>
      </c>
      <c r="H1325" s="425"/>
      <c r="I1325" s="425"/>
    </row>
    <row r="1326" spans="3:9" ht="18" x14ac:dyDescent="0.25">
      <c r="C1326" s="83" t="s">
        <v>69</v>
      </c>
      <c r="D1326" s="88"/>
      <c r="E1326" s="103">
        <f>+'RES CUENTA'!J36</f>
        <v>1180425.75</v>
      </c>
      <c r="F1326" s="104" t="e">
        <f>+'RES CUENTA'!#REF!</f>
        <v>#REF!</v>
      </c>
      <c r="G1326" s="101" t="e">
        <f>+E1326*F1326/100</f>
        <v>#REF!</v>
      </c>
      <c r="H1326" s="430"/>
      <c r="I1326" s="430"/>
    </row>
    <row r="1327" spans="3:9" ht="18" x14ac:dyDescent="0.25">
      <c r="C1327" s="83" t="s">
        <v>181</v>
      </c>
      <c r="D1327" s="88"/>
      <c r="E1327" s="103" t="e">
        <f>+'RES CUENTA'!#REF!</f>
        <v>#REF!</v>
      </c>
      <c r="F1327" s="104">
        <v>0</v>
      </c>
      <c r="G1327" s="101" t="e">
        <f>+E1327</f>
        <v>#REF!</v>
      </c>
      <c r="H1327" s="430"/>
      <c r="I1327" s="430"/>
    </row>
    <row r="1328" spans="3:9" ht="18" x14ac:dyDescent="0.25">
      <c r="C1328" s="83" t="s">
        <v>265</v>
      </c>
      <c r="D1328" s="88"/>
      <c r="E1328" s="103">
        <v>0</v>
      </c>
      <c r="F1328" s="104">
        <v>0</v>
      </c>
      <c r="G1328" s="101" t="e">
        <f>+'RES CUENTA'!#REF!</f>
        <v>#REF!</v>
      </c>
      <c r="H1328" s="430"/>
      <c r="I1328" s="430"/>
    </row>
    <row r="1329" spans="3:9" ht="18" x14ac:dyDescent="0.25">
      <c r="C1329" s="83" t="s">
        <v>213</v>
      </c>
      <c r="D1329" s="88"/>
      <c r="E1329" s="103" t="e">
        <f>+'RES CUENTA'!#REF!+'RES CUENTA'!#REF!</f>
        <v>#REF!</v>
      </c>
      <c r="F1329" s="104">
        <v>0</v>
      </c>
      <c r="G1329" s="134" t="e">
        <f>+E1329</f>
        <v>#REF!</v>
      </c>
      <c r="H1329" s="430"/>
      <c r="I1329" s="430"/>
    </row>
    <row r="1330" spans="3:9" ht="18" x14ac:dyDescent="0.25">
      <c r="C1330" s="84"/>
      <c r="D1330" s="88"/>
      <c r="E1330" s="83"/>
      <c r="F1330" s="89"/>
      <c r="G1330" s="101" t="e">
        <f>SUM(G1325:G1329)</f>
        <v>#REF!</v>
      </c>
      <c r="H1330" s="432"/>
      <c r="I1330" s="432"/>
    </row>
    <row r="1331" spans="3:9" ht="18" x14ac:dyDescent="0.25">
      <c r="C1331" s="84"/>
      <c r="D1331" s="88"/>
      <c r="E1331" s="83"/>
      <c r="F1331" s="83"/>
      <c r="H1331" s="88"/>
      <c r="I1331" s="88"/>
    </row>
    <row r="1332" spans="3:9" ht="18" x14ac:dyDescent="0.25">
      <c r="C1332" s="84"/>
      <c r="D1332" s="88"/>
      <c r="E1332" s="83"/>
      <c r="F1332" s="83"/>
      <c r="H1332" s="88"/>
      <c r="I1332" s="88"/>
    </row>
    <row r="1333" spans="3:9" ht="18" x14ac:dyDescent="0.25">
      <c r="C1333" s="83"/>
      <c r="D1333" s="88"/>
      <c r="E1333" s="83"/>
      <c r="F1333" s="83"/>
      <c r="G1333" s="89"/>
      <c r="H1333" s="83"/>
      <c r="I1333" s="83"/>
    </row>
    <row r="1334" spans="3:9" ht="11.25" customHeight="1" x14ac:dyDescent="0.25">
      <c r="C1334" s="83"/>
      <c r="D1334" s="88"/>
      <c r="E1334" s="83"/>
      <c r="F1334" s="83"/>
      <c r="G1334" s="89"/>
      <c r="H1334" s="83"/>
      <c r="I1334" s="83"/>
    </row>
    <row r="1335" spans="3:9" ht="17.25" customHeight="1" x14ac:dyDescent="0.25">
      <c r="C1335" s="83"/>
      <c r="D1335" s="88"/>
      <c r="E1335" s="83"/>
      <c r="F1335" s="83"/>
      <c r="G1335" s="89"/>
      <c r="H1335" s="83"/>
      <c r="I1335" s="83"/>
    </row>
    <row r="1336" spans="3:9" ht="18" x14ac:dyDescent="0.25">
      <c r="C1336" s="83" t="e">
        <f>+C1321</f>
        <v>#REF!</v>
      </c>
      <c r="D1336" s="427"/>
      <c r="E1336" s="427"/>
      <c r="F1336" s="83" t="e">
        <f>+C1336</f>
        <v>#REF!</v>
      </c>
      <c r="G1336" s="89"/>
      <c r="H1336" s="83"/>
      <c r="I1336" s="83"/>
    </row>
    <row r="1337" spans="3:9" ht="18" x14ac:dyDescent="0.25">
      <c r="D1337" s="88"/>
      <c r="E1337" s="88"/>
      <c r="G1337" s="427"/>
      <c r="H1337" s="427"/>
      <c r="I1337" s="427"/>
    </row>
    <row r="1338" spans="3:9" ht="18" x14ac:dyDescent="0.25">
      <c r="C1338" s="83" t="str">
        <f>+$F$1</f>
        <v>MONTES DE OCA 1068/1070 C.A.B.A.</v>
      </c>
      <c r="D1338" s="88"/>
      <c r="E1338" s="88" t="str">
        <f>+I1321</f>
        <v>Unid. 35</v>
      </c>
      <c r="F1338" s="83" t="str">
        <f>+$F$1</f>
        <v>MONTES DE OCA 1068/1070 C.A.B.A.</v>
      </c>
      <c r="G1338" s="83"/>
      <c r="H1338" s="83"/>
      <c r="I1338" s="90" t="str">
        <f>+E1338</f>
        <v>Unid. 35</v>
      </c>
    </row>
    <row r="1339" spans="3:9" ht="18" x14ac:dyDescent="0.25">
      <c r="E1339" s="88" t="e">
        <f>+I1339</f>
        <v>#REF!</v>
      </c>
      <c r="I1339" s="90" t="e">
        <f>+I1322</f>
        <v>#REF!</v>
      </c>
    </row>
    <row r="1340" spans="3:9" ht="14.25" customHeight="1" x14ac:dyDescent="0.25">
      <c r="C1340" s="84"/>
      <c r="D1340" s="91"/>
      <c r="E1340" s="84"/>
      <c r="F1340" s="84"/>
      <c r="G1340" s="83"/>
      <c r="H1340" s="83"/>
    </row>
    <row r="1341" spans="3:9" ht="18" x14ac:dyDescent="0.25">
      <c r="C1341" s="83" t="str">
        <f>+$F$2</f>
        <v>P/Depósito o transferencia en Banco Santander Rio</v>
      </c>
      <c r="D1341" s="88"/>
      <c r="E1341" s="83"/>
      <c r="F1341" s="83"/>
      <c r="G1341" s="83"/>
      <c r="H1341" s="84"/>
      <c r="I1341" s="99"/>
    </row>
    <row r="1342" spans="3:9" ht="18" x14ac:dyDescent="0.25">
      <c r="C1342" s="83" t="str">
        <f>+$F$3</f>
        <v xml:space="preserve">Cta. Cte. $ N° 558-000162/1 </v>
      </c>
      <c r="D1342" s="88"/>
      <c r="E1342" s="83"/>
      <c r="F1342" s="93"/>
      <c r="G1342" s="83"/>
      <c r="H1342" s="91"/>
      <c r="I1342" s="83"/>
    </row>
    <row r="1343" spans="3:9" ht="18" x14ac:dyDescent="0.25">
      <c r="D1343" s="88"/>
      <c r="E1343" s="83"/>
      <c r="F1343" s="83" t="s">
        <v>70</v>
      </c>
      <c r="G1343" s="102" t="e">
        <f>+G1325</f>
        <v>#REF!</v>
      </c>
      <c r="I1343" s="97">
        <f>+C1348</f>
        <v>46183</v>
      </c>
    </row>
    <row r="1344" spans="3:9" ht="18" x14ac:dyDescent="0.25">
      <c r="C1344" s="84"/>
      <c r="D1344" s="88"/>
      <c r="E1344" s="83"/>
      <c r="F1344" s="83" t="s">
        <v>71</v>
      </c>
      <c r="G1344" s="102" t="e">
        <f>+G1326</f>
        <v>#REF!</v>
      </c>
    </row>
    <row r="1345" spans="3:9" ht="18" x14ac:dyDescent="0.25">
      <c r="C1345" s="84"/>
      <c r="D1345" s="88"/>
      <c r="E1345" s="83"/>
      <c r="F1345" s="83" t="s">
        <v>72</v>
      </c>
      <c r="G1345" s="102">
        <v>0</v>
      </c>
      <c r="H1345" s="83"/>
      <c r="I1345" s="83"/>
    </row>
    <row r="1346" spans="3:9" ht="18" x14ac:dyDescent="0.25">
      <c r="C1346" s="83"/>
      <c r="D1346" s="88"/>
      <c r="E1346" s="83"/>
      <c r="F1346" s="83" t="s">
        <v>73</v>
      </c>
      <c r="G1346" s="102" t="e">
        <f>+G1329</f>
        <v>#REF!</v>
      </c>
      <c r="H1346" s="83"/>
      <c r="I1346" s="83"/>
    </row>
    <row r="1347" spans="3:9" ht="18" x14ac:dyDescent="0.25">
      <c r="C1347" s="93"/>
      <c r="D1347" s="93"/>
      <c r="E1347" s="93"/>
      <c r="F1347" s="83" t="s">
        <v>312</v>
      </c>
      <c r="G1347" s="135" t="e">
        <f>+G1327+G1328</f>
        <v>#REF!</v>
      </c>
      <c r="H1347" s="83"/>
      <c r="I1347" s="83"/>
    </row>
    <row r="1348" spans="3:9" ht="18" x14ac:dyDescent="0.25">
      <c r="C1348" s="97">
        <f>+$H$43</f>
        <v>46183</v>
      </c>
      <c r="D1348" s="157" t="e">
        <f>+G1330</f>
        <v>#REF!</v>
      </c>
      <c r="E1348" s="83"/>
      <c r="F1348" s="83" t="s">
        <v>74</v>
      </c>
      <c r="G1348" s="102" t="e">
        <f>+G1330</f>
        <v>#REF!</v>
      </c>
      <c r="H1348" s="83"/>
      <c r="I1348" s="83"/>
    </row>
    <row r="1349" spans="3:9" ht="18" x14ac:dyDescent="0.25">
      <c r="C1349" s="83"/>
      <c r="D1349" s="88"/>
      <c r="E1349" s="83"/>
      <c r="F1349" s="83"/>
      <c r="G1349" s="83"/>
      <c r="H1349" s="83"/>
      <c r="I1349" s="83"/>
    </row>
    <row r="1350" spans="3:9" ht="18" x14ac:dyDescent="0.25">
      <c r="C1350" s="83"/>
      <c r="D1350" s="88"/>
      <c r="E1350" s="83"/>
      <c r="F1350" s="83"/>
      <c r="G1350" s="83"/>
      <c r="H1350" s="425"/>
      <c r="I1350" s="425"/>
    </row>
    <row r="1351" spans="3:9" ht="18" x14ac:dyDescent="0.25">
      <c r="C1351" s="83"/>
      <c r="D1351" s="88"/>
      <c r="E1351" s="83"/>
      <c r="F1351" s="83"/>
      <c r="G1351" s="83"/>
      <c r="H1351" s="83"/>
      <c r="I1351" s="83"/>
    </row>
    <row r="1352" spans="3:9" ht="18" x14ac:dyDescent="0.25">
      <c r="C1352" s="83"/>
      <c r="D1352" s="88"/>
      <c r="E1352" s="83"/>
      <c r="F1352" s="83"/>
      <c r="G1352" s="83"/>
      <c r="H1352" s="83"/>
      <c r="I1352" s="83"/>
    </row>
    <row r="1353" spans="3:9" ht="18" x14ac:dyDescent="0.25">
      <c r="C1353" s="83"/>
      <c r="D1353" s="88"/>
      <c r="E1353" s="83"/>
      <c r="F1353" s="83"/>
      <c r="G1353" s="83"/>
      <c r="H1353" s="83"/>
      <c r="I1353" s="83"/>
    </row>
    <row r="1354" spans="3:9" ht="18" x14ac:dyDescent="0.25">
      <c r="C1354" s="83"/>
      <c r="D1354" s="88"/>
      <c r="E1354" s="83"/>
      <c r="F1354" s="83"/>
      <c r="G1354" s="83"/>
      <c r="I1354" s="83"/>
    </row>
    <row r="1355" spans="3:9" ht="18" x14ac:dyDescent="0.25">
      <c r="C1355" s="83"/>
      <c r="D1355" s="88"/>
      <c r="E1355" s="83"/>
      <c r="F1355" s="83"/>
      <c r="G1355" s="83"/>
      <c r="I1355" s="83"/>
    </row>
    <row r="1356" spans="3:9" ht="18" x14ac:dyDescent="0.25">
      <c r="C1356" s="424"/>
      <c r="D1356" s="424"/>
      <c r="E1356" s="424"/>
      <c r="F1356" s="83"/>
      <c r="G1356" s="83"/>
      <c r="I1356" s="83"/>
    </row>
    <row r="1357" spans="3:9" ht="18" x14ac:dyDescent="0.25">
      <c r="C1357" s="424"/>
      <c r="D1357" s="424"/>
      <c r="E1357" s="424"/>
      <c r="F1357" s="96">
        <f>+$C$1</f>
        <v>46143</v>
      </c>
      <c r="G1357" s="83"/>
      <c r="H1357" s="97">
        <f>+$E$1</f>
        <v>46183</v>
      </c>
      <c r="I1357" s="95"/>
    </row>
    <row r="1358" spans="3:9" ht="18" x14ac:dyDescent="0.25">
      <c r="C1358" s="82"/>
      <c r="D1358" s="82"/>
      <c r="E1358" s="98"/>
      <c r="F1358" s="96"/>
      <c r="G1358" s="83"/>
    </row>
    <row r="1359" spans="3:9" ht="33" customHeight="1" x14ac:dyDescent="0.25">
      <c r="D1359" s="88"/>
      <c r="E1359" s="83"/>
      <c r="G1359" s="83"/>
    </row>
    <row r="1360" spans="3:9" ht="24.75" customHeight="1" x14ac:dyDescent="0.25">
      <c r="C1360" s="83" t="e">
        <f>+C37</f>
        <v>#REF!</v>
      </c>
      <c r="D1360" s="88"/>
      <c r="E1360" s="83"/>
      <c r="F1360" s="83" t="str">
        <f>+$F$1</f>
        <v>MONTES DE OCA 1068/1070 C.A.B.A.</v>
      </c>
      <c r="G1360" s="83"/>
      <c r="I1360" s="90" t="s">
        <v>110</v>
      </c>
    </row>
    <row r="1361" spans="3:9" ht="18" x14ac:dyDescent="0.25">
      <c r="C1361" s="84"/>
      <c r="D1361" s="88"/>
      <c r="E1361" s="83"/>
      <c r="G1361" s="83"/>
      <c r="H1361" s="84"/>
      <c r="I1361" s="90" t="e">
        <f>+'RES CUENTA'!#REF!</f>
        <v>#REF!</v>
      </c>
    </row>
    <row r="1362" spans="3:9" ht="18" x14ac:dyDescent="0.25">
      <c r="C1362" s="83"/>
      <c r="D1362" s="88"/>
      <c r="E1362" s="83"/>
      <c r="F1362" s="84"/>
      <c r="G1362" s="83"/>
      <c r="H1362" s="83"/>
      <c r="I1362" s="84"/>
    </row>
    <row r="1363" spans="3:9" ht="18" x14ac:dyDescent="0.25">
      <c r="C1363" s="91"/>
      <c r="D1363" s="88"/>
      <c r="E1363" s="91"/>
      <c r="F1363" s="83"/>
      <c r="G1363" s="83"/>
      <c r="H1363" s="83"/>
      <c r="I1363" s="83"/>
    </row>
    <row r="1364" spans="3:9" ht="18" x14ac:dyDescent="0.25">
      <c r="C1364" s="83" t="s">
        <v>68</v>
      </c>
      <c r="D1364" s="88"/>
      <c r="E1364" s="103">
        <f>+'RES CUENTA'!G36</f>
        <v>4623849.72</v>
      </c>
      <c r="F1364" s="104" t="e">
        <f>+'RES CUENTA'!#REF!</f>
        <v>#REF!</v>
      </c>
      <c r="G1364" s="101" t="e">
        <f>+E1364*F1364/100</f>
        <v>#REF!</v>
      </c>
      <c r="H1364" s="83"/>
      <c r="I1364" s="91"/>
    </row>
    <row r="1365" spans="3:9" ht="18" x14ac:dyDescent="0.25">
      <c r="C1365" s="83" t="s">
        <v>69</v>
      </c>
      <c r="D1365" s="88"/>
      <c r="E1365" s="103">
        <f>+'RES CUENTA'!J36</f>
        <v>1180425.75</v>
      </c>
      <c r="F1365" s="104" t="e">
        <f>+'RES CUENTA'!#REF!</f>
        <v>#REF!</v>
      </c>
      <c r="G1365" s="101" t="e">
        <f>+E1365*F1365/100</f>
        <v>#REF!</v>
      </c>
      <c r="H1365" s="91"/>
      <c r="I1365" s="87"/>
    </row>
    <row r="1366" spans="3:9" ht="18" x14ac:dyDescent="0.25">
      <c r="C1366" s="83" t="s">
        <v>181</v>
      </c>
      <c r="D1366" s="88"/>
      <c r="E1366" s="103" t="e">
        <f>+'RES CUENTA'!#REF!</f>
        <v>#REF!</v>
      </c>
      <c r="F1366" s="104">
        <f>+'RES CUENTA'!M400</f>
        <v>0</v>
      </c>
      <c r="G1366" s="101" t="e">
        <f>+E1366</f>
        <v>#REF!</v>
      </c>
      <c r="H1366" s="87"/>
      <c r="I1366" s="87"/>
    </row>
    <row r="1367" spans="3:9" ht="18" x14ac:dyDescent="0.25">
      <c r="C1367" s="83" t="s">
        <v>265</v>
      </c>
      <c r="D1367" s="88"/>
      <c r="E1367" s="103">
        <v>0</v>
      </c>
      <c r="F1367" s="104">
        <v>0</v>
      </c>
      <c r="G1367" s="101" t="e">
        <f>+'RES CUENTA'!#REF!</f>
        <v>#REF!</v>
      </c>
      <c r="H1367" s="87"/>
      <c r="I1367" s="87"/>
    </row>
    <row r="1368" spans="3:9" ht="18" x14ac:dyDescent="0.25">
      <c r="C1368" s="83" t="s">
        <v>213</v>
      </c>
      <c r="D1368" s="88"/>
      <c r="E1368" s="103">
        <v>0</v>
      </c>
      <c r="F1368" s="104">
        <f>+'RES CUENTA'!N399</f>
        <v>0</v>
      </c>
      <c r="G1368" s="134" t="e">
        <f>+'RES CUENTA'!#REF!+'RES CUENTA'!#REF!</f>
        <v>#REF!</v>
      </c>
      <c r="H1368" s="87"/>
      <c r="I1368" s="87"/>
    </row>
    <row r="1369" spans="3:9" ht="18" x14ac:dyDescent="0.25">
      <c r="C1369" s="84"/>
      <c r="D1369" s="88"/>
      <c r="E1369" s="83"/>
      <c r="G1369" s="101" t="e">
        <f>SUM(G1364:G1368)</f>
        <v>#REF!</v>
      </c>
      <c r="H1369" s="87"/>
      <c r="I1369" s="88"/>
    </row>
    <row r="1370" spans="3:9" ht="18" x14ac:dyDescent="0.25">
      <c r="C1370" s="84"/>
      <c r="D1370" s="88"/>
      <c r="E1370" s="83"/>
      <c r="G1370" s="85"/>
      <c r="H1370" s="87"/>
      <c r="I1370" s="88"/>
    </row>
    <row r="1371" spans="3:9" ht="14.25" customHeight="1" x14ac:dyDescent="0.25">
      <c r="C1371" s="83"/>
      <c r="D1371" s="88"/>
      <c r="E1371" s="83"/>
      <c r="F1371" s="83"/>
      <c r="G1371" s="89"/>
      <c r="H1371" s="88"/>
      <c r="I1371" s="88"/>
    </row>
    <row r="1372" spans="3:9" ht="18.75" customHeight="1" x14ac:dyDescent="0.25">
      <c r="C1372" s="83"/>
      <c r="D1372" s="88"/>
      <c r="E1372" s="83"/>
      <c r="F1372" s="83"/>
      <c r="G1372" s="89"/>
      <c r="H1372" s="88"/>
      <c r="I1372" s="88"/>
    </row>
    <row r="1373" spans="3:9" ht="24.75" customHeight="1" x14ac:dyDescent="0.25">
      <c r="C1373" s="83" t="e">
        <f>+C1360</f>
        <v>#REF!</v>
      </c>
      <c r="D1373" s="88"/>
      <c r="E1373" s="83"/>
      <c r="F1373" s="83" t="e">
        <f>+C1360</f>
        <v>#REF!</v>
      </c>
      <c r="G1373" s="83"/>
      <c r="H1373" s="83"/>
      <c r="I1373" s="99"/>
    </row>
    <row r="1374" spans="3:9" ht="18" x14ac:dyDescent="0.25">
      <c r="C1374" s="84"/>
      <c r="D1374" s="88"/>
      <c r="E1374" s="83"/>
      <c r="G1374" s="83"/>
      <c r="H1374" s="99"/>
      <c r="I1374" s="90" t="str">
        <f>+I1360</f>
        <v>Unid. 36</v>
      </c>
    </row>
    <row r="1375" spans="3:9" ht="18" x14ac:dyDescent="0.25">
      <c r="C1375" s="83" t="str">
        <f>+$F$1</f>
        <v>MONTES DE OCA 1068/1070 C.A.B.A.</v>
      </c>
      <c r="D1375" s="88"/>
      <c r="E1375" s="88" t="str">
        <f>+I1374</f>
        <v>Unid. 36</v>
      </c>
      <c r="F1375" s="83" t="str">
        <f>+$F$1</f>
        <v>MONTES DE OCA 1068/1070 C.A.B.A.</v>
      </c>
      <c r="G1375" s="83"/>
      <c r="H1375" s="83"/>
      <c r="I1375" s="90" t="e">
        <f>+I1361</f>
        <v>#REF!</v>
      </c>
    </row>
    <row r="1376" spans="3:9" ht="18" x14ac:dyDescent="0.25">
      <c r="C1376" s="84"/>
      <c r="D1376" s="91"/>
      <c r="E1376" s="88" t="e">
        <f>+I1361</f>
        <v>#REF!</v>
      </c>
      <c r="G1376" s="83"/>
      <c r="H1376" s="83"/>
    </row>
    <row r="1377" spans="3:9" ht="12.75" customHeight="1" x14ac:dyDescent="0.25">
      <c r="C1377" s="83"/>
      <c r="D1377" s="88"/>
      <c r="E1377" s="83"/>
      <c r="F1377" s="84"/>
      <c r="G1377" s="83"/>
      <c r="H1377" s="83"/>
      <c r="I1377" s="99"/>
    </row>
    <row r="1378" spans="3:9" ht="18" x14ac:dyDescent="0.25">
      <c r="C1378" s="83" t="str">
        <f>+$F$2</f>
        <v>P/Depósito o transferencia en Banco Santander Rio</v>
      </c>
      <c r="D1378" s="88"/>
      <c r="E1378" s="83"/>
      <c r="F1378" s="83"/>
      <c r="G1378" s="128"/>
      <c r="H1378" s="84"/>
      <c r="I1378" s="83"/>
    </row>
    <row r="1379" spans="3:9" ht="18" x14ac:dyDescent="0.25">
      <c r="C1379" s="83" t="str">
        <f>+$F$3</f>
        <v xml:space="preserve">Cta. Cte. $ N° 558-000162/1 </v>
      </c>
      <c r="D1379" s="88"/>
      <c r="E1379" s="83"/>
      <c r="F1379" s="93"/>
      <c r="H1379" s="91"/>
      <c r="I1379" s="92"/>
    </row>
    <row r="1380" spans="3:9" ht="18" x14ac:dyDescent="0.25">
      <c r="C1380" s="84"/>
      <c r="D1380" s="88"/>
      <c r="E1380" s="83"/>
      <c r="F1380" s="83" t="s">
        <v>70</v>
      </c>
      <c r="G1380" s="102" t="e">
        <f>+G1364</f>
        <v>#REF!</v>
      </c>
      <c r="H1380" s="92"/>
      <c r="I1380" s="97">
        <f>+C1385</f>
        <v>46183</v>
      </c>
    </row>
    <row r="1381" spans="3:9" ht="18" x14ac:dyDescent="0.25">
      <c r="C1381" s="84"/>
      <c r="D1381" s="88"/>
      <c r="E1381" s="83"/>
      <c r="F1381" s="83" t="s">
        <v>71</v>
      </c>
      <c r="G1381" s="102" t="e">
        <f>+G1365</f>
        <v>#REF!</v>
      </c>
      <c r="I1381" s="83"/>
    </row>
    <row r="1382" spans="3:9" ht="18" x14ac:dyDescent="0.25">
      <c r="C1382" s="83"/>
      <c r="D1382" s="88"/>
      <c r="E1382" s="83"/>
      <c r="F1382" s="83" t="s">
        <v>72</v>
      </c>
      <c r="G1382" s="102">
        <v>0</v>
      </c>
      <c r="H1382" s="83"/>
      <c r="I1382" s="83"/>
    </row>
    <row r="1383" spans="3:9" ht="18" x14ac:dyDescent="0.25">
      <c r="C1383" s="93"/>
      <c r="D1383" s="93"/>
      <c r="E1383" s="93"/>
      <c r="F1383" s="83" t="s">
        <v>73</v>
      </c>
      <c r="G1383" s="102" t="e">
        <f>+G1368</f>
        <v>#REF!</v>
      </c>
      <c r="H1383" s="83"/>
      <c r="I1383" s="83"/>
    </row>
    <row r="1384" spans="3:9" ht="18" x14ac:dyDescent="0.25">
      <c r="E1384" s="83"/>
      <c r="F1384" s="83" t="s">
        <v>312</v>
      </c>
      <c r="G1384" s="135" t="e">
        <f>+G1366+G1367</f>
        <v>#REF!</v>
      </c>
      <c r="H1384" s="83"/>
      <c r="I1384" s="83"/>
    </row>
    <row r="1385" spans="3:9" ht="18" x14ac:dyDescent="0.25">
      <c r="C1385" s="97">
        <f>+$H$43</f>
        <v>46183</v>
      </c>
      <c r="D1385" s="157" t="e">
        <f>+G1369</f>
        <v>#REF!</v>
      </c>
      <c r="E1385" s="83"/>
      <c r="F1385" s="83" t="s">
        <v>74</v>
      </c>
      <c r="G1385" s="102" t="e">
        <f>+G1369</f>
        <v>#REF!</v>
      </c>
      <c r="H1385" s="83"/>
      <c r="I1385" s="83"/>
    </row>
    <row r="1386" spans="3:9" ht="18" x14ac:dyDescent="0.25">
      <c r="C1386" s="83"/>
      <c r="D1386" s="88"/>
      <c r="E1386" s="83"/>
      <c r="F1386" s="83"/>
      <c r="G1386" s="83"/>
      <c r="H1386" s="83"/>
      <c r="I1386" s="83"/>
    </row>
    <row r="1387" spans="3:9" ht="18" x14ac:dyDescent="0.25">
      <c r="C1387" s="83"/>
      <c r="D1387" s="88"/>
      <c r="E1387" s="83"/>
      <c r="F1387" s="100"/>
      <c r="G1387" s="83"/>
      <c r="H1387" s="83"/>
      <c r="I1387" s="83"/>
    </row>
    <row r="1388" spans="3:9" ht="18" x14ac:dyDescent="0.25">
      <c r="C1388" s="83"/>
      <c r="D1388" s="88"/>
      <c r="E1388" s="83"/>
      <c r="F1388" s="83"/>
      <c r="G1388" s="83"/>
      <c r="H1388" s="83"/>
      <c r="I1388" s="91"/>
    </row>
    <row r="1389" spans="3:9" ht="5.25" customHeight="1" x14ac:dyDescent="0.25">
      <c r="C1389" s="185"/>
      <c r="F1389" s="83"/>
      <c r="H1389" s="91"/>
      <c r="I1389" s="83"/>
    </row>
    <row r="1390" spans="3:9" ht="9.75" customHeight="1" x14ac:dyDescent="0.2"/>
    <row r="1391" spans="3:9" ht="18" x14ac:dyDescent="0.25">
      <c r="C1391" s="424"/>
      <c r="D1391" s="424"/>
      <c r="E1391" s="424"/>
      <c r="F1391" s="433">
        <f>+$C$1</f>
        <v>46143</v>
      </c>
      <c r="G1391" s="83"/>
      <c r="H1391" s="429">
        <f>+$E$1</f>
        <v>46183</v>
      </c>
      <c r="I1391" s="83"/>
    </row>
    <row r="1392" spans="3:9" ht="18" x14ac:dyDescent="0.25">
      <c r="C1392" s="82"/>
      <c r="D1392" s="82"/>
      <c r="E1392" s="98"/>
      <c r="F1392" s="433"/>
      <c r="G1392" s="83"/>
      <c r="H1392" s="429"/>
      <c r="I1392" s="83"/>
    </row>
    <row r="1393" spans="3:9" ht="18" x14ac:dyDescent="0.25">
      <c r="C1393" s="83"/>
      <c r="D1393" s="88"/>
      <c r="E1393" s="83"/>
      <c r="F1393" s="84"/>
      <c r="G1393" s="83"/>
      <c r="H1393" s="84"/>
      <c r="I1393" s="83"/>
    </row>
    <row r="1394" spans="3:9" ht="27.75" customHeight="1" x14ac:dyDescent="0.25">
      <c r="D1394" s="88"/>
      <c r="E1394" s="83"/>
      <c r="F1394" s="84"/>
      <c r="G1394" s="83"/>
      <c r="H1394" s="84"/>
      <c r="I1394" s="83"/>
    </row>
    <row r="1395" spans="3:9" ht="18.75" customHeight="1" x14ac:dyDescent="0.25">
      <c r="C1395" s="83" t="e">
        <f>+C38</f>
        <v>#REF!</v>
      </c>
      <c r="D1395" s="88"/>
      <c r="E1395" s="83"/>
      <c r="F1395" s="83" t="s">
        <v>293</v>
      </c>
      <c r="G1395" s="83"/>
      <c r="H1395" s="83"/>
      <c r="I1395" s="90" t="s">
        <v>111</v>
      </c>
    </row>
    <row r="1396" spans="3:9" ht="18" x14ac:dyDescent="0.25">
      <c r="C1396" s="83"/>
      <c r="D1396" s="88"/>
      <c r="E1396" s="83"/>
      <c r="F1396" s="84"/>
      <c r="G1396" s="83"/>
      <c r="H1396" s="83"/>
      <c r="I1396" s="90" t="e">
        <f>+'RES CUENTA'!#REF!</f>
        <v>#REF!</v>
      </c>
    </row>
    <row r="1397" spans="3:9" ht="18" x14ac:dyDescent="0.25">
      <c r="C1397" s="91"/>
      <c r="D1397" s="88"/>
      <c r="E1397" s="91"/>
      <c r="F1397" s="83"/>
      <c r="G1397" s="83"/>
      <c r="H1397" s="83"/>
      <c r="I1397" s="83"/>
    </row>
    <row r="1398" spans="3:9" ht="12" customHeight="1" x14ac:dyDescent="0.25">
      <c r="C1398" s="91"/>
      <c r="D1398" s="88"/>
      <c r="E1398" s="91"/>
      <c r="F1398" s="83"/>
      <c r="G1398" s="83"/>
      <c r="H1398" s="83"/>
      <c r="I1398" s="83"/>
    </row>
    <row r="1399" spans="3:9" ht="18" x14ac:dyDescent="0.25">
      <c r="C1399" s="83" t="s">
        <v>68</v>
      </c>
      <c r="D1399" s="88"/>
      <c r="E1399" s="103">
        <f>+'RES CUENTA'!G36</f>
        <v>4623849.72</v>
      </c>
      <c r="F1399" s="104" t="e">
        <f>+'RES CUENTA'!#REF!</f>
        <v>#REF!</v>
      </c>
      <c r="G1399" s="101" t="e">
        <f>+E1399*F1399/100</f>
        <v>#REF!</v>
      </c>
      <c r="H1399" s="425"/>
      <c r="I1399" s="425"/>
    </row>
    <row r="1400" spans="3:9" ht="18" x14ac:dyDescent="0.25">
      <c r="C1400" s="83" t="s">
        <v>69</v>
      </c>
      <c r="D1400" s="88"/>
      <c r="E1400" s="103">
        <f>+'RES CUENTA'!J36</f>
        <v>1180425.75</v>
      </c>
      <c r="F1400" s="104" t="e">
        <f>+'RES CUENTA'!#REF!</f>
        <v>#REF!</v>
      </c>
      <c r="G1400" s="101" t="e">
        <f>+E1400*F1400/100</f>
        <v>#REF!</v>
      </c>
      <c r="H1400" s="430"/>
      <c r="I1400" s="430"/>
    </row>
    <row r="1401" spans="3:9" ht="18" x14ac:dyDescent="0.25">
      <c r="C1401" s="83" t="s">
        <v>181</v>
      </c>
      <c r="D1401" s="88"/>
      <c r="E1401" s="103" t="e">
        <f>+'RES CUENTA'!#REF!</f>
        <v>#REF!</v>
      </c>
      <c r="F1401" s="104">
        <v>0</v>
      </c>
      <c r="G1401" s="101" t="e">
        <f>+E1401</f>
        <v>#REF!</v>
      </c>
      <c r="H1401" s="430"/>
      <c r="I1401" s="430"/>
    </row>
    <row r="1402" spans="3:9" ht="18" x14ac:dyDescent="0.25">
      <c r="C1402" s="83" t="s">
        <v>265</v>
      </c>
      <c r="D1402" s="88"/>
      <c r="E1402" s="103">
        <v>0</v>
      </c>
      <c r="F1402" s="104">
        <v>0</v>
      </c>
      <c r="G1402" s="101" t="e">
        <f>+'RES CUENTA'!#REF!</f>
        <v>#REF!</v>
      </c>
      <c r="H1402" s="430"/>
      <c r="I1402" s="430"/>
    </row>
    <row r="1403" spans="3:9" ht="18" x14ac:dyDescent="0.25">
      <c r="C1403" s="83" t="s">
        <v>213</v>
      </c>
      <c r="D1403" s="88"/>
      <c r="E1403" s="103" t="e">
        <f>+'RES CUENTA'!#REF!+'RES CUENTA'!#REF!</f>
        <v>#REF!</v>
      </c>
      <c r="F1403" s="104">
        <v>0</v>
      </c>
      <c r="G1403" s="134" t="e">
        <f>+E1403</f>
        <v>#REF!</v>
      </c>
      <c r="H1403" s="430"/>
      <c r="I1403" s="430"/>
    </row>
    <row r="1404" spans="3:9" ht="18" x14ac:dyDescent="0.25">
      <c r="C1404" s="84"/>
      <c r="D1404" s="88"/>
      <c r="E1404" s="83"/>
      <c r="F1404" s="89"/>
      <c r="G1404" s="101" t="e">
        <f>SUM(G1399:G1403)</f>
        <v>#REF!</v>
      </c>
      <c r="H1404" s="87"/>
      <c r="I1404" s="87"/>
    </row>
    <row r="1405" spans="3:9" ht="18" x14ac:dyDescent="0.25">
      <c r="C1405" s="84"/>
      <c r="D1405" s="88"/>
      <c r="E1405" s="83"/>
      <c r="F1405" s="83"/>
      <c r="H1405" s="432"/>
      <c r="I1405" s="432"/>
    </row>
    <row r="1406" spans="3:9" ht="11.25" customHeight="1" x14ac:dyDescent="0.25">
      <c r="C1406" s="83"/>
      <c r="D1406" s="88"/>
      <c r="E1406" s="83"/>
      <c r="F1406" s="83"/>
      <c r="G1406" s="85"/>
      <c r="H1406" s="88"/>
      <c r="I1406" s="88"/>
    </row>
    <row r="1407" spans="3:9" ht="11.25" customHeight="1" x14ac:dyDescent="0.25">
      <c r="C1407" s="83"/>
      <c r="D1407" s="88"/>
      <c r="E1407" s="83"/>
      <c r="F1407" s="83"/>
      <c r="G1407" s="85"/>
      <c r="H1407" s="88"/>
      <c r="I1407" s="88"/>
    </row>
    <row r="1408" spans="3:9" ht="11.25" customHeight="1" x14ac:dyDescent="0.25">
      <c r="C1408" s="83"/>
      <c r="D1408" s="88"/>
      <c r="E1408" s="83"/>
      <c r="F1408" s="83"/>
      <c r="G1408" s="85"/>
      <c r="H1408" s="88"/>
      <c r="I1408" s="88"/>
    </row>
    <row r="1409" spans="3:9" ht="18" x14ac:dyDescent="0.25">
      <c r="C1409" s="83"/>
      <c r="D1409" s="88"/>
      <c r="E1409" s="83"/>
      <c r="F1409" s="83"/>
      <c r="G1409" s="89"/>
      <c r="H1409" s="83"/>
      <c r="I1409" s="83"/>
    </row>
    <row r="1410" spans="3:9" ht="14.25" customHeight="1" x14ac:dyDescent="0.25">
      <c r="C1410" s="83"/>
      <c r="D1410" s="88"/>
      <c r="E1410" s="83"/>
      <c r="F1410" s="83"/>
      <c r="G1410" s="89"/>
      <c r="H1410" s="83"/>
      <c r="I1410" s="83"/>
    </row>
    <row r="1411" spans="3:9" ht="18" x14ac:dyDescent="0.25">
      <c r="C1411" s="83" t="e">
        <f>+C1395</f>
        <v>#REF!</v>
      </c>
      <c r="D1411" s="427"/>
      <c r="E1411" s="427"/>
      <c r="F1411" s="83" t="e">
        <f>+C1411</f>
        <v>#REF!</v>
      </c>
      <c r="G1411" s="89"/>
      <c r="H1411" s="83"/>
      <c r="I1411" s="83"/>
    </row>
    <row r="1412" spans="3:9" ht="18" x14ac:dyDescent="0.25">
      <c r="D1412" s="88"/>
      <c r="E1412" s="83"/>
      <c r="G1412" s="427"/>
      <c r="H1412" s="427"/>
      <c r="I1412" s="427"/>
    </row>
    <row r="1413" spans="3:9" ht="18" x14ac:dyDescent="0.25">
      <c r="C1413" s="83" t="str">
        <f>+$F$1</f>
        <v>MONTES DE OCA 1068/1070 C.A.B.A.</v>
      </c>
      <c r="D1413" s="88"/>
      <c r="E1413" s="88" t="str">
        <f>+I1395</f>
        <v>Unid. 37</v>
      </c>
      <c r="F1413" s="83" t="str">
        <f>+$F$1</f>
        <v>MONTES DE OCA 1068/1070 C.A.B.A.</v>
      </c>
      <c r="G1413" s="83"/>
      <c r="H1413" s="83"/>
      <c r="I1413" s="90" t="str">
        <f>+E1413</f>
        <v>Unid. 37</v>
      </c>
    </row>
    <row r="1414" spans="3:9" ht="15.75" customHeight="1" x14ac:dyDescent="0.25">
      <c r="E1414" s="88" t="e">
        <f>+I1396</f>
        <v>#REF!</v>
      </c>
      <c r="I1414" s="90" t="e">
        <f>+I1396</f>
        <v>#REF!</v>
      </c>
    </row>
    <row r="1415" spans="3:9" ht="12.75" customHeight="1" x14ac:dyDescent="0.25">
      <c r="C1415" s="84"/>
      <c r="D1415" s="91"/>
      <c r="E1415" s="84"/>
      <c r="F1415" s="84"/>
      <c r="G1415" s="83"/>
      <c r="H1415" s="83"/>
    </row>
    <row r="1416" spans="3:9" ht="18" x14ac:dyDescent="0.25">
      <c r="C1416" s="83" t="str">
        <f>+$F$2</f>
        <v>P/Depósito o transferencia en Banco Santander Rio</v>
      </c>
      <c r="D1416" s="88"/>
      <c r="E1416" s="83"/>
      <c r="F1416" s="83"/>
      <c r="G1416" s="83"/>
      <c r="H1416" s="84"/>
      <c r="I1416" s="99"/>
    </row>
    <row r="1417" spans="3:9" ht="18" x14ac:dyDescent="0.25">
      <c r="C1417" s="83" t="str">
        <f>+$F$3</f>
        <v xml:space="preserve">Cta. Cte. $ N° 558-000162/1 </v>
      </c>
      <c r="D1417" s="88"/>
      <c r="E1417" s="83"/>
      <c r="F1417" s="93"/>
      <c r="G1417" s="83"/>
      <c r="H1417" s="91"/>
      <c r="I1417" s="83"/>
    </row>
    <row r="1418" spans="3:9" ht="18" x14ac:dyDescent="0.25">
      <c r="D1418" s="88"/>
      <c r="E1418" s="83"/>
      <c r="F1418" s="83" t="s">
        <v>70</v>
      </c>
      <c r="G1418" s="102" t="e">
        <f>+G1399</f>
        <v>#REF!</v>
      </c>
      <c r="I1418" s="97">
        <f>+C1423</f>
        <v>46183</v>
      </c>
    </row>
    <row r="1419" spans="3:9" ht="18" x14ac:dyDescent="0.25">
      <c r="C1419" s="84"/>
      <c r="D1419" s="88"/>
      <c r="E1419" s="83"/>
      <c r="F1419" s="83" t="s">
        <v>71</v>
      </c>
      <c r="G1419" s="102" t="e">
        <f>+G1400</f>
        <v>#REF!</v>
      </c>
    </row>
    <row r="1420" spans="3:9" ht="18" x14ac:dyDescent="0.25">
      <c r="C1420" s="84"/>
      <c r="D1420" s="88"/>
      <c r="E1420" s="83"/>
      <c r="F1420" s="83" t="s">
        <v>72</v>
      </c>
      <c r="G1420" s="102" t="e">
        <f>+'RES CUENTA'!#REF!</f>
        <v>#REF!</v>
      </c>
      <c r="H1420" s="83"/>
      <c r="I1420" s="83"/>
    </row>
    <row r="1421" spans="3:9" ht="18" x14ac:dyDescent="0.25">
      <c r="C1421" s="83"/>
      <c r="D1421" s="88"/>
      <c r="E1421" s="83"/>
      <c r="F1421" s="83" t="s">
        <v>73</v>
      </c>
      <c r="G1421" s="102" t="e">
        <f>+'RES CUENTA'!#REF!</f>
        <v>#REF!</v>
      </c>
      <c r="H1421" s="83"/>
      <c r="I1421" s="83"/>
    </row>
    <row r="1422" spans="3:9" ht="18" x14ac:dyDescent="0.25">
      <c r="C1422" s="93"/>
      <c r="D1422" s="93"/>
      <c r="E1422" s="93"/>
      <c r="F1422" s="83" t="s">
        <v>312</v>
      </c>
      <c r="G1422" s="135" t="e">
        <f>+G1401+G1402</f>
        <v>#REF!</v>
      </c>
      <c r="H1422" s="83"/>
      <c r="I1422" s="83"/>
    </row>
    <row r="1423" spans="3:9" ht="18" x14ac:dyDescent="0.25">
      <c r="C1423" s="97">
        <f>+$H$43</f>
        <v>46183</v>
      </c>
      <c r="D1423" s="157" t="e">
        <f>+G1404</f>
        <v>#REF!</v>
      </c>
      <c r="E1423" s="83"/>
      <c r="F1423" s="83" t="s">
        <v>74</v>
      </c>
      <c r="G1423" s="102" t="e">
        <f>+G1404</f>
        <v>#REF!</v>
      </c>
      <c r="H1423" s="83"/>
      <c r="I1423" s="83"/>
    </row>
    <row r="1424" spans="3:9" ht="18" x14ac:dyDescent="0.25">
      <c r="C1424" s="83"/>
      <c r="D1424" s="88"/>
      <c r="E1424" s="83"/>
      <c r="F1424" s="83"/>
      <c r="G1424" s="83"/>
      <c r="H1424" s="83"/>
      <c r="I1424" s="83"/>
    </row>
    <row r="1425" spans="3:9" ht="18" x14ac:dyDescent="0.25">
      <c r="C1425" s="83"/>
      <c r="D1425" s="88"/>
      <c r="E1425" s="83"/>
      <c r="F1425" s="83"/>
      <c r="G1425" s="83"/>
      <c r="H1425" s="425"/>
      <c r="I1425" s="425"/>
    </row>
    <row r="1426" spans="3:9" ht="18" x14ac:dyDescent="0.25">
      <c r="C1426" s="83"/>
      <c r="D1426" s="88"/>
      <c r="E1426" s="83"/>
      <c r="F1426" s="83"/>
      <c r="G1426" s="83"/>
      <c r="H1426" s="83"/>
      <c r="I1426" s="83"/>
    </row>
    <row r="1427" spans="3:9" ht="18" x14ac:dyDescent="0.25">
      <c r="C1427" s="83"/>
      <c r="D1427" s="88"/>
      <c r="E1427" s="83"/>
      <c r="F1427" s="83"/>
      <c r="G1427" s="83"/>
      <c r="H1427" s="83"/>
      <c r="I1427" s="83"/>
    </row>
    <row r="1428" spans="3:9" ht="18" x14ac:dyDescent="0.25">
      <c r="C1428" s="83"/>
      <c r="D1428" s="88"/>
      <c r="E1428" s="83"/>
      <c r="F1428" s="83"/>
      <c r="G1428" s="83"/>
      <c r="H1428" s="83"/>
      <c r="I1428" s="83"/>
    </row>
    <row r="1429" spans="3:9" ht="21.75" customHeight="1" x14ac:dyDescent="0.25">
      <c r="C1429" s="83"/>
      <c r="D1429" s="88"/>
      <c r="E1429" s="83"/>
      <c r="F1429" s="83"/>
      <c r="G1429" s="83"/>
      <c r="I1429" s="83"/>
    </row>
    <row r="1430" spans="3:9" ht="18" x14ac:dyDescent="0.25">
      <c r="C1430" s="83"/>
      <c r="D1430" s="88"/>
      <c r="E1430" s="83"/>
      <c r="F1430" s="83"/>
      <c r="G1430" s="83"/>
      <c r="I1430" s="83"/>
    </row>
    <row r="1431" spans="3:9" ht="18" x14ac:dyDescent="0.25">
      <c r="C1431" s="424"/>
      <c r="D1431" s="424"/>
      <c r="E1431" s="424"/>
      <c r="F1431" s="83"/>
      <c r="G1431" s="83"/>
      <c r="I1431" s="83"/>
    </row>
    <row r="1432" spans="3:9" ht="18" x14ac:dyDescent="0.25">
      <c r="C1432" s="424"/>
      <c r="D1432" s="424"/>
      <c r="E1432" s="424"/>
      <c r="F1432" s="96">
        <f>+$C$1</f>
        <v>46143</v>
      </c>
      <c r="G1432" s="83"/>
      <c r="H1432" s="97">
        <f>+$E$1</f>
        <v>46183</v>
      </c>
      <c r="I1432" s="95"/>
    </row>
    <row r="1433" spans="3:9" ht="11.25" customHeight="1" x14ac:dyDescent="0.25">
      <c r="C1433" s="82"/>
      <c r="D1433" s="82"/>
      <c r="E1433" s="98"/>
      <c r="F1433" s="96"/>
      <c r="G1433" s="83"/>
    </row>
    <row r="1434" spans="3:9" ht="30" customHeight="1" x14ac:dyDescent="0.25">
      <c r="D1434" s="88"/>
      <c r="E1434" s="83"/>
      <c r="G1434" s="83"/>
    </row>
    <row r="1435" spans="3:9" ht="24.75" customHeight="1" x14ac:dyDescent="0.25">
      <c r="C1435" s="83" t="e">
        <f>+C39</f>
        <v>#REF!</v>
      </c>
      <c r="D1435" s="88"/>
      <c r="E1435" s="83"/>
      <c r="F1435" s="83" t="str">
        <f>+$F$1</f>
        <v>MONTES DE OCA 1068/1070 C.A.B.A.</v>
      </c>
      <c r="G1435" s="83"/>
      <c r="I1435" s="90" t="s">
        <v>112</v>
      </c>
    </row>
    <row r="1436" spans="3:9" ht="18" x14ac:dyDescent="0.25">
      <c r="C1436" s="84"/>
      <c r="D1436" s="88"/>
      <c r="E1436" s="83"/>
      <c r="G1436" s="83"/>
      <c r="H1436" s="84"/>
      <c r="I1436" s="90" t="e">
        <f>+'RES CUENTA'!#REF!</f>
        <v>#REF!</v>
      </c>
    </row>
    <row r="1437" spans="3:9" ht="18" x14ac:dyDescent="0.25">
      <c r="C1437" s="83"/>
      <c r="D1437" s="88"/>
      <c r="E1437" s="83"/>
      <c r="F1437" s="84"/>
      <c r="G1437" s="83"/>
      <c r="H1437" s="83"/>
      <c r="I1437" s="84"/>
    </row>
    <row r="1438" spans="3:9" ht="18" x14ac:dyDescent="0.25">
      <c r="C1438" s="91"/>
      <c r="D1438" s="88"/>
      <c r="E1438" s="91"/>
      <c r="F1438" s="83"/>
      <c r="G1438" s="83"/>
      <c r="H1438" s="83"/>
      <c r="I1438" s="83"/>
    </row>
    <row r="1439" spans="3:9" ht="18" x14ac:dyDescent="0.25">
      <c r="C1439" s="83" t="s">
        <v>68</v>
      </c>
      <c r="D1439" s="88"/>
      <c r="E1439" s="103">
        <f>+'RES CUENTA'!G36</f>
        <v>4623849.72</v>
      </c>
      <c r="F1439" s="104" t="e">
        <f>+'RES CUENTA'!#REF!</f>
        <v>#REF!</v>
      </c>
      <c r="G1439" s="101" t="e">
        <f>+E1439*F1439/100</f>
        <v>#REF!</v>
      </c>
      <c r="H1439" s="83"/>
      <c r="I1439" s="91"/>
    </row>
    <row r="1440" spans="3:9" ht="18" x14ac:dyDescent="0.25">
      <c r="C1440" s="83" t="s">
        <v>69</v>
      </c>
      <c r="D1440" s="88"/>
      <c r="E1440" s="103">
        <f>+'RES CUENTA'!J36</f>
        <v>1180425.75</v>
      </c>
      <c r="F1440" s="104" t="e">
        <f>+'RES CUENTA'!#REF!</f>
        <v>#REF!</v>
      </c>
      <c r="G1440" s="101" t="e">
        <f>+E1440*F1440/100</f>
        <v>#REF!</v>
      </c>
      <c r="H1440" s="91"/>
      <c r="I1440" s="87"/>
    </row>
    <row r="1441" spans="3:9" ht="18" x14ac:dyDescent="0.25">
      <c r="C1441" s="83" t="s">
        <v>181</v>
      </c>
      <c r="D1441" s="88"/>
      <c r="E1441" s="103" t="e">
        <f>+'RES CUENTA'!#REF!</f>
        <v>#REF!</v>
      </c>
      <c r="F1441" s="104">
        <f>+'RES CUENTA'!M476</f>
        <v>0</v>
      </c>
      <c r="G1441" s="101" t="e">
        <f>+E1441</f>
        <v>#REF!</v>
      </c>
      <c r="H1441" s="87"/>
      <c r="I1441" s="87"/>
    </row>
    <row r="1442" spans="3:9" ht="18" x14ac:dyDescent="0.25">
      <c r="C1442" s="83" t="s">
        <v>265</v>
      </c>
      <c r="D1442" s="88"/>
      <c r="E1442" s="103">
        <v>0</v>
      </c>
      <c r="F1442" s="104">
        <v>0</v>
      </c>
      <c r="G1442" s="101" t="e">
        <f>+'RES CUENTA'!#REF!</f>
        <v>#REF!</v>
      </c>
      <c r="H1442" s="87"/>
      <c r="I1442" s="87"/>
    </row>
    <row r="1443" spans="3:9" ht="18" x14ac:dyDescent="0.25">
      <c r="C1443" s="83" t="s">
        <v>213</v>
      </c>
      <c r="D1443" s="88"/>
      <c r="E1443" s="103">
        <v>0</v>
      </c>
      <c r="F1443" s="104">
        <f>+'RES CUENTA'!N475</f>
        <v>0</v>
      </c>
      <c r="G1443" s="134" t="e">
        <f>+'RES CUENTA'!#REF!+'RES CUENTA'!#REF!</f>
        <v>#REF!</v>
      </c>
      <c r="H1443" s="87"/>
      <c r="I1443" s="87"/>
    </row>
    <row r="1444" spans="3:9" ht="18" x14ac:dyDescent="0.25">
      <c r="C1444" s="84"/>
      <c r="D1444" s="88"/>
      <c r="E1444" s="83"/>
      <c r="G1444" s="101" t="e">
        <f>SUM(G1439:G1443)</f>
        <v>#REF!</v>
      </c>
      <c r="H1444" s="87"/>
      <c r="I1444" s="87"/>
    </row>
    <row r="1445" spans="3:9" ht="18" x14ac:dyDescent="0.25">
      <c r="C1445" s="84"/>
      <c r="D1445" s="88"/>
      <c r="E1445" s="83"/>
      <c r="G1445" s="85"/>
      <c r="H1445" s="87"/>
      <c r="I1445" s="88"/>
    </row>
    <row r="1446" spans="3:9" ht="17.25" customHeight="1" x14ac:dyDescent="0.25">
      <c r="C1446" s="83"/>
      <c r="D1446" s="88"/>
      <c r="E1446" s="83"/>
      <c r="F1446" s="83"/>
      <c r="G1446" s="89"/>
      <c r="H1446" s="88"/>
      <c r="I1446" s="88"/>
    </row>
    <row r="1447" spans="3:9" ht="11.25" customHeight="1" x14ac:dyDescent="0.25">
      <c r="C1447" s="83"/>
      <c r="D1447" s="88"/>
      <c r="E1447" s="83"/>
      <c r="F1447" s="83"/>
      <c r="G1447" s="89"/>
      <c r="H1447" s="88"/>
      <c r="I1447" s="88"/>
    </row>
    <row r="1448" spans="3:9" ht="13.5" customHeight="1" x14ac:dyDescent="0.25">
      <c r="C1448" s="83"/>
      <c r="D1448" s="88"/>
      <c r="E1448" s="83"/>
      <c r="F1448" s="83"/>
      <c r="G1448" s="89"/>
      <c r="H1448" s="88"/>
      <c r="I1448" s="83"/>
    </row>
    <row r="1449" spans="3:9" ht="21.75" customHeight="1" x14ac:dyDescent="0.25">
      <c r="C1449" s="83" t="e">
        <f>+C1435</f>
        <v>#REF!</v>
      </c>
      <c r="D1449" s="88"/>
      <c r="E1449" s="83"/>
      <c r="F1449" s="83" t="e">
        <f>+C1435</f>
        <v>#REF!</v>
      </c>
      <c r="G1449" s="83"/>
      <c r="H1449" s="83"/>
      <c r="I1449" s="99"/>
    </row>
    <row r="1450" spans="3:9" ht="18" x14ac:dyDescent="0.25">
      <c r="C1450" s="84"/>
      <c r="D1450" s="88"/>
      <c r="E1450" s="83"/>
      <c r="G1450" s="83"/>
      <c r="H1450" s="99"/>
      <c r="I1450" s="90" t="str">
        <f>+I1435</f>
        <v>Unid. 38</v>
      </c>
    </row>
    <row r="1451" spans="3:9" ht="18" x14ac:dyDescent="0.25">
      <c r="C1451" s="83" t="str">
        <f>+$F$1</f>
        <v>MONTES DE OCA 1068/1070 C.A.B.A.</v>
      </c>
      <c r="D1451" s="88"/>
      <c r="E1451" s="88" t="str">
        <f>+I1450</f>
        <v>Unid. 38</v>
      </c>
      <c r="F1451" s="83" t="str">
        <f>+$F$1</f>
        <v>MONTES DE OCA 1068/1070 C.A.B.A.</v>
      </c>
      <c r="G1451" s="83"/>
      <c r="H1451" s="83"/>
      <c r="I1451" s="90" t="e">
        <f>+I1436</f>
        <v>#REF!</v>
      </c>
    </row>
    <row r="1452" spans="3:9" ht="18" x14ac:dyDescent="0.25">
      <c r="C1452" s="84"/>
      <c r="D1452" s="91"/>
      <c r="E1452" s="88" t="e">
        <f>+I1451</f>
        <v>#REF!</v>
      </c>
      <c r="G1452" s="83"/>
      <c r="H1452" s="83"/>
    </row>
    <row r="1453" spans="3:9" ht="12.75" customHeight="1" x14ac:dyDescent="0.25">
      <c r="C1453" s="83"/>
      <c r="D1453" s="88"/>
      <c r="E1453" s="83"/>
      <c r="F1453" s="84"/>
      <c r="G1453" s="83"/>
      <c r="H1453" s="83"/>
      <c r="I1453" s="99"/>
    </row>
    <row r="1454" spans="3:9" ht="18" x14ac:dyDescent="0.25">
      <c r="C1454" s="83" t="str">
        <f>+$F$2</f>
        <v>P/Depósito o transferencia en Banco Santander Rio</v>
      </c>
      <c r="D1454" s="88"/>
      <c r="E1454" s="83"/>
      <c r="F1454" s="83"/>
      <c r="G1454" s="128"/>
      <c r="H1454" s="84"/>
      <c r="I1454" s="83"/>
    </row>
    <row r="1455" spans="3:9" ht="18" x14ac:dyDescent="0.25">
      <c r="C1455" s="83" t="str">
        <f>+$F$3</f>
        <v xml:space="preserve">Cta. Cte. $ N° 558-000162/1 </v>
      </c>
      <c r="D1455" s="88"/>
      <c r="E1455" s="83"/>
      <c r="F1455" s="93"/>
      <c r="H1455" s="91"/>
      <c r="I1455" s="92"/>
    </row>
    <row r="1456" spans="3:9" ht="18" x14ac:dyDescent="0.25">
      <c r="C1456" s="84"/>
      <c r="D1456" s="88"/>
      <c r="E1456" s="83"/>
      <c r="F1456" s="83" t="s">
        <v>70</v>
      </c>
      <c r="G1456" s="102" t="e">
        <f>+G1439</f>
        <v>#REF!</v>
      </c>
      <c r="H1456" s="92"/>
      <c r="I1456" s="97">
        <f>+C1461</f>
        <v>46183</v>
      </c>
    </row>
    <row r="1457" spans="3:13" ht="18" x14ac:dyDescent="0.25">
      <c r="C1457" s="84"/>
      <c r="D1457" s="88"/>
      <c r="E1457" s="83"/>
      <c r="F1457" s="83" t="s">
        <v>71</v>
      </c>
      <c r="G1457" s="102" t="e">
        <f>+G1440</f>
        <v>#REF!</v>
      </c>
      <c r="I1457" s="83"/>
      <c r="L1457">
        <v>200</v>
      </c>
    </row>
    <row r="1458" spans="3:13" ht="18" x14ac:dyDescent="0.25">
      <c r="C1458" s="83"/>
      <c r="D1458" s="88"/>
      <c r="E1458" s="83"/>
      <c r="F1458" s="83" t="s">
        <v>72</v>
      </c>
      <c r="G1458" s="102" t="e">
        <f>+G1443</f>
        <v>#REF!</v>
      </c>
      <c r="H1458" s="83"/>
      <c r="I1458" s="83"/>
      <c r="L1458">
        <v>40</v>
      </c>
    </row>
    <row r="1459" spans="3:13" ht="18" x14ac:dyDescent="0.25">
      <c r="C1459" s="93"/>
      <c r="D1459" s="93"/>
      <c r="E1459" s="93"/>
      <c r="F1459" s="83" t="s">
        <v>73</v>
      </c>
      <c r="G1459" s="102">
        <v>0</v>
      </c>
      <c r="H1459" s="83"/>
      <c r="I1459" s="83"/>
      <c r="L1459">
        <f>+L1457*L1458</f>
        <v>8000</v>
      </c>
      <c r="M1459">
        <f>+L1459*6</f>
        <v>48000</v>
      </c>
    </row>
    <row r="1460" spans="3:13" ht="18" x14ac:dyDescent="0.25">
      <c r="E1460" s="83"/>
      <c r="F1460" s="83" t="s">
        <v>312</v>
      </c>
      <c r="G1460" s="135" t="e">
        <f>+G1441+G1442</f>
        <v>#REF!</v>
      </c>
      <c r="H1460" s="83"/>
      <c r="I1460" s="83"/>
    </row>
    <row r="1461" spans="3:13" ht="18" x14ac:dyDescent="0.25">
      <c r="C1461" s="97">
        <f>+$H$43</f>
        <v>46183</v>
      </c>
      <c r="D1461" s="157" t="e">
        <f>+G1444</f>
        <v>#REF!</v>
      </c>
      <c r="E1461" s="83"/>
      <c r="F1461" s="83" t="s">
        <v>74</v>
      </c>
      <c r="G1461" s="102" t="e">
        <f>+G1444</f>
        <v>#REF!</v>
      </c>
      <c r="H1461" s="83"/>
      <c r="I1461" s="83"/>
    </row>
    <row r="1462" spans="3:13" ht="18" x14ac:dyDescent="0.25">
      <c r="C1462" s="83"/>
      <c r="D1462" s="88"/>
      <c r="E1462" s="83"/>
      <c r="F1462" s="83"/>
      <c r="G1462" s="83"/>
      <c r="H1462" s="83"/>
      <c r="I1462" s="83"/>
    </row>
    <row r="1463" spans="3:13" ht="18" x14ac:dyDescent="0.25">
      <c r="C1463" s="83"/>
      <c r="D1463" s="88"/>
      <c r="E1463" s="83"/>
      <c r="F1463" s="100"/>
      <c r="G1463" s="83"/>
      <c r="H1463" s="83"/>
      <c r="I1463" s="83"/>
    </row>
    <row r="1464" spans="3:13" ht="18" x14ac:dyDescent="0.25">
      <c r="C1464" s="83"/>
      <c r="D1464" s="88"/>
      <c r="E1464" s="83"/>
      <c r="F1464" s="83"/>
      <c r="G1464" s="83"/>
      <c r="H1464" s="83"/>
      <c r="I1464" s="91"/>
    </row>
    <row r="1465" spans="3:13" ht="9.75" customHeight="1" x14ac:dyDescent="0.25">
      <c r="F1465" s="83"/>
      <c r="H1465" s="91"/>
      <c r="I1465" s="83"/>
    </row>
    <row r="1466" spans="3:13" ht="12" customHeight="1" x14ac:dyDescent="0.2"/>
    <row r="1467" spans="3:13" ht="18" x14ac:dyDescent="0.25">
      <c r="C1467" s="424"/>
      <c r="D1467" s="424"/>
      <c r="E1467" s="424"/>
      <c r="F1467" s="433">
        <f>+$C$1</f>
        <v>46143</v>
      </c>
      <c r="G1467" s="83"/>
      <c r="H1467" s="429">
        <f>+$E$1</f>
        <v>46183</v>
      </c>
      <c r="I1467" s="83"/>
    </row>
    <row r="1468" spans="3:13" ht="18" x14ac:dyDescent="0.25">
      <c r="C1468" s="82"/>
      <c r="D1468" s="82"/>
      <c r="E1468" s="98"/>
      <c r="F1468" s="433"/>
      <c r="G1468" s="83"/>
      <c r="H1468" s="429"/>
      <c r="I1468" s="83"/>
    </row>
    <row r="1469" spans="3:13" ht="18" x14ac:dyDescent="0.25">
      <c r="C1469" s="83"/>
      <c r="D1469" s="88"/>
      <c r="E1469" s="83"/>
      <c r="F1469" s="84"/>
      <c r="G1469" s="83"/>
      <c r="H1469" s="84"/>
      <c r="I1469" s="83"/>
    </row>
    <row r="1470" spans="3:13" ht="20.25" customHeight="1" x14ac:dyDescent="0.25">
      <c r="D1470" s="88"/>
      <c r="E1470" s="83"/>
      <c r="F1470" s="84"/>
      <c r="G1470" s="83"/>
      <c r="H1470" s="84"/>
      <c r="I1470" s="83"/>
    </row>
    <row r="1471" spans="3:13" ht="24" customHeight="1" x14ac:dyDescent="0.25">
      <c r="C1471" s="83" t="e">
        <f>+C40</f>
        <v>#REF!</v>
      </c>
      <c r="D1471" s="88"/>
      <c r="E1471" s="83"/>
      <c r="F1471" s="83" t="s">
        <v>293</v>
      </c>
      <c r="G1471" s="83"/>
      <c r="H1471" s="83"/>
      <c r="I1471" s="90" t="s">
        <v>113</v>
      </c>
    </row>
    <row r="1472" spans="3:13" ht="18" x14ac:dyDescent="0.25">
      <c r="C1472" s="83"/>
      <c r="D1472" s="88"/>
      <c r="E1472" s="83"/>
      <c r="F1472" s="84"/>
      <c r="G1472" s="83"/>
      <c r="H1472" s="83"/>
      <c r="I1472" s="90" t="e">
        <f>+'RES CUENTA'!#REF!</f>
        <v>#REF!</v>
      </c>
    </row>
    <row r="1473" spans="3:9" ht="11.25" customHeight="1" x14ac:dyDescent="0.25">
      <c r="C1473" s="91"/>
      <c r="D1473" s="88"/>
      <c r="E1473" s="91"/>
      <c r="F1473" s="83"/>
      <c r="G1473" s="83"/>
      <c r="H1473" s="83"/>
      <c r="I1473" s="83"/>
    </row>
    <row r="1474" spans="3:9" ht="18" x14ac:dyDescent="0.25">
      <c r="C1474" s="91"/>
      <c r="D1474" s="88"/>
      <c r="E1474" s="91"/>
      <c r="F1474" s="83"/>
      <c r="G1474" s="83"/>
      <c r="H1474" s="83"/>
      <c r="I1474" s="83"/>
    </row>
    <row r="1475" spans="3:9" ht="18" x14ac:dyDescent="0.25">
      <c r="C1475" s="83" t="s">
        <v>68</v>
      </c>
      <c r="D1475" s="88"/>
      <c r="E1475" s="103">
        <f>+'RES CUENTA'!G36</f>
        <v>4623849.72</v>
      </c>
      <c r="F1475" s="104" t="e">
        <f>+'RES CUENTA'!#REF!</f>
        <v>#REF!</v>
      </c>
      <c r="G1475" s="101" t="e">
        <f>+E1475*F1475/100</f>
        <v>#REF!</v>
      </c>
      <c r="H1475" s="425"/>
      <c r="I1475" s="425"/>
    </row>
    <row r="1476" spans="3:9" ht="18" x14ac:dyDescent="0.25">
      <c r="C1476" s="83" t="s">
        <v>69</v>
      </c>
      <c r="D1476" s="88"/>
      <c r="E1476" s="103">
        <f>+'RES CUENTA'!J36</f>
        <v>1180425.75</v>
      </c>
      <c r="F1476" s="104" t="e">
        <f>+'RES CUENTA'!#REF!</f>
        <v>#REF!</v>
      </c>
      <c r="G1476" s="101" t="e">
        <f>+E1476*F1476/100</f>
        <v>#REF!</v>
      </c>
      <c r="H1476" s="430"/>
      <c r="I1476" s="430"/>
    </row>
    <row r="1477" spans="3:9" ht="18" x14ac:dyDescent="0.25">
      <c r="C1477" s="83" t="s">
        <v>181</v>
      </c>
      <c r="D1477" s="88"/>
      <c r="E1477" s="103" t="e">
        <f>+'RES CUENTA'!#REF!</f>
        <v>#REF!</v>
      </c>
      <c r="F1477" s="104">
        <v>0</v>
      </c>
      <c r="G1477" s="101" t="e">
        <f>+E1477</f>
        <v>#REF!</v>
      </c>
      <c r="H1477" s="430"/>
      <c r="I1477" s="430"/>
    </row>
    <row r="1478" spans="3:9" ht="18" x14ac:dyDescent="0.25">
      <c r="C1478" s="83" t="s">
        <v>265</v>
      </c>
      <c r="D1478" s="88"/>
      <c r="E1478" s="103">
        <v>0</v>
      </c>
      <c r="F1478" s="104">
        <v>0</v>
      </c>
      <c r="G1478" s="101" t="e">
        <f>+'RES CUENTA'!#REF!</f>
        <v>#REF!</v>
      </c>
      <c r="H1478" s="430"/>
      <c r="I1478" s="430"/>
    </row>
    <row r="1479" spans="3:9" ht="18" x14ac:dyDescent="0.25">
      <c r="C1479" s="83" t="s">
        <v>213</v>
      </c>
      <c r="D1479" s="88"/>
      <c r="E1479" s="103" t="e">
        <f>+'RES CUENTA'!#REF!+'RES CUENTA'!#REF!</f>
        <v>#REF!</v>
      </c>
      <c r="F1479" s="104">
        <v>0</v>
      </c>
      <c r="G1479" s="134" t="e">
        <f>+E1479</f>
        <v>#REF!</v>
      </c>
      <c r="H1479" s="430"/>
      <c r="I1479" s="430"/>
    </row>
    <row r="1480" spans="3:9" ht="18" x14ac:dyDescent="0.25">
      <c r="C1480" s="84"/>
      <c r="D1480" s="88"/>
      <c r="E1480" s="83"/>
      <c r="F1480" s="89"/>
      <c r="G1480" s="101" t="e">
        <f>SUM(G1475:G1479)</f>
        <v>#REF!</v>
      </c>
      <c r="H1480" s="87"/>
      <c r="I1480" s="87"/>
    </row>
    <row r="1481" spans="3:9" ht="18" x14ac:dyDescent="0.25">
      <c r="C1481" s="84"/>
      <c r="D1481" s="88"/>
      <c r="E1481" s="83"/>
      <c r="F1481" s="83"/>
      <c r="H1481" s="432"/>
      <c r="I1481" s="432"/>
    </row>
    <row r="1482" spans="3:9" ht="18" x14ac:dyDescent="0.25">
      <c r="C1482" s="83"/>
      <c r="D1482" s="88"/>
      <c r="E1482" s="83"/>
      <c r="F1482" s="83"/>
      <c r="G1482" s="85"/>
      <c r="H1482" s="88"/>
      <c r="I1482" s="88"/>
    </row>
    <row r="1483" spans="3:9" ht="18" x14ac:dyDescent="0.25">
      <c r="C1483" s="83"/>
      <c r="D1483" s="88"/>
      <c r="E1483" s="83"/>
      <c r="F1483" s="83"/>
      <c r="G1483" s="89"/>
      <c r="H1483" s="83"/>
      <c r="I1483" s="83"/>
    </row>
    <row r="1484" spans="3:9" ht="22.5" customHeight="1" x14ac:dyDescent="0.25">
      <c r="C1484" s="83"/>
      <c r="D1484" s="88"/>
      <c r="E1484" s="83"/>
      <c r="F1484" s="83"/>
      <c r="G1484" s="89"/>
      <c r="H1484" s="83"/>
      <c r="I1484" s="83"/>
    </row>
    <row r="1485" spans="3:9" ht="18" x14ac:dyDescent="0.25">
      <c r="C1485" s="83" t="e">
        <f>+C1471</f>
        <v>#REF!</v>
      </c>
      <c r="D1485" s="427"/>
      <c r="E1485" s="427"/>
      <c r="F1485" s="83" t="e">
        <f>+C1485</f>
        <v>#REF!</v>
      </c>
      <c r="G1485" s="89"/>
      <c r="H1485" s="83"/>
      <c r="I1485" s="83"/>
    </row>
    <row r="1486" spans="3:9" ht="18" x14ac:dyDescent="0.25">
      <c r="D1486" s="88"/>
      <c r="E1486" s="83"/>
      <c r="G1486" s="427"/>
      <c r="H1486" s="427"/>
      <c r="I1486" s="427"/>
    </row>
    <row r="1487" spans="3:9" ht="18" x14ac:dyDescent="0.25">
      <c r="C1487" s="83" t="str">
        <f>+$F$1</f>
        <v>MONTES DE OCA 1068/1070 C.A.B.A.</v>
      </c>
      <c r="D1487" s="88"/>
      <c r="E1487" s="88" t="str">
        <f>+I1471</f>
        <v>Unid. 39</v>
      </c>
      <c r="F1487" s="83" t="str">
        <f>+$F$1</f>
        <v>MONTES DE OCA 1068/1070 C.A.B.A.</v>
      </c>
      <c r="G1487" s="83"/>
      <c r="H1487" s="83"/>
      <c r="I1487" s="90" t="str">
        <f>+E1487</f>
        <v>Unid. 39</v>
      </c>
    </row>
    <row r="1488" spans="3:9" ht="18" x14ac:dyDescent="0.25">
      <c r="E1488" s="88" t="e">
        <f>+I1472</f>
        <v>#REF!</v>
      </c>
      <c r="I1488" s="90" t="e">
        <f>+I1472</f>
        <v>#REF!</v>
      </c>
    </row>
    <row r="1489" spans="3:9" ht="12.75" customHeight="1" x14ac:dyDescent="0.25">
      <c r="C1489" s="84"/>
      <c r="D1489" s="91"/>
      <c r="E1489" s="84"/>
      <c r="F1489" s="84"/>
      <c r="G1489" s="83"/>
      <c r="H1489" s="83"/>
    </row>
    <row r="1490" spans="3:9" ht="18" x14ac:dyDescent="0.25">
      <c r="C1490" s="83" t="str">
        <f>+$F$2</f>
        <v>P/Depósito o transferencia en Banco Santander Rio</v>
      </c>
      <c r="D1490" s="88"/>
      <c r="E1490" s="83"/>
      <c r="F1490" s="83"/>
      <c r="G1490" s="83"/>
      <c r="H1490" s="84"/>
      <c r="I1490" s="99"/>
    </row>
    <row r="1491" spans="3:9" ht="18" x14ac:dyDescent="0.25">
      <c r="C1491" s="83" t="str">
        <f>+$F$3</f>
        <v xml:space="preserve">Cta. Cte. $ N° 558-000162/1 </v>
      </c>
      <c r="D1491" s="88"/>
      <c r="E1491" s="83"/>
      <c r="F1491" s="93"/>
      <c r="G1491" s="83"/>
      <c r="H1491" s="91"/>
      <c r="I1491" s="83"/>
    </row>
    <row r="1492" spans="3:9" ht="18" x14ac:dyDescent="0.25">
      <c r="D1492" s="88"/>
      <c r="E1492" s="83"/>
      <c r="F1492" s="83" t="s">
        <v>70</v>
      </c>
      <c r="G1492" s="102" t="e">
        <f>+G1475</f>
        <v>#REF!</v>
      </c>
      <c r="I1492" s="97">
        <f>+C1497</f>
        <v>46183</v>
      </c>
    </row>
    <row r="1493" spans="3:9" ht="18" x14ac:dyDescent="0.25">
      <c r="C1493" s="84"/>
      <c r="D1493" s="88"/>
      <c r="E1493" s="83"/>
      <c r="F1493" s="83" t="s">
        <v>71</v>
      </c>
      <c r="G1493" s="102" t="e">
        <f>+G1476</f>
        <v>#REF!</v>
      </c>
    </row>
    <row r="1494" spans="3:9" ht="18" x14ac:dyDescent="0.25">
      <c r="C1494" s="84"/>
      <c r="D1494" s="88"/>
      <c r="E1494" s="83"/>
      <c r="F1494" s="83" t="s">
        <v>72</v>
      </c>
      <c r="G1494" s="102" t="e">
        <f>+G1479</f>
        <v>#REF!</v>
      </c>
      <c r="H1494" s="83"/>
      <c r="I1494" s="83"/>
    </row>
    <row r="1495" spans="3:9" ht="18" x14ac:dyDescent="0.25">
      <c r="C1495" s="83"/>
      <c r="D1495" s="88"/>
      <c r="E1495" s="83"/>
      <c r="F1495" s="83" t="s">
        <v>73</v>
      </c>
      <c r="G1495" s="102">
        <v>0</v>
      </c>
      <c r="H1495" s="83"/>
      <c r="I1495" s="83"/>
    </row>
    <row r="1496" spans="3:9" ht="18" x14ac:dyDescent="0.25">
      <c r="C1496" s="93"/>
      <c r="D1496" s="93"/>
      <c r="E1496" s="93"/>
      <c r="F1496" s="83" t="s">
        <v>312</v>
      </c>
      <c r="G1496" s="135" t="e">
        <f>+G1478+G1477</f>
        <v>#REF!</v>
      </c>
      <c r="H1496" s="83"/>
      <c r="I1496" s="83"/>
    </row>
    <row r="1497" spans="3:9" ht="18" x14ac:dyDescent="0.25">
      <c r="C1497" s="97">
        <f>+$H$43</f>
        <v>46183</v>
      </c>
      <c r="D1497" s="157" t="e">
        <f>+G1480</f>
        <v>#REF!</v>
      </c>
      <c r="E1497" s="83"/>
      <c r="F1497" s="83" t="s">
        <v>74</v>
      </c>
      <c r="G1497" s="102" t="e">
        <f>+G1480</f>
        <v>#REF!</v>
      </c>
      <c r="H1497" s="83"/>
      <c r="I1497" s="83"/>
    </row>
    <row r="1498" spans="3:9" ht="18" x14ac:dyDescent="0.25">
      <c r="C1498" s="83"/>
      <c r="D1498" s="88"/>
      <c r="E1498" s="83"/>
      <c r="F1498" s="83"/>
      <c r="G1498" s="83"/>
      <c r="H1498" s="83"/>
      <c r="I1498" s="83"/>
    </row>
    <row r="1499" spans="3:9" ht="18" x14ac:dyDescent="0.25">
      <c r="C1499" s="83"/>
      <c r="D1499" s="88"/>
      <c r="E1499" s="83"/>
      <c r="F1499" s="83"/>
      <c r="G1499" s="83"/>
      <c r="H1499" s="425"/>
      <c r="I1499" s="425"/>
    </row>
    <row r="1500" spans="3:9" ht="18" x14ac:dyDescent="0.25">
      <c r="C1500" s="83"/>
      <c r="D1500" s="88"/>
      <c r="E1500" s="83"/>
      <c r="F1500" s="83"/>
      <c r="G1500" s="83"/>
      <c r="H1500" s="83"/>
      <c r="I1500" s="83"/>
    </row>
    <row r="1501" spans="3:9" ht="18" x14ac:dyDescent="0.25">
      <c r="C1501" s="83"/>
      <c r="D1501" s="88"/>
      <c r="E1501" s="83"/>
      <c r="F1501" s="83"/>
      <c r="G1501" s="83"/>
      <c r="H1501" s="83"/>
      <c r="I1501" s="83"/>
    </row>
    <row r="1502" spans="3:9" ht="18" x14ac:dyDescent="0.25">
      <c r="C1502" s="83"/>
      <c r="D1502" s="88"/>
      <c r="E1502" s="83"/>
      <c r="F1502" s="83"/>
      <c r="G1502" s="83"/>
      <c r="H1502" s="83"/>
      <c r="I1502" s="83"/>
    </row>
    <row r="1503" spans="3:9" ht="18" x14ac:dyDescent="0.25">
      <c r="C1503" s="83"/>
      <c r="D1503" s="88"/>
      <c r="E1503" s="83"/>
      <c r="F1503" s="83"/>
      <c r="G1503" s="83"/>
      <c r="I1503" s="83"/>
    </row>
    <row r="1504" spans="3:9" ht="18" x14ac:dyDescent="0.25">
      <c r="C1504" s="83"/>
      <c r="D1504" s="88"/>
      <c r="E1504" s="83"/>
      <c r="F1504" s="83"/>
      <c r="G1504" s="83"/>
      <c r="I1504" s="83"/>
    </row>
    <row r="1505" spans="3:9" ht="18" x14ac:dyDescent="0.25">
      <c r="C1505" s="424"/>
      <c r="D1505" s="424"/>
      <c r="E1505" s="424"/>
      <c r="F1505" s="83"/>
      <c r="G1505" s="83"/>
      <c r="I1505" s="83"/>
    </row>
    <row r="1506" spans="3:9" ht="18" x14ac:dyDescent="0.25">
      <c r="C1506" s="424"/>
      <c r="D1506" s="424"/>
      <c r="E1506" s="424"/>
      <c r="F1506" s="96">
        <f>+$C$1</f>
        <v>46143</v>
      </c>
      <c r="G1506" s="83"/>
      <c r="H1506" s="97">
        <f>+$E$1</f>
        <v>46183</v>
      </c>
      <c r="I1506" s="95"/>
    </row>
    <row r="1507" spans="3:9" ht="18" x14ac:dyDescent="0.25">
      <c r="C1507" s="82"/>
      <c r="D1507" s="82"/>
      <c r="E1507" s="98"/>
      <c r="F1507" s="96"/>
      <c r="G1507" s="83"/>
    </row>
    <row r="1508" spans="3:9" ht="18" x14ac:dyDescent="0.25">
      <c r="C1508" s="83" t="e">
        <f>+#REF!</f>
        <v>#REF!</v>
      </c>
      <c r="D1508" s="88"/>
      <c r="E1508" s="83"/>
      <c r="G1508" s="83"/>
    </row>
    <row r="1509" spans="3:9" ht="18" x14ac:dyDescent="0.25">
      <c r="D1509" s="88"/>
      <c r="E1509" s="83"/>
      <c r="F1509" s="83" t="str">
        <f>+$F$1</f>
        <v>MONTES DE OCA 1068/1070 C.A.B.A.</v>
      </c>
      <c r="G1509" s="83"/>
      <c r="I1509" s="90" t="s">
        <v>114</v>
      </c>
    </row>
    <row r="1510" spans="3:9" ht="18" x14ac:dyDescent="0.25">
      <c r="C1510" s="84"/>
      <c r="D1510" s="88"/>
      <c r="E1510" s="83"/>
      <c r="G1510" s="83"/>
      <c r="H1510" s="84"/>
    </row>
    <row r="1511" spans="3:9" ht="18" x14ac:dyDescent="0.25">
      <c r="C1511" s="83"/>
      <c r="D1511" s="88"/>
      <c r="E1511" s="83"/>
      <c r="F1511" s="84"/>
      <c r="G1511" s="83"/>
      <c r="H1511" s="83"/>
      <c r="I1511" s="84"/>
    </row>
    <row r="1512" spans="3:9" ht="18" x14ac:dyDescent="0.25">
      <c r="C1512" s="91"/>
      <c r="D1512" s="88"/>
      <c r="E1512" s="91"/>
      <c r="F1512" s="83"/>
      <c r="G1512" s="83"/>
      <c r="H1512" s="83"/>
      <c r="I1512" s="83"/>
    </row>
    <row r="1513" spans="3:9" ht="18" x14ac:dyDescent="0.25">
      <c r="C1513" s="83" t="s">
        <v>68</v>
      </c>
      <c r="D1513" s="88"/>
      <c r="E1513" s="103" t="e">
        <f>+'RES CUENTA'!#REF!</f>
        <v>#REF!</v>
      </c>
      <c r="F1513" s="104" t="e">
        <f>+'RES CUENTA'!#REF!</f>
        <v>#REF!</v>
      </c>
      <c r="G1513" s="101" t="e">
        <f>+E1513*F1513/100</f>
        <v>#REF!</v>
      </c>
      <c r="H1513" s="83"/>
      <c r="I1513" s="91"/>
    </row>
    <row r="1514" spans="3:9" ht="18" x14ac:dyDescent="0.25">
      <c r="C1514" s="83" t="s">
        <v>69</v>
      </c>
      <c r="D1514" s="88"/>
      <c r="E1514" s="103" t="e">
        <f>+'RES CUENTA'!#REF!</f>
        <v>#REF!</v>
      </c>
      <c r="F1514" s="104" t="e">
        <f>+'RES CUENTA'!#REF!</f>
        <v>#REF!</v>
      </c>
      <c r="G1514" s="101" t="e">
        <f>+E1514*F1514/100</f>
        <v>#REF!</v>
      </c>
      <c r="H1514" s="91"/>
      <c r="I1514" s="87"/>
    </row>
    <row r="1515" spans="3:9" ht="18" x14ac:dyDescent="0.25">
      <c r="C1515" s="83" t="s">
        <v>181</v>
      </c>
      <c r="D1515" s="88"/>
      <c r="E1515" s="103" t="e">
        <f>+'RES CUENTA'!#REF!</f>
        <v>#REF!</v>
      </c>
      <c r="F1515" s="104">
        <f>+'RES CUENTA'!M552</f>
        <v>0</v>
      </c>
      <c r="G1515" s="101" t="e">
        <f>+E1515</f>
        <v>#REF!</v>
      </c>
      <c r="H1515" s="87"/>
      <c r="I1515" s="87"/>
    </row>
    <row r="1516" spans="3:9" ht="18" x14ac:dyDescent="0.25">
      <c r="C1516" s="83" t="s">
        <v>213</v>
      </c>
      <c r="D1516" s="88"/>
      <c r="E1516" s="103" t="e">
        <f>+'RES CUENTA'!#REF!</f>
        <v>#REF!</v>
      </c>
      <c r="F1516" s="104">
        <f>+'RES CUENTA'!N551</f>
        <v>0</v>
      </c>
      <c r="G1516" s="134" t="e">
        <f>+E1516</f>
        <v>#REF!</v>
      </c>
      <c r="H1516" s="87"/>
      <c r="I1516" s="87"/>
    </row>
    <row r="1517" spans="3:9" ht="18" x14ac:dyDescent="0.25">
      <c r="C1517" s="84"/>
      <c r="D1517" s="88"/>
      <c r="E1517" s="83"/>
      <c r="G1517" s="101" t="e">
        <f>SUM(G1513:G1516)</f>
        <v>#REF!</v>
      </c>
      <c r="H1517" s="87"/>
      <c r="I1517" s="87"/>
    </row>
    <row r="1518" spans="3:9" ht="18" x14ac:dyDescent="0.25">
      <c r="C1518" s="84"/>
      <c r="D1518" s="88"/>
      <c r="E1518" s="83"/>
      <c r="G1518" s="85"/>
      <c r="H1518" s="87"/>
      <c r="I1518" s="88"/>
    </row>
    <row r="1519" spans="3:9" ht="18" x14ac:dyDescent="0.25">
      <c r="C1519" s="84"/>
      <c r="D1519" s="88"/>
      <c r="E1519" s="83"/>
      <c r="G1519" s="85"/>
      <c r="H1519" s="87"/>
      <c r="I1519" s="88"/>
    </row>
    <row r="1520" spans="3:9" ht="18" x14ac:dyDescent="0.25">
      <c r="C1520" s="83"/>
      <c r="D1520" s="88"/>
      <c r="E1520" s="83"/>
      <c r="F1520" s="83"/>
      <c r="G1520" s="89"/>
      <c r="H1520" s="88"/>
      <c r="I1520" s="88"/>
    </row>
    <row r="1521" spans="3:9" ht="18" x14ac:dyDescent="0.25">
      <c r="C1521" s="83"/>
      <c r="D1521" s="88"/>
      <c r="E1521" s="83"/>
      <c r="F1521" s="83"/>
      <c r="G1521" s="89"/>
      <c r="H1521" s="88"/>
      <c r="I1521" s="88"/>
    </row>
    <row r="1522" spans="3:9" ht="21.75" customHeight="1" x14ac:dyDescent="0.25">
      <c r="C1522" s="83"/>
      <c r="D1522" s="88"/>
      <c r="E1522" s="83"/>
      <c r="F1522" s="83"/>
      <c r="G1522" s="89"/>
      <c r="H1522" s="88"/>
      <c r="I1522" s="83"/>
    </row>
    <row r="1523" spans="3:9" ht="18" x14ac:dyDescent="0.25">
      <c r="C1523" s="83" t="e">
        <f>+C1508</f>
        <v>#REF!</v>
      </c>
      <c r="D1523" s="88"/>
      <c r="E1523" s="83"/>
      <c r="F1523" s="83" t="e">
        <f>+C1508</f>
        <v>#REF!</v>
      </c>
      <c r="G1523" s="83"/>
      <c r="H1523" s="83"/>
      <c r="I1523" s="99"/>
    </row>
    <row r="1524" spans="3:9" ht="18" x14ac:dyDescent="0.25">
      <c r="C1524" s="84"/>
      <c r="D1524" s="88"/>
      <c r="E1524" s="83"/>
      <c r="G1524" s="83"/>
      <c r="H1524" s="99"/>
      <c r="I1524" s="90" t="str">
        <f>+I1509</f>
        <v>Unid. 40</v>
      </c>
    </row>
    <row r="1525" spans="3:9" ht="18" x14ac:dyDescent="0.25">
      <c r="C1525" s="83" t="str">
        <f>+$F$1</f>
        <v>MONTES DE OCA 1068/1070 C.A.B.A.</v>
      </c>
      <c r="D1525" s="88"/>
      <c r="E1525" s="90" t="str">
        <f>+I1524</f>
        <v>Unid. 40</v>
      </c>
      <c r="F1525" s="83" t="str">
        <f>+$F$1</f>
        <v>MONTES DE OCA 1068/1070 C.A.B.A.</v>
      </c>
      <c r="G1525" s="83"/>
      <c r="H1525" s="83"/>
      <c r="I1525" s="84"/>
    </row>
    <row r="1526" spans="3:9" ht="18" x14ac:dyDescent="0.25">
      <c r="C1526" s="84"/>
      <c r="D1526" s="91"/>
      <c r="E1526" s="84"/>
      <c r="G1526" s="83"/>
      <c r="H1526" s="83"/>
    </row>
    <row r="1527" spans="3:9" ht="12" customHeight="1" x14ac:dyDescent="0.25">
      <c r="C1527" s="83"/>
      <c r="D1527" s="88"/>
      <c r="E1527" s="83"/>
      <c r="F1527" s="84"/>
      <c r="G1527" s="83"/>
      <c r="H1527" s="83"/>
      <c r="I1527" s="99"/>
    </row>
    <row r="1528" spans="3:9" ht="18" x14ac:dyDescent="0.25">
      <c r="C1528" s="83" t="str">
        <f>+$F$2</f>
        <v>P/Depósito o transferencia en Banco Santander Rio</v>
      </c>
      <c r="D1528" s="88"/>
      <c r="E1528" s="83"/>
      <c r="F1528" s="83"/>
      <c r="G1528" s="128"/>
      <c r="H1528" s="84"/>
      <c r="I1528" s="83"/>
    </row>
    <row r="1529" spans="3:9" ht="18" x14ac:dyDescent="0.25">
      <c r="C1529" s="83" t="str">
        <f>+$F$3</f>
        <v xml:space="preserve">Cta. Cte. $ N° 558-000162/1 </v>
      </c>
      <c r="D1529" s="88"/>
      <c r="E1529" s="83"/>
      <c r="F1529" s="93"/>
      <c r="H1529" s="91"/>
      <c r="I1529" s="92"/>
    </row>
    <row r="1530" spans="3:9" ht="18" x14ac:dyDescent="0.25">
      <c r="C1530" s="84"/>
      <c r="D1530" s="88"/>
      <c r="E1530" s="83"/>
      <c r="F1530" s="83" t="s">
        <v>70</v>
      </c>
      <c r="G1530" s="102" t="e">
        <f>+G1513</f>
        <v>#REF!</v>
      </c>
      <c r="H1530" s="92"/>
      <c r="I1530" s="97">
        <f>+C1534</f>
        <v>46183</v>
      </c>
    </row>
    <row r="1531" spans="3:9" ht="18" x14ac:dyDescent="0.25">
      <c r="C1531" s="84"/>
      <c r="D1531" s="88"/>
      <c r="E1531" s="83"/>
      <c r="F1531" s="83" t="s">
        <v>71</v>
      </c>
      <c r="G1531" s="102" t="e">
        <f>+G1514</f>
        <v>#REF!</v>
      </c>
      <c r="I1531" s="83"/>
    </row>
    <row r="1532" spans="3:9" ht="18" x14ac:dyDescent="0.25">
      <c r="C1532" s="83"/>
      <c r="D1532" s="88"/>
      <c r="E1532" s="83"/>
      <c r="F1532" s="83" t="s">
        <v>72</v>
      </c>
      <c r="G1532" s="102" t="e">
        <f>+G1515</f>
        <v>#REF!</v>
      </c>
      <c r="H1532" s="83"/>
      <c r="I1532" s="83"/>
    </row>
    <row r="1533" spans="3:9" ht="18" x14ac:dyDescent="0.25">
      <c r="C1533" s="93"/>
      <c r="D1533" s="93"/>
      <c r="E1533" s="93"/>
      <c r="F1533" s="83" t="s">
        <v>73</v>
      </c>
      <c r="G1533" s="102" t="e">
        <f>+G1516</f>
        <v>#REF!</v>
      </c>
      <c r="H1533" s="83"/>
      <c r="I1533" s="83"/>
    </row>
    <row r="1534" spans="3:9" ht="18" x14ac:dyDescent="0.25">
      <c r="C1534" s="97">
        <f>+$H$43</f>
        <v>46183</v>
      </c>
      <c r="D1534" s="157" t="e">
        <f>+G1517</f>
        <v>#REF!</v>
      </c>
      <c r="E1534" s="83"/>
      <c r="F1534" s="83" t="s">
        <v>181</v>
      </c>
      <c r="G1534" s="135">
        <v>0</v>
      </c>
      <c r="H1534" s="83"/>
      <c r="I1534" s="83"/>
    </row>
    <row r="1535" spans="3:9" ht="18" x14ac:dyDescent="0.25">
      <c r="C1535" s="83"/>
      <c r="D1535" s="88"/>
      <c r="E1535" s="83"/>
      <c r="F1535" s="83" t="s">
        <v>74</v>
      </c>
      <c r="G1535" s="102" t="e">
        <f>+G1517</f>
        <v>#REF!</v>
      </c>
      <c r="H1535" s="83"/>
      <c r="I1535" s="83"/>
    </row>
    <row r="1536" spans="3:9" ht="18" x14ac:dyDescent="0.25">
      <c r="C1536" s="83"/>
      <c r="D1536" s="88"/>
      <c r="E1536" s="83"/>
      <c r="F1536" s="83"/>
      <c r="G1536" s="83"/>
      <c r="H1536" s="83"/>
      <c r="I1536" s="83"/>
    </row>
    <row r="1537" spans="3:9" ht="18" x14ac:dyDescent="0.25">
      <c r="C1537" s="83"/>
      <c r="D1537" s="88"/>
      <c r="E1537" s="83"/>
      <c r="F1537" s="100"/>
      <c r="G1537" s="83"/>
      <c r="H1537" s="83"/>
      <c r="I1537" s="83"/>
    </row>
    <row r="1538" spans="3:9" ht="18" x14ac:dyDescent="0.25">
      <c r="C1538" s="83"/>
      <c r="D1538" s="88"/>
      <c r="E1538" s="83"/>
      <c r="F1538" s="83"/>
      <c r="G1538" s="83"/>
      <c r="H1538" s="83"/>
      <c r="I1538" s="91"/>
    </row>
    <row r="1539" spans="3:9" ht="8.25" customHeight="1" x14ac:dyDescent="0.25">
      <c r="F1539" s="83"/>
      <c r="H1539" s="91"/>
      <c r="I1539" s="83"/>
    </row>
    <row r="1541" spans="3:9" ht="18" x14ac:dyDescent="0.25">
      <c r="C1541" s="424"/>
      <c r="D1541" s="424"/>
      <c r="E1541" s="424"/>
      <c r="F1541" s="433">
        <f>+$C$1</f>
        <v>46143</v>
      </c>
      <c r="G1541" s="83"/>
      <c r="H1541" s="429">
        <f>+$E$1</f>
        <v>46183</v>
      </c>
      <c r="I1541" s="83"/>
    </row>
    <row r="1542" spans="3:9" ht="18" x14ac:dyDescent="0.25">
      <c r="C1542" s="82"/>
      <c r="D1542" s="82"/>
      <c r="E1542" s="98"/>
      <c r="F1542" s="433"/>
      <c r="G1542" s="83"/>
      <c r="H1542" s="429"/>
      <c r="I1542" s="83"/>
    </row>
    <row r="1543" spans="3:9" ht="18" x14ac:dyDescent="0.25">
      <c r="C1543" s="83"/>
      <c r="D1543" s="88"/>
      <c r="E1543" s="83"/>
      <c r="F1543" s="84"/>
      <c r="G1543" s="83"/>
      <c r="H1543" s="84"/>
      <c r="I1543" s="83"/>
    </row>
    <row r="1544" spans="3:9" ht="18" x14ac:dyDescent="0.25">
      <c r="C1544" s="83" t="e">
        <f>+#REF!</f>
        <v>#REF!</v>
      </c>
      <c r="D1544" s="88"/>
      <c r="E1544" s="83"/>
      <c r="F1544" s="84"/>
      <c r="G1544" s="83"/>
      <c r="H1544" s="84"/>
      <c r="I1544" s="83"/>
    </row>
    <row r="1545" spans="3:9" ht="18" x14ac:dyDescent="0.25">
      <c r="C1545" s="84"/>
      <c r="D1545" s="88"/>
      <c r="E1545" s="83"/>
      <c r="F1545" s="83" t="s">
        <v>293</v>
      </c>
      <c r="G1545" s="83"/>
      <c r="H1545" s="83"/>
      <c r="I1545" s="90" t="s">
        <v>115</v>
      </c>
    </row>
    <row r="1546" spans="3:9" ht="18" x14ac:dyDescent="0.25">
      <c r="C1546" s="83"/>
      <c r="D1546" s="88"/>
      <c r="E1546" s="83"/>
      <c r="F1546" s="84"/>
      <c r="G1546" s="83"/>
      <c r="H1546" s="83"/>
      <c r="I1546" s="84"/>
    </row>
    <row r="1547" spans="3:9" ht="18" x14ac:dyDescent="0.25">
      <c r="C1547" s="91"/>
      <c r="D1547" s="88"/>
      <c r="E1547" s="91"/>
      <c r="F1547" s="83"/>
      <c r="G1547" s="83"/>
      <c r="H1547" s="83"/>
      <c r="I1547" s="83"/>
    </row>
    <row r="1548" spans="3:9" ht="18" x14ac:dyDescent="0.25">
      <c r="C1548" s="91"/>
      <c r="D1548" s="88"/>
      <c r="E1548" s="91"/>
      <c r="F1548" s="83"/>
      <c r="G1548" s="83"/>
      <c r="H1548" s="83"/>
      <c r="I1548" s="83"/>
    </row>
    <row r="1549" spans="3:9" ht="18" x14ac:dyDescent="0.25">
      <c r="C1549" s="83" t="s">
        <v>68</v>
      </c>
      <c r="D1549" s="88"/>
      <c r="E1549" s="103" t="e">
        <f>+'RES CUENTA'!#REF!</f>
        <v>#REF!</v>
      </c>
      <c r="F1549" s="104" t="e">
        <f>+'RES CUENTA'!#REF!</f>
        <v>#REF!</v>
      </c>
      <c r="G1549" s="101" t="e">
        <f>+E1549*F1549/100</f>
        <v>#REF!</v>
      </c>
      <c r="H1549" s="425"/>
      <c r="I1549" s="425"/>
    </row>
    <row r="1550" spans="3:9" ht="18" x14ac:dyDescent="0.25">
      <c r="C1550" s="83" t="s">
        <v>69</v>
      </c>
      <c r="D1550" s="88"/>
      <c r="E1550" s="103" t="e">
        <f>+'RES CUENTA'!#REF!</f>
        <v>#REF!</v>
      </c>
      <c r="F1550" s="104" t="e">
        <f>+'RES CUENTA'!#REF!</f>
        <v>#REF!</v>
      </c>
      <c r="G1550" s="101" t="e">
        <f>+E1550*F1550/100</f>
        <v>#REF!</v>
      </c>
      <c r="H1550" s="430"/>
      <c r="I1550" s="430"/>
    </row>
    <row r="1551" spans="3:9" ht="18" x14ac:dyDescent="0.25">
      <c r="C1551" s="83" t="s">
        <v>181</v>
      </c>
      <c r="D1551" s="88"/>
      <c r="E1551" s="103" t="e">
        <f>+'RES CUENTA'!#REF!</f>
        <v>#REF!</v>
      </c>
      <c r="F1551" s="104">
        <v>0</v>
      </c>
      <c r="G1551" s="101" t="e">
        <f>+E1551</f>
        <v>#REF!</v>
      </c>
      <c r="H1551" s="430"/>
      <c r="I1551" s="430"/>
    </row>
    <row r="1552" spans="3:9" ht="18" x14ac:dyDescent="0.25">
      <c r="C1552" s="83" t="s">
        <v>213</v>
      </c>
      <c r="D1552" s="88"/>
      <c r="E1552" s="103" t="e">
        <f>+'RES CUENTA'!#REF!</f>
        <v>#REF!</v>
      </c>
      <c r="F1552" s="104">
        <v>0</v>
      </c>
      <c r="G1552" s="134" t="e">
        <f>+E1552</f>
        <v>#REF!</v>
      </c>
      <c r="H1552" s="430"/>
      <c r="I1552" s="430"/>
    </row>
    <row r="1553" spans="3:9" ht="18" x14ac:dyDescent="0.25">
      <c r="C1553" s="84"/>
      <c r="D1553" s="88"/>
      <c r="E1553" s="83"/>
      <c r="F1553" s="89"/>
      <c r="G1553" s="101" t="e">
        <f>SUM(G1549:G1552)</f>
        <v>#REF!</v>
      </c>
      <c r="H1553" s="430"/>
      <c r="I1553" s="430"/>
    </row>
    <row r="1554" spans="3:9" ht="18" x14ac:dyDescent="0.25">
      <c r="C1554" s="84"/>
      <c r="D1554" s="88"/>
      <c r="E1554" s="83"/>
      <c r="F1554" s="89"/>
      <c r="G1554" s="101"/>
      <c r="H1554" s="87"/>
      <c r="I1554" s="87"/>
    </row>
    <row r="1555" spans="3:9" ht="18" x14ac:dyDescent="0.25">
      <c r="C1555" s="84"/>
      <c r="D1555" s="88"/>
      <c r="E1555" s="83"/>
      <c r="F1555" s="83"/>
      <c r="H1555" s="432"/>
      <c r="I1555" s="432"/>
    </row>
    <row r="1556" spans="3:9" ht="18" x14ac:dyDescent="0.25">
      <c r="C1556" s="83"/>
      <c r="D1556" s="88"/>
      <c r="E1556" s="83"/>
      <c r="F1556" s="83"/>
      <c r="G1556" s="85"/>
      <c r="H1556" s="88"/>
      <c r="I1556" s="88"/>
    </row>
    <row r="1557" spans="3:9" ht="18" x14ac:dyDescent="0.25">
      <c r="C1557" s="83"/>
      <c r="D1557" s="88"/>
      <c r="E1557" s="83"/>
      <c r="F1557" s="83"/>
      <c r="G1557" s="89"/>
      <c r="H1557" s="83"/>
      <c r="I1557" s="83"/>
    </row>
    <row r="1558" spans="3:9" ht="23.25" customHeight="1" x14ac:dyDescent="0.25">
      <c r="C1558" s="83"/>
      <c r="D1558" s="88"/>
      <c r="E1558" s="83"/>
      <c r="F1558" s="83"/>
      <c r="G1558" s="89"/>
      <c r="H1558" s="83"/>
      <c r="I1558" s="83"/>
    </row>
    <row r="1559" spans="3:9" ht="18" x14ac:dyDescent="0.25">
      <c r="C1559" s="83" t="e">
        <f>+C1544</f>
        <v>#REF!</v>
      </c>
      <c r="D1559" s="427"/>
      <c r="E1559" s="427"/>
      <c r="F1559" s="83" t="e">
        <f>+C1559</f>
        <v>#REF!</v>
      </c>
      <c r="G1559" s="89"/>
      <c r="H1559" s="83"/>
      <c r="I1559" s="83"/>
    </row>
    <row r="1560" spans="3:9" ht="18" x14ac:dyDescent="0.25">
      <c r="D1560" s="88"/>
      <c r="E1560" s="83"/>
      <c r="G1560" s="427"/>
      <c r="H1560" s="427"/>
      <c r="I1560" s="427"/>
    </row>
    <row r="1561" spans="3:9" ht="18" x14ac:dyDescent="0.25">
      <c r="C1561" s="83" t="str">
        <f>+$F$1</f>
        <v>MONTES DE OCA 1068/1070 C.A.B.A.</v>
      </c>
      <c r="D1561" s="88"/>
      <c r="E1561" s="90" t="str">
        <f>+I1545</f>
        <v>Unid. 41</v>
      </c>
      <c r="F1561" s="83" t="str">
        <f>+$F$1</f>
        <v>MONTES DE OCA 1068/1070 C.A.B.A.</v>
      </c>
      <c r="G1561" s="83"/>
      <c r="H1561" s="83"/>
      <c r="I1561" s="90" t="str">
        <f>+E1561</f>
        <v>Unid. 41</v>
      </c>
    </row>
    <row r="1562" spans="3:9" ht="18" x14ac:dyDescent="0.25">
      <c r="I1562" s="84"/>
    </row>
    <row r="1563" spans="3:9" ht="12.75" customHeight="1" x14ac:dyDescent="0.25">
      <c r="C1563" s="84"/>
      <c r="D1563" s="91"/>
      <c r="E1563" s="84"/>
      <c r="F1563" s="84"/>
      <c r="G1563" s="83"/>
      <c r="H1563" s="83"/>
    </row>
    <row r="1564" spans="3:9" ht="18" x14ac:dyDescent="0.25">
      <c r="C1564" s="83" t="str">
        <f>+$F$2</f>
        <v>P/Depósito o transferencia en Banco Santander Rio</v>
      </c>
      <c r="D1564" s="88"/>
      <c r="E1564" s="83"/>
      <c r="F1564" s="83"/>
      <c r="G1564" s="83"/>
      <c r="H1564" s="84"/>
      <c r="I1564" s="99"/>
    </row>
    <row r="1565" spans="3:9" ht="18" x14ac:dyDescent="0.25">
      <c r="C1565" s="83" t="str">
        <f>+$F$3</f>
        <v xml:space="preserve">Cta. Cte. $ N° 558-000162/1 </v>
      </c>
      <c r="D1565" s="88"/>
      <c r="E1565" s="83"/>
      <c r="F1565" s="93"/>
      <c r="G1565" s="83"/>
      <c r="H1565" s="91"/>
      <c r="I1565" s="83"/>
    </row>
    <row r="1566" spans="3:9" ht="18" x14ac:dyDescent="0.25">
      <c r="D1566" s="88"/>
      <c r="E1566" s="83"/>
      <c r="F1566" s="83" t="s">
        <v>70</v>
      </c>
      <c r="G1566" s="102" t="e">
        <f>+G1549</f>
        <v>#REF!</v>
      </c>
      <c r="I1566" s="97">
        <f>+C1571</f>
        <v>46183</v>
      </c>
    </row>
    <row r="1567" spans="3:9" ht="18" x14ac:dyDescent="0.25">
      <c r="C1567" s="84"/>
      <c r="D1567" s="88"/>
      <c r="E1567" s="83"/>
      <c r="F1567" s="83" t="s">
        <v>71</v>
      </c>
      <c r="G1567" s="102" t="e">
        <f>+G1550</f>
        <v>#REF!</v>
      </c>
    </row>
    <row r="1568" spans="3:9" ht="18" x14ac:dyDescent="0.25">
      <c r="C1568" s="84"/>
      <c r="D1568" s="88"/>
      <c r="E1568" s="83"/>
      <c r="F1568" s="83" t="s">
        <v>72</v>
      </c>
      <c r="G1568" s="102" t="e">
        <f>+G1551</f>
        <v>#REF!</v>
      </c>
      <c r="H1568" s="83"/>
      <c r="I1568" s="83"/>
    </row>
    <row r="1569" spans="3:9" ht="18" x14ac:dyDescent="0.25">
      <c r="C1569" s="83"/>
      <c r="D1569" s="88"/>
      <c r="E1569" s="83"/>
      <c r="F1569" s="83" t="s">
        <v>73</v>
      </c>
      <c r="G1569" s="102" t="e">
        <f>+G1552</f>
        <v>#REF!</v>
      </c>
      <c r="H1569" s="83"/>
      <c r="I1569" s="83"/>
    </row>
    <row r="1570" spans="3:9" ht="18" x14ac:dyDescent="0.25">
      <c r="C1570" s="93"/>
      <c r="D1570" s="93"/>
      <c r="E1570" s="93"/>
      <c r="F1570" s="83" t="s">
        <v>181</v>
      </c>
      <c r="G1570" s="135">
        <v>0</v>
      </c>
      <c r="H1570" s="83"/>
      <c r="I1570" s="83"/>
    </row>
    <row r="1571" spans="3:9" ht="18" x14ac:dyDescent="0.25">
      <c r="C1571" s="97">
        <f>+$H$43</f>
        <v>46183</v>
      </c>
      <c r="D1571" s="157" t="e">
        <f>+G1553</f>
        <v>#REF!</v>
      </c>
      <c r="E1571" s="83"/>
      <c r="F1571" s="83" t="s">
        <v>74</v>
      </c>
      <c r="G1571" s="102" t="e">
        <f>+G1553</f>
        <v>#REF!</v>
      </c>
      <c r="H1571" s="83"/>
      <c r="I1571" s="83"/>
    </row>
    <row r="1572" spans="3:9" ht="18" x14ac:dyDescent="0.25">
      <c r="C1572" s="83"/>
      <c r="D1572" s="88"/>
      <c r="E1572" s="83"/>
      <c r="F1572" s="83"/>
      <c r="G1572" s="83"/>
      <c r="H1572" s="83"/>
      <c r="I1572" s="83"/>
    </row>
    <row r="1573" spans="3:9" ht="18" x14ac:dyDescent="0.25">
      <c r="C1573" s="83"/>
      <c r="D1573" s="88"/>
      <c r="E1573" s="83"/>
      <c r="F1573" s="83"/>
      <c r="G1573" s="83"/>
      <c r="H1573" s="425"/>
      <c r="I1573" s="425"/>
    </row>
    <row r="1574" spans="3:9" ht="18" x14ac:dyDescent="0.25">
      <c r="C1574" s="83"/>
      <c r="D1574" s="88"/>
      <c r="E1574" s="83"/>
      <c r="F1574" s="83"/>
      <c r="G1574" s="83"/>
      <c r="H1574" s="83"/>
      <c r="I1574" s="83"/>
    </row>
    <row r="1575" spans="3:9" ht="18" x14ac:dyDescent="0.25">
      <c r="C1575" s="83"/>
      <c r="D1575" s="88"/>
      <c r="E1575" s="83"/>
      <c r="F1575" s="83"/>
      <c r="G1575" s="83"/>
      <c r="H1575" s="83"/>
      <c r="I1575" s="83"/>
    </row>
    <row r="1576" spans="3:9" ht="18" x14ac:dyDescent="0.25">
      <c r="C1576" s="83"/>
      <c r="D1576" s="88"/>
      <c r="E1576" s="83"/>
      <c r="F1576" s="83"/>
      <c r="G1576" s="83"/>
      <c r="H1576" s="83"/>
      <c r="I1576" s="83"/>
    </row>
    <row r="1577" spans="3:9" ht="18" x14ac:dyDescent="0.25">
      <c r="C1577" s="83"/>
      <c r="D1577" s="88"/>
      <c r="E1577" s="83"/>
      <c r="F1577" s="83"/>
      <c r="G1577" s="83"/>
      <c r="I1577" s="83"/>
    </row>
    <row r="1578" spans="3:9" ht="18" x14ac:dyDescent="0.25">
      <c r="C1578" s="83"/>
      <c r="D1578" s="88"/>
      <c r="E1578" s="83"/>
      <c r="F1578" s="83"/>
      <c r="G1578" s="83"/>
      <c r="I1578" s="83"/>
    </row>
    <row r="1579" spans="3:9" ht="18" x14ac:dyDescent="0.25">
      <c r="C1579" s="424"/>
      <c r="D1579" s="424"/>
      <c r="E1579" s="424"/>
      <c r="F1579" s="83"/>
      <c r="G1579" s="83"/>
      <c r="I1579" s="83"/>
    </row>
    <row r="1580" spans="3:9" ht="18" x14ac:dyDescent="0.25">
      <c r="C1580" s="424"/>
      <c r="D1580" s="424"/>
      <c r="E1580" s="424"/>
      <c r="F1580" s="96">
        <f>+$C$1</f>
        <v>46143</v>
      </c>
      <c r="G1580" s="83"/>
      <c r="H1580" s="97">
        <f>+$E$1</f>
        <v>46183</v>
      </c>
      <c r="I1580" s="95"/>
    </row>
    <row r="1581" spans="3:9" ht="18" x14ac:dyDescent="0.25">
      <c r="C1581" s="82"/>
      <c r="D1581" s="82"/>
      <c r="E1581" s="98"/>
      <c r="F1581" s="96"/>
      <c r="G1581" s="83"/>
    </row>
    <row r="1582" spans="3:9" ht="18" x14ac:dyDescent="0.25">
      <c r="C1582" s="83" t="e">
        <f>+#REF!</f>
        <v>#REF!</v>
      </c>
      <c r="D1582" s="88"/>
      <c r="E1582" s="83"/>
      <c r="G1582" s="83"/>
    </row>
    <row r="1583" spans="3:9" ht="18" x14ac:dyDescent="0.25">
      <c r="D1583" s="88"/>
      <c r="E1583" s="83"/>
      <c r="F1583" s="83" t="str">
        <f>+$F$1</f>
        <v>MONTES DE OCA 1068/1070 C.A.B.A.</v>
      </c>
      <c r="G1583" s="83"/>
      <c r="I1583" s="90" t="s">
        <v>116</v>
      </c>
    </row>
    <row r="1584" spans="3:9" ht="18" x14ac:dyDescent="0.25">
      <c r="C1584" s="84"/>
      <c r="D1584" s="88"/>
      <c r="E1584" s="83"/>
      <c r="G1584" s="83"/>
      <c r="H1584" s="84"/>
    </row>
    <row r="1585" spans="3:9" ht="18" x14ac:dyDescent="0.25">
      <c r="C1585" s="83"/>
      <c r="D1585" s="88"/>
      <c r="E1585" s="83"/>
      <c r="F1585" s="84"/>
      <c r="G1585" s="83"/>
      <c r="H1585" s="83"/>
      <c r="I1585" s="84"/>
    </row>
    <row r="1586" spans="3:9" ht="18" x14ac:dyDescent="0.25">
      <c r="C1586" s="91"/>
      <c r="D1586" s="88"/>
      <c r="E1586" s="91"/>
      <c r="F1586" s="83"/>
      <c r="G1586" s="83"/>
      <c r="H1586" s="83"/>
      <c r="I1586" s="83"/>
    </row>
    <row r="1587" spans="3:9" ht="18" x14ac:dyDescent="0.25">
      <c r="C1587" s="83" t="s">
        <v>68</v>
      </c>
      <c r="D1587" s="88"/>
      <c r="E1587" s="103" t="e">
        <f>+'RES CUENTA'!#REF!</f>
        <v>#REF!</v>
      </c>
      <c r="F1587" s="104" t="e">
        <f>+'RES CUENTA'!#REF!</f>
        <v>#REF!</v>
      </c>
      <c r="G1587" s="101" t="e">
        <f>+E1587*F1587/100</f>
        <v>#REF!</v>
      </c>
      <c r="H1587" s="83"/>
      <c r="I1587" s="91"/>
    </row>
    <row r="1588" spans="3:9" ht="18" x14ac:dyDescent="0.25">
      <c r="C1588" s="83" t="s">
        <v>69</v>
      </c>
      <c r="D1588" s="88"/>
      <c r="E1588" s="103" t="e">
        <f>+'RES CUENTA'!#REF!</f>
        <v>#REF!</v>
      </c>
      <c r="F1588" s="104" t="e">
        <f>+'RES CUENTA'!#REF!</f>
        <v>#REF!</v>
      </c>
      <c r="G1588" s="101" t="e">
        <f>+E1588*F1588/100</f>
        <v>#REF!</v>
      </c>
      <c r="H1588" s="91"/>
      <c r="I1588" s="87"/>
    </row>
    <row r="1589" spans="3:9" ht="18" x14ac:dyDescent="0.25">
      <c r="C1589" s="83" t="s">
        <v>181</v>
      </c>
      <c r="D1589" s="88"/>
      <c r="E1589" s="103" t="e">
        <f>+'RES CUENTA'!#REF!</f>
        <v>#REF!</v>
      </c>
      <c r="F1589" s="104">
        <f>+'RES CUENTA'!M628</f>
        <v>0</v>
      </c>
      <c r="G1589" s="101" t="e">
        <f>+E1589</f>
        <v>#REF!</v>
      </c>
      <c r="H1589" s="87"/>
      <c r="I1589" s="87"/>
    </row>
    <row r="1590" spans="3:9" ht="18" x14ac:dyDescent="0.25">
      <c r="C1590" s="83" t="s">
        <v>213</v>
      </c>
      <c r="D1590" s="88"/>
      <c r="E1590" s="103" t="e">
        <f>+'RES CUENTA'!#REF!</f>
        <v>#REF!</v>
      </c>
      <c r="F1590" s="104">
        <f>+'RES CUENTA'!N627</f>
        <v>0</v>
      </c>
      <c r="G1590" s="134" t="e">
        <f>+E1590</f>
        <v>#REF!</v>
      </c>
      <c r="H1590" s="87"/>
      <c r="I1590" s="87"/>
    </row>
    <row r="1591" spans="3:9" ht="18" x14ac:dyDescent="0.25">
      <c r="C1591" s="84"/>
      <c r="D1591" s="88"/>
      <c r="E1591" s="83"/>
      <c r="G1591" s="101" t="e">
        <f>SUM(G1587:G1590)</f>
        <v>#REF!</v>
      </c>
      <c r="H1591" s="87"/>
      <c r="I1591" s="88"/>
    </row>
    <row r="1592" spans="3:9" ht="18" x14ac:dyDescent="0.25">
      <c r="C1592" s="84"/>
      <c r="D1592" s="88"/>
      <c r="E1592" s="83"/>
      <c r="G1592" s="101"/>
      <c r="H1592" s="87"/>
      <c r="I1592" s="88"/>
    </row>
    <row r="1593" spans="3:9" ht="18" x14ac:dyDescent="0.25">
      <c r="C1593" s="83"/>
      <c r="D1593" s="88"/>
      <c r="E1593" s="83"/>
      <c r="F1593" s="83"/>
      <c r="G1593" s="89"/>
      <c r="H1593" s="88"/>
      <c r="I1593" s="88"/>
    </row>
    <row r="1594" spans="3:9" ht="18" x14ac:dyDescent="0.25">
      <c r="C1594" s="83"/>
      <c r="D1594" s="88"/>
      <c r="E1594" s="83"/>
      <c r="F1594" s="83"/>
      <c r="G1594" s="89"/>
      <c r="H1594" s="88"/>
      <c r="I1594" s="88"/>
    </row>
    <row r="1595" spans="3:9" ht="18" x14ac:dyDescent="0.25">
      <c r="C1595" s="83"/>
      <c r="D1595" s="88"/>
      <c r="E1595" s="83"/>
      <c r="F1595" s="83"/>
      <c r="G1595" s="89"/>
      <c r="H1595" s="88"/>
      <c r="I1595" s="88"/>
    </row>
    <row r="1596" spans="3:9" ht="24" customHeight="1" x14ac:dyDescent="0.25">
      <c r="C1596" s="83"/>
      <c r="D1596" s="88"/>
      <c r="E1596" s="83"/>
      <c r="F1596" s="83"/>
      <c r="G1596" s="89"/>
      <c r="H1596" s="88"/>
      <c r="I1596" s="83"/>
    </row>
    <row r="1597" spans="3:9" ht="18" x14ac:dyDescent="0.25">
      <c r="C1597" s="83" t="e">
        <f>+C1582</f>
        <v>#REF!</v>
      </c>
      <c r="D1597" s="88"/>
      <c r="E1597" s="83"/>
      <c r="F1597" s="83" t="e">
        <f>+C1582</f>
        <v>#REF!</v>
      </c>
      <c r="G1597" s="83"/>
      <c r="H1597" s="83"/>
      <c r="I1597" s="99"/>
    </row>
    <row r="1598" spans="3:9" ht="18" x14ac:dyDescent="0.25">
      <c r="C1598" s="84"/>
      <c r="D1598" s="88"/>
      <c r="E1598" s="83"/>
      <c r="G1598" s="83"/>
      <c r="H1598" s="99"/>
      <c r="I1598" s="90" t="str">
        <f>+I1583</f>
        <v>Unid. 42</v>
      </c>
    </row>
    <row r="1599" spans="3:9" ht="18" x14ac:dyDescent="0.25">
      <c r="C1599" s="83" t="str">
        <f>+$F$1</f>
        <v>MONTES DE OCA 1068/1070 C.A.B.A.</v>
      </c>
      <c r="D1599" s="88"/>
      <c r="E1599" s="90" t="str">
        <f>+I1598</f>
        <v>Unid. 42</v>
      </c>
      <c r="F1599" s="83" t="str">
        <f>+$F$1</f>
        <v>MONTES DE OCA 1068/1070 C.A.B.A.</v>
      </c>
      <c r="G1599" s="83"/>
      <c r="H1599" s="83"/>
      <c r="I1599" s="84"/>
    </row>
    <row r="1600" spans="3:9" ht="18" x14ac:dyDescent="0.25">
      <c r="C1600" s="84"/>
      <c r="D1600" s="91"/>
      <c r="E1600" s="84"/>
      <c r="G1600" s="83"/>
      <c r="H1600" s="83"/>
    </row>
    <row r="1601" spans="3:9" ht="12.75" customHeight="1" x14ac:dyDescent="0.25">
      <c r="C1601" s="83"/>
      <c r="D1601" s="88"/>
      <c r="E1601" s="83"/>
      <c r="F1601" s="84"/>
      <c r="G1601" s="83"/>
      <c r="H1601" s="83"/>
      <c r="I1601" s="99"/>
    </row>
    <row r="1602" spans="3:9" ht="18" x14ac:dyDescent="0.25">
      <c r="C1602" s="83" t="str">
        <f>+$F$2</f>
        <v>P/Depósito o transferencia en Banco Santander Rio</v>
      </c>
      <c r="D1602" s="88"/>
      <c r="E1602" s="83"/>
      <c r="F1602" s="83"/>
      <c r="G1602" s="128"/>
      <c r="H1602" s="84"/>
      <c r="I1602" s="83"/>
    </row>
    <row r="1603" spans="3:9" ht="18" x14ac:dyDescent="0.25">
      <c r="C1603" s="83" t="str">
        <f>+$F$3</f>
        <v xml:space="preserve">Cta. Cte. $ N° 558-000162/1 </v>
      </c>
      <c r="D1603" s="88"/>
      <c r="E1603" s="83"/>
      <c r="F1603" s="93"/>
      <c r="H1603" s="91"/>
      <c r="I1603" s="92"/>
    </row>
    <row r="1604" spans="3:9" ht="18" x14ac:dyDescent="0.25">
      <c r="C1604" s="84"/>
      <c r="D1604" s="88"/>
      <c r="E1604" s="83"/>
      <c r="F1604" s="83" t="s">
        <v>70</v>
      </c>
      <c r="G1604" s="102" t="e">
        <f>+G1587</f>
        <v>#REF!</v>
      </c>
      <c r="H1604" s="92"/>
      <c r="I1604" s="97">
        <f>+C1608</f>
        <v>46183</v>
      </c>
    </row>
    <row r="1605" spans="3:9" ht="18" x14ac:dyDescent="0.25">
      <c r="C1605" s="84"/>
      <c r="D1605" s="88"/>
      <c r="E1605" s="83"/>
      <c r="F1605" s="83" t="s">
        <v>71</v>
      </c>
      <c r="G1605" s="102" t="e">
        <f>+G1588</f>
        <v>#REF!</v>
      </c>
      <c r="I1605" s="83"/>
    </row>
    <row r="1606" spans="3:9" ht="18" x14ac:dyDescent="0.25">
      <c r="C1606" s="83"/>
      <c r="D1606" s="88"/>
      <c r="E1606" s="83"/>
      <c r="F1606" s="83" t="s">
        <v>72</v>
      </c>
      <c r="G1606" s="102" t="e">
        <f>+G1589</f>
        <v>#REF!</v>
      </c>
      <c r="H1606" s="83"/>
      <c r="I1606" s="83"/>
    </row>
    <row r="1607" spans="3:9" ht="18" x14ac:dyDescent="0.25">
      <c r="C1607" s="93"/>
      <c r="D1607" s="93"/>
      <c r="E1607" s="93"/>
      <c r="F1607" s="83" t="s">
        <v>73</v>
      </c>
      <c r="G1607" s="102" t="e">
        <f>+G1590</f>
        <v>#REF!</v>
      </c>
      <c r="H1607" s="83"/>
      <c r="I1607" s="83"/>
    </row>
    <row r="1608" spans="3:9" ht="18" x14ac:dyDescent="0.25">
      <c r="C1608" s="97">
        <f>+$H$43</f>
        <v>46183</v>
      </c>
      <c r="D1608" s="157" t="e">
        <f>+G1591</f>
        <v>#REF!</v>
      </c>
      <c r="E1608" s="83"/>
      <c r="F1608" s="83" t="s">
        <v>181</v>
      </c>
      <c r="G1608" s="135">
        <v>0</v>
      </c>
      <c r="H1608" s="83"/>
      <c r="I1608" s="83"/>
    </row>
    <row r="1609" spans="3:9" ht="18" x14ac:dyDescent="0.25">
      <c r="C1609" s="83"/>
      <c r="D1609" s="88"/>
      <c r="E1609" s="83"/>
      <c r="F1609" s="83" t="s">
        <v>74</v>
      </c>
      <c r="G1609" s="102" t="e">
        <f>+G1591</f>
        <v>#REF!</v>
      </c>
      <c r="H1609" s="83"/>
      <c r="I1609" s="83"/>
    </row>
    <row r="1610" spans="3:9" ht="18" x14ac:dyDescent="0.25">
      <c r="C1610" s="83"/>
      <c r="D1610" s="88"/>
      <c r="E1610" s="83"/>
      <c r="F1610" s="83"/>
      <c r="G1610" s="83"/>
      <c r="H1610" s="83"/>
      <c r="I1610" s="83"/>
    </row>
    <row r="1611" spans="3:9" ht="18" x14ac:dyDescent="0.25">
      <c r="C1611" s="83"/>
      <c r="D1611" s="88"/>
      <c r="E1611" s="83"/>
      <c r="F1611" s="100"/>
      <c r="G1611" s="83"/>
      <c r="H1611" s="83"/>
      <c r="I1611" s="83"/>
    </row>
    <row r="1612" spans="3:9" ht="18" x14ac:dyDescent="0.25">
      <c r="C1612" s="83"/>
      <c r="D1612" s="88"/>
      <c r="E1612" s="83"/>
      <c r="F1612" s="83"/>
      <c r="G1612" s="83"/>
      <c r="H1612" s="83"/>
      <c r="I1612" s="91"/>
    </row>
    <row r="1613" spans="3:9" ht="18" x14ac:dyDescent="0.25">
      <c r="F1613" s="83"/>
      <c r="H1613" s="91"/>
      <c r="I1613" s="83"/>
    </row>
    <row r="1614" spans="3:9" ht="7.5" customHeight="1" x14ac:dyDescent="0.2"/>
    <row r="1616" spans="3:9" ht="18" x14ac:dyDescent="0.25">
      <c r="C1616" s="424"/>
      <c r="D1616" s="424"/>
      <c r="E1616" s="424"/>
      <c r="F1616" s="433">
        <f>+$C$1</f>
        <v>46143</v>
      </c>
      <c r="G1616" s="83"/>
      <c r="H1616" s="429">
        <f>+$E$1</f>
        <v>46183</v>
      </c>
      <c r="I1616" s="83"/>
    </row>
    <row r="1617" spans="3:9" ht="18" x14ac:dyDescent="0.25">
      <c r="C1617" s="82"/>
      <c r="D1617" s="82"/>
      <c r="E1617" s="98"/>
      <c r="F1617" s="433"/>
      <c r="G1617" s="83"/>
      <c r="H1617" s="429"/>
      <c r="I1617" s="83"/>
    </row>
    <row r="1618" spans="3:9" ht="18" x14ac:dyDescent="0.25">
      <c r="C1618" s="83"/>
      <c r="D1618" s="88"/>
      <c r="E1618" s="83"/>
      <c r="F1618" s="84"/>
      <c r="G1618" s="83"/>
      <c r="H1618" s="84"/>
      <c r="I1618" s="83"/>
    </row>
    <row r="1619" spans="3:9" ht="18" x14ac:dyDescent="0.25">
      <c r="C1619" s="83" t="e">
        <f>+#REF!</f>
        <v>#REF!</v>
      </c>
      <c r="D1619" s="88"/>
      <c r="E1619" s="83"/>
      <c r="F1619" s="84"/>
      <c r="G1619" s="83"/>
      <c r="H1619" s="84"/>
      <c r="I1619" s="83"/>
    </row>
    <row r="1620" spans="3:9" ht="18" x14ac:dyDescent="0.25">
      <c r="C1620" s="84"/>
      <c r="D1620" s="88"/>
      <c r="E1620" s="83"/>
      <c r="F1620" s="83" t="s">
        <v>293</v>
      </c>
      <c r="G1620" s="83"/>
      <c r="H1620" s="83"/>
      <c r="I1620" s="90" t="s">
        <v>117</v>
      </c>
    </row>
    <row r="1621" spans="3:9" ht="18" x14ac:dyDescent="0.25">
      <c r="C1621" s="83"/>
      <c r="D1621" s="88"/>
      <c r="E1621" s="83"/>
      <c r="F1621" s="84"/>
      <c r="G1621" s="83"/>
      <c r="H1621" s="83"/>
      <c r="I1621" s="84"/>
    </row>
    <row r="1622" spans="3:9" ht="18" x14ac:dyDescent="0.25">
      <c r="C1622" s="91"/>
      <c r="D1622" s="88"/>
      <c r="E1622" s="91"/>
      <c r="F1622" s="83"/>
      <c r="G1622" s="83"/>
      <c r="H1622" s="83"/>
      <c r="I1622" s="83"/>
    </row>
    <row r="1623" spans="3:9" ht="18" x14ac:dyDescent="0.25">
      <c r="C1623" s="91"/>
      <c r="D1623" s="88"/>
      <c r="E1623" s="91"/>
      <c r="F1623" s="83"/>
      <c r="G1623" s="83"/>
      <c r="H1623" s="83"/>
      <c r="I1623" s="83"/>
    </row>
    <row r="1624" spans="3:9" ht="18" x14ac:dyDescent="0.25">
      <c r="C1624" s="83" t="s">
        <v>68</v>
      </c>
      <c r="D1624" s="88"/>
      <c r="E1624" s="103" t="e">
        <f>+'RES CUENTA'!#REF!</f>
        <v>#REF!</v>
      </c>
      <c r="F1624" s="104" t="e">
        <f>+'RES CUENTA'!#REF!</f>
        <v>#REF!</v>
      </c>
      <c r="G1624" s="101" t="e">
        <f>+E1624*F1624/100</f>
        <v>#REF!</v>
      </c>
      <c r="H1624" s="425"/>
      <c r="I1624" s="425"/>
    </row>
    <row r="1625" spans="3:9" ht="18" x14ac:dyDescent="0.25">
      <c r="C1625" s="83" t="s">
        <v>69</v>
      </c>
      <c r="D1625" s="88"/>
      <c r="E1625" s="103" t="e">
        <f>+'RES CUENTA'!#REF!</f>
        <v>#REF!</v>
      </c>
      <c r="F1625" s="104" t="e">
        <f>+'RES CUENTA'!#REF!</f>
        <v>#REF!</v>
      </c>
      <c r="G1625" s="101" t="e">
        <f>+E1625*F1625/100</f>
        <v>#REF!</v>
      </c>
      <c r="H1625" s="430"/>
      <c r="I1625" s="430"/>
    </row>
    <row r="1626" spans="3:9" ht="18" x14ac:dyDescent="0.25">
      <c r="C1626" s="83" t="s">
        <v>181</v>
      </c>
      <c r="D1626" s="88"/>
      <c r="E1626" s="103" t="e">
        <f>+'RES CUENTA'!#REF!</f>
        <v>#REF!</v>
      </c>
      <c r="F1626" s="104">
        <v>0</v>
      </c>
      <c r="G1626" s="101" t="e">
        <f>+E1626</f>
        <v>#REF!</v>
      </c>
      <c r="H1626" s="430"/>
      <c r="I1626" s="430"/>
    </row>
    <row r="1627" spans="3:9" ht="18" x14ac:dyDescent="0.25">
      <c r="C1627" s="83" t="s">
        <v>213</v>
      </c>
      <c r="D1627" s="88"/>
      <c r="E1627" s="103" t="e">
        <f>+'RES CUENTA'!#REF!</f>
        <v>#REF!</v>
      </c>
      <c r="F1627" s="104">
        <v>0</v>
      </c>
      <c r="G1627" s="134" t="e">
        <f>+E1627</f>
        <v>#REF!</v>
      </c>
      <c r="H1627" s="430"/>
      <c r="I1627" s="430"/>
    </row>
    <row r="1628" spans="3:9" ht="18" x14ac:dyDescent="0.25">
      <c r="C1628" s="84"/>
      <c r="D1628" s="88"/>
      <c r="E1628" s="83"/>
      <c r="F1628" s="89"/>
      <c r="G1628" s="101" t="e">
        <f>SUM(G1624:G1627)</f>
        <v>#REF!</v>
      </c>
      <c r="H1628" s="430"/>
      <c r="I1628" s="430"/>
    </row>
    <row r="1629" spans="3:9" ht="18" x14ac:dyDescent="0.25">
      <c r="C1629" s="84"/>
      <c r="D1629" s="88"/>
      <c r="E1629" s="83"/>
      <c r="F1629" s="83"/>
      <c r="H1629" s="432"/>
      <c r="I1629" s="432"/>
    </row>
    <row r="1630" spans="3:9" ht="18" x14ac:dyDescent="0.25">
      <c r="C1630" s="84"/>
      <c r="D1630" s="88"/>
      <c r="E1630" s="83"/>
      <c r="F1630" s="83"/>
      <c r="H1630" s="88"/>
      <c r="I1630" s="88"/>
    </row>
    <row r="1631" spans="3:9" ht="18" x14ac:dyDescent="0.25">
      <c r="C1631" s="83"/>
      <c r="D1631" s="88"/>
      <c r="E1631" s="83"/>
      <c r="F1631" s="83"/>
      <c r="G1631" s="85"/>
      <c r="H1631" s="88"/>
      <c r="I1631" s="88"/>
    </row>
    <row r="1632" spans="3:9" ht="18" x14ac:dyDescent="0.25">
      <c r="C1632" s="83"/>
      <c r="D1632" s="88"/>
      <c r="E1632" s="83"/>
      <c r="F1632" s="83"/>
      <c r="G1632" s="89"/>
      <c r="H1632" s="83"/>
      <c r="I1632" s="83"/>
    </row>
    <row r="1633" spans="3:9" ht="23.25" customHeight="1" x14ac:dyDescent="0.25">
      <c r="C1633" s="83"/>
      <c r="D1633" s="88"/>
      <c r="E1633" s="83"/>
      <c r="F1633" s="83"/>
      <c r="G1633" s="89"/>
      <c r="H1633" s="83"/>
      <c r="I1633" s="83"/>
    </row>
    <row r="1634" spans="3:9" ht="18" x14ac:dyDescent="0.25">
      <c r="C1634" s="83" t="e">
        <f>+C1619</f>
        <v>#REF!</v>
      </c>
      <c r="D1634" s="427"/>
      <c r="E1634" s="427"/>
      <c r="F1634" s="83" t="e">
        <f>+C1634</f>
        <v>#REF!</v>
      </c>
      <c r="G1634" s="89"/>
      <c r="H1634" s="83"/>
      <c r="I1634" s="83"/>
    </row>
    <row r="1635" spans="3:9" ht="18" x14ac:dyDescent="0.25">
      <c r="D1635" s="88"/>
      <c r="E1635" s="83"/>
      <c r="G1635" s="427"/>
      <c r="H1635" s="427"/>
      <c r="I1635" s="427"/>
    </row>
    <row r="1636" spans="3:9" ht="18" x14ac:dyDescent="0.25">
      <c r="C1636" s="83" t="str">
        <f>+$F$1</f>
        <v>MONTES DE OCA 1068/1070 C.A.B.A.</v>
      </c>
      <c r="D1636" s="88"/>
      <c r="E1636" s="90" t="str">
        <f>+I1620</f>
        <v>Unid. 43</v>
      </c>
      <c r="F1636" s="83" t="str">
        <f>+$F$1</f>
        <v>MONTES DE OCA 1068/1070 C.A.B.A.</v>
      </c>
      <c r="G1636" s="83"/>
      <c r="H1636" s="83"/>
      <c r="I1636" s="90" t="str">
        <f>+E1636</f>
        <v>Unid. 43</v>
      </c>
    </row>
    <row r="1637" spans="3:9" ht="18" x14ac:dyDescent="0.25">
      <c r="I1637" s="84"/>
    </row>
    <row r="1638" spans="3:9" ht="12.75" customHeight="1" x14ac:dyDescent="0.25">
      <c r="C1638" s="84"/>
      <c r="D1638" s="91"/>
      <c r="E1638" s="84"/>
      <c r="F1638" s="84"/>
      <c r="G1638" s="83"/>
      <c r="H1638" s="83"/>
    </row>
    <row r="1639" spans="3:9" ht="18" x14ac:dyDescent="0.25">
      <c r="C1639" s="83" t="str">
        <f>+$F$2</f>
        <v>P/Depósito o transferencia en Banco Santander Rio</v>
      </c>
      <c r="D1639" s="88"/>
      <c r="E1639" s="83"/>
      <c r="F1639" s="83"/>
      <c r="G1639" s="83"/>
      <c r="H1639" s="84"/>
      <c r="I1639" s="99"/>
    </row>
    <row r="1640" spans="3:9" ht="18" x14ac:dyDescent="0.25">
      <c r="C1640" s="83" t="str">
        <f>+$F$3</f>
        <v xml:space="preserve">Cta. Cte. $ N° 558-000162/1 </v>
      </c>
      <c r="D1640" s="88"/>
      <c r="E1640" s="83"/>
      <c r="F1640" s="93"/>
      <c r="G1640" s="83"/>
      <c r="H1640" s="91"/>
      <c r="I1640" s="83"/>
    </row>
    <row r="1641" spans="3:9" ht="18" x14ac:dyDescent="0.25">
      <c r="D1641" s="88"/>
      <c r="E1641" s="83"/>
      <c r="F1641" s="83" t="s">
        <v>70</v>
      </c>
      <c r="G1641" s="102" t="e">
        <f>+G1624</f>
        <v>#REF!</v>
      </c>
      <c r="I1641" s="97">
        <f>+C1646</f>
        <v>46183</v>
      </c>
    </row>
    <row r="1642" spans="3:9" ht="18" x14ac:dyDescent="0.25">
      <c r="C1642" s="84"/>
      <c r="D1642" s="88"/>
      <c r="E1642" s="83"/>
      <c r="F1642" s="83" t="s">
        <v>71</v>
      </c>
      <c r="G1642" s="102" t="e">
        <f>+G1625</f>
        <v>#REF!</v>
      </c>
    </row>
    <row r="1643" spans="3:9" ht="18" x14ac:dyDescent="0.25">
      <c r="C1643" s="84"/>
      <c r="D1643" s="88"/>
      <c r="E1643" s="83"/>
      <c r="F1643" s="83" t="s">
        <v>72</v>
      </c>
      <c r="G1643" s="102" t="e">
        <f>+G1626</f>
        <v>#REF!</v>
      </c>
      <c r="H1643" s="83"/>
      <c r="I1643" s="83"/>
    </row>
    <row r="1644" spans="3:9" ht="18" x14ac:dyDescent="0.25">
      <c r="C1644" s="83"/>
      <c r="D1644" s="88"/>
      <c r="E1644" s="83"/>
      <c r="F1644" s="83" t="s">
        <v>73</v>
      </c>
      <c r="G1644" s="102" t="e">
        <f>+G1627</f>
        <v>#REF!</v>
      </c>
      <c r="H1644" s="83"/>
      <c r="I1644" s="83"/>
    </row>
    <row r="1645" spans="3:9" ht="18" x14ac:dyDescent="0.25">
      <c r="C1645" s="93"/>
      <c r="D1645" s="93"/>
      <c r="E1645" s="93"/>
      <c r="F1645" s="83" t="s">
        <v>181</v>
      </c>
      <c r="G1645" s="135">
        <v>0</v>
      </c>
      <c r="H1645" s="83"/>
      <c r="I1645" s="83"/>
    </row>
    <row r="1646" spans="3:9" ht="18" x14ac:dyDescent="0.25">
      <c r="C1646" s="97">
        <f>+$H$43</f>
        <v>46183</v>
      </c>
      <c r="D1646" s="157" t="e">
        <f>+G1628</f>
        <v>#REF!</v>
      </c>
      <c r="E1646" s="83"/>
      <c r="F1646" s="83" t="s">
        <v>74</v>
      </c>
      <c r="G1646" s="102" t="e">
        <f>+G1628</f>
        <v>#REF!</v>
      </c>
      <c r="H1646" s="83"/>
      <c r="I1646" s="83"/>
    </row>
    <row r="1647" spans="3:9" ht="18" x14ac:dyDescent="0.25">
      <c r="C1647" s="83"/>
      <c r="D1647" s="88"/>
      <c r="E1647" s="83"/>
      <c r="F1647" s="83"/>
      <c r="G1647" s="83"/>
      <c r="H1647" s="83"/>
      <c r="I1647" s="83"/>
    </row>
    <row r="1648" spans="3:9" ht="18" x14ac:dyDescent="0.25">
      <c r="C1648" s="83"/>
      <c r="D1648" s="88"/>
      <c r="E1648" s="83"/>
      <c r="F1648" s="83"/>
      <c r="G1648" s="83"/>
      <c r="H1648" s="425"/>
      <c r="I1648" s="425"/>
    </row>
    <row r="1649" spans="3:9" ht="18" x14ac:dyDescent="0.25">
      <c r="C1649" s="83"/>
      <c r="D1649" s="88"/>
      <c r="E1649" s="83"/>
      <c r="F1649" s="83"/>
      <c r="G1649" s="83"/>
      <c r="H1649" s="83"/>
      <c r="I1649" s="83"/>
    </row>
    <row r="1650" spans="3:9" ht="18" x14ac:dyDescent="0.25">
      <c r="C1650" s="83"/>
      <c r="D1650" s="88"/>
      <c r="E1650" s="83"/>
      <c r="F1650" s="83"/>
      <c r="G1650" s="83"/>
      <c r="H1650" s="83"/>
      <c r="I1650" s="83"/>
    </row>
    <row r="1651" spans="3:9" ht="18" x14ac:dyDescent="0.25">
      <c r="C1651" s="83"/>
      <c r="D1651" s="88"/>
      <c r="E1651" s="83"/>
      <c r="F1651" s="83"/>
      <c r="G1651" s="83"/>
      <c r="H1651" s="83"/>
      <c r="I1651" s="83"/>
    </row>
    <row r="1652" spans="3:9" ht="18" x14ac:dyDescent="0.25">
      <c r="C1652" s="83"/>
      <c r="D1652" s="88"/>
      <c r="E1652" s="83"/>
      <c r="F1652" s="83"/>
      <c r="G1652" s="83"/>
      <c r="I1652" s="83"/>
    </row>
    <row r="1653" spans="3:9" ht="18" x14ac:dyDescent="0.25">
      <c r="C1653" s="83"/>
      <c r="D1653" s="88"/>
      <c r="E1653" s="83"/>
      <c r="F1653" s="83"/>
      <c r="G1653" s="83"/>
      <c r="I1653" s="83"/>
    </row>
    <row r="1654" spans="3:9" ht="18" x14ac:dyDescent="0.25">
      <c r="C1654" s="424"/>
      <c r="D1654" s="424"/>
      <c r="E1654" s="424"/>
      <c r="F1654" s="83"/>
      <c r="G1654" s="83"/>
      <c r="I1654" s="83"/>
    </row>
    <row r="1655" spans="3:9" ht="18" x14ac:dyDescent="0.25">
      <c r="C1655" s="424"/>
      <c r="D1655" s="424"/>
      <c r="E1655" s="424"/>
      <c r="F1655" s="96">
        <f>+$C$1</f>
        <v>46143</v>
      </c>
      <c r="G1655" s="83"/>
      <c r="H1655" s="97">
        <f>+$E$1</f>
        <v>46183</v>
      </c>
      <c r="I1655" s="95"/>
    </row>
    <row r="1656" spans="3:9" ht="18" x14ac:dyDescent="0.25">
      <c r="C1656" s="82"/>
      <c r="D1656" s="82"/>
      <c r="E1656" s="98"/>
      <c r="F1656" s="96"/>
      <c r="G1656" s="83"/>
    </row>
    <row r="1657" spans="3:9" ht="18" x14ac:dyDescent="0.25">
      <c r="C1657" s="83" t="e">
        <f>+#REF!</f>
        <v>#REF!</v>
      </c>
      <c r="D1657" s="88"/>
      <c r="E1657" s="83"/>
      <c r="G1657" s="83"/>
    </row>
    <row r="1658" spans="3:9" ht="18" x14ac:dyDescent="0.25">
      <c r="D1658" s="88"/>
      <c r="E1658" s="83"/>
      <c r="F1658" s="83" t="str">
        <f>+$F$1</f>
        <v>MONTES DE OCA 1068/1070 C.A.B.A.</v>
      </c>
      <c r="G1658" s="83"/>
      <c r="I1658" s="90" t="s">
        <v>118</v>
      </c>
    </row>
    <row r="1659" spans="3:9" ht="18" x14ac:dyDescent="0.25">
      <c r="C1659" s="84"/>
      <c r="D1659" s="88"/>
      <c r="E1659" s="83"/>
      <c r="G1659" s="83"/>
      <c r="H1659" s="84"/>
    </row>
    <row r="1660" spans="3:9" ht="18" x14ac:dyDescent="0.25">
      <c r="C1660" s="83"/>
      <c r="D1660" s="88"/>
      <c r="E1660" s="83"/>
      <c r="F1660" s="84"/>
      <c r="G1660" s="83"/>
      <c r="H1660" s="83"/>
      <c r="I1660" s="84"/>
    </row>
    <row r="1661" spans="3:9" ht="18" x14ac:dyDescent="0.25">
      <c r="C1661" s="91"/>
      <c r="D1661" s="88"/>
      <c r="E1661" s="91"/>
      <c r="F1661" s="83"/>
      <c r="G1661" s="83"/>
      <c r="H1661" s="83"/>
      <c r="I1661" s="83"/>
    </row>
    <row r="1662" spans="3:9" ht="18" x14ac:dyDescent="0.25">
      <c r="C1662" s="83" t="s">
        <v>68</v>
      </c>
      <c r="D1662" s="88"/>
      <c r="E1662" s="103" t="e">
        <f>+'RES CUENTA'!#REF!</f>
        <v>#REF!</v>
      </c>
      <c r="F1662" s="104" t="e">
        <f>+'RES CUENTA'!#REF!</f>
        <v>#REF!</v>
      </c>
      <c r="G1662" s="101" t="e">
        <f>+E1662*F1662/100</f>
        <v>#REF!</v>
      </c>
      <c r="H1662" s="83"/>
      <c r="I1662" s="91"/>
    </row>
    <row r="1663" spans="3:9" ht="18" x14ac:dyDescent="0.25">
      <c r="C1663" s="83" t="s">
        <v>69</v>
      </c>
      <c r="D1663" s="88"/>
      <c r="E1663" s="103" t="e">
        <f>+'RES CUENTA'!#REF!</f>
        <v>#REF!</v>
      </c>
      <c r="F1663" s="104" t="e">
        <f>+'RES CUENTA'!#REF!</f>
        <v>#REF!</v>
      </c>
      <c r="G1663" s="101" t="e">
        <f>+E1663*F1663/100</f>
        <v>#REF!</v>
      </c>
      <c r="H1663" s="91"/>
      <c r="I1663" s="87"/>
    </row>
    <row r="1664" spans="3:9" ht="18" x14ac:dyDescent="0.25">
      <c r="C1664" s="83" t="s">
        <v>181</v>
      </c>
      <c r="D1664" s="88"/>
      <c r="E1664" s="103" t="e">
        <f>+'RES CUENTA'!#REF!</f>
        <v>#REF!</v>
      </c>
      <c r="F1664" s="104">
        <f>+'RES CUENTA'!M705</f>
        <v>0</v>
      </c>
      <c r="G1664" s="101" t="e">
        <f>+E1664</f>
        <v>#REF!</v>
      </c>
      <c r="H1664" s="87"/>
      <c r="I1664" s="87"/>
    </row>
    <row r="1665" spans="3:9" ht="18" x14ac:dyDescent="0.25">
      <c r="C1665" s="83" t="s">
        <v>213</v>
      </c>
      <c r="D1665" s="88"/>
      <c r="E1665" s="103" t="e">
        <f>+'RES CUENTA'!#REF!</f>
        <v>#REF!</v>
      </c>
      <c r="F1665" s="104">
        <f>+'RES CUENTA'!N704</f>
        <v>0</v>
      </c>
      <c r="G1665" s="134" t="e">
        <f>+E1665</f>
        <v>#REF!</v>
      </c>
      <c r="H1665" s="87"/>
      <c r="I1665" s="87"/>
    </row>
    <row r="1666" spans="3:9" ht="18" x14ac:dyDescent="0.25">
      <c r="C1666" s="84"/>
      <c r="D1666" s="88"/>
      <c r="E1666" s="83"/>
      <c r="G1666" s="101" t="e">
        <f>SUM(G1662:G1665)</f>
        <v>#REF!</v>
      </c>
      <c r="H1666" s="87"/>
      <c r="I1666" s="87"/>
    </row>
    <row r="1667" spans="3:9" ht="18" x14ac:dyDescent="0.25">
      <c r="C1667" s="84"/>
      <c r="D1667" s="88"/>
      <c r="E1667" s="83"/>
      <c r="G1667" s="85"/>
      <c r="H1667" s="87"/>
      <c r="I1667" s="88"/>
    </row>
    <row r="1668" spans="3:9" ht="18" x14ac:dyDescent="0.25">
      <c r="C1668" s="84"/>
      <c r="D1668" s="88"/>
      <c r="E1668" s="83"/>
      <c r="G1668" s="85"/>
      <c r="H1668" s="87"/>
      <c r="I1668" s="88"/>
    </row>
    <row r="1669" spans="3:9" ht="18" x14ac:dyDescent="0.25">
      <c r="C1669" s="83"/>
      <c r="D1669" s="88"/>
      <c r="E1669" s="83"/>
      <c r="F1669" s="83"/>
      <c r="G1669" s="89"/>
      <c r="H1669" s="88"/>
      <c r="I1669" s="88"/>
    </row>
    <row r="1670" spans="3:9" ht="18" x14ac:dyDescent="0.25">
      <c r="C1670" s="83"/>
      <c r="D1670" s="88"/>
      <c r="E1670" s="83"/>
      <c r="F1670" s="83"/>
      <c r="G1670" s="89"/>
      <c r="H1670" s="88"/>
      <c r="I1670" s="88"/>
    </row>
    <row r="1671" spans="3:9" ht="23.25" customHeight="1" x14ac:dyDescent="0.25">
      <c r="C1671" s="83"/>
      <c r="D1671" s="88"/>
      <c r="E1671" s="83"/>
      <c r="F1671" s="83"/>
      <c r="G1671" s="89"/>
      <c r="H1671" s="88"/>
      <c r="I1671" s="88"/>
    </row>
    <row r="1672" spans="3:9" ht="18" x14ac:dyDescent="0.25">
      <c r="C1672" s="83" t="e">
        <f>+C1657</f>
        <v>#REF!</v>
      </c>
      <c r="D1672" s="88"/>
      <c r="E1672" s="83"/>
      <c r="F1672" s="83" t="e">
        <f>+C1657</f>
        <v>#REF!</v>
      </c>
      <c r="G1672" s="83"/>
      <c r="H1672" s="83"/>
      <c r="I1672" s="99"/>
    </row>
    <row r="1673" spans="3:9" ht="18" x14ac:dyDescent="0.25">
      <c r="C1673" s="84"/>
      <c r="D1673" s="88"/>
      <c r="E1673" s="83"/>
      <c r="G1673" s="83"/>
      <c r="H1673" s="99"/>
      <c r="I1673" s="90" t="str">
        <f>+I1658</f>
        <v>Unid. 44</v>
      </c>
    </row>
    <row r="1674" spans="3:9" ht="18" x14ac:dyDescent="0.25">
      <c r="C1674" s="83" t="str">
        <f>+$F$1</f>
        <v>MONTES DE OCA 1068/1070 C.A.B.A.</v>
      </c>
      <c r="D1674" s="88"/>
      <c r="E1674" s="90" t="str">
        <f>+I1673</f>
        <v>Unid. 44</v>
      </c>
      <c r="F1674" s="83" t="str">
        <f>+$F$1</f>
        <v>MONTES DE OCA 1068/1070 C.A.B.A.</v>
      </c>
      <c r="G1674" s="83"/>
      <c r="H1674" s="83"/>
      <c r="I1674" s="84"/>
    </row>
    <row r="1675" spans="3:9" ht="18" x14ac:dyDescent="0.25">
      <c r="C1675" s="84"/>
      <c r="D1675" s="91"/>
      <c r="E1675" s="84"/>
      <c r="G1675" s="83"/>
      <c r="H1675" s="83"/>
    </row>
    <row r="1676" spans="3:9" ht="12" customHeight="1" x14ac:dyDescent="0.25">
      <c r="C1676" s="83"/>
      <c r="D1676" s="88"/>
      <c r="E1676" s="83"/>
      <c r="F1676" s="84"/>
      <c r="G1676" s="83"/>
      <c r="H1676" s="83"/>
      <c r="I1676" s="99"/>
    </row>
    <row r="1677" spans="3:9" ht="18" x14ac:dyDescent="0.25">
      <c r="C1677" s="83" t="str">
        <f>+$F$2</f>
        <v>P/Depósito o transferencia en Banco Santander Rio</v>
      </c>
      <c r="D1677" s="88"/>
      <c r="E1677" s="83"/>
      <c r="F1677" s="83"/>
      <c r="G1677" s="128"/>
      <c r="H1677" s="84"/>
      <c r="I1677" s="83"/>
    </row>
    <row r="1678" spans="3:9" ht="18" x14ac:dyDescent="0.25">
      <c r="C1678" s="83" t="str">
        <f>+$F$3</f>
        <v xml:space="preserve">Cta. Cte. $ N° 558-000162/1 </v>
      </c>
      <c r="D1678" s="88"/>
      <c r="E1678" s="83"/>
      <c r="F1678" s="93"/>
      <c r="H1678" s="91"/>
      <c r="I1678" s="92"/>
    </row>
    <row r="1679" spans="3:9" ht="18" x14ac:dyDescent="0.25">
      <c r="C1679" s="84"/>
      <c r="D1679" s="88"/>
      <c r="E1679" s="83"/>
      <c r="F1679" s="83" t="s">
        <v>70</v>
      </c>
      <c r="G1679" s="102" t="e">
        <f>+G1662</f>
        <v>#REF!</v>
      </c>
      <c r="H1679" s="92"/>
      <c r="I1679" s="97">
        <f>+C1683</f>
        <v>46183</v>
      </c>
    </row>
    <row r="1680" spans="3:9" ht="18" x14ac:dyDescent="0.25">
      <c r="C1680" s="84"/>
      <c r="D1680" s="88"/>
      <c r="E1680" s="83"/>
      <c r="F1680" s="83" t="s">
        <v>71</v>
      </c>
      <c r="G1680" s="102" t="e">
        <f>+G1663</f>
        <v>#REF!</v>
      </c>
      <c r="I1680" s="83"/>
    </row>
    <row r="1681" spans="3:9" ht="18" x14ac:dyDescent="0.25">
      <c r="C1681" s="83"/>
      <c r="D1681" s="88"/>
      <c r="E1681" s="83"/>
      <c r="F1681" s="83" t="s">
        <v>72</v>
      </c>
      <c r="G1681" s="102" t="e">
        <f>+G1664</f>
        <v>#REF!</v>
      </c>
      <c r="H1681" s="83"/>
      <c r="I1681" s="83"/>
    </row>
    <row r="1682" spans="3:9" ht="18" x14ac:dyDescent="0.25">
      <c r="C1682" s="93"/>
      <c r="D1682" s="93"/>
      <c r="E1682" s="93"/>
      <c r="F1682" s="83" t="s">
        <v>73</v>
      </c>
      <c r="G1682" s="102" t="e">
        <f>+G1665</f>
        <v>#REF!</v>
      </c>
      <c r="H1682" s="83"/>
      <c r="I1682" s="83"/>
    </row>
    <row r="1683" spans="3:9" ht="18" x14ac:dyDescent="0.25">
      <c r="C1683" s="97">
        <f>+$H$43</f>
        <v>46183</v>
      </c>
      <c r="D1683" s="157" t="e">
        <f>+G1666</f>
        <v>#REF!</v>
      </c>
      <c r="E1683" s="83"/>
      <c r="F1683" s="83" t="s">
        <v>181</v>
      </c>
      <c r="G1683" s="135">
        <v>0</v>
      </c>
      <c r="H1683" s="83"/>
      <c r="I1683" s="83"/>
    </row>
    <row r="1684" spans="3:9" ht="18" x14ac:dyDescent="0.25">
      <c r="C1684" s="83"/>
      <c r="D1684" s="88"/>
      <c r="E1684" s="83"/>
      <c r="F1684" s="83" t="s">
        <v>74</v>
      </c>
      <c r="G1684" s="102" t="e">
        <f>+G1666</f>
        <v>#REF!</v>
      </c>
      <c r="I1684" s="83"/>
    </row>
    <row r="1685" spans="3:9" ht="18" x14ac:dyDescent="0.25">
      <c r="C1685" s="83"/>
      <c r="D1685" s="88"/>
      <c r="E1685" s="83"/>
      <c r="F1685" s="83"/>
      <c r="G1685" s="83"/>
      <c r="H1685" s="83"/>
      <c r="I1685" s="83"/>
    </row>
    <row r="1686" spans="3:9" ht="18" x14ac:dyDescent="0.25">
      <c r="C1686" s="83"/>
      <c r="D1686" s="88"/>
      <c r="E1686" s="83"/>
      <c r="F1686" s="100"/>
      <c r="G1686" s="83"/>
      <c r="H1686" s="83"/>
      <c r="I1686" s="83"/>
    </row>
    <row r="1687" spans="3:9" ht="18" x14ac:dyDescent="0.25">
      <c r="C1687" s="83"/>
      <c r="D1687" s="88"/>
      <c r="E1687" s="83"/>
      <c r="F1687" s="83"/>
      <c r="G1687" s="83"/>
      <c r="H1687" s="83"/>
      <c r="I1687" s="91"/>
    </row>
    <row r="1688" spans="3:9" ht="9.75" customHeight="1" x14ac:dyDescent="0.25">
      <c r="F1688" s="83"/>
      <c r="H1688" s="91"/>
      <c r="I1688" s="83"/>
    </row>
    <row r="1690" spans="3:9" ht="18" x14ac:dyDescent="0.25">
      <c r="C1690" s="424"/>
      <c r="D1690" s="424"/>
      <c r="E1690" s="424"/>
      <c r="F1690" s="433">
        <f>+$C$1</f>
        <v>46143</v>
      </c>
      <c r="G1690" s="83"/>
      <c r="H1690" s="429">
        <f>+$E$1</f>
        <v>46183</v>
      </c>
      <c r="I1690" s="83"/>
    </row>
    <row r="1691" spans="3:9" ht="18" x14ac:dyDescent="0.25">
      <c r="C1691" s="82"/>
      <c r="D1691" s="82"/>
      <c r="E1691" s="98"/>
      <c r="F1691" s="433"/>
      <c r="G1691" s="83"/>
      <c r="H1691" s="429"/>
      <c r="I1691" s="83"/>
    </row>
    <row r="1692" spans="3:9" ht="18" x14ac:dyDescent="0.25">
      <c r="C1692" s="83"/>
      <c r="D1692" s="88"/>
      <c r="E1692" s="83"/>
      <c r="F1692" s="84"/>
      <c r="G1692" s="83"/>
      <c r="H1692" s="84"/>
      <c r="I1692" s="83"/>
    </row>
    <row r="1693" spans="3:9" ht="18" x14ac:dyDescent="0.25">
      <c r="C1693" s="83" t="e">
        <f>+#REF!</f>
        <v>#REF!</v>
      </c>
      <c r="D1693" s="88"/>
      <c r="E1693" s="83"/>
      <c r="F1693" s="84"/>
      <c r="G1693" s="83"/>
      <c r="H1693" s="84"/>
      <c r="I1693" s="83"/>
    </row>
    <row r="1694" spans="3:9" ht="18" x14ac:dyDescent="0.25">
      <c r="C1694" s="84"/>
      <c r="D1694" s="88"/>
      <c r="E1694" s="83"/>
      <c r="F1694" s="83" t="s">
        <v>293</v>
      </c>
      <c r="G1694" s="83"/>
      <c r="H1694" s="83"/>
      <c r="I1694" s="90" t="s">
        <v>119</v>
      </c>
    </row>
    <row r="1695" spans="3:9" ht="18" x14ac:dyDescent="0.25">
      <c r="C1695" s="83"/>
      <c r="D1695" s="88"/>
      <c r="E1695" s="83"/>
      <c r="F1695" s="84"/>
      <c r="G1695" s="83"/>
      <c r="H1695" s="83"/>
      <c r="I1695" s="84"/>
    </row>
    <row r="1696" spans="3:9" ht="18" x14ac:dyDescent="0.25">
      <c r="C1696" s="91"/>
      <c r="D1696" s="88"/>
      <c r="E1696" s="91"/>
      <c r="F1696" s="83"/>
      <c r="G1696" s="83"/>
      <c r="H1696" s="83"/>
      <c r="I1696" s="83"/>
    </row>
    <row r="1697" spans="3:9" ht="18" x14ac:dyDescent="0.25">
      <c r="C1697" s="91"/>
      <c r="D1697" s="88"/>
      <c r="E1697" s="91"/>
      <c r="F1697" s="83"/>
      <c r="G1697" s="83"/>
      <c r="H1697" s="83"/>
      <c r="I1697" s="83"/>
    </row>
    <row r="1698" spans="3:9" ht="18" x14ac:dyDescent="0.25">
      <c r="C1698" s="83" t="s">
        <v>68</v>
      </c>
      <c r="D1698" s="88"/>
      <c r="E1698" s="103" t="e">
        <f>+'RES CUENTA'!#REF!</f>
        <v>#REF!</v>
      </c>
      <c r="F1698" s="104" t="e">
        <f>+'RES CUENTA'!#REF!</f>
        <v>#REF!</v>
      </c>
      <c r="G1698" s="101" t="e">
        <f>+E1698*F1698/100</f>
        <v>#REF!</v>
      </c>
      <c r="H1698" s="425"/>
      <c r="I1698" s="425"/>
    </row>
    <row r="1699" spans="3:9" ht="18" x14ac:dyDescent="0.25">
      <c r="C1699" s="83" t="s">
        <v>69</v>
      </c>
      <c r="D1699" s="88"/>
      <c r="E1699" s="103" t="e">
        <f>+'RES CUENTA'!#REF!</f>
        <v>#REF!</v>
      </c>
      <c r="F1699" s="104" t="e">
        <f>+'RES CUENTA'!#REF!</f>
        <v>#REF!</v>
      </c>
      <c r="G1699" s="101" t="e">
        <f>+E1699*F1699/100</f>
        <v>#REF!</v>
      </c>
      <c r="H1699" s="430"/>
      <c r="I1699" s="430"/>
    </row>
    <row r="1700" spans="3:9" ht="18" x14ac:dyDescent="0.25">
      <c r="C1700" s="83" t="s">
        <v>181</v>
      </c>
      <c r="D1700" s="88"/>
      <c r="E1700" s="103" t="e">
        <f>+'RES CUENTA'!#REF!</f>
        <v>#REF!</v>
      </c>
      <c r="F1700" s="104">
        <v>0</v>
      </c>
      <c r="G1700" s="101" t="e">
        <f>+E1700</f>
        <v>#REF!</v>
      </c>
      <c r="H1700" s="430"/>
      <c r="I1700" s="430"/>
    </row>
    <row r="1701" spans="3:9" ht="18" x14ac:dyDescent="0.25">
      <c r="C1701" s="83" t="s">
        <v>213</v>
      </c>
      <c r="D1701" s="88"/>
      <c r="E1701" s="103" t="e">
        <f>+'RES CUENTA'!#REF!</f>
        <v>#REF!</v>
      </c>
      <c r="F1701" s="104">
        <v>0</v>
      </c>
      <c r="G1701" s="134" t="e">
        <f>+E1701</f>
        <v>#REF!</v>
      </c>
      <c r="H1701" s="430"/>
      <c r="I1701" s="430"/>
    </row>
    <row r="1702" spans="3:9" ht="18" x14ac:dyDescent="0.25">
      <c r="C1702" s="84"/>
      <c r="D1702" s="88"/>
      <c r="E1702" s="83"/>
      <c r="F1702" s="89"/>
      <c r="G1702" s="101" t="e">
        <f>SUM(G1698:G1701)</f>
        <v>#REF!</v>
      </c>
      <c r="H1702" s="430"/>
      <c r="I1702" s="430"/>
    </row>
    <row r="1703" spans="3:9" ht="18" x14ac:dyDescent="0.25">
      <c r="C1703" s="84"/>
      <c r="D1703" s="88"/>
      <c r="E1703" s="83"/>
      <c r="F1703" s="89"/>
      <c r="G1703" s="101"/>
      <c r="H1703" s="87"/>
      <c r="I1703" s="87"/>
    </row>
    <row r="1704" spans="3:9" ht="18" x14ac:dyDescent="0.25">
      <c r="C1704" s="84"/>
      <c r="D1704" s="88"/>
      <c r="E1704" s="83"/>
      <c r="F1704" s="83"/>
      <c r="H1704" s="432"/>
      <c r="I1704" s="432"/>
    </row>
    <row r="1705" spans="3:9" ht="18" x14ac:dyDescent="0.25">
      <c r="C1705" s="83"/>
      <c r="D1705" s="88"/>
      <c r="E1705" s="83"/>
      <c r="F1705" s="83"/>
      <c r="G1705" s="85"/>
      <c r="H1705" s="88"/>
      <c r="I1705" s="88"/>
    </row>
    <row r="1706" spans="3:9" ht="18" x14ac:dyDescent="0.25">
      <c r="C1706" s="83"/>
      <c r="D1706" s="88"/>
      <c r="E1706" s="83"/>
      <c r="F1706" s="83"/>
      <c r="G1706" s="89"/>
      <c r="H1706" s="83"/>
      <c r="I1706" s="83"/>
    </row>
    <row r="1707" spans="3:9" ht="21" customHeight="1" x14ac:dyDescent="0.25">
      <c r="C1707" s="83"/>
      <c r="D1707" s="88"/>
      <c r="E1707" s="83"/>
      <c r="F1707" s="83"/>
      <c r="G1707" s="89"/>
      <c r="H1707" s="83"/>
      <c r="I1707" s="83"/>
    </row>
    <row r="1708" spans="3:9" ht="18" x14ac:dyDescent="0.25">
      <c r="C1708" s="83" t="e">
        <f>+C1693</f>
        <v>#REF!</v>
      </c>
      <c r="D1708" s="427"/>
      <c r="E1708" s="427"/>
      <c r="F1708" s="83" t="e">
        <f>+C1708</f>
        <v>#REF!</v>
      </c>
      <c r="G1708" s="89"/>
      <c r="H1708" s="83"/>
      <c r="I1708" s="83"/>
    </row>
    <row r="1709" spans="3:9" ht="18" x14ac:dyDescent="0.25">
      <c r="D1709" s="88"/>
      <c r="E1709" s="83"/>
      <c r="G1709" s="427"/>
      <c r="H1709" s="427"/>
      <c r="I1709" s="427"/>
    </row>
    <row r="1710" spans="3:9" ht="18" x14ac:dyDescent="0.25">
      <c r="C1710" s="83" t="str">
        <f>+$F$1</f>
        <v>MONTES DE OCA 1068/1070 C.A.B.A.</v>
      </c>
      <c r="D1710" s="88"/>
      <c r="E1710" s="90" t="str">
        <f>+I1694</f>
        <v>Unid. 45</v>
      </c>
      <c r="F1710" s="83" t="str">
        <f>+$F$1</f>
        <v>MONTES DE OCA 1068/1070 C.A.B.A.</v>
      </c>
      <c r="G1710" s="83"/>
      <c r="H1710" s="83"/>
      <c r="I1710" s="90" t="str">
        <f>+E1710</f>
        <v>Unid. 45</v>
      </c>
    </row>
    <row r="1711" spans="3:9" ht="18" x14ac:dyDescent="0.25">
      <c r="I1711" s="84"/>
    </row>
    <row r="1712" spans="3:9" ht="14.25" customHeight="1" x14ac:dyDescent="0.25">
      <c r="C1712" s="84"/>
      <c r="D1712" s="91"/>
      <c r="E1712" s="84"/>
      <c r="F1712" s="84"/>
      <c r="G1712" s="83"/>
      <c r="H1712" s="83"/>
    </row>
    <row r="1713" spans="3:9" ht="18" x14ac:dyDescent="0.25">
      <c r="C1713" s="83" t="str">
        <f>+$F$2</f>
        <v>P/Depósito o transferencia en Banco Santander Rio</v>
      </c>
      <c r="D1713" s="88"/>
      <c r="E1713" s="83"/>
      <c r="F1713" s="83"/>
      <c r="G1713" s="83"/>
      <c r="H1713" s="84"/>
      <c r="I1713" s="99"/>
    </row>
    <row r="1714" spans="3:9" ht="18" x14ac:dyDescent="0.25">
      <c r="C1714" s="83" t="str">
        <f>+$F$3</f>
        <v xml:space="preserve">Cta. Cte. $ N° 558-000162/1 </v>
      </c>
      <c r="D1714" s="88"/>
      <c r="E1714" s="83"/>
      <c r="F1714" s="93"/>
      <c r="G1714" s="83"/>
      <c r="H1714" s="91"/>
      <c r="I1714" s="83"/>
    </row>
    <row r="1715" spans="3:9" ht="18" x14ac:dyDescent="0.25">
      <c r="D1715" s="88"/>
      <c r="E1715" s="83"/>
      <c r="F1715" s="83" t="s">
        <v>70</v>
      </c>
      <c r="G1715" s="102" t="e">
        <f>+G1698</f>
        <v>#REF!</v>
      </c>
      <c r="I1715" s="97">
        <f>+C1720</f>
        <v>46183</v>
      </c>
    </row>
    <row r="1716" spans="3:9" ht="18" x14ac:dyDescent="0.25">
      <c r="C1716" s="84"/>
      <c r="D1716" s="88"/>
      <c r="E1716" s="83"/>
      <c r="F1716" s="83" t="s">
        <v>71</v>
      </c>
      <c r="G1716" s="102" t="e">
        <f>+G1699</f>
        <v>#REF!</v>
      </c>
    </row>
    <row r="1717" spans="3:9" ht="18" x14ac:dyDescent="0.25">
      <c r="C1717" s="84"/>
      <c r="D1717" s="88"/>
      <c r="E1717" s="83"/>
      <c r="F1717" s="83" t="s">
        <v>72</v>
      </c>
      <c r="G1717" s="102" t="e">
        <f>+G1700</f>
        <v>#REF!</v>
      </c>
      <c r="H1717" s="83"/>
      <c r="I1717" s="83"/>
    </row>
    <row r="1718" spans="3:9" ht="18" x14ac:dyDescent="0.25">
      <c r="C1718" s="83"/>
      <c r="D1718" s="88"/>
      <c r="E1718" s="83"/>
      <c r="F1718" s="83" t="s">
        <v>73</v>
      </c>
      <c r="G1718" s="102" t="e">
        <f>+G1701</f>
        <v>#REF!</v>
      </c>
      <c r="H1718" s="83"/>
      <c r="I1718" s="83"/>
    </row>
    <row r="1719" spans="3:9" ht="18" x14ac:dyDescent="0.25">
      <c r="C1719" s="93"/>
      <c r="D1719" s="93"/>
      <c r="E1719" s="93"/>
      <c r="F1719" s="83" t="s">
        <v>181</v>
      </c>
      <c r="G1719" s="135">
        <v>0</v>
      </c>
      <c r="H1719" s="83"/>
      <c r="I1719" s="83"/>
    </row>
    <row r="1720" spans="3:9" ht="18" x14ac:dyDescent="0.25">
      <c r="C1720" s="97">
        <f>+$H$43</f>
        <v>46183</v>
      </c>
      <c r="D1720" s="157" t="e">
        <f>+G1702</f>
        <v>#REF!</v>
      </c>
      <c r="E1720" s="83"/>
      <c r="F1720" s="83" t="s">
        <v>74</v>
      </c>
      <c r="G1720" s="102" t="e">
        <f>+G1702</f>
        <v>#REF!</v>
      </c>
      <c r="H1720" s="83"/>
      <c r="I1720" s="83"/>
    </row>
    <row r="1721" spans="3:9" ht="18" x14ac:dyDescent="0.25">
      <c r="C1721" s="83"/>
      <c r="D1721" s="88"/>
      <c r="E1721" s="83"/>
      <c r="F1721" s="83"/>
      <c r="G1721" s="83"/>
      <c r="H1721" s="83"/>
      <c r="I1721" s="83"/>
    </row>
    <row r="1722" spans="3:9" ht="18" x14ac:dyDescent="0.25">
      <c r="C1722" s="83"/>
      <c r="D1722" s="88"/>
      <c r="E1722" s="83"/>
      <c r="F1722" s="83"/>
      <c r="G1722" s="83"/>
      <c r="H1722" s="425"/>
      <c r="I1722" s="425"/>
    </row>
    <row r="1723" spans="3:9" ht="18" x14ac:dyDescent="0.25">
      <c r="C1723" s="83"/>
      <c r="D1723" s="88"/>
      <c r="E1723" s="83"/>
      <c r="F1723" s="83"/>
      <c r="G1723" s="83"/>
      <c r="H1723" s="83"/>
      <c r="I1723" s="83"/>
    </row>
    <row r="1724" spans="3:9" ht="18" x14ac:dyDescent="0.25">
      <c r="C1724" s="83"/>
      <c r="D1724" s="88"/>
      <c r="E1724" s="83"/>
      <c r="F1724" s="83"/>
      <c r="G1724" s="83"/>
      <c r="H1724" s="83"/>
      <c r="I1724" s="83"/>
    </row>
    <row r="1725" spans="3:9" ht="18" x14ac:dyDescent="0.25">
      <c r="C1725" s="83"/>
      <c r="D1725" s="88"/>
      <c r="E1725" s="83"/>
      <c r="F1725" s="83"/>
      <c r="G1725" s="83"/>
      <c r="H1725" s="83"/>
      <c r="I1725" s="83"/>
    </row>
    <row r="1726" spans="3:9" ht="18" x14ac:dyDescent="0.25">
      <c r="C1726" s="83"/>
      <c r="D1726" s="88"/>
      <c r="E1726" s="83"/>
      <c r="F1726" s="83"/>
      <c r="G1726" s="83"/>
      <c r="H1726" s="83"/>
      <c r="I1726" s="83"/>
    </row>
    <row r="1727" spans="3:9" ht="18" x14ac:dyDescent="0.25">
      <c r="C1727" s="83"/>
      <c r="D1727" s="88"/>
      <c r="E1727" s="83"/>
      <c r="F1727" s="83"/>
      <c r="G1727" s="83"/>
      <c r="I1727" s="83"/>
    </row>
    <row r="1728" spans="3:9" ht="18" x14ac:dyDescent="0.25">
      <c r="C1728" s="424"/>
      <c r="D1728" s="424"/>
      <c r="E1728" s="424"/>
      <c r="F1728" s="83"/>
      <c r="G1728" s="83"/>
      <c r="I1728" s="83"/>
    </row>
    <row r="1729" spans="3:9" ht="18" x14ac:dyDescent="0.25">
      <c r="C1729" s="424"/>
      <c r="D1729" s="424"/>
      <c r="E1729" s="424"/>
      <c r="F1729" s="96">
        <f>+$C$1</f>
        <v>46143</v>
      </c>
      <c r="G1729" s="83"/>
      <c r="H1729" s="97">
        <f>+$E$1</f>
        <v>46183</v>
      </c>
      <c r="I1729" s="95"/>
    </row>
    <row r="1730" spans="3:9" ht="18" x14ac:dyDescent="0.25">
      <c r="C1730" s="82"/>
      <c r="D1730" s="82"/>
      <c r="E1730" s="98"/>
      <c r="F1730" s="96"/>
      <c r="G1730" s="83"/>
    </row>
    <row r="1731" spans="3:9" ht="18" x14ac:dyDescent="0.25">
      <c r="C1731" s="83" t="e">
        <f>+#REF!</f>
        <v>#REF!</v>
      </c>
      <c r="D1731" s="88"/>
      <c r="E1731" s="83"/>
      <c r="G1731" s="83"/>
    </row>
    <row r="1732" spans="3:9" ht="18" x14ac:dyDescent="0.25">
      <c r="D1732" s="88"/>
      <c r="E1732" s="83"/>
      <c r="F1732" s="83" t="str">
        <f>+$F$1</f>
        <v>MONTES DE OCA 1068/1070 C.A.B.A.</v>
      </c>
      <c r="G1732" s="83"/>
      <c r="I1732" s="90" t="s">
        <v>120</v>
      </c>
    </row>
    <row r="1733" spans="3:9" ht="18" x14ac:dyDescent="0.25">
      <c r="C1733" s="84"/>
      <c r="D1733" s="88"/>
      <c r="E1733" s="83"/>
      <c r="G1733" s="83"/>
      <c r="H1733" s="84"/>
    </row>
    <row r="1734" spans="3:9" ht="18" x14ac:dyDescent="0.25">
      <c r="C1734" s="83"/>
      <c r="D1734" s="88"/>
      <c r="E1734" s="83"/>
      <c r="F1734" s="84"/>
      <c r="G1734" s="83"/>
      <c r="H1734" s="83"/>
      <c r="I1734" s="84"/>
    </row>
    <row r="1735" spans="3:9" ht="18" x14ac:dyDescent="0.25">
      <c r="C1735" s="91"/>
      <c r="D1735" s="88"/>
      <c r="E1735" s="91"/>
      <c r="F1735" s="83"/>
      <c r="G1735" s="83"/>
      <c r="H1735" s="83"/>
      <c r="I1735" s="83"/>
    </row>
    <row r="1736" spans="3:9" ht="18" x14ac:dyDescent="0.25">
      <c r="C1736" s="83" t="s">
        <v>68</v>
      </c>
      <c r="D1736" s="88"/>
      <c r="E1736" s="103" t="e">
        <f>+'RES CUENTA'!#REF!</f>
        <v>#REF!</v>
      </c>
      <c r="F1736" s="104" t="e">
        <f>+'RES CUENTA'!#REF!</f>
        <v>#REF!</v>
      </c>
      <c r="G1736" s="101" t="e">
        <f>+E1736*F1736/100</f>
        <v>#REF!</v>
      </c>
      <c r="H1736" s="83"/>
      <c r="I1736" s="91"/>
    </row>
    <row r="1737" spans="3:9" ht="18" x14ac:dyDescent="0.25">
      <c r="C1737" s="83" t="s">
        <v>69</v>
      </c>
      <c r="D1737" s="88"/>
      <c r="E1737" s="103" t="e">
        <f>+'RES CUENTA'!#REF!</f>
        <v>#REF!</v>
      </c>
      <c r="F1737" s="104" t="e">
        <f>+'RES CUENTA'!#REF!</f>
        <v>#REF!</v>
      </c>
      <c r="G1737" s="101" t="e">
        <f>+E1737*F1737/100</f>
        <v>#REF!</v>
      </c>
      <c r="H1737" s="91"/>
      <c r="I1737" s="87"/>
    </row>
    <row r="1738" spans="3:9" ht="18" x14ac:dyDescent="0.25">
      <c r="C1738" s="83" t="s">
        <v>181</v>
      </c>
      <c r="D1738" s="88"/>
      <c r="E1738" s="103" t="e">
        <f>+'RES CUENTA'!#REF!</f>
        <v>#REF!</v>
      </c>
      <c r="F1738" s="104">
        <f>+'RES CUENTA'!M781</f>
        <v>0</v>
      </c>
      <c r="G1738" s="101" t="e">
        <f>+E1738</f>
        <v>#REF!</v>
      </c>
      <c r="H1738" s="87"/>
      <c r="I1738" s="87"/>
    </row>
    <row r="1739" spans="3:9" ht="18" x14ac:dyDescent="0.25">
      <c r="C1739" s="83" t="s">
        <v>213</v>
      </c>
      <c r="D1739" s="88"/>
      <c r="E1739" s="103" t="e">
        <f>+'RES CUENTA'!#REF!</f>
        <v>#REF!</v>
      </c>
      <c r="F1739" s="104">
        <f>+'RES CUENTA'!N780</f>
        <v>0</v>
      </c>
      <c r="G1739" s="134" t="e">
        <f>+E1739</f>
        <v>#REF!</v>
      </c>
      <c r="H1739" s="87"/>
      <c r="I1739" s="87"/>
    </row>
    <row r="1740" spans="3:9" ht="18" x14ac:dyDescent="0.25">
      <c r="C1740" s="84"/>
      <c r="D1740" s="88"/>
      <c r="E1740" s="83"/>
      <c r="G1740" s="101" t="e">
        <f>SUM(G1736:G1739)</f>
        <v>#REF!</v>
      </c>
      <c r="H1740" s="87"/>
      <c r="I1740" s="87"/>
    </row>
    <row r="1741" spans="3:9" ht="18" x14ac:dyDescent="0.25">
      <c r="C1741" s="84"/>
      <c r="D1741" s="88"/>
      <c r="E1741" s="83"/>
      <c r="G1741" s="101"/>
      <c r="H1741" s="87"/>
      <c r="I1741" s="87"/>
    </row>
    <row r="1742" spans="3:9" ht="18" x14ac:dyDescent="0.25">
      <c r="C1742" s="83"/>
      <c r="D1742" s="88"/>
      <c r="E1742" s="83"/>
      <c r="F1742" s="83"/>
      <c r="G1742" s="89"/>
      <c r="H1742" s="88"/>
      <c r="I1742" s="88"/>
    </row>
    <row r="1743" spans="3:9" ht="18" x14ac:dyDescent="0.25">
      <c r="C1743" s="83"/>
      <c r="D1743" s="88"/>
      <c r="E1743" s="83"/>
      <c r="F1743" s="83"/>
      <c r="G1743" s="89"/>
      <c r="H1743" s="88"/>
      <c r="I1743" s="88"/>
    </row>
    <row r="1744" spans="3:9" ht="18" x14ac:dyDescent="0.25">
      <c r="C1744" s="83"/>
      <c r="D1744" s="88"/>
      <c r="E1744" s="83"/>
      <c r="F1744" s="83"/>
      <c r="G1744" s="89"/>
      <c r="H1744" s="88"/>
      <c r="I1744" s="88"/>
    </row>
    <row r="1745" spans="3:9" ht="21.75" customHeight="1" x14ac:dyDescent="0.25">
      <c r="C1745" s="83"/>
      <c r="D1745" s="88"/>
      <c r="E1745" s="83"/>
      <c r="F1745" s="83"/>
      <c r="G1745" s="89"/>
      <c r="H1745" s="88"/>
      <c r="I1745" s="83"/>
    </row>
    <row r="1746" spans="3:9" ht="18" x14ac:dyDescent="0.25">
      <c r="C1746" s="83" t="e">
        <f>+C1731</f>
        <v>#REF!</v>
      </c>
      <c r="D1746" s="88"/>
      <c r="E1746" s="83"/>
      <c r="F1746" s="83" t="e">
        <f>+C1731</f>
        <v>#REF!</v>
      </c>
      <c r="G1746" s="83"/>
      <c r="H1746" s="83"/>
      <c r="I1746" s="99"/>
    </row>
    <row r="1747" spans="3:9" ht="18" x14ac:dyDescent="0.25">
      <c r="C1747" s="84"/>
      <c r="D1747" s="88"/>
      <c r="E1747" s="83"/>
      <c r="G1747" s="83"/>
      <c r="H1747" s="99"/>
      <c r="I1747" s="90" t="str">
        <f>+I1732</f>
        <v>Unid. 46</v>
      </c>
    </row>
    <row r="1748" spans="3:9" ht="18" x14ac:dyDescent="0.25">
      <c r="C1748" s="83" t="str">
        <f>+$F$1</f>
        <v>MONTES DE OCA 1068/1070 C.A.B.A.</v>
      </c>
      <c r="D1748" s="88"/>
      <c r="E1748" s="90" t="str">
        <f>+I1747</f>
        <v>Unid. 46</v>
      </c>
      <c r="F1748" s="83" t="str">
        <f>+$F$1</f>
        <v>MONTES DE OCA 1068/1070 C.A.B.A.</v>
      </c>
      <c r="G1748" s="83"/>
      <c r="H1748" s="83"/>
      <c r="I1748" s="84"/>
    </row>
    <row r="1749" spans="3:9" ht="18" x14ac:dyDescent="0.25">
      <c r="C1749" s="84"/>
      <c r="D1749" s="91"/>
      <c r="E1749" s="84"/>
      <c r="G1749" s="83"/>
      <c r="H1749" s="83"/>
    </row>
    <row r="1750" spans="3:9" ht="14.25" customHeight="1" x14ac:dyDescent="0.25">
      <c r="C1750" s="83"/>
      <c r="D1750" s="88"/>
      <c r="E1750" s="83"/>
      <c r="F1750" s="84"/>
      <c r="G1750" s="83"/>
      <c r="H1750" s="83"/>
      <c r="I1750" s="99"/>
    </row>
    <row r="1751" spans="3:9" ht="18" x14ac:dyDescent="0.25">
      <c r="C1751" s="83" t="str">
        <f>+$F$2</f>
        <v>P/Depósito o transferencia en Banco Santander Rio</v>
      </c>
      <c r="D1751" s="88"/>
      <c r="E1751" s="83"/>
      <c r="F1751" s="83"/>
      <c r="G1751" s="128"/>
      <c r="H1751" s="84"/>
      <c r="I1751" s="83"/>
    </row>
    <row r="1752" spans="3:9" ht="18" x14ac:dyDescent="0.25">
      <c r="C1752" s="83" t="str">
        <f>+$F$3</f>
        <v xml:space="preserve">Cta. Cte. $ N° 558-000162/1 </v>
      </c>
      <c r="D1752" s="88"/>
      <c r="E1752" s="83"/>
      <c r="F1752" s="93"/>
      <c r="H1752" s="91"/>
      <c r="I1752" s="92"/>
    </row>
    <row r="1753" spans="3:9" ht="18" x14ac:dyDescent="0.25">
      <c r="C1753" s="84"/>
      <c r="D1753" s="88"/>
      <c r="E1753" s="83"/>
      <c r="F1753" s="83" t="s">
        <v>70</v>
      </c>
      <c r="G1753" s="102" t="e">
        <f>+G1736</f>
        <v>#REF!</v>
      </c>
      <c r="H1753" s="92"/>
      <c r="I1753" s="97">
        <f>+C1757</f>
        <v>46183</v>
      </c>
    </row>
    <row r="1754" spans="3:9" ht="18" x14ac:dyDescent="0.25">
      <c r="C1754" s="84"/>
      <c r="D1754" s="88"/>
      <c r="E1754" s="83"/>
      <c r="F1754" s="83" t="s">
        <v>71</v>
      </c>
      <c r="G1754" s="102" t="e">
        <f>+G1737</f>
        <v>#REF!</v>
      </c>
      <c r="I1754" s="83"/>
    </row>
    <row r="1755" spans="3:9" ht="18" x14ac:dyDescent="0.25">
      <c r="C1755" s="83"/>
      <c r="D1755" s="88"/>
      <c r="E1755" s="83"/>
      <c r="F1755" s="83" t="s">
        <v>72</v>
      </c>
      <c r="G1755" s="102" t="e">
        <f>+G1738</f>
        <v>#REF!</v>
      </c>
      <c r="H1755" s="83"/>
      <c r="I1755" s="83"/>
    </row>
    <row r="1756" spans="3:9" ht="18" x14ac:dyDescent="0.25">
      <c r="C1756" s="93"/>
      <c r="D1756" s="93"/>
      <c r="E1756" s="93"/>
      <c r="F1756" s="83" t="s">
        <v>73</v>
      </c>
      <c r="G1756" s="102" t="e">
        <f>+G1739</f>
        <v>#REF!</v>
      </c>
      <c r="H1756" s="83"/>
      <c r="I1756" s="83"/>
    </row>
    <row r="1757" spans="3:9" ht="18" x14ac:dyDescent="0.25">
      <c r="C1757" s="97">
        <f>+$H$43</f>
        <v>46183</v>
      </c>
      <c r="D1757" s="157" t="e">
        <f>+G1740</f>
        <v>#REF!</v>
      </c>
      <c r="E1757" s="83"/>
      <c r="F1757" s="83" t="s">
        <v>181</v>
      </c>
      <c r="G1757" s="135">
        <v>0</v>
      </c>
      <c r="H1757" s="83"/>
      <c r="I1757" s="83"/>
    </row>
    <row r="1758" spans="3:9" ht="18" x14ac:dyDescent="0.25">
      <c r="C1758" s="83"/>
      <c r="D1758" s="88"/>
      <c r="E1758" s="83"/>
      <c r="F1758" s="83" t="s">
        <v>74</v>
      </c>
      <c r="G1758" s="102" t="e">
        <f>+G1740</f>
        <v>#REF!</v>
      </c>
      <c r="H1758" s="83"/>
      <c r="I1758" s="83"/>
    </row>
    <row r="1759" spans="3:9" ht="18" x14ac:dyDescent="0.25">
      <c r="C1759" s="83"/>
      <c r="D1759" s="88"/>
      <c r="E1759" s="83"/>
      <c r="F1759" s="83"/>
      <c r="G1759" s="83"/>
      <c r="H1759" s="83"/>
      <c r="I1759" s="83"/>
    </row>
    <row r="1760" spans="3:9" ht="18" x14ac:dyDescent="0.25">
      <c r="C1760" s="83"/>
      <c r="D1760" s="88"/>
      <c r="E1760" s="83"/>
      <c r="F1760" s="100"/>
      <c r="G1760" s="83"/>
      <c r="H1760" s="83"/>
      <c r="I1760" s="83"/>
    </row>
    <row r="1761" spans="3:9" ht="18" x14ac:dyDescent="0.25">
      <c r="C1761" s="83"/>
      <c r="D1761" s="88"/>
      <c r="E1761" s="83"/>
      <c r="F1761" s="83"/>
      <c r="G1761" s="83"/>
      <c r="H1761" s="83"/>
      <c r="I1761" s="91"/>
    </row>
    <row r="1762" spans="3:9" ht="9" customHeight="1" x14ac:dyDescent="0.25">
      <c r="F1762" s="83"/>
      <c r="H1762" s="91"/>
      <c r="I1762" s="83"/>
    </row>
    <row r="1764" spans="3:9" ht="18" x14ac:dyDescent="0.25">
      <c r="C1764" s="424"/>
      <c r="D1764" s="424"/>
      <c r="E1764" s="424"/>
      <c r="F1764" s="433">
        <f>+$C$1</f>
        <v>46143</v>
      </c>
      <c r="G1764" s="83"/>
      <c r="H1764" s="429">
        <f>+$E$1</f>
        <v>46183</v>
      </c>
      <c r="I1764" s="83"/>
    </row>
    <row r="1765" spans="3:9" ht="18" x14ac:dyDescent="0.25">
      <c r="C1765" s="82"/>
      <c r="D1765" s="82"/>
      <c r="E1765" s="98"/>
      <c r="F1765" s="433"/>
      <c r="G1765" s="83"/>
      <c r="H1765" s="429"/>
      <c r="I1765" s="83"/>
    </row>
    <row r="1766" spans="3:9" ht="18" x14ac:dyDescent="0.25">
      <c r="C1766" s="83"/>
      <c r="D1766" s="88"/>
      <c r="E1766" s="83"/>
      <c r="F1766" s="84"/>
      <c r="G1766" s="83"/>
      <c r="H1766" s="84"/>
      <c r="I1766" s="83"/>
    </row>
    <row r="1767" spans="3:9" ht="18" x14ac:dyDescent="0.25">
      <c r="C1767" s="83" t="e">
        <f>+#REF!</f>
        <v>#REF!</v>
      </c>
      <c r="D1767" s="88"/>
      <c r="E1767" s="83"/>
      <c r="F1767" s="84"/>
      <c r="G1767" s="83"/>
      <c r="H1767" s="84"/>
      <c r="I1767" s="83"/>
    </row>
    <row r="1768" spans="3:9" ht="18" x14ac:dyDescent="0.25">
      <c r="C1768" s="84"/>
      <c r="D1768" s="88"/>
      <c r="E1768" s="83"/>
      <c r="F1768" s="83" t="s">
        <v>293</v>
      </c>
      <c r="G1768" s="83"/>
      <c r="H1768" s="83"/>
      <c r="I1768" s="90" t="s">
        <v>121</v>
      </c>
    </row>
    <row r="1769" spans="3:9" ht="18" x14ac:dyDescent="0.25">
      <c r="C1769" s="83"/>
      <c r="D1769" s="88"/>
      <c r="E1769" s="83"/>
      <c r="F1769" s="84"/>
      <c r="G1769" s="83"/>
      <c r="H1769" s="83"/>
      <c r="I1769" s="84"/>
    </row>
    <row r="1770" spans="3:9" ht="18" x14ac:dyDescent="0.25">
      <c r="C1770" s="91"/>
      <c r="D1770" s="88"/>
      <c r="E1770" s="91"/>
      <c r="F1770" s="83"/>
      <c r="G1770" s="83"/>
      <c r="H1770" s="83"/>
      <c r="I1770" s="83"/>
    </row>
    <row r="1771" spans="3:9" ht="18" x14ac:dyDescent="0.25">
      <c r="C1771" s="91"/>
      <c r="D1771" s="88"/>
      <c r="E1771" s="91"/>
      <c r="F1771" s="83"/>
      <c r="G1771" s="83"/>
      <c r="H1771" s="83"/>
      <c r="I1771" s="83"/>
    </row>
    <row r="1772" spans="3:9" ht="18" x14ac:dyDescent="0.25">
      <c r="C1772" s="83" t="s">
        <v>68</v>
      </c>
      <c r="D1772" s="88"/>
      <c r="E1772" s="103" t="e">
        <f>+'RES CUENTA'!#REF!</f>
        <v>#REF!</v>
      </c>
      <c r="F1772" s="104" t="e">
        <f>+'RES CUENTA'!#REF!</f>
        <v>#REF!</v>
      </c>
      <c r="G1772" s="101" t="e">
        <f>+E1772*F1772/100</f>
        <v>#REF!</v>
      </c>
      <c r="H1772" s="425"/>
      <c r="I1772" s="425"/>
    </row>
    <row r="1773" spans="3:9" ht="18" x14ac:dyDescent="0.25">
      <c r="C1773" s="83" t="s">
        <v>69</v>
      </c>
      <c r="D1773" s="88"/>
      <c r="E1773" s="103" t="e">
        <f>+'RES CUENTA'!#REF!</f>
        <v>#REF!</v>
      </c>
      <c r="F1773" s="104" t="e">
        <f>+'RES CUENTA'!#REF!</f>
        <v>#REF!</v>
      </c>
      <c r="G1773" s="101" t="e">
        <f>+E1773*F1773/100</f>
        <v>#REF!</v>
      </c>
      <c r="H1773" s="430"/>
      <c r="I1773" s="430"/>
    </row>
    <row r="1774" spans="3:9" ht="18" x14ac:dyDescent="0.25">
      <c r="C1774" s="83" t="s">
        <v>181</v>
      </c>
      <c r="D1774" s="88"/>
      <c r="E1774" s="103" t="e">
        <f>+'RES CUENTA'!#REF!</f>
        <v>#REF!</v>
      </c>
      <c r="F1774" s="104">
        <v>0</v>
      </c>
      <c r="G1774" s="101" t="e">
        <f>+E1774</f>
        <v>#REF!</v>
      </c>
      <c r="H1774" s="430"/>
      <c r="I1774" s="430"/>
    </row>
    <row r="1775" spans="3:9" ht="18" x14ac:dyDescent="0.25">
      <c r="C1775" s="83" t="s">
        <v>213</v>
      </c>
      <c r="D1775" s="88"/>
      <c r="E1775" s="103" t="e">
        <f>+'RES CUENTA'!#REF!</f>
        <v>#REF!</v>
      </c>
      <c r="F1775" s="104">
        <v>0</v>
      </c>
      <c r="G1775" s="134" t="e">
        <f>+E1775</f>
        <v>#REF!</v>
      </c>
      <c r="H1775" s="430"/>
      <c r="I1775" s="430"/>
    </row>
    <row r="1776" spans="3:9" ht="18" x14ac:dyDescent="0.25">
      <c r="C1776" s="84"/>
      <c r="D1776" s="88"/>
      <c r="E1776" s="83"/>
      <c r="F1776" s="89"/>
      <c r="G1776" s="101" t="e">
        <f>SUM(G1772:G1775)</f>
        <v>#REF!</v>
      </c>
      <c r="H1776" s="430"/>
      <c r="I1776" s="430"/>
    </row>
    <row r="1777" spans="3:9" ht="18" x14ac:dyDescent="0.25">
      <c r="C1777" s="84"/>
      <c r="D1777" s="88"/>
      <c r="E1777" s="83"/>
      <c r="F1777" s="89"/>
      <c r="G1777" s="101"/>
      <c r="H1777" s="87"/>
      <c r="I1777" s="87"/>
    </row>
    <row r="1778" spans="3:9" ht="18" x14ac:dyDescent="0.25">
      <c r="C1778" s="84"/>
      <c r="D1778" s="88"/>
      <c r="E1778" s="83"/>
      <c r="F1778" s="83"/>
      <c r="H1778" s="432"/>
      <c r="I1778" s="432"/>
    </row>
    <row r="1779" spans="3:9" ht="18" x14ac:dyDescent="0.25">
      <c r="C1779" s="83"/>
      <c r="D1779" s="88"/>
      <c r="E1779" s="83"/>
      <c r="F1779" s="83"/>
      <c r="G1779" s="85"/>
      <c r="H1779" s="88"/>
      <c r="I1779" s="88"/>
    </row>
    <row r="1780" spans="3:9" ht="18" x14ac:dyDescent="0.25">
      <c r="C1780" s="83"/>
      <c r="D1780" s="88"/>
      <c r="E1780" s="83"/>
      <c r="F1780" s="83"/>
      <c r="G1780" s="89"/>
      <c r="H1780" s="83"/>
      <c r="I1780" s="83"/>
    </row>
    <row r="1781" spans="3:9" ht="23.25" customHeight="1" x14ac:dyDescent="0.25">
      <c r="C1781" s="83"/>
      <c r="D1781" s="88"/>
      <c r="E1781" s="83"/>
      <c r="F1781" s="83"/>
      <c r="G1781" s="89"/>
      <c r="H1781" s="83"/>
      <c r="I1781" s="83"/>
    </row>
    <row r="1782" spans="3:9" ht="18" x14ac:dyDescent="0.25">
      <c r="C1782" s="83" t="e">
        <f>+C1767</f>
        <v>#REF!</v>
      </c>
      <c r="D1782" s="427"/>
      <c r="E1782" s="427"/>
      <c r="F1782" s="83" t="e">
        <f>+C1782</f>
        <v>#REF!</v>
      </c>
      <c r="G1782" s="89"/>
      <c r="H1782" s="83"/>
      <c r="I1782" s="83"/>
    </row>
    <row r="1783" spans="3:9" ht="18" x14ac:dyDescent="0.25">
      <c r="D1783" s="88"/>
      <c r="E1783" s="83"/>
      <c r="G1783" s="427"/>
      <c r="H1783" s="427"/>
      <c r="I1783" s="427"/>
    </row>
    <row r="1784" spans="3:9" ht="18" x14ac:dyDescent="0.25">
      <c r="C1784" s="83" t="str">
        <f>+$F$1</f>
        <v>MONTES DE OCA 1068/1070 C.A.B.A.</v>
      </c>
      <c r="D1784" s="88"/>
      <c r="E1784" s="90" t="str">
        <f>+I1768</f>
        <v>Unid. 47</v>
      </c>
      <c r="F1784" s="83" t="str">
        <f>+$F$1</f>
        <v>MONTES DE OCA 1068/1070 C.A.B.A.</v>
      </c>
      <c r="G1784" s="83"/>
      <c r="H1784" s="83"/>
      <c r="I1784" s="90" t="str">
        <f>+E1784</f>
        <v>Unid. 47</v>
      </c>
    </row>
    <row r="1785" spans="3:9" ht="18" x14ac:dyDescent="0.25">
      <c r="I1785" s="84"/>
    </row>
    <row r="1786" spans="3:9" ht="14.25" customHeight="1" x14ac:dyDescent="0.25">
      <c r="C1786" s="84"/>
      <c r="D1786" s="91"/>
      <c r="E1786" s="84"/>
      <c r="F1786" s="84"/>
      <c r="G1786" s="83"/>
      <c r="H1786" s="83"/>
    </row>
    <row r="1787" spans="3:9" ht="18" x14ac:dyDescent="0.25">
      <c r="C1787" s="83" t="str">
        <f>+$F$2</f>
        <v>P/Depósito o transferencia en Banco Santander Rio</v>
      </c>
      <c r="D1787" s="88"/>
      <c r="E1787" s="83"/>
      <c r="F1787" s="83"/>
      <c r="G1787" s="83"/>
      <c r="H1787" s="84"/>
      <c r="I1787" s="99"/>
    </row>
    <row r="1788" spans="3:9" ht="18" x14ac:dyDescent="0.25">
      <c r="C1788" s="83" t="str">
        <f>+$F$3</f>
        <v xml:space="preserve">Cta. Cte. $ N° 558-000162/1 </v>
      </c>
      <c r="D1788" s="88"/>
      <c r="E1788" s="83"/>
      <c r="F1788" s="93"/>
      <c r="G1788" s="83"/>
      <c r="H1788" s="91"/>
      <c r="I1788" s="83"/>
    </row>
    <row r="1789" spans="3:9" ht="18" x14ac:dyDescent="0.25">
      <c r="D1789" s="88"/>
      <c r="E1789" s="83"/>
      <c r="F1789" s="83" t="s">
        <v>70</v>
      </c>
      <c r="G1789" s="102" t="e">
        <f>+G1772</f>
        <v>#REF!</v>
      </c>
      <c r="I1789" s="97">
        <f>+C1794</f>
        <v>46183</v>
      </c>
    </row>
    <row r="1790" spans="3:9" ht="18" x14ac:dyDescent="0.25">
      <c r="C1790" s="84"/>
      <c r="D1790" s="88"/>
      <c r="E1790" s="83"/>
      <c r="F1790" s="83" t="s">
        <v>71</v>
      </c>
      <c r="G1790" s="102" t="e">
        <f>+G1773</f>
        <v>#REF!</v>
      </c>
    </row>
    <row r="1791" spans="3:9" ht="18" x14ac:dyDescent="0.25">
      <c r="C1791" s="84"/>
      <c r="D1791" s="88"/>
      <c r="E1791" s="83"/>
      <c r="F1791" s="83" t="s">
        <v>72</v>
      </c>
      <c r="G1791" s="102" t="e">
        <f>+G1774</f>
        <v>#REF!</v>
      </c>
      <c r="H1791" s="83"/>
      <c r="I1791" s="83"/>
    </row>
    <row r="1792" spans="3:9" ht="18" x14ac:dyDescent="0.25">
      <c r="C1792" s="83"/>
      <c r="D1792" s="88"/>
      <c r="E1792" s="83"/>
      <c r="F1792" s="83" t="s">
        <v>73</v>
      </c>
      <c r="G1792" s="102" t="e">
        <f>+G1775</f>
        <v>#REF!</v>
      </c>
      <c r="H1792" s="83"/>
      <c r="I1792" s="83"/>
    </row>
    <row r="1793" spans="3:9" ht="18" x14ac:dyDescent="0.25">
      <c r="C1793" s="93"/>
      <c r="D1793" s="93"/>
      <c r="E1793" s="93"/>
      <c r="F1793" s="83" t="s">
        <v>181</v>
      </c>
      <c r="G1793" s="135">
        <v>0</v>
      </c>
      <c r="H1793" s="83"/>
      <c r="I1793" s="83"/>
    </row>
    <row r="1794" spans="3:9" ht="18" x14ac:dyDescent="0.25">
      <c r="C1794" s="97">
        <f>+$H$43</f>
        <v>46183</v>
      </c>
      <c r="D1794" s="157" t="e">
        <f>+G1776</f>
        <v>#REF!</v>
      </c>
      <c r="E1794" s="83"/>
      <c r="F1794" s="83" t="s">
        <v>74</v>
      </c>
      <c r="G1794" s="102" t="e">
        <f>+G1776</f>
        <v>#REF!</v>
      </c>
      <c r="H1794" s="83"/>
      <c r="I1794" s="83"/>
    </row>
    <row r="1795" spans="3:9" ht="18" x14ac:dyDescent="0.25">
      <c r="C1795" s="83"/>
      <c r="D1795" s="88"/>
      <c r="E1795" s="83"/>
      <c r="F1795" s="83"/>
      <c r="G1795" s="83"/>
      <c r="H1795" s="83"/>
      <c r="I1795" s="83"/>
    </row>
    <row r="1796" spans="3:9" ht="18" x14ac:dyDescent="0.25">
      <c r="C1796" s="83"/>
      <c r="D1796" s="88"/>
      <c r="E1796" s="83"/>
      <c r="F1796" s="83"/>
      <c r="G1796" s="83"/>
      <c r="H1796" s="425"/>
      <c r="I1796" s="425"/>
    </row>
    <row r="1797" spans="3:9" ht="18" x14ac:dyDescent="0.25">
      <c r="C1797" s="83"/>
      <c r="D1797" s="88"/>
      <c r="E1797" s="83"/>
      <c r="F1797" s="83"/>
      <c r="G1797" s="83"/>
      <c r="H1797" s="83"/>
      <c r="I1797" s="83"/>
    </row>
    <row r="1798" spans="3:9" ht="18" x14ac:dyDescent="0.25">
      <c r="C1798" s="83"/>
      <c r="D1798" s="88"/>
      <c r="E1798" s="83"/>
      <c r="F1798" s="83"/>
      <c r="G1798" s="83"/>
      <c r="H1798" s="83"/>
      <c r="I1798" s="83"/>
    </row>
    <row r="1799" spans="3:9" ht="18" x14ac:dyDescent="0.25">
      <c r="C1799" s="83"/>
      <c r="D1799" s="88"/>
      <c r="E1799" s="83"/>
      <c r="F1799" s="83"/>
      <c r="G1799" s="83"/>
      <c r="H1799" s="83"/>
      <c r="I1799" s="83"/>
    </row>
    <row r="1800" spans="3:9" ht="18" x14ac:dyDescent="0.25">
      <c r="C1800" s="83"/>
      <c r="D1800" s="88"/>
      <c r="E1800" s="83"/>
      <c r="F1800" s="83"/>
      <c r="G1800" s="83"/>
      <c r="I1800" s="83"/>
    </row>
    <row r="1801" spans="3:9" ht="18" x14ac:dyDescent="0.25">
      <c r="C1801" s="83"/>
      <c r="D1801" s="88"/>
      <c r="E1801" s="83"/>
      <c r="F1801" s="83"/>
      <c r="G1801" s="83"/>
      <c r="I1801" s="83"/>
    </row>
    <row r="1802" spans="3:9" ht="18" x14ac:dyDescent="0.25">
      <c r="C1802" s="424"/>
      <c r="D1802" s="424"/>
      <c r="E1802" s="424"/>
      <c r="F1802" s="83"/>
      <c r="G1802" s="83"/>
      <c r="I1802" s="83"/>
    </row>
    <row r="1803" spans="3:9" ht="18" x14ac:dyDescent="0.25">
      <c r="C1803" s="424"/>
      <c r="D1803" s="424"/>
      <c r="E1803" s="424"/>
      <c r="F1803" s="96">
        <f>+$C$1</f>
        <v>46143</v>
      </c>
      <c r="G1803" s="83"/>
      <c r="H1803" s="97">
        <f>+$E$1</f>
        <v>46183</v>
      </c>
      <c r="I1803" s="95"/>
    </row>
    <row r="1804" spans="3:9" ht="18" x14ac:dyDescent="0.25">
      <c r="C1804" s="82"/>
      <c r="D1804" s="82"/>
      <c r="E1804" s="98"/>
      <c r="F1804" s="96"/>
      <c r="G1804" s="83"/>
    </row>
    <row r="1805" spans="3:9" ht="18" x14ac:dyDescent="0.25">
      <c r="C1805" s="83" t="e">
        <f>+#REF!</f>
        <v>#REF!</v>
      </c>
      <c r="D1805" s="88"/>
      <c r="E1805" s="83"/>
      <c r="G1805" s="83"/>
    </row>
    <row r="1806" spans="3:9" ht="18" x14ac:dyDescent="0.25">
      <c r="D1806" s="88"/>
      <c r="E1806" s="83"/>
      <c r="F1806" s="83" t="str">
        <f>+$F$1</f>
        <v>MONTES DE OCA 1068/1070 C.A.B.A.</v>
      </c>
      <c r="G1806" s="83"/>
      <c r="I1806" s="90" t="s">
        <v>122</v>
      </c>
    </row>
    <row r="1807" spans="3:9" ht="18" x14ac:dyDescent="0.25">
      <c r="C1807" s="84"/>
      <c r="D1807" s="88"/>
      <c r="E1807" s="83"/>
      <c r="G1807" s="83"/>
      <c r="H1807" s="84"/>
    </row>
    <row r="1808" spans="3:9" ht="18" x14ac:dyDescent="0.25">
      <c r="C1808" s="83"/>
      <c r="D1808" s="88"/>
      <c r="E1808" s="83"/>
      <c r="F1808" s="84"/>
      <c r="G1808" s="83"/>
      <c r="H1808" s="83"/>
      <c r="I1808" s="84"/>
    </row>
    <row r="1809" spans="3:9" ht="18" x14ac:dyDescent="0.25">
      <c r="C1809" s="91"/>
      <c r="D1809" s="88"/>
      <c r="E1809" s="91"/>
      <c r="F1809" s="83"/>
      <c r="G1809" s="83"/>
      <c r="H1809" s="83"/>
      <c r="I1809" s="83"/>
    </row>
    <row r="1810" spans="3:9" ht="18" x14ac:dyDescent="0.25">
      <c r="C1810" s="83" t="s">
        <v>68</v>
      </c>
      <c r="D1810" s="88"/>
      <c r="E1810" s="103" t="e">
        <f>+'RES CUENTA'!#REF!</f>
        <v>#REF!</v>
      </c>
      <c r="F1810" s="104" t="e">
        <f>+'RES CUENTA'!#REF!</f>
        <v>#REF!</v>
      </c>
      <c r="G1810" s="101" t="e">
        <f>+E1810*F1810/100</f>
        <v>#REF!</v>
      </c>
      <c r="H1810" s="83"/>
      <c r="I1810" s="91"/>
    </row>
    <row r="1811" spans="3:9" ht="18" x14ac:dyDescent="0.25">
      <c r="C1811" s="83" t="s">
        <v>69</v>
      </c>
      <c r="D1811" s="88"/>
      <c r="E1811" s="103" t="e">
        <f>+'RES CUENTA'!#REF!</f>
        <v>#REF!</v>
      </c>
      <c r="F1811" s="104" t="e">
        <f>+'RES CUENTA'!#REF!</f>
        <v>#REF!</v>
      </c>
      <c r="G1811" s="101" t="e">
        <f>+E1811*F1811/100</f>
        <v>#REF!</v>
      </c>
      <c r="H1811" s="91"/>
      <c r="I1811" s="87"/>
    </row>
    <row r="1812" spans="3:9" ht="18" x14ac:dyDescent="0.25">
      <c r="C1812" s="83" t="s">
        <v>181</v>
      </c>
      <c r="D1812" s="88"/>
      <c r="E1812" s="103" t="e">
        <f>+'RES CUENTA'!#REF!</f>
        <v>#REF!</v>
      </c>
      <c r="F1812" s="104">
        <f>+'RES CUENTA'!M857</f>
        <v>0</v>
      </c>
      <c r="G1812" s="101" t="e">
        <f>+E1812</f>
        <v>#REF!</v>
      </c>
      <c r="H1812" s="87"/>
      <c r="I1812" s="87"/>
    </row>
    <row r="1813" spans="3:9" ht="18" x14ac:dyDescent="0.25">
      <c r="C1813" s="83" t="s">
        <v>213</v>
      </c>
      <c r="D1813" s="88"/>
      <c r="E1813" s="103" t="e">
        <f>+'RES CUENTA'!#REF!</f>
        <v>#REF!</v>
      </c>
      <c r="F1813" s="104">
        <f>+'RES CUENTA'!N856</f>
        <v>0</v>
      </c>
      <c r="G1813" s="134" t="e">
        <f>+E1813</f>
        <v>#REF!</v>
      </c>
      <c r="H1813" s="87"/>
      <c r="I1813" s="87"/>
    </row>
    <row r="1814" spans="3:9" ht="18" x14ac:dyDescent="0.25">
      <c r="C1814" s="84"/>
      <c r="D1814" s="88"/>
      <c r="E1814" s="83"/>
      <c r="G1814" s="101" t="e">
        <f>SUM(G1810:G1813)</f>
        <v>#REF!</v>
      </c>
      <c r="H1814" s="87"/>
      <c r="I1814" s="87"/>
    </row>
    <row r="1815" spans="3:9" ht="18" x14ac:dyDescent="0.25">
      <c r="C1815" s="84"/>
      <c r="D1815" s="88"/>
      <c r="E1815" s="83"/>
      <c r="G1815" s="101"/>
      <c r="H1815" s="87"/>
      <c r="I1815" s="87"/>
    </row>
    <row r="1816" spans="3:9" ht="18" x14ac:dyDescent="0.25">
      <c r="C1816" s="84"/>
      <c r="D1816" s="88"/>
      <c r="E1816" s="83"/>
      <c r="G1816" s="85"/>
      <c r="H1816" s="87"/>
      <c r="I1816" s="88"/>
    </row>
    <row r="1817" spans="3:9" ht="18" x14ac:dyDescent="0.25">
      <c r="C1817" s="83"/>
      <c r="D1817" s="88"/>
      <c r="E1817" s="83"/>
      <c r="F1817" s="83"/>
      <c r="G1817" s="89"/>
      <c r="H1817" s="88"/>
      <c r="I1817" s="88"/>
    </row>
    <row r="1818" spans="3:9" ht="18" x14ac:dyDescent="0.25">
      <c r="C1818" s="83"/>
      <c r="D1818" s="88"/>
      <c r="E1818" s="83"/>
      <c r="F1818" s="83"/>
      <c r="G1818" s="89"/>
      <c r="H1818" s="88"/>
      <c r="I1818" s="88"/>
    </row>
    <row r="1819" spans="3:9" ht="23.25" customHeight="1" x14ac:dyDescent="0.25">
      <c r="C1819" s="83"/>
      <c r="D1819" s="88"/>
      <c r="E1819" s="83"/>
      <c r="F1819" s="83"/>
      <c r="G1819" s="89"/>
      <c r="H1819" s="88"/>
      <c r="I1819" s="83"/>
    </row>
    <row r="1820" spans="3:9" ht="18" x14ac:dyDescent="0.25">
      <c r="C1820" s="83" t="e">
        <f>+C1805</f>
        <v>#REF!</v>
      </c>
      <c r="D1820" s="88"/>
      <c r="E1820" s="83"/>
      <c r="F1820" s="83" t="e">
        <f>+C1805</f>
        <v>#REF!</v>
      </c>
      <c r="G1820" s="83"/>
      <c r="H1820" s="83"/>
      <c r="I1820" s="99"/>
    </row>
    <row r="1821" spans="3:9" ht="18" x14ac:dyDescent="0.25">
      <c r="C1821" s="84"/>
      <c r="D1821" s="88"/>
      <c r="E1821" s="83"/>
      <c r="G1821" s="83"/>
      <c r="H1821" s="99"/>
      <c r="I1821" s="90" t="str">
        <f>+I1806</f>
        <v>Unid. 48</v>
      </c>
    </row>
    <row r="1822" spans="3:9" ht="18" x14ac:dyDescent="0.25">
      <c r="C1822" s="83" t="str">
        <f>+$F$1</f>
        <v>MONTES DE OCA 1068/1070 C.A.B.A.</v>
      </c>
      <c r="D1822" s="88"/>
      <c r="E1822" s="90" t="str">
        <f>+I1821</f>
        <v>Unid. 48</v>
      </c>
      <c r="F1822" s="83" t="str">
        <f>+$F$1</f>
        <v>MONTES DE OCA 1068/1070 C.A.B.A.</v>
      </c>
      <c r="G1822" s="83"/>
      <c r="H1822" s="83"/>
      <c r="I1822" s="84"/>
    </row>
    <row r="1823" spans="3:9" ht="18" x14ac:dyDescent="0.25">
      <c r="C1823" s="84"/>
      <c r="D1823" s="91"/>
      <c r="E1823" s="84"/>
      <c r="G1823" s="83"/>
      <c r="H1823" s="83"/>
    </row>
    <row r="1824" spans="3:9" ht="14.25" customHeight="1" x14ac:dyDescent="0.25">
      <c r="C1824" s="83"/>
      <c r="D1824" s="88"/>
      <c r="E1824" s="83"/>
      <c r="F1824" s="84"/>
      <c r="G1824" s="83"/>
      <c r="H1824" s="83"/>
      <c r="I1824" s="99"/>
    </row>
    <row r="1825" spans="3:9" ht="18" x14ac:dyDescent="0.25">
      <c r="C1825" s="83" t="str">
        <f>+$F$2</f>
        <v>P/Depósito o transferencia en Banco Santander Rio</v>
      </c>
      <c r="D1825" s="88"/>
      <c r="E1825" s="83"/>
      <c r="F1825" s="83"/>
      <c r="G1825" s="128"/>
      <c r="H1825" s="84"/>
      <c r="I1825" s="83"/>
    </row>
    <row r="1826" spans="3:9" ht="18" x14ac:dyDescent="0.25">
      <c r="C1826" s="83" t="str">
        <f>+$F$3</f>
        <v xml:space="preserve">Cta. Cte. $ N° 558-000162/1 </v>
      </c>
      <c r="D1826" s="88"/>
      <c r="E1826" s="83"/>
      <c r="F1826" s="93"/>
      <c r="H1826" s="91"/>
      <c r="I1826" s="92"/>
    </row>
    <row r="1827" spans="3:9" ht="18" x14ac:dyDescent="0.25">
      <c r="C1827" s="84"/>
      <c r="D1827" s="88"/>
      <c r="E1827" s="83"/>
      <c r="F1827" s="83" t="s">
        <v>70</v>
      </c>
      <c r="G1827" s="102" t="e">
        <f>+G1810</f>
        <v>#REF!</v>
      </c>
      <c r="H1827" s="92"/>
      <c r="I1827" s="97">
        <f>+C1831</f>
        <v>46183</v>
      </c>
    </row>
    <row r="1828" spans="3:9" ht="18" x14ac:dyDescent="0.25">
      <c r="C1828" s="84"/>
      <c r="D1828" s="88"/>
      <c r="E1828" s="83"/>
      <c r="F1828" s="83" t="s">
        <v>71</v>
      </c>
      <c r="G1828" s="102" t="e">
        <f>+G1811</f>
        <v>#REF!</v>
      </c>
      <c r="I1828" s="83"/>
    </row>
    <row r="1829" spans="3:9" ht="18" x14ac:dyDescent="0.25">
      <c r="C1829" s="83"/>
      <c r="D1829" s="88"/>
      <c r="E1829" s="83"/>
      <c r="F1829" s="83" t="s">
        <v>72</v>
      </c>
      <c r="G1829" s="102" t="e">
        <f>+G1812</f>
        <v>#REF!</v>
      </c>
      <c r="H1829" s="83"/>
      <c r="I1829" s="83"/>
    </row>
    <row r="1830" spans="3:9" ht="18" x14ac:dyDescent="0.25">
      <c r="C1830" s="93"/>
      <c r="D1830" s="93"/>
      <c r="E1830" s="93"/>
      <c r="F1830" s="83" t="s">
        <v>73</v>
      </c>
      <c r="G1830" s="102" t="e">
        <f>+G1813</f>
        <v>#REF!</v>
      </c>
      <c r="H1830" s="83"/>
      <c r="I1830" s="83"/>
    </row>
    <row r="1831" spans="3:9" ht="18" x14ac:dyDescent="0.25">
      <c r="C1831" s="97">
        <f>+$H$43</f>
        <v>46183</v>
      </c>
      <c r="D1831" s="157" t="e">
        <f>+G1814</f>
        <v>#REF!</v>
      </c>
      <c r="E1831" s="83"/>
      <c r="F1831" s="83" t="s">
        <v>181</v>
      </c>
      <c r="G1831" s="135">
        <v>0</v>
      </c>
      <c r="H1831" s="83"/>
      <c r="I1831" s="83"/>
    </row>
    <row r="1832" spans="3:9" ht="18" x14ac:dyDescent="0.25">
      <c r="C1832" s="83"/>
      <c r="D1832" s="88"/>
      <c r="E1832" s="83"/>
      <c r="F1832" s="83" t="s">
        <v>74</v>
      </c>
      <c r="G1832" s="102" t="e">
        <f>+G1814</f>
        <v>#REF!</v>
      </c>
      <c r="H1832" s="83"/>
      <c r="I1832" s="83"/>
    </row>
    <row r="1833" spans="3:9" ht="18" x14ac:dyDescent="0.25">
      <c r="C1833" s="83"/>
      <c r="D1833" s="88"/>
      <c r="E1833" s="83"/>
      <c r="F1833" s="83"/>
      <c r="G1833" s="83"/>
      <c r="H1833" s="83"/>
      <c r="I1833" s="83"/>
    </row>
    <row r="1834" spans="3:9" ht="18" x14ac:dyDescent="0.25">
      <c r="C1834" s="83"/>
      <c r="D1834" s="88"/>
      <c r="E1834" s="83"/>
      <c r="F1834" s="100"/>
      <c r="G1834" s="83"/>
      <c r="H1834" s="83"/>
      <c r="I1834" s="83"/>
    </row>
    <row r="1835" spans="3:9" ht="18" x14ac:dyDescent="0.25">
      <c r="C1835" s="83"/>
      <c r="D1835" s="88"/>
      <c r="E1835" s="83"/>
      <c r="F1835" s="83"/>
      <c r="G1835" s="83"/>
      <c r="H1835" s="83"/>
      <c r="I1835" s="91"/>
    </row>
    <row r="1836" spans="3:9" ht="9" customHeight="1" x14ac:dyDescent="0.25">
      <c r="F1836" s="83"/>
      <c r="H1836" s="91"/>
      <c r="I1836" s="83"/>
    </row>
    <row r="1838" spans="3:9" ht="18" x14ac:dyDescent="0.25">
      <c r="C1838" s="424"/>
      <c r="D1838" s="424"/>
      <c r="E1838" s="424"/>
      <c r="F1838" s="433">
        <f>+$C$1</f>
        <v>46143</v>
      </c>
      <c r="G1838" s="83"/>
      <c r="H1838" s="429">
        <f>+$E$1</f>
        <v>46183</v>
      </c>
      <c r="I1838" s="83"/>
    </row>
    <row r="1839" spans="3:9" ht="18" x14ac:dyDescent="0.25">
      <c r="C1839" s="82"/>
      <c r="D1839" s="82"/>
      <c r="E1839" s="98"/>
      <c r="F1839" s="433"/>
      <c r="G1839" s="83"/>
      <c r="H1839" s="429"/>
      <c r="I1839" s="83"/>
    </row>
    <row r="1840" spans="3:9" ht="18" x14ac:dyDescent="0.25">
      <c r="C1840" s="83"/>
      <c r="D1840" s="88"/>
      <c r="E1840" s="83"/>
      <c r="F1840" s="84"/>
      <c r="G1840" s="83"/>
      <c r="H1840" s="84"/>
      <c r="I1840" s="83"/>
    </row>
    <row r="1841" spans="3:9" ht="18" x14ac:dyDescent="0.25">
      <c r="C1841" s="83" t="e">
        <f>+#REF!</f>
        <v>#REF!</v>
      </c>
      <c r="D1841" s="88"/>
      <c r="E1841" s="83"/>
      <c r="F1841" s="84"/>
      <c r="G1841" s="83"/>
      <c r="H1841" s="84"/>
      <c r="I1841" s="83"/>
    </row>
    <row r="1842" spans="3:9" ht="18" x14ac:dyDescent="0.25">
      <c r="C1842" s="84"/>
      <c r="D1842" s="88"/>
      <c r="E1842" s="83"/>
      <c r="F1842" s="83" t="s">
        <v>293</v>
      </c>
      <c r="G1842" s="83"/>
      <c r="H1842" s="83"/>
      <c r="I1842" s="90" t="s">
        <v>123</v>
      </c>
    </row>
    <row r="1843" spans="3:9" ht="18" x14ac:dyDescent="0.25">
      <c r="C1843" s="83"/>
      <c r="D1843" s="88"/>
      <c r="E1843" s="83"/>
      <c r="F1843" s="84"/>
      <c r="G1843" s="83"/>
      <c r="H1843" s="83"/>
      <c r="I1843" s="84"/>
    </row>
    <row r="1844" spans="3:9" ht="18" x14ac:dyDescent="0.25">
      <c r="C1844" s="91"/>
      <c r="D1844" s="88"/>
      <c r="E1844" s="91"/>
      <c r="F1844" s="83"/>
      <c r="G1844" s="83"/>
      <c r="H1844" s="83"/>
      <c r="I1844" s="83"/>
    </row>
    <row r="1845" spans="3:9" ht="18" x14ac:dyDescent="0.25">
      <c r="C1845" s="91"/>
      <c r="D1845" s="88"/>
      <c r="E1845" s="91"/>
      <c r="F1845" s="83"/>
      <c r="G1845" s="83"/>
      <c r="H1845" s="83"/>
      <c r="I1845" s="83"/>
    </row>
    <row r="1846" spans="3:9" ht="18" x14ac:dyDescent="0.25">
      <c r="C1846" s="83" t="s">
        <v>68</v>
      </c>
      <c r="D1846" s="88"/>
      <c r="E1846" s="103" t="e">
        <f>+'RES CUENTA'!#REF!</f>
        <v>#REF!</v>
      </c>
      <c r="F1846" s="104" t="e">
        <f>+'RES CUENTA'!#REF!</f>
        <v>#REF!</v>
      </c>
      <c r="G1846" s="101" t="e">
        <f>+E1846*F1846/100</f>
        <v>#REF!</v>
      </c>
      <c r="H1846" s="425"/>
      <c r="I1846" s="425"/>
    </row>
    <row r="1847" spans="3:9" ht="18" x14ac:dyDescent="0.25">
      <c r="C1847" s="83" t="s">
        <v>69</v>
      </c>
      <c r="D1847" s="88"/>
      <c r="E1847" s="103" t="e">
        <f>+'RES CUENTA'!#REF!</f>
        <v>#REF!</v>
      </c>
      <c r="F1847" s="104" t="e">
        <f>+'RES CUENTA'!#REF!</f>
        <v>#REF!</v>
      </c>
      <c r="G1847" s="101" t="e">
        <f>+E1847*F1847/100</f>
        <v>#REF!</v>
      </c>
      <c r="H1847" s="430"/>
      <c r="I1847" s="430"/>
    </row>
    <row r="1848" spans="3:9" ht="18" x14ac:dyDescent="0.25">
      <c r="C1848" s="83" t="s">
        <v>181</v>
      </c>
      <c r="D1848" s="88"/>
      <c r="E1848" s="103" t="e">
        <f>+'RES CUENTA'!#REF!</f>
        <v>#REF!</v>
      </c>
      <c r="F1848" s="104">
        <v>0</v>
      </c>
      <c r="G1848" s="101" t="e">
        <f>+E1848</f>
        <v>#REF!</v>
      </c>
      <c r="H1848" s="430"/>
      <c r="I1848" s="430"/>
    </row>
    <row r="1849" spans="3:9" ht="18" x14ac:dyDescent="0.25">
      <c r="C1849" s="83" t="s">
        <v>213</v>
      </c>
      <c r="D1849" s="88"/>
      <c r="E1849" s="103" t="e">
        <f>+'RES CUENTA'!#REF!</f>
        <v>#REF!</v>
      </c>
      <c r="F1849" s="104">
        <v>0</v>
      </c>
      <c r="G1849" s="134" t="e">
        <f>+E1849</f>
        <v>#REF!</v>
      </c>
      <c r="H1849" s="430"/>
      <c r="I1849" s="430"/>
    </row>
    <row r="1850" spans="3:9" ht="18" x14ac:dyDescent="0.25">
      <c r="C1850" s="84"/>
      <c r="D1850" s="88"/>
      <c r="E1850" s="83"/>
      <c r="F1850" s="89"/>
      <c r="G1850" s="101" t="e">
        <f>SUM(G1846:G1849)</f>
        <v>#REF!</v>
      </c>
      <c r="H1850" s="430"/>
      <c r="I1850" s="430"/>
    </row>
    <row r="1851" spans="3:9" ht="18" x14ac:dyDescent="0.25">
      <c r="C1851" s="84"/>
      <c r="D1851" s="88"/>
      <c r="E1851" s="83"/>
      <c r="F1851" s="89"/>
      <c r="G1851" s="101"/>
      <c r="H1851" s="87"/>
      <c r="I1851" s="87"/>
    </row>
    <row r="1852" spans="3:9" ht="18" x14ac:dyDescent="0.25">
      <c r="C1852" s="84"/>
      <c r="D1852" s="88"/>
      <c r="E1852" s="83"/>
      <c r="F1852" s="83"/>
      <c r="H1852" s="432"/>
      <c r="I1852" s="432"/>
    </row>
    <row r="1853" spans="3:9" ht="18" x14ac:dyDescent="0.25">
      <c r="C1853" s="83"/>
      <c r="D1853" s="88"/>
      <c r="E1853" s="83"/>
      <c r="F1853" s="83"/>
      <c r="G1853" s="85"/>
      <c r="H1853" s="88"/>
      <c r="I1853" s="88"/>
    </row>
    <row r="1854" spans="3:9" ht="18" x14ac:dyDescent="0.25">
      <c r="C1854" s="83"/>
      <c r="D1854" s="88"/>
      <c r="E1854" s="83"/>
      <c r="F1854" s="83"/>
      <c r="G1854" s="89"/>
      <c r="H1854" s="83"/>
      <c r="I1854" s="83"/>
    </row>
    <row r="1855" spans="3:9" ht="21.75" customHeight="1" x14ac:dyDescent="0.25">
      <c r="C1855" s="83"/>
      <c r="D1855" s="88"/>
      <c r="E1855" s="83"/>
      <c r="F1855" s="83"/>
      <c r="G1855" s="89"/>
      <c r="H1855" s="83"/>
      <c r="I1855" s="83"/>
    </row>
    <row r="1856" spans="3:9" ht="18" x14ac:dyDescent="0.25">
      <c r="C1856" s="83" t="e">
        <f>+C1841</f>
        <v>#REF!</v>
      </c>
      <c r="D1856" s="427"/>
      <c r="E1856" s="427"/>
      <c r="F1856" s="83" t="e">
        <f>+C1856</f>
        <v>#REF!</v>
      </c>
      <c r="G1856" s="89"/>
      <c r="H1856" s="83"/>
      <c r="I1856" s="83"/>
    </row>
    <row r="1857" spans="3:9" ht="18" x14ac:dyDescent="0.25">
      <c r="D1857" s="88"/>
      <c r="E1857" s="83"/>
      <c r="G1857" s="427"/>
      <c r="H1857" s="427"/>
      <c r="I1857" s="427"/>
    </row>
    <row r="1858" spans="3:9" ht="18" x14ac:dyDescent="0.25">
      <c r="C1858" s="83" t="str">
        <f>+$F$1</f>
        <v>MONTES DE OCA 1068/1070 C.A.B.A.</v>
      </c>
      <c r="D1858" s="88"/>
      <c r="E1858" s="90" t="str">
        <f>+I1842</f>
        <v>Unid. 49</v>
      </c>
      <c r="F1858" s="83" t="str">
        <f>+$F$1</f>
        <v>MONTES DE OCA 1068/1070 C.A.B.A.</v>
      </c>
      <c r="G1858" s="83"/>
      <c r="H1858" s="83"/>
      <c r="I1858" s="90" t="str">
        <f>+E1858</f>
        <v>Unid. 49</v>
      </c>
    </row>
    <row r="1859" spans="3:9" ht="18" x14ac:dyDescent="0.25">
      <c r="I1859" s="84"/>
    </row>
    <row r="1860" spans="3:9" ht="14.25" customHeight="1" x14ac:dyDescent="0.25">
      <c r="C1860" s="84"/>
      <c r="D1860" s="91"/>
      <c r="E1860" s="84"/>
      <c r="F1860" s="84"/>
      <c r="G1860" s="83"/>
      <c r="H1860" s="83"/>
    </row>
    <row r="1861" spans="3:9" ht="18" x14ac:dyDescent="0.25">
      <c r="C1861" s="83" t="str">
        <f>+$F$2</f>
        <v>P/Depósito o transferencia en Banco Santander Rio</v>
      </c>
      <c r="D1861" s="88"/>
      <c r="E1861" s="83"/>
      <c r="F1861" s="83"/>
      <c r="G1861" s="83"/>
      <c r="H1861" s="84"/>
      <c r="I1861" s="99"/>
    </row>
    <row r="1862" spans="3:9" ht="18" x14ac:dyDescent="0.25">
      <c r="C1862" s="83" t="str">
        <f>+$F$3</f>
        <v xml:space="preserve">Cta. Cte. $ N° 558-000162/1 </v>
      </c>
      <c r="D1862" s="88"/>
      <c r="E1862" s="83"/>
      <c r="F1862" s="93"/>
      <c r="G1862" s="83"/>
      <c r="H1862" s="91"/>
      <c r="I1862" s="83"/>
    </row>
    <row r="1863" spans="3:9" ht="18" x14ac:dyDescent="0.25">
      <c r="D1863" s="88"/>
      <c r="E1863" s="83"/>
      <c r="F1863" s="83" t="s">
        <v>70</v>
      </c>
      <c r="G1863" s="102" t="e">
        <f>+G1846</f>
        <v>#REF!</v>
      </c>
      <c r="I1863" s="97">
        <f>+C1868</f>
        <v>46183</v>
      </c>
    </row>
    <row r="1864" spans="3:9" ht="18" x14ac:dyDescent="0.25">
      <c r="C1864" s="84"/>
      <c r="D1864" s="88"/>
      <c r="E1864" s="83"/>
      <c r="F1864" s="83" t="s">
        <v>71</v>
      </c>
      <c r="G1864" s="102" t="e">
        <f>+G1847</f>
        <v>#REF!</v>
      </c>
    </row>
    <row r="1865" spans="3:9" ht="18" x14ac:dyDescent="0.25">
      <c r="C1865" s="84"/>
      <c r="D1865" s="88"/>
      <c r="E1865" s="83"/>
      <c r="F1865" s="83" t="s">
        <v>72</v>
      </c>
      <c r="G1865" s="102" t="e">
        <f>+G1848</f>
        <v>#REF!</v>
      </c>
      <c r="H1865" s="83"/>
      <c r="I1865" s="83"/>
    </row>
    <row r="1866" spans="3:9" ht="18" x14ac:dyDescent="0.25">
      <c r="C1866" s="83"/>
      <c r="D1866" s="88"/>
      <c r="E1866" s="83"/>
      <c r="F1866" s="83" t="s">
        <v>73</v>
      </c>
      <c r="G1866" s="102" t="e">
        <f>+G1849</f>
        <v>#REF!</v>
      </c>
      <c r="H1866" s="83"/>
      <c r="I1866" s="83"/>
    </row>
    <row r="1867" spans="3:9" ht="18" x14ac:dyDescent="0.25">
      <c r="C1867" s="93"/>
      <c r="D1867" s="93"/>
      <c r="E1867" s="93"/>
      <c r="F1867" s="83" t="s">
        <v>181</v>
      </c>
      <c r="G1867" s="135" t="e">
        <f>+G1887</f>
        <v>#REF!</v>
      </c>
      <c r="H1867" s="83"/>
      <c r="I1867" s="83"/>
    </row>
    <row r="1868" spans="3:9" ht="18" x14ac:dyDescent="0.25">
      <c r="C1868" s="97">
        <f>+$H$43</f>
        <v>46183</v>
      </c>
      <c r="D1868" s="157" t="e">
        <f>+G1850</f>
        <v>#REF!</v>
      </c>
      <c r="E1868" s="83"/>
      <c r="F1868" s="83" t="s">
        <v>74</v>
      </c>
      <c r="G1868" s="102" t="e">
        <f>+G1850</f>
        <v>#REF!</v>
      </c>
      <c r="H1868" s="83"/>
      <c r="I1868" s="83"/>
    </row>
    <row r="1869" spans="3:9" ht="18" x14ac:dyDescent="0.25">
      <c r="C1869" s="83"/>
      <c r="D1869" s="88"/>
      <c r="E1869" s="83"/>
      <c r="G1869" s="83"/>
      <c r="H1869" s="83"/>
      <c r="I1869" s="83"/>
    </row>
    <row r="1870" spans="3:9" ht="18" x14ac:dyDescent="0.25">
      <c r="C1870" s="83"/>
      <c r="D1870" s="88"/>
      <c r="E1870" s="83"/>
      <c r="G1870" s="83"/>
      <c r="H1870" s="83"/>
      <c r="I1870" s="83"/>
    </row>
    <row r="1871" spans="3:9" ht="18" x14ac:dyDescent="0.25">
      <c r="C1871" s="83"/>
      <c r="D1871" s="88"/>
      <c r="E1871" s="83"/>
      <c r="F1871" s="83"/>
      <c r="G1871" s="83"/>
      <c r="H1871" s="83"/>
      <c r="I1871" s="83"/>
    </row>
    <row r="1872" spans="3:9" ht="18" x14ac:dyDescent="0.25">
      <c r="C1872" s="83"/>
      <c r="D1872" s="88"/>
      <c r="E1872" s="83"/>
      <c r="F1872" s="83"/>
      <c r="G1872" s="83"/>
      <c r="H1872" s="425"/>
      <c r="I1872" s="425"/>
    </row>
    <row r="1873" spans="3:9" ht="18" x14ac:dyDescent="0.25">
      <c r="C1873" s="83"/>
      <c r="D1873" s="88"/>
      <c r="E1873" s="83"/>
      <c r="F1873" s="83"/>
      <c r="G1873" s="83"/>
      <c r="H1873" s="91"/>
      <c r="I1873" s="91"/>
    </row>
    <row r="1874" spans="3:9" ht="18" x14ac:dyDescent="0.25">
      <c r="C1874" s="83"/>
      <c r="D1874" s="88"/>
      <c r="E1874" s="83"/>
      <c r="F1874" s="83"/>
      <c r="G1874" s="83"/>
      <c r="H1874" s="83"/>
      <c r="I1874" s="83"/>
    </row>
    <row r="1875" spans="3:9" ht="18" x14ac:dyDescent="0.25">
      <c r="C1875" s="83"/>
      <c r="D1875" s="88"/>
      <c r="E1875" s="83"/>
      <c r="F1875" s="83"/>
      <c r="G1875" s="83"/>
      <c r="H1875" s="83"/>
      <c r="I1875" s="83"/>
    </row>
    <row r="1876" spans="3:9" ht="18" x14ac:dyDescent="0.25">
      <c r="C1876" s="83"/>
      <c r="D1876" s="88"/>
      <c r="E1876" s="83"/>
      <c r="F1876" s="83"/>
      <c r="G1876" s="83"/>
      <c r="I1876" s="83"/>
    </row>
    <row r="1877" spans="3:9" ht="18" x14ac:dyDescent="0.25">
      <c r="C1877" s="424"/>
      <c r="D1877" s="424"/>
      <c r="E1877" s="424"/>
      <c r="F1877" s="96">
        <f>+$C$1</f>
        <v>46143</v>
      </c>
      <c r="G1877" s="83"/>
      <c r="H1877" s="97">
        <f>+$E$1</f>
        <v>46183</v>
      </c>
      <c r="I1877" s="95"/>
    </row>
    <row r="1878" spans="3:9" ht="18" x14ac:dyDescent="0.25">
      <c r="C1878" s="82"/>
      <c r="D1878" s="82"/>
      <c r="E1878" s="98"/>
      <c r="F1878" s="96"/>
      <c r="G1878" s="83"/>
    </row>
    <row r="1879" spans="3:9" ht="18" x14ac:dyDescent="0.25">
      <c r="C1879" s="83" t="e">
        <f>+#REF!</f>
        <v>#REF!</v>
      </c>
      <c r="D1879" s="88"/>
      <c r="E1879" s="83"/>
      <c r="G1879" s="83"/>
    </row>
    <row r="1880" spans="3:9" ht="18" x14ac:dyDescent="0.25">
      <c r="D1880" s="88"/>
      <c r="E1880" s="83"/>
      <c r="F1880" s="83" t="str">
        <f>+$F$1</f>
        <v>MONTES DE OCA 1068/1070 C.A.B.A.</v>
      </c>
      <c r="G1880" s="83"/>
      <c r="I1880" s="90" t="s">
        <v>124</v>
      </c>
    </row>
    <row r="1881" spans="3:9" ht="18" x14ac:dyDescent="0.25">
      <c r="C1881" s="84"/>
      <c r="D1881" s="88"/>
      <c r="E1881" s="83"/>
      <c r="G1881" s="83"/>
      <c r="H1881" s="84"/>
    </row>
    <row r="1882" spans="3:9" ht="18" x14ac:dyDescent="0.25">
      <c r="C1882" s="83"/>
      <c r="D1882" s="88"/>
      <c r="E1882" s="83"/>
      <c r="F1882" s="84"/>
      <c r="G1882" s="83"/>
      <c r="H1882" s="83"/>
      <c r="I1882" s="84"/>
    </row>
    <row r="1883" spans="3:9" ht="18" x14ac:dyDescent="0.25">
      <c r="C1883" s="91"/>
      <c r="D1883" s="88"/>
      <c r="E1883" s="91"/>
      <c r="F1883" s="83"/>
      <c r="G1883" s="83"/>
      <c r="H1883" s="83"/>
      <c r="I1883" s="83"/>
    </row>
    <row r="1884" spans="3:9" ht="18" x14ac:dyDescent="0.25">
      <c r="C1884" s="83" t="s">
        <v>68</v>
      </c>
      <c r="D1884" s="88"/>
      <c r="E1884" s="103" t="e">
        <f>+'RES CUENTA'!#REF!</f>
        <v>#REF!</v>
      </c>
      <c r="F1884" s="104" t="e">
        <f>+'RES CUENTA'!#REF!</f>
        <v>#REF!</v>
      </c>
      <c r="G1884" s="101" t="e">
        <f>+E1884*F1884/100</f>
        <v>#REF!</v>
      </c>
      <c r="H1884" s="83"/>
      <c r="I1884" s="91"/>
    </row>
    <row r="1885" spans="3:9" ht="18" x14ac:dyDescent="0.25">
      <c r="C1885" s="83" t="s">
        <v>69</v>
      </c>
      <c r="D1885" s="88"/>
      <c r="E1885" s="103" t="e">
        <f>+'RES CUENTA'!#REF!</f>
        <v>#REF!</v>
      </c>
      <c r="F1885" s="104" t="e">
        <f>+'RES CUENTA'!#REF!</f>
        <v>#REF!</v>
      </c>
      <c r="G1885" s="101" t="e">
        <f>+E1885*F1885/100</f>
        <v>#REF!</v>
      </c>
      <c r="H1885" s="91"/>
      <c r="I1885" s="87"/>
    </row>
    <row r="1886" spans="3:9" ht="18" x14ac:dyDescent="0.25">
      <c r="C1886" s="83" t="s">
        <v>181</v>
      </c>
      <c r="D1886" s="88"/>
      <c r="E1886" s="103" t="e">
        <f>+'RES CUENTA'!#REF!</f>
        <v>#REF!</v>
      </c>
      <c r="F1886" s="104">
        <f>+'RES CUENTA'!M933</f>
        <v>0</v>
      </c>
      <c r="G1886" s="101" t="e">
        <f>+E1886</f>
        <v>#REF!</v>
      </c>
      <c r="H1886" s="87"/>
      <c r="I1886" s="87"/>
    </row>
    <row r="1887" spans="3:9" ht="18" x14ac:dyDescent="0.25">
      <c r="C1887" s="83" t="s">
        <v>213</v>
      </c>
      <c r="D1887" s="88"/>
      <c r="E1887" s="103" t="e">
        <f>+'RES CUENTA'!#REF!</f>
        <v>#REF!</v>
      </c>
      <c r="F1887" s="104">
        <f>+'RES CUENTA'!N932</f>
        <v>0</v>
      </c>
      <c r="G1887" s="134" t="e">
        <f>+E1887</f>
        <v>#REF!</v>
      </c>
      <c r="H1887" s="87"/>
      <c r="I1887" s="87"/>
    </row>
    <row r="1888" spans="3:9" ht="18" x14ac:dyDescent="0.25">
      <c r="C1888" s="84"/>
      <c r="D1888" s="88"/>
      <c r="E1888" s="83"/>
      <c r="G1888" s="101" t="e">
        <f>SUM(G1884:G1887)</f>
        <v>#REF!</v>
      </c>
      <c r="H1888" s="87"/>
      <c r="I1888" s="87"/>
    </row>
    <row r="1889" spans="3:9" ht="18" x14ac:dyDescent="0.25">
      <c r="C1889" s="84"/>
      <c r="D1889" s="88"/>
      <c r="E1889" s="83"/>
      <c r="G1889" s="101"/>
      <c r="H1889" s="87"/>
      <c r="I1889" s="87"/>
    </row>
    <row r="1890" spans="3:9" ht="18" x14ac:dyDescent="0.25">
      <c r="C1890" s="84"/>
      <c r="D1890" s="88"/>
      <c r="E1890" s="83"/>
      <c r="G1890" s="85"/>
      <c r="H1890" s="87"/>
      <c r="I1890" s="88"/>
    </row>
    <row r="1891" spans="3:9" ht="18" x14ac:dyDescent="0.25">
      <c r="C1891" s="83"/>
      <c r="D1891" s="88"/>
      <c r="E1891" s="83"/>
      <c r="F1891" s="83"/>
      <c r="G1891" s="89"/>
      <c r="H1891" s="88"/>
      <c r="I1891" s="88"/>
    </row>
    <row r="1892" spans="3:9" ht="18" x14ac:dyDescent="0.25">
      <c r="C1892" s="83"/>
      <c r="D1892" s="88"/>
      <c r="E1892" s="83"/>
      <c r="F1892" s="83"/>
      <c r="G1892" s="89"/>
      <c r="H1892" s="88"/>
      <c r="I1892" s="88"/>
    </row>
    <row r="1893" spans="3:9" ht="24" customHeight="1" x14ac:dyDescent="0.25">
      <c r="C1893" s="83"/>
      <c r="D1893" s="88"/>
      <c r="E1893" s="83"/>
      <c r="F1893" s="83"/>
      <c r="G1893" s="89"/>
      <c r="H1893" s="88"/>
      <c r="I1893" s="83"/>
    </row>
    <row r="1894" spans="3:9" ht="18" x14ac:dyDescent="0.25">
      <c r="C1894" s="83" t="e">
        <f>+C1879</f>
        <v>#REF!</v>
      </c>
      <c r="D1894" s="88"/>
      <c r="E1894" s="83"/>
      <c r="F1894" s="83" t="e">
        <f>+C1879</f>
        <v>#REF!</v>
      </c>
      <c r="G1894" s="83"/>
      <c r="H1894" s="83"/>
      <c r="I1894" s="99"/>
    </row>
    <row r="1895" spans="3:9" ht="18" x14ac:dyDescent="0.25">
      <c r="C1895" s="84"/>
      <c r="D1895" s="88"/>
      <c r="E1895" s="83"/>
      <c r="G1895" s="83"/>
      <c r="H1895" s="99"/>
      <c r="I1895" s="90" t="str">
        <f>+I1880</f>
        <v>Unid. 50</v>
      </c>
    </row>
    <row r="1896" spans="3:9" ht="18" x14ac:dyDescent="0.25">
      <c r="C1896" s="83" t="str">
        <f>+$F$1</f>
        <v>MONTES DE OCA 1068/1070 C.A.B.A.</v>
      </c>
      <c r="D1896" s="88"/>
      <c r="E1896" s="90" t="str">
        <f>+I1895</f>
        <v>Unid. 50</v>
      </c>
      <c r="F1896" s="83" t="str">
        <f>+$F$1</f>
        <v>MONTES DE OCA 1068/1070 C.A.B.A.</v>
      </c>
      <c r="G1896" s="83"/>
      <c r="H1896" s="83"/>
      <c r="I1896" s="84"/>
    </row>
    <row r="1897" spans="3:9" ht="18" x14ac:dyDescent="0.25">
      <c r="C1897" s="84"/>
      <c r="D1897" s="91"/>
      <c r="E1897" s="84"/>
      <c r="G1897" s="83"/>
      <c r="H1897" s="83"/>
    </row>
    <row r="1898" spans="3:9" ht="12.75" customHeight="1" x14ac:dyDescent="0.25">
      <c r="C1898" s="83"/>
      <c r="D1898" s="88"/>
      <c r="E1898" s="83"/>
      <c r="F1898" s="84"/>
      <c r="G1898" s="83"/>
      <c r="H1898" s="83"/>
      <c r="I1898" s="99"/>
    </row>
    <row r="1899" spans="3:9" ht="18" x14ac:dyDescent="0.25">
      <c r="C1899" s="83" t="str">
        <f>+$F$2</f>
        <v>P/Depósito o transferencia en Banco Santander Rio</v>
      </c>
      <c r="D1899" s="88"/>
      <c r="E1899" s="83"/>
      <c r="F1899" s="83"/>
      <c r="G1899" s="128"/>
      <c r="H1899" s="84"/>
      <c r="I1899" s="83"/>
    </row>
    <row r="1900" spans="3:9" ht="18" x14ac:dyDescent="0.25">
      <c r="C1900" s="83" t="str">
        <f>+$F$3</f>
        <v xml:space="preserve">Cta. Cte. $ N° 558-000162/1 </v>
      </c>
      <c r="D1900" s="88"/>
      <c r="E1900" s="83"/>
      <c r="F1900" s="93"/>
      <c r="H1900" s="91"/>
      <c r="I1900" s="92"/>
    </row>
    <row r="1901" spans="3:9" ht="18" x14ac:dyDescent="0.25">
      <c r="C1901" s="84"/>
      <c r="D1901" s="88"/>
      <c r="E1901" s="83"/>
      <c r="F1901" s="83" t="s">
        <v>70</v>
      </c>
      <c r="G1901" s="102" t="e">
        <f>+G1884</f>
        <v>#REF!</v>
      </c>
      <c r="H1901" s="92"/>
      <c r="I1901" s="97">
        <f>+C1905</f>
        <v>46183</v>
      </c>
    </row>
    <row r="1902" spans="3:9" ht="18" x14ac:dyDescent="0.25">
      <c r="C1902" s="84"/>
      <c r="D1902" s="88"/>
      <c r="E1902" s="83"/>
      <c r="F1902" s="83" t="s">
        <v>71</v>
      </c>
      <c r="G1902" s="102" t="e">
        <f>+G1885</f>
        <v>#REF!</v>
      </c>
      <c r="I1902" s="83"/>
    </row>
    <row r="1903" spans="3:9" ht="18" x14ac:dyDescent="0.25">
      <c r="C1903" s="83"/>
      <c r="D1903" s="88"/>
      <c r="E1903" s="83"/>
      <c r="F1903" s="83" t="s">
        <v>72</v>
      </c>
      <c r="G1903" s="102" t="e">
        <f>+G1886</f>
        <v>#REF!</v>
      </c>
      <c r="H1903" s="83"/>
      <c r="I1903" s="83"/>
    </row>
    <row r="1904" spans="3:9" ht="18" x14ac:dyDescent="0.25">
      <c r="C1904" s="93"/>
      <c r="D1904" s="93"/>
      <c r="E1904" s="93"/>
      <c r="F1904" s="83" t="s">
        <v>73</v>
      </c>
      <c r="G1904" s="102" t="e">
        <f>+G1887</f>
        <v>#REF!</v>
      </c>
      <c r="H1904" s="83"/>
      <c r="I1904" s="83"/>
    </row>
    <row r="1905" spans="3:13" ht="18" x14ac:dyDescent="0.25">
      <c r="C1905" s="97">
        <f>+$H$43</f>
        <v>46183</v>
      </c>
      <c r="D1905" s="157" t="e">
        <f>+G1888</f>
        <v>#REF!</v>
      </c>
      <c r="E1905" s="83"/>
      <c r="F1905" s="83" t="s">
        <v>181</v>
      </c>
      <c r="G1905" s="135">
        <v>0</v>
      </c>
      <c r="H1905" s="83"/>
      <c r="I1905" s="83"/>
    </row>
    <row r="1906" spans="3:13" ht="18" x14ac:dyDescent="0.25">
      <c r="C1906" s="83"/>
      <c r="D1906" s="88"/>
      <c r="E1906" s="83"/>
      <c r="F1906" s="83" t="s">
        <v>74</v>
      </c>
      <c r="G1906" s="102" t="e">
        <f>+G1888</f>
        <v>#REF!</v>
      </c>
      <c r="H1906" s="83"/>
      <c r="I1906" s="83"/>
    </row>
    <row r="1907" spans="3:13" ht="18" x14ac:dyDescent="0.25">
      <c r="C1907" s="83"/>
      <c r="D1907" s="88"/>
      <c r="E1907" s="83"/>
      <c r="F1907" s="83"/>
      <c r="G1907" s="83"/>
      <c r="H1907" s="83"/>
      <c r="I1907" s="83"/>
    </row>
    <row r="1908" spans="3:13" ht="18" x14ac:dyDescent="0.25">
      <c r="C1908" s="83"/>
      <c r="D1908" s="88"/>
      <c r="E1908" s="83"/>
      <c r="F1908" s="100"/>
      <c r="G1908" s="83"/>
      <c r="H1908" s="83"/>
      <c r="I1908" s="83"/>
    </row>
    <row r="1909" spans="3:13" ht="18" x14ac:dyDescent="0.25">
      <c r="C1909" s="83"/>
      <c r="D1909" s="88"/>
      <c r="E1909" s="83"/>
      <c r="F1909" s="83"/>
      <c r="G1909" s="83"/>
      <c r="H1909" s="83"/>
      <c r="I1909" s="91"/>
    </row>
    <row r="1910" spans="3:13" ht="9.75" customHeight="1" x14ac:dyDescent="0.25">
      <c r="F1910" s="83"/>
      <c r="H1910" s="91"/>
      <c r="I1910" s="83"/>
    </row>
    <row r="1912" spans="3:13" ht="18" x14ac:dyDescent="0.25">
      <c r="C1912" s="424"/>
      <c r="D1912" s="424"/>
      <c r="E1912" s="424"/>
      <c r="F1912" s="433">
        <f>+$C$1</f>
        <v>46143</v>
      </c>
      <c r="G1912" s="83"/>
      <c r="H1912" s="429">
        <f>+$E$1</f>
        <v>46183</v>
      </c>
      <c r="I1912" s="83"/>
    </row>
    <row r="1913" spans="3:13" ht="18" x14ac:dyDescent="0.25">
      <c r="C1913" s="82"/>
      <c r="D1913" s="82"/>
      <c r="E1913" s="98"/>
      <c r="F1913" s="433"/>
      <c r="G1913" s="83"/>
      <c r="H1913" s="429"/>
      <c r="I1913" s="83"/>
    </row>
    <row r="1914" spans="3:13" ht="18" x14ac:dyDescent="0.25">
      <c r="C1914" s="83"/>
      <c r="D1914" s="88"/>
      <c r="E1914" s="83"/>
      <c r="F1914" s="84"/>
      <c r="G1914" s="83"/>
      <c r="H1914" s="84"/>
      <c r="I1914" s="83"/>
    </row>
    <row r="1915" spans="3:13" ht="18" x14ac:dyDescent="0.25">
      <c r="C1915" s="83" t="e">
        <f>+#REF!</f>
        <v>#REF!</v>
      </c>
      <c r="D1915" s="88"/>
      <c r="E1915" s="83"/>
      <c r="F1915" s="84"/>
      <c r="G1915" s="83"/>
      <c r="H1915" s="84"/>
      <c r="I1915" s="83"/>
    </row>
    <row r="1916" spans="3:13" ht="18" x14ac:dyDescent="0.25">
      <c r="C1916" s="84"/>
      <c r="D1916" s="88"/>
      <c r="E1916" s="83"/>
      <c r="F1916" s="83" t="s">
        <v>293</v>
      </c>
      <c r="G1916" s="83"/>
      <c r="H1916" s="83"/>
      <c r="I1916" s="90" t="s">
        <v>125</v>
      </c>
    </row>
    <row r="1917" spans="3:13" ht="18" x14ac:dyDescent="0.25">
      <c r="C1917" s="83"/>
      <c r="D1917" s="88"/>
      <c r="E1917" s="83"/>
      <c r="F1917" s="84"/>
      <c r="G1917" s="83"/>
      <c r="H1917" s="83"/>
      <c r="I1917" s="84"/>
    </row>
    <row r="1918" spans="3:13" ht="18" x14ac:dyDescent="0.25">
      <c r="C1918" s="91"/>
      <c r="D1918" s="88"/>
      <c r="E1918" s="91"/>
      <c r="F1918" s="83"/>
      <c r="G1918" s="83"/>
      <c r="H1918" s="83"/>
      <c r="I1918" s="83"/>
      <c r="M1918">
        <f>9552.37-9366.37</f>
        <v>186</v>
      </c>
    </row>
    <row r="1919" spans="3:13" ht="18" x14ac:dyDescent="0.25">
      <c r="C1919" s="91"/>
      <c r="D1919" s="88"/>
      <c r="E1919" s="91"/>
      <c r="F1919" s="83"/>
      <c r="G1919" s="83"/>
      <c r="H1919" s="83"/>
      <c r="I1919" s="83"/>
      <c r="M1919">
        <f>96+90</f>
        <v>186</v>
      </c>
    </row>
    <row r="1920" spans="3:13" ht="18" x14ac:dyDescent="0.25">
      <c r="C1920" s="83" t="s">
        <v>68</v>
      </c>
      <c r="D1920" s="88"/>
      <c r="E1920" s="103" t="e">
        <f>+'RES CUENTA'!#REF!</f>
        <v>#REF!</v>
      </c>
      <c r="F1920" s="104" t="e">
        <f>+'RES CUENTA'!#REF!</f>
        <v>#REF!</v>
      </c>
      <c r="G1920" s="101" t="e">
        <f>+E1920*F1920/100</f>
        <v>#REF!</v>
      </c>
      <c r="H1920" s="425"/>
      <c r="I1920" s="425"/>
    </row>
    <row r="1921" spans="3:9" ht="18" x14ac:dyDescent="0.25">
      <c r="C1921" s="83" t="s">
        <v>69</v>
      </c>
      <c r="D1921" s="88"/>
      <c r="E1921" s="103" t="e">
        <f>+'RES CUENTA'!#REF!</f>
        <v>#REF!</v>
      </c>
      <c r="F1921" s="104" t="e">
        <f>+'RES CUENTA'!#REF!</f>
        <v>#REF!</v>
      </c>
      <c r="G1921" s="101" t="e">
        <f>+E1921*F1921/100</f>
        <v>#REF!</v>
      </c>
      <c r="H1921" s="430"/>
      <c r="I1921" s="430"/>
    </row>
    <row r="1922" spans="3:9" ht="18" x14ac:dyDescent="0.25">
      <c r="C1922" s="83" t="s">
        <v>181</v>
      </c>
      <c r="D1922" s="88"/>
      <c r="E1922" s="103" t="e">
        <f>+'RES CUENTA'!#REF!</f>
        <v>#REF!</v>
      </c>
      <c r="F1922" s="104">
        <v>0</v>
      </c>
      <c r="G1922" s="101" t="e">
        <f>+E1922</f>
        <v>#REF!</v>
      </c>
      <c r="H1922" s="430"/>
      <c r="I1922" s="430"/>
    </row>
    <row r="1923" spans="3:9" ht="18" x14ac:dyDescent="0.25">
      <c r="C1923" s="83" t="s">
        <v>213</v>
      </c>
      <c r="D1923" s="88"/>
      <c r="E1923" s="103" t="e">
        <f>+'RES CUENTA'!#REF!</f>
        <v>#REF!</v>
      </c>
      <c r="F1923" s="104">
        <v>0</v>
      </c>
      <c r="G1923" s="134" t="e">
        <f>+E1923</f>
        <v>#REF!</v>
      </c>
      <c r="H1923" s="430"/>
      <c r="I1923" s="430"/>
    </row>
    <row r="1924" spans="3:9" ht="18" x14ac:dyDescent="0.25">
      <c r="C1924" s="84"/>
      <c r="D1924" s="88"/>
      <c r="E1924" s="83"/>
      <c r="F1924" s="89"/>
      <c r="G1924" s="101" t="e">
        <f>SUM(G1920:G1923)</f>
        <v>#REF!</v>
      </c>
      <c r="H1924" s="430"/>
      <c r="I1924" s="430"/>
    </row>
    <row r="1925" spans="3:9" ht="18" x14ac:dyDescent="0.25">
      <c r="C1925" s="84"/>
      <c r="D1925" s="88"/>
      <c r="E1925" s="83"/>
      <c r="F1925" s="89"/>
      <c r="G1925" s="101"/>
      <c r="H1925" s="87"/>
      <c r="I1925" s="87"/>
    </row>
    <row r="1926" spans="3:9" ht="18" x14ac:dyDescent="0.25">
      <c r="C1926" s="84"/>
      <c r="D1926" s="88"/>
      <c r="E1926" s="83"/>
      <c r="F1926" s="83"/>
      <c r="H1926" s="432"/>
      <c r="I1926" s="432"/>
    </row>
    <row r="1927" spans="3:9" ht="18" x14ac:dyDescent="0.25">
      <c r="C1927" s="83"/>
      <c r="D1927" s="88"/>
      <c r="E1927" s="83"/>
      <c r="F1927" s="83"/>
      <c r="G1927" s="85"/>
      <c r="H1927" s="88"/>
      <c r="I1927" s="88"/>
    </row>
    <row r="1928" spans="3:9" ht="18" x14ac:dyDescent="0.25">
      <c r="C1928" s="83"/>
      <c r="D1928" s="88"/>
      <c r="E1928" s="83"/>
      <c r="F1928" s="83"/>
      <c r="G1928" s="89"/>
      <c r="H1928" s="83"/>
      <c r="I1928" s="83"/>
    </row>
    <row r="1929" spans="3:9" ht="23.25" customHeight="1" x14ac:dyDescent="0.25">
      <c r="C1929" s="83"/>
      <c r="D1929" s="88"/>
      <c r="E1929" s="83"/>
      <c r="F1929" s="83"/>
      <c r="G1929" s="89"/>
      <c r="H1929" s="83"/>
      <c r="I1929" s="83"/>
    </row>
    <row r="1930" spans="3:9" ht="18" x14ac:dyDescent="0.25">
      <c r="C1930" s="83" t="e">
        <f>+C1915</f>
        <v>#REF!</v>
      </c>
      <c r="D1930" s="427"/>
      <c r="E1930" s="427"/>
      <c r="F1930" s="83" t="e">
        <f>+C1930</f>
        <v>#REF!</v>
      </c>
      <c r="G1930" s="89"/>
      <c r="H1930" s="83"/>
      <c r="I1930" s="83"/>
    </row>
    <row r="1931" spans="3:9" ht="18" x14ac:dyDescent="0.25">
      <c r="D1931" s="88"/>
      <c r="E1931" s="83"/>
      <c r="G1931" s="427"/>
      <c r="H1931" s="427"/>
      <c r="I1931" s="427"/>
    </row>
    <row r="1932" spans="3:9" ht="18" x14ac:dyDescent="0.25">
      <c r="C1932" s="83" t="str">
        <f>+$F$1</f>
        <v>MONTES DE OCA 1068/1070 C.A.B.A.</v>
      </c>
      <c r="D1932" s="88"/>
      <c r="E1932" s="90" t="str">
        <f>+I1916</f>
        <v>Unid. 51</v>
      </c>
      <c r="F1932" s="83" t="str">
        <f>+$F$1</f>
        <v>MONTES DE OCA 1068/1070 C.A.B.A.</v>
      </c>
      <c r="G1932" s="83"/>
      <c r="H1932" s="83"/>
      <c r="I1932" s="90" t="str">
        <f>+E1932</f>
        <v>Unid. 51</v>
      </c>
    </row>
    <row r="1933" spans="3:9" ht="18" x14ac:dyDescent="0.25">
      <c r="I1933" s="84"/>
    </row>
    <row r="1934" spans="3:9" ht="14.25" customHeight="1" x14ac:dyDescent="0.25">
      <c r="C1934" s="84"/>
      <c r="D1934" s="91"/>
      <c r="E1934" s="84"/>
      <c r="F1934" s="84"/>
      <c r="G1934" s="83"/>
      <c r="H1934" s="83"/>
    </row>
    <row r="1935" spans="3:9" ht="18" x14ac:dyDescent="0.25">
      <c r="C1935" s="83" t="str">
        <f>+$F$2</f>
        <v>P/Depósito o transferencia en Banco Santander Rio</v>
      </c>
      <c r="D1935" s="88"/>
      <c r="E1935" s="83"/>
      <c r="F1935" s="83"/>
      <c r="G1935" s="83"/>
      <c r="H1935" s="84"/>
      <c r="I1935" s="99"/>
    </row>
    <row r="1936" spans="3:9" ht="18" x14ac:dyDescent="0.25">
      <c r="C1936" s="83" t="str">
        <f>+$F$3</f>
        <v xml:space="preserve">Cta. Cte. $ N° 558-000162/1 </v>
      </c>
      <c r="D1936" s="88"/>
      <c r="E1936" s="83"/>
      <c r="F1936" s="93"/>
      <c r="G1936" s="83"/>
      <c r="H1936" s="91"/>
      <c r="I1936" s="83"/>
    </row>
    <row r="1937" spans="3:9" ht="18" x14ac:dyDescent="0.25">
      <c r="D1937" s="88"/>
      <c r="E1937" s="83"/>
      <c r="F1937" s="83" t="s">
        <v>70</v>
      </c>
      <c r="G1937" s="102" t="e">
        <f>+G1920</f>
        <v>#REF!</v>
      </c>
      <c r="I1937" s="97">
        <f>+C1942</f>
        <v>46183</v>
      </c>
    </row>
    <row r="1938" spans="3:9" ht="18" x14ac:dyDescent="0.25">
      <c r="C1938" s="84"/>
      <c r="D1938" s="88"/>
      <c r="E1938" s="83"/>
      <c r="F1938" s="83" t="s">
        <v>71</v>
      </c>
      <c r="G1938" s="102" t="e">
        <f>+G1921</f>
        <v>#REF!</v>
      </c>
    </row>
    <row r="1939" spans="3:9" ht="18" x14ac:dyDescent="0.25">
      <c r="C1939" s="84"/>
      <c r="D1939" s="88"/>
      <c r="E1939" s="83"/>
      <c r="F1939" s="83" t="s">
        <v>72</v>
      </c>
      <c r="G1939" s="102" t="e">
        <f>+G1922</f>
        <v>#REF!</v>
      </c>
      <c r="H1939" s="83"/>
      <c r="I1939" s="83"/>
    </row>
    <row r="1940" spans="3:9" ht="18" x14ac:dyDescent="0.25">
      <c r="C1940" s="83"/>
      <c r="D1940" s="88"/>
      <c r="E1940" s="83"/>
      <c r="F1940" s="83" t="s">
        <v>73</v>
      </c>
      <c r="G1940" s="102" t="e">
        <f>+G1923</f>
        <v>#REF!</v>
      </c>
      <c r="H1940" s="83"/>
      <c r="I1940" s="83"/>
    </row>
    <row r="1941" spans="3:9" ht="18" x14ac:dyDescent="0.25">
      <c r="C1941" s="93"/>
      <c r="D1941" s="93"/>
      <c r="E1941" s="93"/>
      <c r="F1941" s="83" t="s">
        <v>181</v>
      </c>
      <c r="G1941" s="135">
        <v>0</v>
      </c>
      <c r="H1941" s="83"/>
      <c r="I1941" s="83"/>
    </row>
    <row r="1942" spans="3:9" ht="18" x14ac:dyDescent="0.25">
      <c r="C1942" s="97">
        <f>+$H$43</f>
        <v>46183</v>
      </c>
      <c r="D1942" s="157" t="e">
        <f>+G1924</f>
        <v>#REF!</v>
      </c>
      <c r="E1942" s="83"/>
      <c r="F1942" s="83" t="s">
        <v>74</v>
      </c>
      <c r="G1942" s="102" t="e">
        <f>+G1924</f>
        <v>#REF!</v>
      </c>
      <c r="H1942" s="83"/>
      <c r="I1942" s="83"/>
    </row>
    <row r="1943" spans="3:9" ht="18" x14ac:dyDescent="0.25">
      <c r="C1943" s="83"/>
      <c r="D1943" s="88"/>
      <c r="E1943" s="83"/>
      <c r="F1943" s="83"/>
      <c r="G1943" s="83"/>
      <c r="H1943" s="83"/>
      <c r="I1943" s="83"/>
    </row>
    <row r="1944" spans="3:9" ht="18" x14ac:dyDescent="0.25">
      <c r="C1944" s="83"/>
      <c r="D1944" s="88"/>
      <c r="E1944" s="83"/>
      <c r="F1944" s="83"/>
      <c r="G1944" s="83"/>
      <c r="H1944" s="425"/>
      <c r="I1944" s="425"/>
    </row>
    <row r="1945" spans="3:9" ht="18" x14ac:dyDescent="0.25">
      <c r="C1945" s="83"/>
      <c r="D1945" s="88"/>
      <c r="E1945" s="83"/>
      <c r="F1945" s="83"/>
      <c r="G1945" s="83"/>
      <c r="H1945" s="83"/>
      <c r="I1945" s="83"/>
    </row>
    <row r="1946" spans="3:9" ht="18" x14ac:dyDescent="0.25">
      <c r="C1946" s="83"/>
      <c r="D1946" s="88"/>
      <c r="E1946" s="83"/>
      <c r="F1946" s="83"/>
      <c r="G1946" s="83"/>
      <c r="H1946" s="83"/>
      <c r="I1946" s="83"/>
    </row>
    <row r="1947" spans="3:9" ht="18" x14ac:dyDescent="0.25">
      <c r="C1947" s="83"/>
      <c r="D1947" s="88"/>
      <c r="E1947" s="83"/>
      <c r="F1947" s="83"/>
      <c r="G1947" s="83"/>
      <c r="H1947" s="83"/>
      <c r="I1947" s="83"/>
    </row>
    <row r="1948" spans="3:9" ht="18" x14ac:dyDescent="0.25">
      <c r="C1948" s="83"/>
      <c r="D1948" s="88"/>
      <c r="E1948" s="83"/>
      <c r="F1948" s="83"/>
      <c r="G1948" s="83"/>
      <c r="H1948" s="83"/>
      <c r="I1948" s="83"/>
    </row>
    <row r="1949" spans="3:9" ht="18" x14ac:dyDescent="0.25">
      <c r="C1949" s="83"/>
      <c r="D1949" s="88"/>
      <c r="E1949" s="83"/>
      <c r="F1949" s="83"/>
      <c r="G1949" s="83"/>
      <c r="I1949" s="83"/>
    </row>
    <row r="1950" spans="3:9" ht="18" x14ac:dyDescent="0.25">
      <c r="C1950" s="424"/>
      <c r="D1950" s="424"/>
      <c r="E1950" s="424"/>
      <c r="F1950" s="83"/>
      <c r="G1950" s="83"/>
      <c r="I1950" s="83"/>
    </row>
    <row r="1951" spans="3:9" ht="18" x14ac:dyDescent="0.25">
      <c r="C1951" s="424"/>
      <c r="D1951" s="424"/>
      <c r="E1951" s="424"/>
      <c r="F1951" s="96">
        <f>+$C$1</f>
        <v>46143</v>
      </c>
      <c r="G1951" s="83"/>
      <c r="H1951" s="97">
        <f>+$E$1</f>
        <v>46183</v>
      </c>
      <c r="I1951" s="95"/>
    </row>
    <row r="1952" spans="3:9" ht="18" x14ac:dyDescent="0.25">
      <c r="C1952" s="82"/>
      <c r="D1952" s="82"/>
      <c r="E1952" s="98"/>
      <c r="F1952" s="96"/>
      <c r="G1952" s="83"/>
    </row>
    <row r="1953" spans="3:9" ht="18" x14ac:dyDescent="0.25">
      <c r="C1953" s="83" t="e">
        <f>+#REF!</f>
        <v>#REF!</v>
      </c>
      <c r="D1953" s="88"/>
      <c r="E1953" s="83"/>
      <c r="G1953" s="83"/>
    </row>
    <row r="1954" spans="3:9" ht="18" x14ac:dyDescent="0.25">
      <c r="D1954" s="88"/>
      <c r="E1954" s="83"/>
      <c r="F1954" s="83" t="str">
        <f>+$F$1</f>
        <v>MONTES DE OCA 1068/1070 C.A.B.A.</v>
      </c>
      <c r="G1954" s="83"/>
      <c r="I1954" s="90" t="s">
        <v>126</v>
      </c>
    </row>
    <row r="1955" spans="3:9" ht="18" x14ac:dyDescent="0.25">
      <c r="C1955" s="84"/>
      <c r="D1955" s="88"/>
      <c r="E1955" s="83"/>
      <c r="G1955" s="83"/>
      <c r="H1955" s="84"/>
    </row>
    <row r="1956" spans="3:9" ht="18" x14ac:dyDescent="0.25">
      <c r="C1956" s="83"/>
      <c r="D1956" s="88"/>
      <c r="E1956" s="83"/>
      <c r="F1956" s="84"/>
      <c r="G1956" s="83"/>
      <c r="H1956" s="83"/>
      <c r="I1956" s="84"/>
    </row>
    <row r="1957" spans="3:9" ht="18" x14ac:dyDescent="0.25">
      <c r="C1957" s="91"/>
      <c r="D1957" s="88"/>
      <c r="E1957" s="91"/>
      <c r="F1957" s="83"/>
      <c r="G1957" s="83"/>
      <c r="H1957" s="83"/>
      <c r="I1957" s="83"/>
    </row>
    <row r="1958" spans="3:9" ht="18" x14ac:dyDescent="0.25">
      <c r="C1958" s="83" t="s">
        <v>68</v>
      </c>
      <c r="D1958" s="88"/>
      <c r="E1958" s="103" t="e">
        <f>+'RES CUENTA'!#REF!</f>
        <v>#REF!</v>
      </c>
      <c r="F1958" s="104" t="e">
        <f>+'RES CUENTA'!#REF!</f>
        <v>#REF!</v>
      </c>
      <c r="G1958" s="101" t="e">
        <f>+E1958*F1958/100</f>
        <v>#REF!</v>
      </c>
      <c r="H1958" s="83"/>
      <c r="I1958" s="91"/>
    </row>
    <row r="1959" spans="3:9" ht="18" x14ac:dyDescent="0.25">
      <c r="C1959" s="83" t="s">
        <v>69</v>
      </c>
      <c r="D1959" s="88"/>
      <c r="E1959" s="103" t="e">
        <f>+'RES CUENTA'!#REF!</f>
        <v>#REF!</v>
      </c>
      <c r="F1959" s="104" t="e">
        <f>+'RES CUENTA'!#REF!</f>
        <v>#REF!</v>
      </c>
      <c r="G1959" s="101" t="e">
        <f>+E1959*F1959/100</f>
        <v>#REF!</v>
      </c>
      <c r="H1959" s="91"/>
      <c r="I1959" s="87"/>
    </row>
    <row r="1960" spans="3:9" ht="18" x14ac:dyDescent="0.25">
      <c r="C1960" s="83" t="s">
        <v>181</v>
      </c>
      <c r="D1960" s="88"/>
      <c r="E1960" s="103" t="e">
        <f>+'RES CUENTA'!#REF!</f>
        <v>#REF!</v>
      </c>
      <c r="F1960" s="104">
        <f>+'RES CUENTA'!M1009</f>
        <v>0</v>
      </c>
      <c r="G1960" s="101" t="e">
        <f>+E1960</f>
        <v>#REF!</v>
      </c>
      <c r="H1960" s="87"/>
      <c r="I1960" s="87"/>
    </row>
    <row r="1961" spans="3:9" ht="18" x14ac:dyDescent="0.25">
      <c r="C1961" s="83" t="s">
        <v>213</v>
      </c>
      <c r="D1961" s="88"/>
      <c r="E1961" s="103" t="e">
        <f>+'RES CUENTA'!#REF!</f>
        <v>#REF!</v>
      </c>
      <c r="F1961" s="104">
        <f>+'RES CUENTA'!N1008</f>
        <v>0</v>
      </c>
      <c r="G1961" s="134" t="e">
        <f>+E1961</f>
        <v>#REF!</v>
      </c>
      <c r="H1961" s="87"/>
      <c r="I1961" s="87"/>
    </row>
    <row r="1962" spans="3:9" ht="18" x14ac:dyDescent="0.25">
      <c r="C1962" s="84"/>
      <c r="D1962" s="88"/>
      <c r="E1962" s="83"/>
      <c r="G1962" s="101" t="e">
        <f>SUM(G1958:G1961)</f>
        <v>#REF!</v>
      </c>
      <c r="H1962" s="87"/>
      <c r="I1962" s="87"/>
    </row>
    <row r="1963" spans="3:9" ht="18" x14ac:dyDescent="0.25">
      <c r="C1963" s="84"/>
      <c r="D1963" s="88"/>
      <c r="E1963" s="83"/>
      <c r="G1963" s="101"/>
      <c r="H1963" s="87"/>
      <c r="I1963" s="87"/>
    </row>
    <row r="1964" spans="3:9" ht="18" x14ac:dyDescent="0.25">
      <c r="C1964" s="84"/>
      <c r="D1964" s="88"/>
      <c r="E1964" s="83"/>
      <c r="G1964" s="85"/>
      <c r="H1964" s="87"/>
      <c r="I1964" s="88"/>
    </row>
    <row r="1965" spans="3:9" ht="18" x14ac:dyDescent="0.25">
      <c r="C1965" s="83"/>
      <c r="D1965" s="88"/>
      <c r="E1965" s="83"/>
      <c r="F1965" s="83"/>
      <c r="G1965" s="89"/>
      <c r="H1965" s="88"/>
      <c r="I1965" s="88"/>
    </row>
    <row r="1966" spans="3:9" ht="18" x14ac:dyDescent="0.25">
      <c r="C1966" s="83"/>
      <c r="D1966" s="88"/>
      <c r="E1966" s="83"/>
      <c r="F1966" s="83"/>
      <c r="G1966" s="89"/>
      <c r="H1966" s="88"/>
      <c r="I1966" s="88"/>
    </row>
    <row r="1967" spans="3:9" ht="23.25" customHeight="1" x14ac:dyDescent="0.25">
      <c r="C1967" s="83"/>
      <c r="D1967" s="88"/>
      <c r="E1967" s="83"/>
      <c r="F1967" s="83"/>
      <c r="G1967" s="89"/>
      <c r="H1967" s="88"/>
      <c r="I1967" s="83"/>
    </row>
    <row r="1968" spans="3:9" ht="18" x14ac:dyDescent="0.25">
      <c r="C1968" s="83" t="e">
        <f>+C1953</f>
        <v>#REF!</v>
      </c>
      <c r="D1968" s="88"/>
      <c r="E1968" s="83"/>
      <c r="F1968" s="83" t="e">
        <f>+C1953</f>
        <v>#REF!</v>
      </c>
      <c r="G1968" s="83"/>
      <c r="H1968" s="83"/>
      <c r="I1968" s="99"/>
    </row>
    <row r="1969" spans="3:9" ht="18" x14ac:dyDescent="0.25">
      <c r="C1969" s="84"/>
      <c r="D1969" s="88"/>
      <c r="E1969" s="83"/>
      <c r="G1969" s="83"/>
      <c r="H1969" s="99"/>
      <c r="I1969" s="90" t="str">
        <f>+I1954</f>
        <v>Unid. 52</v>
      </c>
    </row>
    <row r="1970" spans="3:9" ht="18" x14ac:dyDescent="0.25">
      <c r="C1970" s="83" t="str">
        <f>+$F$1</f>
        <v>MONTES DE OCA 1068/1070 C.A.B.A.</v>
      </c>
      <c r="D1970" s="88"/>
      <c r="E1970" s="90" t="str">
        <f>+I1969</f>
        <v>Unid. 52</v>
      </c>
      <c r="F1970" s="83" t="str">
        <f>+$F$1</f>
        <v>MONTES DE OCA 1068/1070 C.A.B.A.</v>
      </c>
      <c r="G1970" s="83"/>
      <c r="H1970" s="83"/>
      <c r="I1970" s="84"/>
    </row>
    <row r="1971" spans="3:9" ht="18" x14ac:dyDescent="0.25">
      <c r="C1971" s="84"/>
      <c r="D1971" s="91"/>
      <c r="E1971" s="84"/>
      <c r="G1971" s="83"/>
      <c r="H1971" s="83"/>
    </row>
    <row r="1972" spans="3:9" ht="12.75" customHeight="1" x14ac:dyDescent="0.25">
      <c r="C1972" s="83"/>
      <c r="D1972" s="88"/>
      <c r="E1972" s="83"/>
      <c r="F1972" s="84"/>
      <c r="G1972" s="83"/>
      <c r="H1972" s="83"/>
      <c r="I1972" s="99"/>
    </row>
    <row r="1973" spans="3:9" ht="18" x14ac:dyDescent="0.25">
      <c r="C1973" s="83" t="str">
        <f>+$F$2</f>
        <v>P/Depósito o transferencia en Banco Santander Rio</v>
      </c>
      <c r="D1973" s="88"/>
      <c r="E1973" s="83"/>
      <c r="F1973" s="83"/>
      <c r="G1973" s="128"/>
      <c r="H1973" s="84"/>
      <c r="I1973" s="83"/>
    </row>
    <row r="1974" spans="3:9" ht="18" x14ac:dyDescent="0.25">
      <c r="C1974" s="83" t="str">
        <f>+$F$3</f>
        <v xml:space="preserve">Cta. Cte. $ N° 558-000162/1 </v>
      </c>
      <c r="D1974" s="88"/>
      <c r="E1974" s="83"/>
      <c r="F1974" s="93"/>
      <c r="H1974" s="91"/>
      <c r="I1974" s="92"/>
    </row>
    <row r="1975" spans="3:9" ht="18" x14ac:dyDescent="0.25">
      <c r="C1975" s="84"/>
      <c r="D1975" s="88"/>
      <c r="E1975" s="83"/>
      <c r="F1975" s="83" t="s">
        <v>70</v>
      </c>
      <c r="G1975" s="102" t="e">
        <f>+G1958</f>
        <v>#REF!</v>
      </c>
      <c r="H1975" s="92"/>
      <c r="I1975" s="97">
        <f>+C1979</f>
        <v>46183</v>
      </c>
    </row>
    <row r="1976" spans="3:9" ht="18" x14ac:dyDescent="0.25">
      <c r="C1976" s="84"/>
      <c r="D1976" s="88"/>
      <c r="E1976" s="83"/>
      <c r="F1976" s="83" t="s">
        <v>71</v>
      </c>
      <c r="G1976" s="102" t="e">
        <f>+G1959</f>
        <v>#REF!</v>
      </c>
      <c r="I1976" s="83"/>
    </row>
    <row r="1977" spans="3:9" ht="18" x14ac:dyDescent="0.25">
      <c r="C1977" s="83"/>
      <c r="D1977" s="88"/>
      <c r="E1977" s="83"/>
      <c r="F1977" s="83" t="s">
        <v>72</v>
      </c>
      <c r="G1977" s="102" t="e">
        <f>+G1960</f>
        <v>#REF!</v>
      </c>
      <c r="H1977" s="83"/>
      <c r="I1977" s="83"/>
    </row>
    <row r="1978" spans="3:9" ht="18" x14ac:dyDescent="0.25">
      <c r="C1978" s="93"/>
      <c r="D1978" s="93"/>
      <c r="E1978" s="93"/>
      <c r="F1978" s="83" t="s">
        <v>73</v>
      </c>
      <c r="G1978" s="102" t="e">
        <f>+G1961</f>
        <v>#REF!</v>
      </c>
      <c r="H1978" s="83"/>
      <c r="I1978" s="83"/>
    </row>
    <row r="1979" spans="3:9" ht="18" x14ac:dyDescent="0.25">
      <c r="C1979" s="97">
        <f>+$H$43</f>
        <v>46183</v>
      </c>
      <c r="D1979" s="157" t="e">
        <f>+G1962</f>
        <v>#REF!</v>
      </c>
      <c r="E1979" s="83"/>
      <c r="F1979" s="83" t="s">
        <v>181</v>
      </c>
      <c r="G1979" s="135">
        <v>0</v>
      </c>
      <c r="H1979" s="83"/>
      <c r="I1979" s="83"/>
    </row>
    <row r="1980" spans="3:9" ht="18" x14ac:dyDescent="0.25">
      <c r="C1980" s="83"/>
      <c r="D1980" s="88"/>
      <c r="E1980" s="83"/>
      <c r="F1980" s="83" t="s">
        <v>74</v>
      </c>
      <c r="G1980" s="102" t="e">
        <f>+G1962</f>
        <v>#REF!</v>
      </c>
      <c r="H1980" s="83"/>
      <c r="I1980" s="83"/>
    </row>
    <row r="1981" spans="3:9" ht="18" x14ac:dyDescent="0.25">
      <c r="C1981" s="83"/>
      <c r="D1981" s="88"/>
      <c r="E1981" s="83"/>
      <c r="F1981" s="83"/>
      <c r="G1981" s="83"/>
      <c r="H1981" s="83"/>
      <c r="I1981" s="83"/>
    </row>
    <row r="1982" spans="3:9" ht="18" x14ac:dyDescent="0.25">
      <c r="C1982" s="83"/>
      <c r="D1982" s="88"/>
      <c r="E1982" s="83"/>
      <c r="F1982" s="100"/>
      <c r="G1982" s="83"/>
      <c r="H1982" s="83"/>
      <c r="I1982" s="83"/>
    </row>
    <row r="1983" spans="3:9" ht="18" x14ac:dyDescent="0.25">
      <c r="C1983" s="83"/>
      <c r="D1983" s="88"/>
      <c r="E1983" s="83"/>
      <c r="F1983" s="83"/>
      <c r="G1983" s="83"/>
      <c r="H1983" s="83"/>
      <c r="I1983" s="91"/>
    </row>
    <row r="1984" spans="3:9" ht="12" customHeight="1" x14ac:dyDescent="0.25">
      <c r="F1984" s="83"/>
      <c r="H1984" s="91"/>
      <c r="I1984" s="83"/>
    </row>
    <row r="1986" spans="3:9" ht="18" x14ac:dyDescent="0.25">
      <c r="C1986" s="424"/>
      <c r="D1986" s="424"/>
      <c r="E1986" s="424"/>
      <c r="F1986" s="433">
        <f>+$C$1</f>
        <v>46143</v>
      </c>
      <c r="G1986" s="83"/>
      <c r="H1986" s="429">
        <f>+$E$1</f>
        <v>46183</v>
      </c>
      <c r="I1986" s="83"/>
    </row>
    <row r="1987" spans="3:9" ht="18" x14ac:dyDescent="0.25">
      <c r="C1987" s="82"/>
      <c r="D1987" s="82"/>
      <c r="E1987" s="98"/>
      <c r="F1987" s="433"/>
      <c r="G1987" s="83"/>
      <c r="H1987" s="429"/>
      <c r="I1987" s="83"/>
    </row>
    <row r="1988" spans="3:9" ht="18" x14ac:dyDescent="0.25">
      <c r="C1988" s="83"/>
      <c r="D1988" s="88"/>
      <c r="E1988" s="83"/>
      <c r="F1988" s="84"/>
      <c r="G1988" s="83"/>
      <c r="H1988" s="84"/>
      <c r="I1988" s="83"/>
    </row>
    <row r="1989" spans="3:9" ht="18" x14ac:dyDescent="0.25">
      <c r="C1989" s="83" t="e">
        <f>+#REF!</f>
        <v>#REF!</v>
      </c>
      <c r="D1989" s="88"/>
      <c r="E1989" s="83"/>
      <c r="F1989" s="84"/>
      <c r="G1989" s="83"/>
      <c r="H1989" s="84"/>
      <c r="I1989" s="83"/>
    </row>
    <row r="1990" spans="3:9" ht="15" customHeight="1" x14ac:dyDescent="0.25">
      <c r="C1990" s="84"/>
      <c r="D1990" s="88"/>
      <c r="E1990" s="83"/>
      <c r="F1990" s="83" t="s">
        <v>293</v>
      </c>
      <c r="G1990" s="83"/>
      <c r="H1990" s="83"/>
      <c r="I1990" s="90" t="s">
        <v>127</v>
      </c>
    </row>
    <row r="1991" spans="3:9" ht="18" x14ac:dyDescent="0.25">
      <c r="C1991" s="83"/>
      <c r="D1991" s="88"/>
      <c r="E1991" s="83"/>
      <c r="F1991" s="84"/>
      <c r="G1991" s="83"/>
      <c r="H1991" s="83"/>
      <c r="I1991" s="84"/>
    </row>
    <row r="1992" spans="3:9" ht="18" x14ac:dyDescent="0.25">
      <c r="C1992" s="91"/>
      <c r="D1992" s="88"/>
      <c r="E1992" s="91"/>
      <c r="F1992" s="83"/>
      <c r="G1992" s="83"/>
      <c r="H1992" s="83"/>
      <c r="I1992" s="83"/>
    </row>
    <row r="1993" spans="3:9" ht="18" x14ac:dyDescent="0.25">
      <c r="C1993" s="91"/>
      <c r="D1993" s="88"/>
      <c r="E1993" s="91"/>
      <c r="F1993" s="83"/>
      <c r="G1993" s="83"/>
      <c r="H1993" s="83"/>
      <c r="I1993" s="83"/>
    </row>
    <row r="1994" spans="3:9" ht="18" x14ac:dyDescent="0.25">
      <c r="C1994" s="83" t="s">
        <v>68</v>
      </c>
      <c r="D1994" s="88"/>
      <c r="E1994" s="103" t="e">
        <f>+'RES CUENTA'!#REF!</f>
        <v>#REF!</v>
      </c>
      <c r="F1994" s="104" t="e">
        <f>+'RES CUENTA'!#REF!</f>
        <v>#REF!</v>
      </c>
      <c r="G1994" s="101" t="e">
        <f>+E1994*F1994/100</f>
        <v>#REF!</v>
      </c>
      <c r="H1994" s="425"/>
      <c r="I1994" s="425"/>
    </row>
    <row r="1995" spans="3:9" ht="18" x14ac:dyDescent="0.25">
      <c r="C1995" s="83" t="s">
        <v>69</v>
      </c>
      <c r="D1995" s="88"/>
      <c r="E1995" s="103" t="e">
        <f>+'RES CUENTA'!#REF!</f>
        <v>#REF!</v>
      </c>
      <c r="F1995" s="104" t="e">
        <f>+'RES CUENTA'!#REF!</f>
        <v>#REF!</v>
      </c>
      <c r="G1995" s="101" t="e">
        <f>+E1995*F1995/100</f>
        <v>#REF!</v>
      </c>
      <c r="H1995" s="430"/>
      <c r="I1995" s="430"/>
    </row>
    <row r="1996" spans="3:9" ht="18" x14ac:dyDescent="0.25">
      <c r="C1996" s="83" t="s">
        <v>181</v>
      </c>
      <c r="D1996" s="88"/>
      <c r="E1996" s="103" t="e">
        <f>+'RES CUENTA'!#REF!</f>
        <v>#REF!</v>
      </c>
      <c r="F1996" s="104">
        <v>0</v>
      </c>
      <c r="G1996" s="101" t="e">
        <f>+E1996</f>
        <v>#REF!</v>
      </c>
      <c r="H1996" s="430"/>
      <c r="I1996" s="430"/>
    </row>
    <row r="1997" spans="3:9" ht="18" x14ac:dyDescent="0.25">
      <c r="C1997" s="83" t="s">
        <v>213</v>
      </c>
      <c r="D1997" s="88"/>
      <c r="E1997" s="103" t="e">
        <f>+'RES CUENTA'!#REF!</f>
        <v>#REF!</v>
      </c>
      <c r="F1997" s="104">
        <v>0</v>
      </c>
      <c r="G1997" s="134" t="e">
        <f>+E1997</f>
        <v>#REF!</v>
      </c>
      <c r="H1997" s="430"/>
      <c r="I1997" s="430"/>
    </row>
    <row r="1998" spans="3:9" ht="18" x14ac:dyDescent="0.25">
      <c r="C1998" s="84"/>
      <c r="D1998" s="88"/>
      <c r="E1998" s="83"/>
      <c r="F1998" s="89"/>
      <c r="G1998" s="101" t="e">
        <f>SUM(G1994:G1997)</f>
        <v>#REF!</v>
      </c>
      <c r="H1998" s="430"/>
      <c r="I1998" s="430"/>
    </row>
    <row r="1999" spans="3:9" ht="18" x14ac:dyDescent="0.25">
      <c r="C1999" s="84"/>
      <c r="D1999" s="88"/>
      <c r="E1999" s="83"/>
      <c r="F1999" s="89"/>
      <c r="G1999" s="101"/>
      <c r="H1999" s="87"/>
      <c r="I1999" s="87"/>
    </row>
    <row r="2000" spans="3:9" ht="18" x14ac:dyDescent="0.25">
      <c r="C2000" s="84"/>
      <c r="D2000" s="88"/>
      <c r="E2000" s="83"/>
      <c r="F2000" s="83"/>
      <c r="H2000" s="432"/>
      <c r="I2000" s="432"/>
    </row>
    <row r="2001" spans="3:9" ht="18" x14ac:dyDescent="0.25">
      <c r="C2001" s="83"/>
      <c r="D2001" s="88"/>
      <c r="E2001" s="83"/>
      <c r="F2001" s="83"/>
      <c r="G2001" s="85"/>
      <c r="H2001" s="88"/>
      <c r="I2001" s="88"/>
    </row>
    <row r="2002" spans="3:9" ht="18" x14ac:dyDescent="0.25">
      <c r="C2002" s="83"/>
      <c r="D2002" s="88"/>
      <c r="E2002" s="83"/>
      <c r="F2002" s="83"/>
      <c r="G2002" s="89"/>
      <c r="H2002" s="83"/>
      <c r="I2002" s="83"/>
    </row>
    <row r="2003" spans="3:9" ht="23.25" customHeight="1" x14ac:dyDescent="0.25">
      <c r="C2003" s="83"/>
      <c r="D2003" s="88"/>
      <c r="E2003" s="83"/>
      <c r="F2003" s="83"/>
      <c r="G2003" s="89"/>
      <c r="H2003" s="83"/>
      <c r="I2003" s="83"/>
    </row>
    <row r="2004" spans="3:9" ht="18" x14ac:dyDescent="0.25">
      <c r="C2004" s="83" t="e">
        <f>+C1989</f>
        <v>#REF!</v>
      </c>
      <c r="D2004" s="427"/>
      <c r="E2004" s="427"/>
      <c r="F2004" s="83" t="e">
        <f>+C2004</f>
        <v>#REF!</v>
      </c>
      <c r="G2004" s="89"/>
      <c r="H2004" s="83"/>
      <c r="I2004" s="83"/>
    </row>
    <row r="2005" spans="3:9" ht="18" x14ac:dyDescent="0.25">
      <c r="D2005" s="88"/>
      <c r="E2005" s="83"/>
      <c r="G2005" s="427"/>
      <c r="H2005" s="427"/>
      <c r="I2005" s="427"/>
    </row>
    <row r="2006" spans="3:9" ht="18" x14ac:dyDescent="0.25">
      <c r="C2006" s="83" t="str">
        <f>+$F$1</f>
        <v>MONTES DE OCA 1068/1070 C.A.B.A.</v>
      </c>
      <c r="D2006" s="88"/>
      <c r="E2006" s="90" t="str">
        <f>+I1990</f>
        <v>Unid. 53</v>
      </c>
      <c r="F2006" s="83" t="str">
        <f>+$F$1</f>
        <v>MONTES DE OCA 1068/1070 C.A.B.A.</v>
      </c>
      <c r="G2006" s="83"/>
      <c r="H2006" s="83"/>
      <c r="I2006" s="90" t="str">
        <f>+E2006</f>
        <v>Unid. 53</v>
      </c>
    </row>
    <row r="2007" spans="3:9" ht="18" x14ac:dyDescent="0.25">
      <c r="I2007" s="84"/>
    </row>
    <row r="2008" spans="3:9" ht="14.25" customHeight="1" x14ac:dyDescent="0.25">
      <c r="C2008" s="84"/>
      <c r="D2008" s="91"/>
      <c r="E2008" s="84"/>
      <c r="F2008" s="84"/>
      <c r="G2008" s="83"/>
      <c r="H2008" s="83"/>
    </row>
    <row r="2009" spans="3:9" ht="18" x14ac:dyDescent="0.25">
      <c r="C2009" s="83" t="str">
        <f>+$F$2</f>
        <v>P/Depósito o transferencia en Banco Santander Rio</v>
      </c>
      <c r="D2009" s="88"/>
      <c r="E2009" s="83"/>
      <c r="F2009" s="83"/>
      <c r="G2009" s="83"/>
      <c r="H2009" s="84"/>
      <c r="I2009" s="99"/>
    </row>
    <row r="2010" spans="3:9" ht="15.75" customHeight="1" x14ac:dyDescent="0.25">
      <c r="C2010" s="83" t="str">
        <f>+$F$3</f>
        <v xml:space="preserve">Cta. Cte. $ N° 558-000162/1 </v>
      </c>
      <c r="D2010" s="88"/>
      <c r="E2010" s="83"/>
      <c r="F2010" s="93"/>
      <c r="G2010" s="83"/>
      <c r="H2010" s="91"/>
      <c r="I2010" s="83"/>
    </row>
    <row r="2011" spans="3:9" ht="15.75" customHeight="1" x14ac:dyDescent="0.25">
      <c r="D2011" s="88"/>
      <c r="E2011" s="83"/>
      <c r="F2011" s="83" t="s">
        <v>70</v>
      </c>
      <c r="G2011" s="102" t="e">
        <f>+G1994</f>
        <v>#REF!</v>
      </c>
      <c r="I2011" s="97">
        <f>+C2016</f>
        <v>46183</v>
      </c>
    </row>
    <row r="2012" spans="3:9" ht="18" x14ac:dyDescent="0.25">
      <c r="C2012" s="84"/>
      <c r="D2012" s="88"/>
      <c r="E2012" s="83"/>
      <c r="F2012" s="83" t="s">
        <v>71</v>
      </c>
      <c r="G2012" s="102" t="e">
        <f>+G1995</f>
        <v>#REF!</v>
      </c>
    </row>
    <row r="2013" spans="3:9" ht="18" x14ac:dyDescent="0.25">
      <c r="C2013" s="84"/>
      <c r="D2013" s="88"/>
      <c r="E2013" s="83"/>
      <c r="F2013" s="83" t="s">
        <v>72</v>
      </c>
      <c r="G2013" s="102" t="e">
        <f>+G1996</f>
        <v>#REF!</v>
      </c>
      <c r="H2013" s="83"/>
      <c r="I2013" s="83"/>
    </row>
    <row r="2014" spans="3:9" ht="18" x14ac:dyDescent="0.25">
      <c r="C2014" s="83"/>
      <c r="D2014" s="88"/>
      <c r="E2014" s="83"/>
      <c r="F2014" s="83" t="s">
        <v>73</v>
      </c>
      <c r="G2014" s="102" t="e">
        <f>+G1997</f>
        <v>#REF!</v>
      </c>
      <c r="H2014" s="83"/>
      <c r="I2014" s="83"/>
    </row>
    <row r="2015" spans="3:9" ht="18" x14ac:dyDescent="0.25">
      <c r="C2015" s="93"/>
      <c r="D2015" s="93"/>
      <c r="E2015" s="93"/>
      <c r="F2015" s="83" t="s">
        <v>181</v>
      </c>
      <c r="G2015" s="135">
        <v>0</v>
      </c>
      <c r="H2015" s="83"/>
      <c r="I2015" s="83"/>
    </row>
    <row r="2016" spans="3:9" ht="18" x14ac:dyDescent="0.25">
      <c r="C2016" s="97">
        <f>+$H$43</f>
        <v>46183</v>
      </c>
      <c r="D2016" s="157" t="e">
        <f>+G1998</f>
        <v>#REF!</v>
      </c>
      <c r="E2016" s="83"/>
      <c r="F2016" s="83" t="s">
        <v>74</v>
      </c>
      <c r="G2016" s="102" t="e">
        <f>+G1998</f>
        <v>#REF!</v>
      </c>
      <c r="H2016" s="83"/>
      <c r="I2016" s="83"/>
    </row>
    <row r="2017" spans="3:9" ht="18" x14ac:dyDescent="0.25">
      <c r="C2017" s="83"/>
      <c r="D2017" s="88"/>
      <c r="E2017" s="83"/>
      <c r="F2017" s="83"/>
      <c r="G2017" s="83"/>
      <c r="H2017" s="83"/>
      <c r="I2017" s="83"/>
    </row>
    <row r="2018" spans="3:9" ht="18" x14ac:dyDescent="0.25">
      <c r="C2018" s="83"/>
      <c r="D2018" s="88"/>
      <c r="E2018" s="83"/>
      <c r="F2018" s="83"/>
      <c r="G2018" s="83"/>
      <c r="H2018" s="425"/>
      <c r="I2018" s="425"/>
    </row>
    <row r="2019" spans="3:9" ht="18" x14ac:dyDescent="0.25">
      <c r="C2019" s="83"/>
      <c r="D2019" s="88"/>
      <c r="E2019" s="83"/>
      <c r="F2019" s="83"/>
      <c r="G2019" s="83"/>
      <c r="H2019" s="83"/>
      <c r="I2019" s="83"/>
    </row>
    <row r="2020" spans="3:9" ht="18" x14ac:dyDescent="0.25">
      <c r="C2020" s="83"/>
      <c r="D2020" s="88"/>
      <c r="E2020" s="83"/>
      <c r="F2020" s="83"/>
      <c r="G2020" s="83"/>
      <c r="H2020" s="83"/>
      <c r="I2020" s="83"/>
    </row>
    <row r="2021" spans="3:9" ht="18" x14ac:dyDescent="0.25">
      <c r="C2021" s="83"/>
      <c r="D2021" s="88"/>
      <c r="E2021" s="83"/>
      <c r="F2021" s="83"/>
      <c r="G2021" s="83"/>
      <c r="H2021" s="83"/>
      <c r="I2021" s="83"/>
    </row>
    <row r="2022" spans="3:9" ht="18" x14ac:dyDescent="0.25">
      <c r="C2022" s="83"/>
      <c r="D2022" s="88"/>
      <c r="E2022" s="83"/>
      <c r="F2022" s="83"/>
      <c r="G2022" s="83"/>
      <c r="H2022" s="83"/>
      <c r="I2022" s="83"/>
    </row>
    <row r="2023" spans="3:9" ht="18" x14ac:dyDescent="0.25">
      <c r="C2023" s="83"/>
      <c r="D2023" s="88"/>
      <c r="E2023" s="83"/>
      <c r="F2023" s="83"/>
      <c r="G2023" s="83"/>
      <c r="I2023" s="83"/>
    </row>
    <row r="2024" spans="3:9" ht="18" x14ac:dyDescent="0.25">
      <c r="C2024" s="424"/>
      <c r="D2024" s="424"/>
      <c r="E2024" s="424"/>
      <c r="F2024" s="83"/>
      <c r="G2024" s="83"/>
      <c r="I2024" s="83"/>
    </row>
    <row r="2025" spans="3:9" ht="18" x14ac:dyDescent="0.25">
      <c r="C2025" s="424"/>
      <c r="D2025" s="424"/>
      <c r="E2025" s="424"/>
      <c r="F2025" s="96">
        <f>+$C$1</f>
        <v>46143</v>
      </c>
      <c r="G2025" s="83"/>
      <c r="H2025" s="97">
        <f>+$E$1</f>
        <v>46183</v>
      </c>
      <c r="I2025" s="95"/>
    </row>
    <row r="2026" spans="3:9" ht="18" x14ac:dyDescent="0.25">
      <c r="C2026" s="82"/>
      <c r="D2026" s="82"/>
      <c r="E2026" s="98"/>
      <c r="F2026" s="96"/>
      <c r="G2026" s="83"/>
    </row>
    <row r="2027" spans="3:9" ht="18" x14ac:dyDescent="0.25">
      <c r="C2027" s="83" t="e">
        <f>+#REF!</f>
        <v>#REF!</v>
      </c>
      <c r="D2027" s="88"/>
      <c r="E2027" s="83"/>
      <c r="G2027" s="83"/>
    </row>
    <row r="2028" spans="3:9" ht="14.25" customHeight="1" x14ac:dyDescent="0.25">
      <c r="D2028" s="88"/>
      <c r="E2028" s="83"/>
      <c r="F2028" s="83" t="str">
        <f>+$F$1</f>
        <v>MONTES DE OCA 1068/1070 C.A.B.A.</v>
      </c>
      <c r="G2028" s="83"/>
      <c r="I2028" s="90" t="s">
        <v>128</v>
      </c>
    </row>
    <row r="2029" spans="3:9" ht="18" x14ac:dyDescent="0.25">
      <c r="C2029" s="84"/>
      <c r="D2029" s="88"/>
      <c r="E2029" s="83"/>
      <c r="G2029" s="83"/>
      <c r="H2029" s="84"/>
    </row>
    <row r="2030" spans="3:9" ht="18" x14ac:dyDescent="0.25">
      <c r="C2030" s="83"/>
      <c r="D2030" s="88"/>
      <c r="E2030" s="83"/>
      <c r="F2030" s="84"/>
      <c r="G2030" s="83"/>
      <c r="H2030" s="83"/>
      <c r="I2030" s="84"/>
    </row>
    <row r="2031" spans="3:9" ht="18" x14ac:dyDescent="0.25">
      <c r="C2031" s="91"/>
      <c r="D2031" s="88"/>
      <c r="E2031" s="91"/>
      <c r="F2031" s="83"/>
      <c r="G2031" s="83"/>
      <c r="H2031" s="83"/>
      <c r="I2031" s="83"/>
    </row>
    <row r="2032" spans="3:9" ht="18" x14ac:dyDescent="0.25">
      <c r="C2032" s="83" t="s">
        <v>68</v>
      </c>
      <c r="D2032" s="88"/>
      <c r="E2032" s="103" t="e">
        <f>+'RES CUENTA'!#REF!</f>
        <v>#REF!</v>
      </c>
      <c r="F2032" s="104" t="e">
        <f>+'RES CUENTA'!#REF!</f>
        <v>#REF!</v>
      </c>
      <c r="G2032" s="101" t="e">
        <f>+E2032*F2032/100</f>
        <v>#REF!</v>
      </c>
      <c r="H2032" s="83"/>
      <c r="I2032" s="91"/>
    </row>
    <row r="2033" spans="3:9" ht="18" x14ac:dyDescent="0.25">
      <c r="C2033" s="83" t="s">
        <v>69</v>
      </c>
      <c r="D2033" s="88"/>
      <c r="E2033" s="103" t="e">
        <f>+'RES CUENTA'!#REF!</f>
        <v>#REF!</v>
      </c>
      <c r="F2033" s="104" t="e">
        <f>+'RES CUENTA'!#REF!</f>
        <v>#REF!</v>
      </c>
      <c r="G2033" s="101" t="e">
        <f>+E2033*F2033/100</f>
        <v>#REF!</v>
      </c>
      <c r="H2033" s="91"/>
      <c r="I2033" s="87"/>
    </row>
    <row r="2034" spans="3:9" ht="18" x14ac:dyDescent="0.25">
      <c r="C2034" s="83" t="s">
        <v>181</v>
      </c>
      <c r="D2034" s="88"/>
      <c r="E2034" s="103" t="e">
        <f>+'RES CUENTA'!#REF!</f>
        <v>#REF!</v>
      </c>
      <c r="F2034" s="104">
        <f>+'RES CUENTA'!M1085</f>
        <v>0</v>
      </c>
      <c r="G2034" s="101" t="e">
        <f>+E2034</f>
        <v>#REF!</v>
      </c>
      <c r="H2034" s="87"/>
      <c r="I2034" s="87"/>
    </row>
    <row r="2035" spans="3:9" ht="18" x14ac:dyDescent="0.25">
      <c r="C2035" s="83" t="s">
        <v>213</v>
      </c>
      <c r="D2035" s="88"/>
      <c r="E2035" s="103" t="e">
        <f>+'RES CUENTA'!#REF!</f>
        <v>#REF!</v>
      </c>
      <c r="F2035" s="104">
        <f>+'RES CUENTA'!N1084</f>
        <v>0</v>
      </c>
      <c r="G2035" s="134" t="e">
        <f>+E2035</f>
        <v>#REF!</v>
      </c>
      <c r="H2035" s="87"/>
      <c r="I2035" s="87"/>
    </row>
    <row r="2036" spans="3:9" ht="18" x14ac:dyDescent="0.25">
      <c r="C2036" s="84"/>
      <c r="D2036" s="88"/>
      <c r="E2036" s="83"/>
      <c r="G2036" s="101" t="e">
        <f>SUM(G2032:G2035)</f>
        <v>#REF!</v>
      </c>
      <c r="H2036" s="87"/>
      <c r="I2036" s="87"/>
    </row>
    <row r="2037" spans="3:9" ht="18" x14ac:dyDescent="0.25">
      <c r="C2037" s="84"/>
      <c r="D2037" s="88"/>
      <c r="E2037" s="83"/>
      <c r="G2037" s="101"/>
      <c r="H2037" s="87"/>
      <c r="I2037" s="87"/>
    </row>
    <row r="2038" spans="3:9" ht="18" x14ac:dyDescent="0.25">
      <c r="C2038" s="84"/>
      <c r="D2038" s="88"/>
      <c r="E2038" s="83"/>
      <c r="G2038" s="85"/>
      <c r="H2038" s="87"/>
      <c r="I2038" s="88"/>
    </row>
    <row r="2039" spans="3:9" ht="18" x14ac:dyDescent="0.25">
      <c r="C2039" s="83"/>
      <c r="D2039" s="88"/>
      <c r="E2039" s="83"/>
      <c r="F2039" s="83"/>
      <c r="G2039" s="89"/>
      <c r="H2039" s="88"/>
      <c r="I2039" s="88"/>
    </row>
    <row r="2040" spans="3:9" ht="18" x14ac:dyDescent="0.25">
      <c r="C2040" s="83"/>
      <c r="D2040" s="88"/>
      <c r="E2040" s="83"/>
      <c r="F2040" s="83"/>
      <c r="G2040" s="89"/>
      <c r="H2040" s="88"/>
      <c r="I2040" s="88"/>
    </row>
    <row r="2041" spans="3:9" ht="29.25" customHeight="1" x14ac:dyDescent="0.25">
      <c r="C2041" s="83"/>
      <c r="D2041" s="88"/>
      <c r="E2041" s="83"/>
      <c r="F2041" s="83"/>
      <c r="G2041" s="89"/>
      <c r="H2041" s="88"/>
      <c r="I2041" s="83"/>
    </row>
    <row r="2042" spans="3:9" ht="18" x14ac:dyDescent="0.25">
      <c r="C2042" s="83" t="e">
        <f>+C2027</f>
        <v>#REF!</v>
      </c>
      <c r="D2042" s="88"/>
      <c r="E2042" s="83"/>
      <c r="F2042" s="83" t="e">
        <f>+C2027</f>
        <v>#REF!</v>
      </c>
      <c r="G2042" s="83"/>
      <c r="H2042" s="83"/>
      <c r="I2042" s="99"/>
    </row>
    <row r="2043" spans="3:9" ht="18" x14ac:dyDescent="0.25">
      <c r="C2043" s="84"/>
      <c r="D2043" s="88"/>
      <c r="E2043" s="83"/>
      <c r="G2043" s="83"/>
      <c r="H2043" s="99"/>
      <c r="I2043" s="90" t="str">
        <f>+I2028</f>
        <v>Unid. 54</v>
      </c>
    </row>
    <row r="2044" spans="3:9" ht="18" x14ac:dyDescent="0.25">
      <c r="C2044" s="83" t="str">
        <f>+$F$1</f>
        <v>MONTES DE OCA 1068/1070 C.A.B.A.</v>
      </c>
      <c r="D2044" s="88"/>
      <c r="E2044" s="90" t="str">
        <f>+I2043</f>
        <v>Unid. 54</v>
      </c>
      <c r="F2044" s="83" t="str">
        <f>+$F$1</f>
        <v>MONTES DE OCA 1068/1070 C.A.B.A.</v>
      </c>
      <c r="G2044" s="83"/>
      <c r="H2044" s="83"/>
      <c r="I2044" s="84"/>
    </row>
    <row r="2045" spans="3:9" ht="18" x14ac:dyDescent="0.25">
      <c r="C2045" s="84"/>
      <c r="D2045" s="91"/>
      <c r="E2045" s="84"/>
      <c r="G2045" s="83"/>
      <c r="H2045" s="83"/>
    </row>
    <row r="2046" spans="3:9" ht="15" customHeight="1" x14ac:dyDescent="0.25">
      <c r="C2046" s="83"/>
      <c r="D2046" s="88"/>
      <c r="E2046" s="83"/>
      <c r="F2046" s="84"/>
      <c r="G2046" s="83"/>
      <c r="H2046" s="83"/>
      <c r="I2046" s="99"/>
    </row>
    <row r="2047" spans="3:9" ht="18" x14ac:dyDescent="0.25">
      <c r="C2047" s="83" t="str">
        <f>+$F$2</f>
        <v>P/Depósito o transferencia en Banco Santander Rio</v>
      </c>
      <c r="D2047" s="88"/>
      <c r="E2047" s="83"/>
      <c r="F2047" s="83"/>
      <c r="G2047" s="128"/>
      <c r="H2047" s="84"/>
      <c r="I2047" s="83"/>
    </row>
    <row r="2048" spans="3:9" ht="18" x14ac:dyDescent="0.25">
      <c r="C2048" s="83" t="str">
        <f>+$F$3</f>
        <v xml:space="preserve">Cta. Cte. $ N° 558-000162/1 </v>
      </c>
      <c r="D2048" s="88"/>
      <c r="E2048" s="83"/>
      <c r="F2048" s="93"/>
      <c r="H2048" s="91"/>
      <c r="I2048" s="92"/>
    </row>
    <row r="2049" spans="3:9" ht="15.75" customHeight="1" x14ac:dyDescent="0.25">
      <c r="C2049" s="84"/>
      <c r="D2049" s="88"/>
      <c r="E2049" s="83"/>
      <c r="F2049" s="83" t="s">
        <v>70</v>
      </c>
      <c r="G2049" s="102" t="e">
        <f>+G2032</f>
        <v>#REF!</v>
      </c>
      <c r="H2049" s="92"/>
      <c r="I2049" s="97">
        <f>+C2053</f>
        <v>46183</v>
      </c>
    </row>
    <row r="2050" spans="3:9" ht="18" x14ac:dyDescent="0.25">
      <c r="C2050" s="84"/>
      <c r="D2050" s="88"/>
      <c r="E2050" s="83"/>
      <c r="F2050" s="83" t="s">
        <v>71</v>
      </c>
      <c r="G2050" s="102" t="e">
        <f>+G2033</f>
        <v>#REF!</v>
      </c>
      <c r="I2050" s="83"/>
    </row>
    <row r="2051" spans="3:9" ht="18" x14ac:dyDescent="0.25">
      <c r="C2051" s="83"/>
      <c r="D2051" s="88"/>
      <c r="E2051" s="83"/>
      <c r="F2051" s="83" t="s">
        <v>72</v>
      </c>
      <c r="G2051" s="102" t="e">
        <f>+G2034</f>
        <v>#REF!</v>
      </c>
      <c r="H2051" s="83"/>
      <c r="I2051" s="83"/>
    </row>
    <row r="2052" spans="3:9" ht="18" x14ac:dyDescent="0.25">
      <c r="C2052" s="93"/>
      <c r="D2052" s="93"/>
      <c r="E2052" s="93"/>
      <c r="F2052" s="83" t="s">
        <v>73</v>
      </c>
      <c r="G2052" s="102" t="e">
        <f>+G2035</f>
        <v>#REF!</v>
      </c>
      <c r="H2052" s="83"/>
      <c r="I2052" s="83"/>
    </row>
    <row r="2053" spans="3:9" ht="18" x14ac:dyDescent="0.25">
      <c r="C2053" s="97">
        <f>+$H$43</f>
        <v>46183</v>
      </c>
      <c r="D2053" s="157" t="e">
        <f>+G2036</f>
        <v>#REF!</v>
      </c>
      <c r="E2053" s="83"/>
      <c r="F2053" s="83" t="s">
        <v>181</v>
      </c>
      <c r="G2053" s="135">
        <v>0</v>
      </c>
      <c r="H2053" s="83"/>
      <c r="I2053" s="83"/>
    </row>
    <row r="2054" spans="3:9" ht="18" x14ac:dyDescent="0.25">
      <c r="C2054" s="83"/>
      <c r="D2054" s="88"/>
      <c r="E2054" s="83"/>
      <c r="F2054" s="83" t="s">
        <v>74</v>
      </c>
      <c r="G2054" s="102" t="e">
        <f>+G2036</f>
        <v>#REF!</v>
      </c>
      <c r="H2054" s="83"/>
      <c r="I2054" s="83"/>
    </row>
    <row r="2055" spans="3:9" ht="18" x14ac:dyDescent="0.25">
      <c r="C2055" s="83"/>
      <c r="D2055" s="88"/>
      <c r="E2055" s="83"/>
      <c r="F2055" s="83"/>
      <c r="G2055" s="83"/>
      <c r="H2055" s="83"/>
      <c r="I2055" s="83"/>
    </row>
    <row r="2056" spans="3:9" ht="18" x14ac:dyDescent="0.25">
      <c r="C2056" s="83"/>
      <c r="D2056" s="88"/>
      <c r="E2056" s="83"/>
      <c r="F2056" s="100"/>
      <c r="G2056" s="83"/>
      <c r="H2056" s="83"/>
      <c r="I2056" s="83"/>
    </row>
    <row r="2057" spans="3:9" ht="18" x14ac:dyDescent="0.25">
      <c r="C2057" s="83"/>
      <c r="D2057" s="88"/>
      <c r="E2057" s="83"/>
      <c r="F2057" s="83"/>
      <c r="G2057" s="83"/>
      <c r="H2057" s="83"/>
      <c r="I2057" s="91"/>
    </row>
    <row r="2058" spans="3:9" ht="11.25" customHeight="1" x14ac:dyDescent="0.25">
      <c r="F2058" s="83"/>
      <c r="H2058" s="91"/>
      <c r="I2058" s="83"/>
    </row>
    <row r="2060" spans="3:9" ht="18" x14ac:dyDescent="0.25">
      <c r="C2060" s="424"/>
      <c r="D2060" s="424"/>
      <c r="E2060" s="424"/>
      <c r="F2060" s="433">
        <f>+$C$1</f>
        <v>46143</v>
      </c>
      <c r="G2060" s="83"/>
      <c r="H2060" s="429">
        <f>+$E$1</f>
        <v>46183</v>
      </c>
      <c r="I2060" s="83"/>
    </row>
    <row r="2061" spans="3:9" ht="18" x14ac:dyDescent="0.25">
      <c r="C2061" s="82"/>
      <c r="D2061" s="82"/>
      <c r="E2061" s="98"/>
      <c r="F2061" s="433"/>
      <c r="G2061" s="83"/>
      <c r="H2061" s="429"/>
      <c r="I2061" s="83"/>
    </row>
    <row r="2062" spans="3:9" ht="18" x14ac:dyDescent="0.25">
      <c r="C2062" s="83"/>
      <c r="D2062" s="88"/>
      <c r="E2062" s="83"/>
      <c r="F2062" s="84"/>
      <c r="G2062" s="83"/>
      <c r="H2062" s="84"/>
      <c r="I2062" s="83"/>
    </row>
    <row r="2063" spans="3:9" ht="18" x14ac:dyDescent="0.25">
      <c r="C2063" s="83" t="e">
        <f>+#REF!</f>
        <v>#REF!</v>
      </c>
      <c r="D2063" s="88"/>
      <c r="E2063" s="83"/>
      <c r="F2063" s="84"/>
      <c r="G2063" s="83"/>
      <c r="H2063" s="84"/>
      <c r="I2063" s="83"/>
    </row>
    <row r="2064" spans="3:9" ht="18" x14ac:dyDescent="0.25">
      <c r="C2064" s="84"/>
      <c r="D2064" s="88"/>
      <c r="E2064" s="83"/>
      <c r="F2064" s="83" t="s">
        <v>293</v>
      </c>
      <c r="G2064" s="83"/>
      <c r="H2064" s="83"/>
      <c r="I2064" s="90" t="s">
        <v>129</v>
      </c>
    </row>
    <row r="2065" spans="3:9" ht="18" x14ac:dyDescent="0.25">
      <c r="C2065" s="83"/>
      <c r="D2065" s="88"/>
      <c r="E2065" s="83"/>
      <c r="F2065" s="84"/>
      <c r="G2065" s="83"/>
      <c r="H2065" s="83"/>
      <c r="I2065" s="84"/>
    </row>
    <row r="2066" spans="3:9" ht="18" x14ac:dyDescent="0.25">
      <c r="C2066" s="91"/>
      <c r="D2066" s="88"/>
      <c r="E2066" s="91"/>
      <c r="F2066" s="83"/>
      <c r="G2066" s="83"/>
      <c r="H2066" s="83"/>
      <c r="I2066" s="83"/>
    </row>
    <row r="2067" spans="3:9" ht="18" x14ac:dyDescent="0.25">
      <c r="C2067" s="91"/>
      <c r="D2067" s="88"/>
      <c r="E2067" s="91"/>
      <c r="F2067" s="83"/>
      <c r="G2067" s="83"/>
      <c r="H2067" s="83"/>
      <c r="I2067" s="83"/>
    </row>
    <row r="2068" spans="3:9" ht="18" x14ac:dyDescent="0.25">
      <c r="C2068" s="83" t="s">
        <v>68</v>
      </c>
      <c r="D2068" s="88"/>
      <c r="E2068" s="103" t="e">
        <f>+'RES CUENTA'!#REF!</f>
        <v>#REF!</v>
      </c>
      <c r="F2068" s="104" t="e">
        <f>+'RES CUENTA'!#REF!</f>
        <v>#REF!</v>
      </c>
      <c r="G2068" s="101" t="e">
        <f>+E2068*F2068/100</f>
        <v>#REF!</v>
      </c>
      <c r="H2068" s="425"/>
      <c r="I2068" s="425"/>
    </row>
    <row r="2069" spans="3:9" ht="18" x14ac:dyDescent="0.25">
      <c r="C2069" s="83" t="s">
        <v>69</v>
      </c>
      <c r="D2069" s="88"/>
      <c r="E2069" s="103" t="e">
        <f>+'RES CUENTA'!#REF!</f>
        <v>#REF!</v>
      </c>
      <c r="F2069" s="104" t="e">
        <f>+'RES CUENTA'!#REF!</f>
        <v>#REF!</v>
      </c>
      <c r="G2069" s="101" t="e">
        <f>+E2069*F2069/100</f>
        <v>#REF!</v>
      </c>
      <c r="H2069" s="430"/>
      <c r="I2069" s="430"/>
    </row>
    <row r="2070" spans="3:9" ht="18" x14ac:dyDescent="0.25">
      <c r="C2070" s="83" t="s">
        <v>181</v>
      </c>
      <c r="D2070" s="88"/>
      <c r="E2070" s="103" t="e">
        <f>+'RES CUENTA'!#REF!</f>
        <v>#REF!</v>
      </c>
      <c r="F2070" s="104">
        <v>0</v>
      </c>
      <c r="G2070" s="101" t="e">
        <f>+E2070</f>
        <v>#REF!</v>
      </c>
      <c r="H2070" s="430"/>
      <c r="I2070" s="430"/>
    </row>
    <row r="2071" spans="3:9" ht="18" x14ac:dyDescent="0.25">
      <c r="C2071" s="83" t="s">
        <v>213</v>
      </c>
      <c r="D2071" s="88"/>
      <c r="E2071" s="103" t="e">
        <f>+'RES CUENTA'!#REF!</f>
        <v>#REF!</v>
      </c>
      <c r="F2071" s="104">
        <v>0</v>
      </c>
      <c r="G2071" s="134" t="e">
        <f>+E2071</f>
        <v>#REF!</v>
      </c>
      <c r="H2071" s="430"/>
      <c r="I2071" s="430"/>
    </row>
    <row r="2072" spans="3:9" ht="18" x14ac:dyDescent="0.25">
      <c r="C2072" s="84"/>
      <c r="D2072" s="88"/>
      <c r="E2072" s="83"/>
      <c r="F2072" s="89"/>
      <c r="G2072" s="101" t="e">
        <f>SUM(G2068:G2071)</f>
        <v>#REF!</v>
      </c>
      <c r="H2072" s="430"/>
      <c r="I2072" s="430"/>
    </row>
    <row r="2073" spans="3:9" ht="18" x14ac:dyDescent="0.25">
      <c r="C2073" s="84"/>
      <c r="D2073" s="88"/>
      <c r="E2073" s="83"/>
      <c r="F2073" s="89"/>
      <c r="G2073" s="101"/>
      <c r="H2073" s="87"/>
      <c r="I2073" s="87"/>
    </row>
    <row r="2074" spans="3:9" ht="18" x14ac:dyDescent="0.25">
      <c r="C2074" s="84"/>
      <c r="D2074" s="88"/>
      <c r="E2074" s="83"/>
      <c r="F2074" s="83"/>
      <c r="H2074" s="432"/>
      <c r="I2074" s="432"/>
    </row>
    <row r="2075" spans="3:9" ht="18" x14ac:dyDescent="0.25">
      <c r="C2075" s="83"/>
      <c r="D2075" s="88"/>
      <c r="E2075" s="83"/>
      <c r="F2075" s="83"/>
      <c r="G2075" s="85"/>
      <c r="H2075" s="88"/>
      <c r="I2075" s="88"/>
    </row>
    <row r="2076" spans="3:9" ht="18" x14ac:dyDescent="0.25">
      <c r="C2076" s="83"/>
      <c r="D2076" s="88"/>
      <c r="E2076" s="83"/>
      <c r="F2076" s="83"/>
      <c r="G2076" s="89"/>
      <c r="H2076" s="83"/>
      <c r="I2076" s="83"/>
    </row>
    <row r="2077" spans="3:9" ht="24" customHeight="1" x14ac:dyDescent="0.25">
      <c r="C2077" s="83"/>
      <c r="D2077" s="88"/>
      <c r="E2077" s="83"/>
      <c r="F2077" s="83"/>
      <c r="G2077" s="89"/>
      <c r="H2077" s="83"/>
      <c r="I2077" s="83"/>
    </row>
    <row r="2078" spans="3:9" ht="18" x14ac:dyDescent="0.25">
      <c r="C2078" s="83" t="e">
        <f>+C2063</f>
        <v>#REF!</v>
      </c>
      <c r="D2078" s="427"/>
      <c r="E2078" s="427"/>
      <c r="F2078" s="83" t="e">
        <f>+C2078</f>
        <v>#REF!</v>
      </c>
      <c r="G2078" s="89"/>
      <c r="H2078" s="83"/>
      <c r="I2078" s="83"/>
    </row>
    <row r="2079" spans="3:9" ht="18" x14ac:dyDescent="0.25">
      <c r="D2079" s="88"/>
      <c r="E2079" s="83"/>
      <c r="G2079" s="427"/>
      <c r="H2079" s="427"/>
      <c r="I2079" s="427"/>
    </row>
    <row r="2080" spans="3:9" ht="18" x14ac:dyDescent="0.25">
      <c r="C2080" s="83" t="str">
        <f>+$F$1</f>
        <v>MONTES DE OCA 1068/1070 C.A.B.A.</v>
      </c>
      <c r="D2080" s="88"/>
      <c r="E2080" s="90" t="str">
        <f>+I2064</f>
        <v>Unid. 55</v>
      </c>
      <c r="F2080" s="83" t="str">
        <f>+$F$1</f>
        <v>MONTES DE OCA 1068/1070 C.A.B.A.</v>
      </c>
      <c r="G2080" s="83"/>
      <c r="H2080" s="83"/>
      <c r="I2080" s="90" t="str">
        <f>+E2080</f>
        <v>Unid. 55</v>
      </c>
    </row>
    <row r="2081" spans="3:9" ht="18" x14ac:dyDescent="0.25">
      <c r="I2081" s="84"/>
    </row>
    <row r="2082" spans="3:9" ht="12" customHeight="1" x14ac:dyDescent="0.25">
      <c r="C2082" s="84"/>
      <c r="D2082" s="91"/>
      <c r="E2082" s="84"/>
      <c r="F2082" s="84"/>
      <c r="G2082" s="83"/>
      <c r="H2082" s="83"/>
    </row>
    <row r="2083" spans="3:9" ht="18" x14ac:dyDescent="0.25">
      <c r="C2083" s="83" t="str">
        <f>+$F$2</f>
        <v>P/Depósito o transferencia en Banco Santander Rio</v>
      </c>
      <c r="D2083" s="88"/>
      <c r="E2083" s="83"/>
      <c r="F2083" s="83"/>
      <c r="G2083" s="83"/>
      <c r="H2083" s="84"/>
      <c r="I2083" s="99"/>
    </row>
    <row r="2084" spans="3:9" ht="18" x14ac:dyDescent="0.25">
      <c r="C2084" s="83" t="str">
        <f>+$F$3</f>
        <v xml:space="preserve">Cta. Cte. $ N° 558-000162/1 </v>
      </c>
      <c r="D2084" s="88"/>
      <c r="E2084" s="83"/>
      <c r="F2084" s="93"/>
      <c r="G2084" s="83"/>
      <c r="H2084" s="91"/>
      <c r="I2084" s="83"/>
    </row>
    <row r="2085" spans="3:9" ht="18" x14ac:dyDescent="0.25">
      <c r="D2085" s="88"/>
      <c r="E2085" s="83"/>
      <c r="F2085" s="83" t="s">
        <v>70</v>
      </c>
      <c r="G2085" s="102" t="e">
        <f>+G2068</f>
        <v>#REF!</v>
      </c>
      <c r="I2085" s="97">
        <f>+C2090</f>
        <v>46183</v>
      </c>
    </row>
    <row r="2086" spans="3:9" ht="18" x14ac:dyDescent="0.25">
      <c r="C2086" s="84"/>
      <c r="D2086" s="88"/>
      <c r="E2086" s="83"/>
      <c r="F2086" s="83" t="s">
        <v>71</v>
      </c>
      <c r="G2086" s="102" t="e">
        <f>+G2069</f>
        <v>#REF!</v>
      </c>
    </row>
    <row r="2087" spans="3:9" ht="18" x14ac:dyDescent="0.25">
      <c r="C2087" s="84"/>
      <c r="D2087" s="88"/>
      <c r="E2087" s="83"/>
      <c r="F2087" s="83" t="s">
        <v>72</v>
      </c>
      <c r="G2087" s="102" t="e">
        <f>+G2070</f>
        <v>#REF!</v>
      </c>
      <c r="H2087" s="83"/>
      <c r="I2087" s="83"/>
    </row>
    <row r="2088" spans="3:9" ht="18" x14ac:dyDescent="0.25">
      <c r="C2088" s="83"/>
      <c r="D2088" s="88"/>
      <c r="E2088" s="83"/>
      <c r="F2088" s="83" t="s">
        <v>73</v>
      </c>
      <c r="G2088" s="102" t="e">
        <f>+G2071</f>
        <v>#REF!</v>
      </c>
      <c r="H2088" s="83"/>
      <c r="I2088" s="83"/>
    </row>
    <row r="2089" spans="3:9" ht="18" x14ac:dyDescent="0.25">
      <c r="C2089" s="93"/>
      <c r="D2089" s="93"/>
      <c r="E2089" s="93"/>
      <c r="F2089" s="83" t="s">
        <v>181</v>
      </c>
      <c r="G2089" s="135">
        <v>0</v>
      </c>
      <c r="H2089" s="83"/>
      <c r="I2089" s="83"/>
    </row>
    <row r="2090" spans="3:9" ht="18" x14ac:dyDescent="0.25">
      <c r="C2090" s="97">
        <f>+$H$43</f>
        <v>46183</v>
      </c>
      <c r="D2090" s="157" t="e">
        <f>+G2072</f>
        <v>#REF!</v>
      </c>
      <c r="E2090" s="83"/>
      <c r="F2090" s="83" t="s">
        <v>74</v>
      </c>
      <c r="G2090" s="102" t="e">
        <f>+G2072</f>
        <v>#REF!</v>
      </c>
      <c r="H2090" s="83"/>
      <c r="I2090" s="83"/>
    </row>
    <row r="2091" spans="3:9" ht="18" x14ac:dyDescent="0.25">
      <c r="C2091" s="83"/>
      <c r="D2091" s="88"/>
      <c r="E2091" s="83"/>
      <c r="F2091" s="83"/>
      <c r="G2091" s="83"/>
      <c r="H2091" s="83"/>
      <c r="I2091" s="83"/>
    </row>
    <row r="2092" spans="3:9" ht="18" x14ac:dyDescent="0.25">
      <c r="C2092" s="83"/>
      <c r="D2092" s="88"/>
      <c r="E2092" s="83"/>
      <c r="F2092" s="83"/>
      <c r="G2092" s="83"/>
      <c r="H2092" s="425"/>
      <c r="I2092" s="425"/>
    </row>
    <row r="2093" spans="3:9" ht="18" x14ac:dyDescent="0.25">
      <c r="C2093" s="83"/>
      <c r="D2093" s="88"/>
      <c r="E2093" s="83"/>
      <c r="F2093" s="83"/>
      <c r="G2093" s="83"/>
      <c r="H2093" s="83"/>
      <c r="I2093" s="83"/>
    </row>
    <row r="2094" spans="3:9" ht="18" x14ac:dyDescent="0.25">
      <c r="C2094" s="83"/>
      <c r="D2094" s="88"/>
      <c r="E2094" s="83"/>
      <c r="F2094" s="83"/>
      <c r="G2094" s="83"/>
      <c r="H2094" s="83"/>
      <c r="I2094" s="83"/>
    </row>
    <row r="2095" spans="3:9" ht="18" x14ac:dyDescent="0.25">
      <c r="C2095" s="83"/>
      <c r="D2095" s="88"/>
      <c r="E2095" s="83"/>
      <c r="F2095" s="83"/>
      <c r="G2095" s="83"/>
      <c r="H2095" s="83"/>
      <c r="I2095" s="83"/>
    </row>
    <row r="2096" spans="3:9" ht="18" x14ac:dyDescent="0.25">
      <c r="C2096" s="83"/>
      <c r="D2096" s="88"/>
      <c r="E2096" s="83"/>
      <c r="F2096" s="83"/>
      <c r="G2096" s="83"/>
      <c r="H2096" s="83"/>
      <c r="I2096" s="83"/>
    </row>
    <row r="2097" spans="3:9" ht="18" x14ac:dyDescent="0.25">
      <c r="C2097" s="83"/>
      <c r="D2097" s="88"/>
      <c r="E2097" s="83"/>
      <c r="F2097" s="83"/>
      <c r="G2097" s="83"/>
      <c r="I2097" s="83"/>
    </row>
    <row r="2098" spans="3:9" ht="18" x14ac:dyDescent="0.25">
      <c r="C2098" s="424"/>
      <c r="D2098" s="424"/>
      <c r="E2098" s="424"/>
      <c r="F2098" s="83"/>
      <c r="G2098" s="83"/>
      <c r="I2098" s="83"/>
    </row>
    <row r="2099" spans="3:9" ht="18" x14ac:dyDescent="0.25">
      <c r="C2099" s="424"/>
      <c r="D2099" s="424"/>
      <c r="E2099" s="424"/>
      <c r="F2099" s="96">
        <f>+$C$1</f>
        <v>46143</v>
      </c>
      <c r="G2099" s="83"/>
      <c r="H2099" s="97">
        <f>+$E$1</f>
        <v>46183</v>
      </c>
      <c r="I2099" s="95"/>
    </row>
    <row r="2100" spans="3:9" ht="18" x14ac:dyDescent="0.25">
      <c r="C2100" s="82"/>
      <c r="D2100" s="82"/>
      <c r="E2100" s="98"/>
      <c r="F2100" s="96"/>
      <c r="G2100" s="83"/>
    </row>
    <row r="2101" spans="3:9" ht="18" x14ac:dyDescent="0.25">
      <c r="C2101" s="83" t="e">
        <f>+#REF!</f>
        <v>#REF!</v>
      </c>
      <c r="D2101" s="88"/>
      <c r="E2101" s="83"/>
      <c r="G2101" s="83"/>
    </row>
    <row r="2102" spans="3:9" ht="18" x14ac:dyDescent="0.25">
      <c r="D2102" s="88"/>
      <c r="E2102" s="83"/>
      <c r="F2102" s="83" t="str">
        <f>+$F$1</f>
        <v>MONTES DE OCA 1068/1070 C.A.B.A.</v>
      </c>
      <c r="G2102" s="83"/>
      <c r="I2102" s="90" t="s">
        <v>130</v>
      </c>
    </row>
    <row r="2103" spans="3:9" ht="18" x14ac:dyDescent="0.25">
      <c r="C2103" s="84"/>
      <c r="D2103" s="88"/>
      <c r="E2103" s="83"/>
      <c r="G2103" s="83"/>
      <c r="H2103" s="84"/>
    </row>
    <row r="2104" spans="3:9" ht="18" x14ac:dyDescent="0.25">
      <c r="C2104" s="83"/>
      <c r="D2104" s="88"/>
      <c r="E2104" s="83"/>
      <c r="F2104" s="84"/>
      <c r="G2104" s="83"/>
      <c r="H2104" s="83"/>
      <c r="I2104" s="84"/>
    </row>
    <row r="2105" spans="3:9" ht="18" x14ac:dyDescent="0.25">
      <c r="C2105" s="91"/>
      <c r="D2105" s="88"/>
      <c r="E2105" s="91"/>
      <c r="F2105" s="83"/>
      <c r="G2105" s="83"/>
      <c r="H2105" s="83"/>
      <c r="I2105" s="83"/>
    </row>
    <row r="2106" spans="3:9" ht="18" x14ac:dyDescent="0.25">
      <c r="C2106" s="83" t="s">
        <v>68</v>
      </c>
      <c r="D2106" s="88"/>
      <c r="E2106" s="103" t="e">
        <f>+'RES CUENTA'!#REF!</f>
        <v>#REF!</v>
      </c>
      <c r="F2106" s="104" t="e">
        <f>+'RES CUENTA'!#REF!</f>
        <v>#REF!</v>
      </c>
      <c r="G2106" s="101" t="e">
        <f>+E2106*F2106/100</f>
        <v>#REF!</v>
      </c>
      <c r="H2106" s="83"/>
      <c r="I2106" s="91"/>
    </row>
    <row r="2107" spans="3:9" ht="18" x14ac:dyDescent="0.25">
      <c r="C2107" s="83" t="s">
        <v>69</v>
      </c>
      <c r="D2107" s="88"/>
      <c r="E2107" s="103" t="e">
        <f>+'RES CUENTA'!#REF!</f>
        <v>#REF!</v>
      </c>
      <c r="F2107" s="104" t="e">
        <f>+'RES CUENTA'!#REF!</f>
        <v>#REF!</v>
      </c>
      <c r="G2107" s="101" t="e">
        <f>+E2107*F2107/100</f>
        <v>#REF!</v>
      </c>
      <c r="H2107" s="91"/>
      <c r="I2107" s="87"/>
    </row>
    <row r="2108" spans="3:9" ht="18" x14ac:dyDescent="0.25">
      <c r="C2108" s="83" t="s">
        <v>181</v>
      </c>
      <c r="D2108" s="88"/>
      <c r="E2108" s="103" t="e">
        <f>+'RES CUENTA'!#REF!</f>
        <v>#REF!</v>
      </c>
      <c r="F2108" s="104">
        <f>+'RES CUENTA'!M1161</f>
        <v>0</v>
      </c>
      <c r="G2108" s="101" t="e">
        <f>+E2108</f>
        <v>#REF!</v>
      </c>
      <c r="H2108" s="87"/>
      <c r="I2108" s="87"/>
    </row>
    <row r="2109" spans="3:9" ht="18" x14ac:dyDescent="0.25">
      <c r="C2109" s="83" t="s">
        <v>213</v>
      </c>
      <c r="D2109" s="88"/>
      <c r="E2109" s="103" t="e">
        <f>+'RES CUENTA'!#REF!</f>
        <v>#REF!</v>
      </c>
      <c r="F2109" s="104">
        <f>+'RES CUENTA'!N1160</f>
        <v>0</v>
      </c>
      <c r="G2109" s="134" t="e">
        <f>+E2109</f>
        <v>#REF!</v>
      </c>
      <c r="H2109" s="87"/>
      <c r="I2109" s="87"/>
    </row>
    <row r="2110" spans="3:9" ht="18" x14ac:dyDescent="0.25">
      <c r="C2110" s="84"/>
      <c r="D2110" s="88"/>
      <c r="E2110" s="83"/>
      <c r="G2110" s="101" t="e">
        <f>SUM(G2106:G2109)</f>
        <v>#REF!</v>
      </c>
      <c r="H2110" s="87"/>
      <c r="I2110" s="87"/>
    </row>
    <row r="2111" spans="3:9" ht="18" x14ac:dyDescent="0.25">
      <c r="C2111" s="84"/>
      <c r="D2111" s="88"/>
      <c r="E2111" s="83"/>
      <c r="G2111" s="85"/>
      <c r="H2111" s="87"/>
      <c r="I2111" s="88"/>
    </row>
    <row r="2112" spans="3:9" ht="18" x14ac:dyDescent="0.25">
      <c r="C2112" s="84"/>
      <c r="D2112" s="88"/>
      <c r="E2112" s="83"/>
      <c r="G2112" s="85"/>
      <c r="H2112" s="87"/>
      <c r="I2112" s="88"/>
    </row>
    <row r="2113" spans="3:9" ht="18" x14ac:dyDescent="0.25">
      <c r="C2113" s="83"/>
      <c r="D2113" s="88"/>
      <c r="E2113" s="83"/>
      <c r="F2113" s="83"/>
      <c r="G2113" s="89"/>
      <c r="H2113" s="88"/>
      <c r="I2113" s="88"/>
    </row>
    <row r="2114" spans="3:9" ht="18" x14ac:dyDescent="0.25">
      <c r="C2114" s="83"/>
      <c r="D2114" s="88"/>
      <c r="E2114" s="83"/>
      <c r="F2114" s="83"/>
      <c r="G2114" s="89"/>
      <c r="H2114" s="88"/>
      <c r="I2114" s="88"/>
    </row>
    <row r="2115" spans="3:9" ht="21.75" customHeight="1" x14ac:dyDescent="0.25">
      <c r="C2115" s="83"/>
      <c r="D2115" s="88"/>
      <c r="E2115" s="83"/>
      <c r="F2115" s="83"/>
      <c r="G2115" s="89"/>
      <c r="H2115" s="88"/>
      <c r="I2115" s="83"/>
    </row>
    <row r="2116" spans="3:9" ht="18" x14ac:dyDescent="0.25">
      <c r="C2116" s="83" t="e">
        <f>+C2101</f>
        <v>#REF!</v>
      </c>
      <c r="D2116" s="88"/>
      <c r="E2116" s="83"/>
      <c r="F2116" s="83" t="e">
        <f>+C2101</f>
        <v>#REF!</v>
      </c>
      <c r="G2116" s="83"/>
      <c r="H2116" s="83"/>
      <c r="I2116" s="99"/>
    </row>
    <row r="2117" spans="3:9" ht="18" x14ac:dyDescent="0.25">
      <c r="C2117" s="84"/>
      <c r="D2117" s="88"/>
      <c r="E2117" s="83"/>
      <c r="G2117" s="83"/>
      <c r="H2117" s="99"/>
      <c r="I2117" s="90" t="str">
        <f>+I2102</f>
        <v>Unid. 56</v>
      </c>
    </row>
    <row r="2118" spans="3:9" ht="18" x14ac:dyDescent="0.25">
      <c r="C2118" s="83" t="str">
        <f>+$F$1</f>
        <v>MONTES DE OCA 1068/1070 C.A.B.A.</v>
      </c>
      <c r="D2118" s="88"/>
      <c r="E2118" s="90" t="str">
        <f>+I2117</f>
        <v>Unid. 56</v>
      </c>
      <c r="F2118" s="83" t="str">
        <f>+$F$1</f>
        <v>MONTES DE OCA 1068/1070 C.A.B.A.</v>
      </c>
      <c r="G2118" s="83"/>
      <c r="H2118" s="83"/>
      <c r="I2118" s="84"/>
    </row>
    <row r="2119" spans="3:9" ht="18" x14ac:dyDescent="0.25">
      <c r="C2119" s="84"/>
      <c r="D2119" s="91"/>
      <c r="E2119" s="84"/>
      <c r="G2119" s="83"/>
      <c r="H2119" s="83"/>
    </row>
    <row r="2120" spans="3:9" ht="14.25" customHeight="1" x14ac:dyDescent="0.25">
      <c r="C2120" s="83"/>
      <c r="D2120" s="88"/>
      <c r="E2120" s="83"/>
      <c r="F2120" s="84"/>
      <c r="G2120" s="83"/>
      <c r="H2120" s="83"/>
      <c r="I2120" s="99"/>
    </row>
    <row r="2121" spans="3:9" ht="18" x14ac:dyDescent="0.25">
      <c r="C2121" s="83" t="str">
        <f>+$F$2</f>
        <v>P/Depósito o transferencia en Banco Santander Rio</v>
      </c>
      <c r="D2121" s="88"/>
      <c r="E2121" s="83"/>
      <c r="F2121" s="83"/>
      <c r="G2121" s="128"/>
      <c r="H2121" s="84"/>
      <c r="I2121" s="83"/>
    </row>
    <row r="2122" spans="3:9" ht="18" x14ac:dyDescent="0.25">
      <c r="C2122" s="83" t="str">
        <f>+$F$3</f>
        <v xml:space="preserve">Cta. Cte. $ N° 558-000162/1 </v>
      </c>
      <c r="D2122" s="88"/>
      <c r="E2122" s="83"/>
      <c r="F2122" s="93"/>
      <c r="H2122" s="91"/>
      <c r="I2122" s="92"/>
    </row>
    <row r="2123" spans="3:9" ht="18" x14ac:dyDescent="0.25">
      <c r="C2123" s="84"/>
      <c r="D2123" s="88"/>
      <c r="E2123" s="83"/>
      <c r="F2123" s="83" t="s">
        <v>70</v>
      </c>
      <c r="G2123" s="102" t="e">
        <f>+G2106</f>
        <v>#REF!</v>
      </c>
      <c r="H2123" s="92"/>
      <c r="I2123" s="97">
        <f>+C2127</f>
        <v>46183</v>
      </c>
    </row>
    <row r="2124" spans="3:9" ht="18" x14ac:dyDescent="0.25">
      <c r="C2124" s="84"/>
      <c r="D2124" s="88"/>
      <c r="E2124" s="83"/>
      <c r="F2124" s="83" t="s">
        <v>71</v>
      </c>
      <c r="G2124" s="102" t="e">
        <f>+G2107</f>
        <v>#REF!</v>
      </c>
      <c r="I2124" s="83"/>
    </row>
    <row r="2125" spans="3:9" ht="18" x14ac:dyDescent="0.25">
      <c r="C2125" s="83"/>
      <c r="D2125" s="88"/>
      <c r="E2125" s="83"/>
      <c r="F2125" s="83" t="s">
        <v>72</v>
      </c>
      <c r="G2125" s="102" t="e">
        <f>+G2108</f>
        <v>#REF!</v>
      </c>
      <c r="H2125" s="83"/>
      <c r="I2125" s="83"/>
    </row>
    <row r="2126" spans="3:9" ht="18" x14ac:dyDescent="0.25">
      <c r="C2126" s="93"/>
      <c r="D2126" s="93"/>
      <c r="E2126" s="93"/>
      <c r="F2126" s="83" t="s">
        <v>73</v>
      </c>
      <c r="G2126" s="102" t="e">
        <f>+G2109</f>
        <v>#REF!</v>
      </c>
      <c r="H2126" s="83"/>
      <c r="I2126" s="83"/>
    </row>
    <row r="2127" spans="3:9" ht="18" x14ac:dyDescent="0.25">
      <c r="C2127" s="97">
        <f>+$H$43</f>
        <v>46183</v>
      </c>
      <c r="D2127" s="157" t="e">
        <f>+G2110</f>
        <v>#REF!</v>
      </c>
      <c r="E2127" s="83"/>
      <c r="F2127" s="83" t="s">
        <v>181</v>
      </c>
      <c r="G2127" s="135">
        <v>0</v>
      </c>
      <c r="H2127" s="83"/>
      <c r="I2127" s="83"/>
    </row>
    <row r="2128" spans="3:9" ht="18" x14ac:dyDescent="0.25">
      <c r="C2128" s="83"/>
      <c r="D2128" s="88"/>
      <c r="E2128" s="83"/>
      <c r="F2128" s="83" t="s">
        <v>74</v>
      </c>
      <c r="G2128" s="102" t="e">
        <f>+G2110</f>
        <v>#REF!</v>
      </c>
      <c r="H2128" s="83"/>
      <c r="I2128" s="83"/>
    </row>
    <row r="2129" spans="3:9" ht="18" x14ac:dyDescent="0.25">
      <c r="C2129" s="83"/>
      <c r="D2129" s="88"/>
      <c r="E2129" s="83"/>
      <c r="F2129" s="83"/>
      <c r="G2129" s="83"/>
      <c r="H2129" s="83"/>
      <c r="I2129" s="83"/>
    </row>
    <row r="2130" spans="3:9" ht="18" x14ac:dyDescent="0.25">
      <c r="C2130" s="83"/>
      <c r="D2130" s="88"/>
      <c r="E2130" s="83"/>
      <c r="F2130" s="100"/>
      <c r="G2130" s="83"/>
      <c r="H2130" s="83"/>
      <c r="I2130" s="83"/>
    </row>
    <row r="2131" spans="3:9" ht="18" x14ac:dyDescent="0.25">
      <c r="C2131" s="94"/>
      <c r="D2131" s="158"/>
      <c r="E2131" s="94"/>
      <c r="F2131" s="100"/>
      <c r="G2131" s="102" t="e">
        <f>SUM(G2128,G2090)</f>
        <v>#REF!</v>
      </c>
      <c r="H2131" s="125">
        <f>SUM(H2060:H2130)</f>
        <v>92366</v>
      </c>
      <c r="I2131" s="91">
        <f>SUM(I2060:I2130)</f>
        <v>92366</v>
      </c>
    </row>
    <row r="2132" spans="3:9" ht="6.75" customHeight="1" x14ac:dyDescent="0.25">
      <c r="F2132" s="83"/>
      <c r="H2132" s="91"/>
      <c r="I2132" s="83"/>
    </row>
    <row r="2134" spans="3:9" ht="18" x14ac:dyDescent="0.25">
      <c r="C2134" s="424"/>
      <c r="D2134" s="424"/>
      <c r="E2134" s="424"/>
      <c r="F2134" s="433">
        <f>+$C$1</f>
        <v>46143</v>
      </c>
      <c r="G2134" s="83"/>
      <c r="H2134" s="429">
        <f>+$E$1</f>
        <v>46183</v>
      </c>
      <c r="I2134" s="83"/>
    </row>
    <row r="2135" spans="3:9" ht="18" x14ac:dyDescent="0.25">
      <c r="C2135" s="82"/>
      <c r="D2135" s="82"/>
      <c r="E2135" s="98"/>
      <c r="F2135" s="433"/>
      <c r="G2135" s="83"/>
      <c r="H2135" s="429"/>
      <c r="I2135" s="83"/>
    </row>
    <row r="2136" spans="3:9" ht="18" x14ac:dyDescent="0.25">
      <c r="C2136" s="83"/>
      <c r="D2136" s="88"/>
      <c r="E2136" s="83"/>
      <c r="F2136" s="84"/>
      <c r="G2136" s="83"/>
      <c r="H2136" s="84"/>
      <c r="I2136" s="83"/>
    </row>
    <row r="2137" spans="3:9" ht="18" x14ac:dyDescent="0.25">
      <c r="C2137" s="83" t="e">
        <f>+#REF!</f>
        <v>#REF!</v>
      </c>
      <c r="D2137" s="88"/>
      <c r="E2137" s="83"/>
      <c r="F2137" s="84"/>
      <c r="G2137" s="83"/>
      <c r="H2137" s="84"/>
      <c r="I2137" s="83"/>
    </row>
    <row r="2138" spans="3:9" ht="18" x14ac:dyDescent="0.25">
      <c r="C2138" s="84"/>
      <c r="D2138" s="88"/>
      <c r="E2138" s="83"/>
      <c r="F2138" s="83" t="s">
        <v>293</v>
      </c>
      <c r="G2138" s="83"/>
      <c r="H2138" s="83"/>
      <c r="I2138" s="90" t="s">
        <v>131</v>
      </c>
    </row>
    <row r="2139" spans="3:9" ht="18" x14ac:dyDescent="0.25">
      <c r="C2139" s="83"/>
      <c r="D2139" s="88"/>
      <c r="E2139" s="83"/>
      <c r="F2139" s="84"/>
      <c r="G2139" s="83"/>
      <c r="H2139" s="83"/>
      <c r="I2139" s="84"/>
    </row>
    <row r="2140" spans="3:9" ht="18" x14ac:dyDescent="0.25">
      <c r="C2140" s="91"/>
      <c r="D2140" s="88"/>
      <c r="E2140" s="91"/>
      <c r="F2140" s="83"/>
      <c r="G2140" s="83"/>
      <c r="H2140" s="83"/>
      <c r="I2140" s="83"/>
    </row>
    <row r="2141" spans="3:9" ht="18" x14ac:dyDescent="0.25">
      <c r="C2141" s="91"/>
      <c r="D2141" s="88"/>
      <c r="E2141" s="91"/>
      <c r="F2141" s="83"/>
      <c r="G2141" s="83"/>
      <c r="H2141" s="83"/>
      <c r="I2141" s="83"/>
    </row>
    <row r="2142" spans="3:9" ht="18" x14ac:dyDescent="0.25">
      <c r="C2142" s="83" t="s">
        <v>68</v>
      </c>
      <c r="D2142" s="88"/>
      <c r="E2142" s="103" t="e">
        <f>+'RES CUENTA'!#REF!</f>
        <v>#REF!</v>
      </c>
      <c r="F2142" s="104" t="e">
        <f>+'RES CUENTA'!#REF!</f>
        <v>#REF!</v>
      </c>
      <c r="G2142" s="101" t="e">
        <f>+E2142*F2142/100</f>
        <v>#REF!</v>
      </c>
      <c r="H2142" s="425"/>
      <c r="I2142" s="425"/>
    </row>
    <row r="2143" spans="3:9" ht="18" x14ac:dyDescent="0.25">
      <c r="C2143" s="83" t="s">
        <v>69</v>
      </c>
      <c r="D2143" s="88"/>
      <c r="E2143" s="103" t="e">
        <f>+'RES CUENTA'!#REF!</f>
        <v>#REF!</v>
      </c>
      <c r="F2143" s="104" t="e">
        <f>+'RES CUENTA'!#REF!</f>
        <v>#REF!</v>
      </c>
      <c r="G2143" s="101" t="e">
        <f>+E2143*F2143/100</f>
        <v>#REF!</v>
      </c>
      <c r="H2143" s="430"/>
      <c r="I2143" s="430"/>
    </row>
    <row r="2144" spans="3:9" ht="18" x14ac:dyDescent="0.25">
      <c r="C2144" s="83" t="s">
        <v>181</v>
      </c>
      <c r="D2144" s="88"/>
      <c r="E2144" s="103" t="e">
        <f>+'RES CUENTA'!#REF!</f>
        <v>#REF!</v>
      </c>
      <c r="F2144" s="104">
        <v>0</v>
      </c>
      <c r="G2144" s="101" t="e">
        <f>+E2144</f>
        <v>#REF!</v>
      </c>
      <c r="H2144" s="430"/>
      <c r="I2144" s="430"/>
    </row>
    <row r="2145" spans="3:9" ht="18" x14ac:dyDescent="0.25">
      <c r="C2145" s="83" t="s">
        <v>213</v>
      </c>
      <c r="D2145" s="88"/>
      <c r="E2145" s="103" t="e">
        <f>+'RES CUENTA'!#REF!</f>
        <v>#REF!</v>
      </c>
      <c r="F2145" s="104">
        <v>0</v>
      </c>
      <c r="G2145" s="134" t="e">
        <f>+E2145</f>
        <v>#REF!</v>
      </c>
      <c r="H2145" s="430"/>
      <c r="I2145" s="430"/>
    </row>
    <row r="2146" spans="3:9" ht="18" x14ac:dyDescent="0.25">
      <c r="C2146" s="84"/>
      <c r="D2146" s="88"/>
      <c r="E2146" s="83"/>
      <c r="F2146" s="89"/>
      <c r="G2146" s="101" t="e">
        <f>SUM(G2142:G2145)</f>
        <v>#REF!</v>
      </c>
      <c r="H2146" s="430"/>
      <c r="I2146" s="430"/>
    </row>
    <row r="2147" spans="3:9" ht="18" x14ac:dyDescent="0.25">
      <c r="C2147" s="84"/>
      <c r="D2147" s="88"/>
      <c r="E2147" s="83"/>
      <c r="F2147" s="89"/>
      <c r="G2147" s="101"/>
      <c r="H2147" s="87"/>
      <c r="I2147" s="87"/>
    </row>
    <row r="2148" spans="3:9" ht="18" x14ac:dyDescent="0.25">
      <c r="C2148" s="84"/>
      <c r="D2148" s="88"/>
      <c r="E2148" s="83"/>
      <c r="F2148" s="83"/>
      <c r="H2148" s="432"/>
      <c r="I2148" s="432"/>
    </row>
    <row r="2149" spans="3:9" ht="18" x14ac:dyDescent="0.25">
      <c r="C2149" s="83"/>
      <c r="D2149" s="88"/>
      <c r="E2149" s="83"/>
      <c r="F2149" s="83"/>
      <c r="G2149" s="85"/>
      <c r="H2149" s="88"/>
      <c r="I2149" s="88"/>
    </row>
    <row r="2150" spans="3:9" ht="18" x14ac:dyDescent="0.25">
      <c r="C2150" s="83"/>
      <c r="D2150" s="88"/>
      <c r="E2150" s="83"/>
      <c r="F2150" s="83"/>
      <c r="G2150" s="89"/>
      <c r="H2150" s="83"/>
      <c r="I2150" s="83"/>
    </row>
    <row r="2151" spans="3:9" ht="24" customHeight="1" x14ac:dyDescent="0.25">
      <c r="C2151" s="83"/>
      <c r="D2151" s="88"/>
      <c r="E2151" s="83"/>
      <c r="F2151" s="83"/>
      <c r="G2151" s="89"/>
      <c r="H2151" s="83"/>
      <c r="I2151" s="83"/>
    </row>
    <row r="2152" spans="3:9" ht="18" x14ac:dyDescent="0.25">
      <c r="C2152" s="83" t="e">
        <f>+C2137</f>
        <v>#REF!</v>
      </c>
      <c r="D2152" s="427"/>
      <c r="E2152" s="427"/>
      <c r="F2152" s="83" t="e">
        <f>+C2152</f>
        <v>#REF!</v>
      </c>
      <c r="G2152" s="89"/>
      <c r="H2152" s="83"/>
      <c r="I2152" s="83"/>
    </row>
    <row r="2153" spans="3:9" ht="18" x14ac:dyDescent="0.25">
      <c r="D2153" s="88"/>
      <c r="E2153" s="83"/>
      <c r="G2153" s="427"/>
      <c r="H2153" s="427"/>
      <c r="I2153" s="427"/>
    </row>
    <row r="2154" spans="3:9" ht="18" x14ac:dyDescent="0.25">
      <c r="C2154" s="83" t="str">
        <f>+$F$1</f>
        <v>MONTES DE OCA 1068/1070 C.A.B.A.</v>
      </c>
      <c r="D2154" s="88"/>
      <c r="E2154" s="90" t="str">
        <f>+I2138</f>
        <v>Unid. 57</v>
      </c>
      <c r="F2154" s="83" t="str">
        <f>+$F$1</f>
        <v>MONTES DE OCA 1068/1070 C.A.B.A.</v>
      </c>
      <c r="G2154" s="83"/>
      <c r="H2154" s="83"/>
      <c r="I2154" s="90" t="str">
        <f>+E2154</f>
        <v>Unid. 57</v>
      </c>
    </row>
    <row r="2155" spans="3:9" ht="18" x14ac:dyDescent="0.25">
      <c r="I2155" s="84"/>
    </row>
    <row r="2156" spans="3:9" ht="12.75" customHeight="1" x14ac:dyDescent="0.25">
      <c r="C2156" s="84"/>
      <c r="D2156" s="91"/>
      <c r="E2156" s="84"/>
      <c r="F2156" s="84"/>
      <c r="G2156" s="83"/>
      <c r="H2156" s="83"/>
    </row>
    <row r="2157" spans="3:9" ht="18" x14ac:dyDescent="0.25">
      <c r="C2157" s="83" t="str">
        <f>+$F$2</f>
        <v>P/Depósito o transferencia en Banco Santander Rio</v>
      </c>
      <c r="D2157" s="88"/>
      <c r="E2157" s="83"/>
      <c r="F2157" s="83"/>
      <c r="G2157" s="83"/>
      <c r="H2157" s="84"/>
      <c r="I2157" s="99"/>
    </row>
    <row r="2158" spans="3:9" ht="18" x14ac:dyDescent="0.25">
      <c r="C2158" s="83" t="str">
        <f>+$F$3</f>
        <v xml:space="preserve">Cta. Cte. $ N° 558-000162/1 </v>
      </c>
      <c r="D2158" s="88"/>
      <c r="E2158" s="83"/>
      <c r="F2158" s="93"/>
      <c r="G2158" s="83"/>
      <c r="H2158" s="91"/>
      <c r="I2158" s="83"/>
    </row>
    <row r="2159" spans="3:9" ht="18" x14ac:dyDescent="0.25">
      <c r="D2159" s="88"/>
      <c r="E2159" s="83"/>
      <c r="F2159" s="83" t="s">
        <v>70</v>
      </c>
      <c r="G2159" s="102" t="e">
        <f>+G2142</f>
        <v>#REF!</v>
      </c>
      <c r="I2159" s="97">
        <f>+C2164</f>
        <v>46183</v>
      </c>
    </row>
    <row r="2160" spans="3:9" ht="18" x14ac:dyDescent="0.25">
      <c r="C2160" s="84"/>
      <c r="D2160" s="88"/>
      <c r="E2160" s="83"/>
      <c r="F2160" s="83" t="s">
        <v>71</v>
      </c>
      <c r="G2160" s="102" t="e">
        <f>+G2143</f>
        <v>#REF!</v>
      </c>
    </row>
    <row r="2161" spans="3:9" ht="18" x14ac:dyDescent="0.25">
      <c r="C2161" s="84"/>
      <c r="D2161" s="88"/>
      <c r="E2161" s="83"/>
      <c r="F2161" s="83" t="s">
        <v>72</v>
      </c>
      <c r="G2161" s="102" t="e">
        <f>+G2144</f>
        <v>#REF!</v>
      </c>
      <c r="H2161" s="83"/>
      <c r="I2161" s="83"/>
    </row>
    <row r="2162" spans="3:9" ht="18" x14ac:dyDescent="0.25">
      <c r="C2162" s="83"/>
      <c r="D2162" s="88"/>
      <c r="E2162" s="83"/>
      <c r="F2162" s="83" t="s">
        <v>73</v>
      </c>
      <c r="G2162" s="102" t="e">
        <f>+G2145</f>
        <v>#REF!</v>
      </c>
      <c r="H2162" s="83"/>
      <c r="I2162" s="83"/>
    </row>
    <row r="2163" spans="3:9" ht="18" x14ac:dyDescent="0.25">
      <c r="C2163" s="93"/>
      <c r="D2163" s="93"/>
      <c r="E2163" s="93"/>
      <c r="F2163" s="83" t="s">
        <v>181</v>
      </c>
      <c r="G2163" s="135">
        <v>0</v>
      </c>
      <c r="H2163" s="83"/>
      <c r="I2163" s="83"/>
    </row>
    <row r="2164" spans="3:9" ht="18" x14ac:dyDescent="0.25">
      <c r="C2164" s="97">
        <f>+$H$43</f>
        <v>46183</v>
      </c>
      <c r="D2164" s="157" t="e">
        <f>+G2146</f>
        <v>#REF!</v>
      </c>
      <c r="E2164" s="83"/>
      <c r="F2164" s="83" t="s">
        <v>74</v>
      </c>
      <c r="G2164" s="102" t="e">
        <f>+G2146</f>
        <v>#REF!</v>
      </c>
      <c r="H2164" s="83"/>
      <c r="I2164" s="83"/>
    </row>
    <row r="2165" spans="3:9" ht="18" x14ac:dyDescent="0.25">
      <c r="C2165" s="83"/>
      <c r="D2165" s="88"/>
      <c r="E2165" s="83"/>
      <c r="F2165" s="83"/>
      <c r="G2165" s="83"/>
      <c r="H2165" s="83"/>
      <c r="I2165" s="83"/>
    </row>
    <row r="2166" spans="3:9" ht="18" x14ac:dyDescent="0.25">
      <c r="C2166" s="83"/>
      <c r="D2166" s="88"/>
      <c r="E2166" s="83"/>
      <c r="F2166" s="83"/>
      <c r="G2166" s="83"/>
      <c r="H2166" s="425"/>
      <c r="I2166" s="425"/>
    </row>
    <row r="2167" spans="3:9" ht="18" x14ac:dyDescent="0.25">
      <c r="C2167" s="83"/>
      <c r="D2167" s="88"/>
      <c r="E2167" s="83"/>
      <c r="F2167" s="83"/>
      <c r="G2167" s="83"/>
      <c r="H2167" s="83"/>
      <c r="I2167" s="83"/>
    </row>
    <row r="2168" spans="3:9" ht="18" x14ac:dyDescent="0.25">
      <c r="C2168" s="83"/>
      <c r="D2168" s="88"/>
      <c r="E2168" s="83"/>
      <c r="F2168" s="83"/>
      <c r="G2168" s="83"/>
      <c r="H2168" s="83"/>
      <c r="I2168" s="83"/>
    </row>
    <row r="2169" spans="3:9" ht="18" x14ac:dyDescent="0.25">
      <c r="C2169" s="83"/>
      <c r="D2169" s="88"/>
      <c r="E2169" s="83"/>
      <c r="F2169" s="83"/>
      <c r="G2169" s="83"/>
      <c r="H2169" s="83"/>
      <c r="I2169" s="83"/>
    </row>
    <row r="2170" spans="3:9" ht="18" x14ac:dyDescent="0.25">
      <c r="C2170" s="83"/>
      <c r="D2170" s="88"/>
      <c r="E2170" s="83"/>
      <c r="F2170" s="83"/>
      <c r="G2170" s="83"/>
      <c r="H2170" s="83"/>
      <c r="I2170" s="83"/>
    </row>
    <row r="2171" spans="3:9" ht="18" x14ac:dyDescent="0.25">
      <c r="C2171" s="83"/>
      <c r="D2171" s="88"/>
      <c r="E2171" s="83"/>
      <c r="F2171" s="83"/>
      <c r="G2171" s="83"/>
      <c r="I2171" s="83"/>
    </row>
    <row r="2172" spans="3:9" ht="18" x14ac:dyDescent="0.25">
      <c r="C2172" s="424"/>
      <c r="D2172" s="424"/>
      <c r="E2172" s="424"/>
      <c r="F2172" s="83"/>
      <c r="G2172" s="83"/>
      <c r="I2172" s="83"/>
    </row>
    <row r="2173" spans="3:9" ht="18" x14ac:dyDescent="0.25">
      <c r="C2173" s="424"/>
      <c r="D2173" s="424"/>
      <c r="E2173" s="424"/>
      <c r="F2173" s="96">
        <f>+$C$1</f>
        <v>46143</v>
      </c>
      <c r="G2173" s="83"/>
      <c r="H2173" s="97">
        <f>+$E$1</f>
        <v>46183</v>
      </c>
      <c r="I2173" s="95"/>
    </row>
    <row r="2174" spans="3:9" ht="18" x14ac:dyDescent="0.25">
      <c r="C2174" s="82"/>
      <c r="D2174" s="82"/>
      <c r="E2174" s="98"/>
      <c r="F2174" s="96"/>
      <c r="G2174" s="83"/>
    </row>
    <row r="2175" spans="3:9" ht="18" x14ac:dyDescent="0.25">
      <c r="C2175" s="83" t="e">
        <f>+#REF!</f>
        <v>#REF!</v>
      </c>
      <c r="D2175" s="88"/>
      <c r="E2175" s="83"/>
      <c r="G2175" s="83"/>
    </row>
    <row r="2176" spans="3:9" ht="18" x14ac:dyDescent="0.25">
      <c r="D2176" s="88"/>
      <c r="E2176" s="83"/>
      <c r="F2176" s="83" t="str">
        <f>+$F$1</f>
        <v>MONTES DE OCA 1068/1070 C.A.B.A.</v>
      </c>
      <c r="G2176" s="83"/>
      <c r="I2176" s="90" t="s">
        <v>132</v>
      </c>
    </row>
    <row r="2177" spans="3:9" ht="18" x14ac:dyDescent="0.25">
      <c r="C2177" s="84"/>
      <c r="D2177" s="88"/>
      <c r="E2177" s="83"/>
      <c r="G2177" s="83"/>
      <c r="H2177" s="84"/>
    </row>
    <row r="2178" spans="3:9" ht="18" x14ac:dyDescent="0.25">
      <c r="C2178" s="83"/>
      <c r="D2178" s="88"/>
      <c r="E2178" s="83"/>
      <c r="F2178" s="84"/>
      <c r="G2178" s="83"/>
      <c r="H2178" s="83"/>
      <c r="I2178" s="84"/>
    </row>
    <row r="2179" spans="3:9" ht="18" x14ac:dyDescent="0.25">
      <c r="C2179" s="91"/>
      <c r="D2179" s="88"/>
      <c r="E2179" s="91"/>
      <c r="F2179" s="83"/>
      <c r="G2179" s="83"/>
      <c r="H2179" s="83"/>
      <c r="I2179" s="83"/>
    </row>
    <row r="2180" spans="3:9" ht="18" x14ac:dyDescent="0.25">
      <c r="C2180" s="83" t="s">
        <v>68</v>
      </c>
      <c r="D2180" s="88"/>
      <c r="E2180" s="103" t="e">
        <f>+'RES CUENTA'!#REF!</f>
        <v>#REF!</v>
      </c>
      <c r="F2180" s="104" t="e">
        <f>+'RES CUENTA'!#REF!</f>
        <v>#REF!</v>
      </c>
      <c r="G2180" s="101" t="e">
        <f>+E2180*F2180/100</f>
        <v>#REF!</v>
      </c>
      <c r="H2180" s="83"/>
      <c r="I2180" s="91"/>
    </row>
    <row r="2181" spans="3:9" ht="18" x14ac:dyDescent="0.25">
      <c r="C2181" s="83" t="s">
        <v>69</v>
      </c>
      <c r="D2181" s="88"/>
      <c r="E2181" s="103" t="e">
        <f>+'RES CUENTA'!#REF!</f>
        <v>#REF!</v>
      </c>
      <c r="F2181" s="104" t="e">
        <f>+'RES CUENTA'!#REF!</f>
        <v>#REF!</v>
      </c>
      <c r="G2181" s="101" t="e">
        <f>+E2181*F2181/100</f>
        <v>#REF!</v>
      </c>
      <c r="H2181" s="91"/>
      <c r="I2181" s="87"/>
    </row>
    <row r="2182" spans="3:9" ht="18" x14ac:dyDescent="0.25">
      <c r="C2182" s="83" t="s">
        <v>181</v>
      </c>
      <c r="D2182" s="88"/>
      <c r="E2182" s="103" t="e">
        <f>+'RES CUENTA'!#REF!</f>
        <v>#REF!</v>
      </c>
      <c r="F2182" s="104">
        <f>+'RES CUENTA'!M1237</f>
        <v>0</v>
      </c>
      <c r="G2182" s="101" t="e">
        <f>+E2182</f>
        <v>#REF!</v>
      </c>
      <c r="H2182" s="87"/>
      <c r="I2182" s="87"/>
    </row>
    <row r="2183" spans="3:9" ht="18" x14ac:dyDescent="0.25">
      <c r="C2183" s="83" t="s">
        <v>213</v>
      </c>
      <c r="D2183" s="88"/>
      <c r="E2183" s="103" t="e">
        <f>+'RES CUENTA'!#REF!</f>
        <v>#REF!</v>
      </c>
      <c r="F2183" s="104">
        <f>+'RES CUENTA'!N1236</f>
        <v>0</v>
      </c>
      <c r="G2183" s="134" t="e">
        <f>+E2183</f>
        <v>#REF!</v>
      </c>
      <c r="H2183" s="87"/>
      <c r="I2183" s="87"/>
    </row>
    <row r="2184" spans="3:9" ht="18" x14ac:dyDescent="0.25">
      <c r="C2184" s="84"/>
      <c r="D2184" s="88"/>
      <c r="E2184" s="83"/>
      <c r="G2184" s="101" t="e">
        <f>SUM(G2180:G2183)</f>
        <v>#REF!</v>
      </c>
      <c r="H2184" s="87"/>
      <c r="I2184" s="87"/>
    </row>
    <row r="2185" spans="3:9" ht="18" x14ac:dyDescent="0.25">
      <c r="C2185" s="84"/>
      <c r="D2185" s="88"/>
      <c r="E2185" s="83"/>
      <c r="G2185" s="85"/>
      <c r="H2185" s="87"/>
      <c r="I2185" s="88"/>
    </row>
    <row r="2186" spans="3:9" ht="18" x14ac:dyDescent="0.25">
      <c r="C2186" s="83"/>
      <c r="D2186" s="88"/>
      <c r="E2186" s="83"/>
      <c r="F2186" s="83"/>
      <c r="G2186" s="89"/>
      <c r="H2186" s="88"/>
      <c r="I2186" s="88"/>
    </row>
    <row r="2187" spans="3:9" ht="18" x14ac:dyDescent="0.25">
      <c r="C2187" s="83"/>
      <c r="D2187" s="88"/>
      <c r="E2187" s="83"/>
      <c r="F2187" s="83"/>
      <c r="G2187" s="89"/>
      <c r="H2187" s="88"/>
      <c r="I2187" s="88"/>
    </row>
    <row r="2188" spans="3:9" ht="18" x14ac:dyDescent="0.25">
      <c r="C2188" s="83"/>
      <c r="D2188" s="88"/>
      <c r="E2188" s="83"/>
      <c r="F2188" s="83"/>
      <c r="G2188" s="89"/>
      <c r="H2188" s="88"/>
      <c r="I2188" s="88"/>
    </row>
    <row r="2189" spans="3:9" ht="23.25" customHeight="1" x14ac:dyDescent="0.25">
      <c r="C2189" s="83"/>
      <c r="D2189" s="88"/>
      <c r="E2189" s="83"/>
      <c r="F2189" s="83"/>
      <c r="G2189" s="89"/>
      <c r="H2189" s="88"/>
      <c r="I2189" s="83"/>
    </row>
    <row r="2190" spans="3:9" ht="18" x14ac:dyDescent="0.25">
      <c r="C2190" s="83" t="e">
        <f>+C2175</f>
        <v>#REF!</v>
      </c>
      <c r="D2190" s="88"/>
      <c r="E2190" s="83"/>
      <c r="F2190" s="83" t="e">
        <f>+C2175</f>
        <v>#REF!</v>
      </c>
      <c r="G2190" s="83"/>
      <c r="H2190" s="83"/>
      <c r="I2190" s="99"/>
    </row>
    <row r="2191" spans="3:9" ht="18" x14ac:dyDescent="0.25">
      <c r="C2191" s="84"/>
      <c r="D2191" s="88"/>
      <c r="E2191" s="83"/>
      <c r="G2191" s="83"/>
      <c r="H2191" s="99"/>
      <c r="I2191" s="90" t="str">
        <f>+I2176</f>
        <v>Unid. 58</v>
      </c>
    </row>
    <row r="2192" spans="3:9" ht="18" x14ac:dyDescent="0.25">
      <c r="C2192" s="83" t="str">
        <f>+$F$1</f>
        <v>MONTES DE OCA 1068/1070 C.A.B.A.</v>
      </c>
      <c r="D2192" s="88"/>
      <c r="E2192" s="90" t="str">
        <f>+I2191</f>
        <v>Unid. 58</v>
      </c>
      <c r="F2192" s="83" t="str">
        <f>+$F$1</f>
        <v>MONTES DE OCA 1068/1070 C.A.B.A.</v>
      </c>
      <c r="G2192" s="83"/>
      <c r="H2192" s="83"/>
      <c r="I2192" s="84"/>
    </row>
    <row r="2193" spans="3:9" ht="18" x14ac:dyDescent="0.25">
      <c r="C2193" s="84"/>
      <c r="D2193" s="91"/>
      <c r="E2193" s="84"/>
      <c r="G2193" s="83"/>
      <c r="H2193" s="83"/>
    </row>
    <row r="2194" spans="3:9" ht="14.25" customHeight="1" x14ac:dyDescent="0.25">
      <c r="C2194" s="83"/>
      <c r="D2194" s="88"/>
      <c r="E2194" s="83"/>
      <c r="F2194" s="84"/>
      <c r="G2194" s="83"/>
      <c r="H2194" s="83"/>
      <c r="I2194" s="99"/>
    </row>
    <row r="2195" spans="3:9" ht="18" x14ac:dyDescent="0.25">
      <c r="C2195" s="83" t="str">
        <f>+$F$2</f>
        <v>P/Depósito o transferencia en Banco Santander Rio</v>
      </c>
      <c r="D2195" s="88"/>
      <c r="E2195" s="83"/>
      <c r="F2195" s="83"/>
      <c r="G2195" s="128"/>
      <c r="H2195" s="84"/>
      <c r="I2195" s="83"/>
    </row>
    <row r="2196" spans="3:9" ht="18" x14ac:dyDescent="0.25">
      <c r="C2196" s="83" t="str">
        <f>+$F$3</f>
        <v xml:space="preserve">Cta. Cte. $ N° 558-000162/1 </v>
      </c>
      <c r="D2196" s="88"/>
      <c r="E2196" s="83"/>
      <c r="F2196" s="93"/>
      <c r="H2196" s="91"/>
      <c r="I2196" s="92"/>
    </row>
    <row r="2197" spans="3:9" ht="18" x14ac:dyDescent="0.25">
      <c r="C2197" s="84"/>
      <c r="D2197" s="88"/>
      <c r="E2197" s="83"/>
      <c r="F2197" s="83" t="s">
        <v>70</v>
      </c>
      <c r="G2197" s="102" t="e">
        <f>+G2180</f>
        <v>#REF!</v>
      </c>
      <c r="H2197" s="92"/>
      <c r="I2197" s="97">
        <f>+C2201</f>
        <v>46183</v>
      </c>
    </row>
    <row r="2198" spans="3:9" ht="18" x14ac:dyDescent="0.25">
      <c r="C2198" s="84"/>
      <c r="D2198" s="88"/>
      <c r="E2198" s="83"/>
      <c r="F2198" s="83" t="s">
        <v>71</v>
      </c>
      <c r="G2198" s="102" t="e">
        <f>+G2181</f>
        <v>#REF!</v>
      </c>
      <c r="I2198" s="83"/>
    </row>
    <row r="2199" spans="3:9" ht="18" x14ac:dyDescent="0.25">
      <c r="C2199" s="83"/>
      <c r="D2199" s="88"/>
      <c r="E2199" s="83"/>
      <c r="F2199" s="83" t="s">
        <v>72</v>
      </c>
      <c r="G2199" s="102" t="e">
        <f>+G2182</f>
        <v>#REF!</v>
      </c>
      <c r="H2199" s="83"/>
      <c r="I2199" s="83"/>
    </row>
    <row r="2200" spans="3:9" ht="18" x14ac:dyDescent="0.25">
      <c r="C2200" s="93"/>
      <c r="D2200" s="93"/>
      <c r="E2200" s="93"/>
      <c r="F2200" s="83" t="s">
        <v>73</v>
      </c>
      <c r="G2200" s="102" t="e">
        <f>+G2183</f>
        <v>#REF!</v>
      </c>
      <c r="H2200" s="83"/>
      <c r="I2200" s="83"/>
    </row>
    <row r="2201" spans="3:9" ht="18" x14ac:dyDescent="0.25">
      <c r="C2201" s="97">
        <f>+$H$43</f>
        <v>46183</v>
      </c>
      <c r="D2201" s="157" t="e">
        <f>+G2184</f>
        <v>#REF!</v>
      </c>
      <c r="E2201" s="83"/>
      <c r="F2201" s="83" t="s">
        <v>181</v>
      </c>
      <c r="G2201" s="135">
        <v>0</v>
      </c>
      <c r="H2201" s="83"/>
      <c r="I2201" s="83"/>
    </row>
    <row r="2202" spans="3:9" ht="18" x14ac:dyDescent="0.25">
      <c r="C2202" s="83"/>
      <c r="D2202" s="88"/>
      <c r="E2202" s="83"/>
      <c r="F2202" s="83" t="s">
        <v>74</v>
      </c>
      <c r="G2202" s="102" t="e">
        <f>+G2184</f>
        <v>#REF!</v>
      </c>
      <c r="H2202" s="83"/>
      <c r="I2202" s="83"/>
    </row>
    <row r="2203" spans="3:9" ht="18" x14ac:dyDescent="0.25">
      <c r="C2203" s="83"/>
      <c r="D2203" s="88"/>
      <c r="E2203" s="83"/>
      <c r="F2203" s="83"/>
      <c r="G2203" s="83"/>
      <c r="H2203" s="83"/>
      <c r="I2203" s="83"/>
    </row>
    <row r="2204" spans="3:9" ht="18" x14ac:dyDescent="0.25">
      <c r="C2204" s="83"/>
      <c r="D2204" s="88"/>
      <c r="E2204" s="83"/>
      <c r="F2204" s="100"/>
      <c r="G2204" s="83"/>
      <c r="H2204" s="83"/>
      <c r="I2204" s="83"/>
    </row>
    <row r="2205" spans="3:9" ht="18" x14ac:dyDescent="0.25">
      <c r="C2205" s="83"/>
      <c r="D2205" s="88"/>
      <c r="E2205" s="83"/>
      <c r="F2205" s="83"/>
      <c r="G2205" s="83"/>
      <c r="H2205" s="83"/>
      <c r="I2205" s="91"/>
    </row>
    <row r="2206" spans="3:9" ht="11.25" customHeight="1" x14ac:dyDescent="0.25">
      <c r="F2206" s="83"/>
      <c r="H2206" s="91"/>
      <c r="I2206" s="83"/>
    </row>
    <row r="2208" spans="3:9" ht="18" x14ac:dyDescent="0.25">
      <c r="C2208" s="424"/>
      <c r="D2208" s="424"/>
      <c r="E2208" s="424"/>
      <c r="F2208" s="433">
        <f>+$C$1</f>
        <v>46143</v>
      </c>
      <c r="G2208" s="83"/>
      <c r="H2208" s="429">
        <f>+$E$1</f>
        <v>46183</v>
      </c>
      <c r="I2208" s="83"/>
    </row>
    <row r="2209" spans="3:9" ht="18" x14ac:dyDescent="0.25">
      <c r="C2209" s="82"/>
      <c r="D2209" s="82"/>
      <c r="E2209" s="98"/>
      <c r="F2209" s="433"/>
      <c r="G2209" s="83"/>
      <c r="H2209" s="429"/>
      <c r="I2209" s="83"/>
    </row>
    <row r="2210" spans="3:9" ht="18" x14ac:dyDescent="0.25">
      <c r="C2210" s="83"/>
      <c r="D2210" s="88"/>
      <c r="E2210" s="83"/>
      <c r="F2210" s="84"/>
      <c r="G2210" s="83"/>
      <c r="H2210" s="84"/>
      <c r="I2210" s="83"/>
    </row>
    <row r="2211" spans="3:9" ht="18" x14ac:dyDescent="0.25">
      <c r="C2211" s="83" t="e">
        <f>+#REF!</f>
        <v>#REF!</v>
      </c>
      <c r="D2211" s="88"/>
      <c r="E2211" s="83"/>
      <c r="F2211" s="84"/>
      <c r="G2211" s="83"/>
      <c r="H2211" s="84"/>
      <c r="I2211" s="83"/>
    </row>
    <row r="2212" spans="3:9" ht="18" x14ac:dyDescent="0.25">
      <c r="C2212" s="84"/>
      <c r="D2212" s="88"/>
      <c r="E2212" s="83"/>
      <c r="F2212" s="83" t="s">
        <v>293</v>
      </c>
      <c r="G2212" s="83"/>
      <c r="H2212" s="83"/>
      <c r="I2212" s="90" t="s">
        <v>133</v>
      </c>
    </row>
    <row r="2213" spans="3:9" ht="18" x14ac:dyDescent="0.25">
      <c r="C2213" s="83"/>
      <c r="D2213" s="88"/>
      <c r="E2213" s="83"/>
      <c r="F2213" s="84"/>
      <c r="G2213" s="83"/>
      <c r="H2213" s="83"/>
      <c r="I2213" s="84"/>
    </row>
    <row r="2214" spans="3:9" ht="18" x14ac:dyDescent="0.25">
      <c r="C2214" s="91"/>
      <c r="D2214" s="88"/>
      <c r="E2214" s="91"/>
      <c r="F2214" s="83"/>
      <c r="G2214" s="83"/>
      <c r="H2214" s="83"/>
      <c r="I2214" s="83"/>
    </row>
    <row r="2215" spans="3:9" ht="18" x14ac:dyDescent="0.25">
      <c r="C2215" s="91"/>
      <c r="D2215" s="88"/>
      <c r="E2215" s="91"/>
      <c r="F2215" s="83"/>
      <c r="G2215" s="83"/>
      <c r="H2215" s="83"/>
      <c r="I2215" s="83"/>
    </row>
    <row r="2216" spans="3:9" ht="18" x14ac:dyDescent="0.25">
      <c r="C2216" s="83" t="s">
        <v>68</v>
      </c>
      <c r="D2216" s="88"/>
      <c r="E2216" s="103" t="e">
        <f>+'RES CUENTA'!#REF!</f>
        <v>#REF!</v>
      </c>
      <c r="F2216" s="104" t="e">
        <f>+'RES CUENTA'!#REF!</f>
        <v>#REF!</v>
      </c>
      <c r="G2216" s="101" t="e">
        <f>+E2216*F2216/100</f>
        <v>#REF!</v>
      </c>
      <c r="H2216" s="425"/>
      <c r="I2216" s="425"/>
    </row>
    <row r="2217" spans="3:9" ht="18" x14ac:dyDescent="0.25">
      <c r="C2217" s="83" t="s">
        <v>69</v>
      </c>
      <c r="D2217" s="88"/>
      <c r="E2217" s="103" t="e">
        <f>+'RES CUENTA'!#REF!</f>
        <v>#REF!</v>
      </c>
      <c r="F2217" s="104" t="e">
        <f>+'RES CUENTA'!#REF!</f>
        <v>#REF!</v>
      </c>
      <c r="G2217" s="101" t="e">
        <f>+E2217*F2217/100</f>
        <v>#REF!</v>
      </c>
      <c r="H2217" s="430"/>
      <c r="I2217" s="430"/>
    </row>
    <row r="2218" spans="3:9" ht="18" x14ac:dyDescent="0.25">
      <c r="C2218" s="83" t="s">
        <v>181</v>
      </c>
      <c r="D2218" s="88"/>
      <c r="E2218" s="103" t="e">
        <f>+'RES CUENTA'!#REF!</f>
        <v>#REF!</v>
      </c>
      <c r="F2218" s="104">
        <v>0</v>
      </c>
      <c r="G2218" s="101" t="e">
        <f>+E2218</f>
        <v>#REF!</v>
      </c>
      <c r="H2218" s="430"/>
      <c r="I2218" s="430"/>
    </row>
    <row r="2219" spans="3:9" ht="18" x14ac:dyDescent="0.25">
      <c r="C2219" s="83" t="s">
        <v>213</v>
      </c>
      <c r="D2219" s="88"/>
      <c r="E2219" s="103" t="e">
        <f>+'RES CUENTA'!#REF!</f>
        <v>#REF!</v>
      </c>
      <c r="F2219" s="104">
        <v>0</v>
      </c>
      <c r="G2219" s="134" t="e">
        <f>+E2219</f>
        <v>#REF!</v>
      </c>
      <c r="H2219" s="430"/>
      <c r="I2219" s="430"/>
    </row>
    <row r="2220" spans="3:9" ht="18" x14ac:dyDescent="0.25">
      <c r="C2220" s="84"/>
      <c r="D2220" s="88"/>
      <c r="E2220" s="83"/>
      <c r="F2220" s="89"/>
      <c r="G2220" s="101" t="e">
        <f>SUM(G2216:G2219)</f>
        <v>#REF!</v>
      </c>
      <c r="H2220" s="430"/>
      <c r="I2220" s="430"/>
    </row>
    <row r="2221" spans="3:9" ht="18" x14ac:dyDescent="0.25">
      <c r="C2221" s="84"/>
      <c r="D2221" s="88"/>
      <c r="E2221" s="83"/>
      <c r="F2221" s="89"/>
      <c r="G2221" s="101"/>
      <c r="H2221" s="87"/>
      <c r="I2221" s="87"/>
    </row>
    <row r="2222" spans="3:9" ht="18" x14ac:dyDescent="0.25">
      <c r="C2222" s="84"/>
      <c r="D2222" s="88"/>
      <c r="E2222" s="83"/>
      <c r="F2222" s="83"/>
      <c r="H2222" s="432"/>
      <c r="I2222" s="432"/>
    </row>
    <row r="2223" spans="3:9" ht="18" x14ac:dyDescent="0.25">
      <c r="C2223" s="83"/>
      <c r="D2223" s="88"/>
      <c r="E2223" s="83"/>
      <c r="F2223" s="83"/>
      <c r="G2223" s="85"/>
      <c r="H2223" s="88"/>
      <c r="I2223" s="88"/>
    </row>
    <row r="2224" spans="3:9" ht="18" x14ac:dyDescent="0.25">
      <c r="C2224" s="83"/>
      <c r="D2224" s="88"/>
      <c r="E2224" s="83"/>
      <c r="F2224" s="83"/>
      <c r="G2224" s="89"/>
      <c r="H2224" s="83"/>
      <c r="I2224" s="83"/>
    </row>
    <row r="2225" spans="3:9" ht="24" customHeight="1" x14ac:dyDescent="0.25">
      <c r="C2225" s="83"/>
      <c r="D2225" s="88"/>
      <c r="E2225" s="83"/>
      <c r="F2225" s="83"/>
      <c r="G2225" s="89"/>
      <c r="H2225" s="83"/>
      <c r="I2225" s="83"/>
    </row>
    <row r="2226" spans="3:9" ht="18" x14ac:dyDescent="0.25">
      <c r="C2226" s="83" t="e">
        <f>+C2211</f>
        <v>#REF!</v>
      </c>
      <c r="D2226" s="427"/>
      <c r="E2226" s="427"/>
      <c r="F2226" s="83" t="e">
        <f>+C2226</f>
        <v>#REF!</v>
      </c>
      <c r="G2226" s="89"/>
      <c r="H2226" s="83"/>
      <c r="I2226" s="83"/>
    </row>
    <row r="2227" spans="3:9" ht="18" x14ac:dyDescent="0.25">
      <c r="D2227" s="88"/>
      <c r="E2227" s="83"/>
      <c r="G2227" s="427"/>
      <c r="H2227" s="427"/>
      <c r="I2227" s="427"/>
    </row>
    <row r="2228" spans="3:9" ht="18" x14ac:dyDescent="0.25">
      <c r="C2228" s="83" t="str">
        <f>+$F$1</f>
        <v>MONTES DE OCA 1068/1070 C.A.B.A.</v>
      </c>
      <c r="D2228" s="88"/>
      <c r="E2228" s="90" t="str">
        <f>+I2212</f>
        <v>Unid. 59</v>
      </c>
      <c r="F2228" s="83" t="str">
        <f>+$F$1</f>
        <v>MONTES DE OCA 1068/1070 C.A.B.A.</v>
      </c>
      <c r="G2228" s="83"/>
      <c r="H2228" s="83"/>
      <c r="I2228" s="90" t="str">
        <f>+E2228</f>
        <v>Unid. 59</v>
      </c>
    </row>
    <row r="2229" spans="3:9" ht="18" x14ac:dyDescent="0.25">
      <c r="I2229" s="84"/>
    </row>
    <row r="2230" spans="3:9" ht="14.25" customHeight="1" x14ac:dyDescent="0.25">
      <c r="C2230" s="84"/>
      <c r="D2230" s="91"/>
      <c r="E2230" s="84"/>
      <c r="F2230" s="84"/>
      <c r="G2230" s="83"/>
      <c r="H2230" s="83"/>
    </row>
    <row r="2231" spans="3:9" ht="18" x14ac:dyDescent="0.25">
      <c r="C2231" s="83" t="str">
        <f>+$F$2</f>
        <v>P/Depósito o transferencia en Banco Santander Rio</v>
      </c>
      <c r="D2231" s="88"/>
      <c r="E2231" s="83"/>
      <c r="F2231" s="83"/>
      <c r="G2231" s="83"/>
      <c r="H2231" s="84"/>
      <c r="I2231" s="99"/>
    </row>
    <row r="2232" spans="3:9" ht="18" x14ac:dyDescent="0.25">
      <c r="C2232" s="83" t="str">
        <f>+$F$3</f>
        <v xml:space="preserve">Cta. Cte. $ N° 558-000162/1 </v>
      </c>
      <c r="D2232" s="88"/>
      <c r="E2232" s="83"/>
      <c r="F2232" s="93"/>
      <c r="G2232" s="83"/>
      <c r="H2232" s="91"/>
      <c r="I2232" s="83"/>
    </row>
    <row r="2233" spans="3:9" ht="18" x14ac:dyDescent="0.25">
      <c r="D2233" s="88"/>
      <c r="E2233" s="83"/>
      <c r="F2233" s="83" t="s">
        <v>70</v>
      </c>
      <c r="G2233" s="102" t="e">
        <f>+G2216</f>
        <v>#REF!</v>
      </c>
      <c r="I2233" s="97">
        <f>+C2238</f>
        <v>46183</v>
      </c>
    </row>
    <row r="2234" spans="3:9" ht="18" x14ac:dyDescent="0.25">
      <c r="C2234" s="84"/>
      <c r="D2234" s="88"/>
      <c r="E2234" s="83"/>
      <c r="F2234" s="83" t="s">
        <v>71</v>
      </c>
      <c r="G2234" s="102" t="e">
        <f>+G2217</f>
        <v>#REF!</v>
      </c>
    </row>
    <row r="2235" spans="3:9" ht="18" x14ac:dyDescent="0.25">
      <c r="C2235" s="84"/>
      <c r="D2235" s="88"/>
      <c r="E2235" s="83"/>
      <c r="F2235" s="83" t="s">
        <v>72</v>
      </c>
      <c r="G2235" s="102" t="e">
        <f>+G2218</f>
        <v>#REF!</v>
      </c>
      <c r="H2235" s="83"/>
      <c r="I2235" s="83"/>
    </row>
    <row r="2236" spans="3:9" ht="18" x14ac:dyDescent="0.25">
      <c r="C2236" s="83"/>
      <c r="D2236" s="88"/>
      <c r="E2236" s="83"/>
      <c r="F2236" s="83" t="s">
        <v>73</v>
      </c>
      <c r="G2236" s="102" t="e">
        <f>+G2219</f>
        <v>#REF!</v>
      </c>
      <c r="H2236" s="83"/>
      <c r="I2236" s="83"/>
    </row>
    <row r="2237" spans="3:9" ht="18" x14ac:dyDescent="0.25">
      <c r="C2237" s="93"/>
      <c r="D2237" s="93"/>
      <c r="E2237" s="93"/>
      <c r="F2237" s="83" t="s">
        <v>181</v>
      </c>
      <c r="G2237" s="135">
        <v>0</v>
      </c>
      <c r="H2237" s="83"/>
      <c r="I2237" s="83"/>
    </row>
    <row r="2238" spans="3:9" ht="18" x14ac:dyDescent="0.25">
      <c r="C2238" s="97">
        <f>+$H$43</f>
        <v>46183</v>
      </c>
      <c r="D2238" s="157" t="e">
        <f>+G2220</f>
        <v>#REF!</v>
      </c>
      <c r="E2238" s="83"/>
      <c r="F2238" s="83" t="s">
        <v>74</v>
      </c>
      <c r="G2238" s="102" t="e">
        <f>+G2220</f>
        <v>#REF!</v>
      </c>
      <c r="H2238" s="83"/>
      <c r="I2238" s="83"/>
    </row>
    <row r="2239" spans="3:9" ht="18" x14ac:dyDescent="0.25">
      <c r="C2239" s="83"/>
      <c r="D2239" s="88"/>
      <c r="E2239" s="83"/>
      <c r="F2239" s="83"/>
      <c r="G2239" s="83"/>
      <c r="H2239" s="83"/>
      <c r="I2239" s="83"/>
    </row>
    <row r="2240" spans="3:9" ht="18" x14ac:dyDescent="0.25">
      <c r="C2240" s="83"/>
      <c r="D2240" s="88"/>
      <c r="E2240" s="83"/>
      <c r="F2240" s="83"/>
      <c r="G2240" s="83"/>
      <c r="H2240" s="425"/>
      <c r="I2240" s="425"/>
    </row>
    <row r="2241" spans="3:9" ht="18" x14ac:dyDescent="0.25">
      <c r="C2241" s="83"/>
      <c r="D2241" s="88"/>
      <c r="E2241" s="83"/>
      <c r="F2241" s="83"/>
      <c r="G2241" s="83"/>
      <c r="H2241" s="83"/>
      <c r="I2241" s="83"/>
    </row>
    <row r="2242" spans="3:9" ht="18" x14ac:dyDescent="0.25">
      <c r="C2242" s="83"/>
      <c r="D2242" s="88"/>
      <c r="E2242" s="83"/>
      <c r="F2242" s="83"/>
      <c r="G2242" s="83"/>
      <c r="H2242" s="83"/>
      <c r="I2242" s="83"/>
    </row>
    <row r="2243" spans="3:9" ht="18" x14ac:dyDescent="0.25">
      <c r="C2243" s="83"/>
      <c r="D2243" s="88"/>
      <c r="E2243" s="83"/>
      <c r="F2243" s="83"/>
      <c r="G2243" s="83"/>
      <c r="H2243" s="83"/>
      <c r="I2243" s="83"/>
    </row>
    <row r="2244" spans="3:9" ht="18" x14ac:dyDescent="0.25">
      <c r="C2244" s="83"/>
      <c r="D2244" s="88"/>
      <c r="E2244" s="83"/>
      <c r="F2244" s="83"/>
      <c r="G2244" s="83"/>
      <c r="H2244" s="83"/>
      <c r="I2244" s="83"/>
    </row>
    <row r="2245" spans="3:9" ht="18" x14ac:dyDescent="0.25">
      <c r="C2245" s="83"/>
      <c r="D2245" s="88"/>
      <c r="E2245" s="83"/>
      <c r="F2245" s="83"/>
      <c r="G2245" s="83"/>
      <c r="I2245" s="83"/>
    </row>
    <row r="2246" spans="3:9" ht="18" x14ac:dyDescent="0.25">
      <c r="C2246" s="424"/>
      <c r="D2246" s="424"/>
      <c r="E2246" s="424"/>
      <c r="F2246" s="83"/>
      <c r="G2246" s="83"/>
      <c r="I2246" s="83"/>
    </row>
    <row r="2247" spans="3:9" ht="18" x14ac:dyDescent="0.25">
      <c r="C2247" s="424"/>
      <c r="D2247" s="424"/>
      <c r="E2247" s="424"/>
      <c r="F2247" s="96">
        <f>+$C$1</f>
        <v>46143</v>
      </c>
      <c r="G2247" s="83"/>
      <c r="H2247" s="97">
        <f>+$E$1</f>
        <v>46183</v>
      </c>
      <c r="I2247" s="95"/>
    </row>
    <row r="2248" spans="3:9" ht="18" x14ac:dyDescent="0.25">
      <c r="C2248" s="82"/>
      <c r="D2248" s="82"/>
      <c r="E2248" s="98"/>
      <c r="F2248" s="96"/>
      <c r="G2248" s="83"/>
    </row>
    <row r="2249" spans="3:9" ht="18" x14ac:dyDescent="0.25">
      <c r="C2249" s="83" t="e">
        <f>+#REF!</f>
        <v>#REF!</v>
      </c>
      <c r="D2249" s="88"/>
      <c r="E2249" s="83"/>
      <c r="G2249" s="83"/>
    </row>
    <row r="2250" spans="3:9" ht="18" x14ac:dyDescent="0.25">
      <c r="D2250" s="88"/>
      <c r="E2250" s="83"/>
      <c r="F2250" s="83" t="str">
        <f>+$F$1</f>
        <v>MONTES DE OCA 1068/1070 C.A.B.A.</v>
      </c>
      <c r="G2250" s="83"/>
      <c r="I2250" s="90" t="s">
        <v>134</v>
      </c>
    </row>
    <row r="2251" spans="3:9" ht="18" x14ac:dyDescent="0.25">
      <c r="C2251" s="84"/>
      <c r="D2251" s="88"/>
      <c r="E2251" s="83"/>
      <c r="G2251" s="83"/>
      <c r="H2251" s="84"/>
    </row>
    <row r="2252" spans="3:9" ht="18" x14ac:dyDescent="0.25">
      <c r="C2252" s="83"/>
      <c r="D2252" s="88"/>
      <c r="E2252" s="83"/>
      <c r="F2252" s="84"/>
      <c r="G2252" s="83"/>
      <c r="H2252" s="83"/>
      <c r="I2252" s="84"/>
    </row>
    <row r="2253" spans="3:9" ht="18" x14ac:dyDescent="0.25">
      <c r="C2253" s="91"/>
      <c r="D2253" s="88"/>
      <c r="E2253" s="91"/>
      <c r="F2253" s="83"/>
      <c r="G2253" s="83"/>
      <c r="H2253" s="83"/>
      <c r="I2253" s="83"/>
    </row>
    <row r="2254" spans="3:9" ht="18" x14ac:dyDescent="0.25">
      <c r="C2254" s="83" t="s">
        <v>68</v>
      </c>
      <c r="D2254" s="88"/>
      <c r="E2254" s="103" t="e">
        <f>+'RES CUENTA'!#REF!</f>
        <v>#REF!</v>
      </c>
      <c r="F2254" s="104" t="e">
        <f>+'RES CUENTA'!#REF!</f>
        <v>#REF!</v>
      </c>
      <c r="G2254" s="101" t="e">
        <f>+E2254*F2254/100</f>
        <v>#REF!</v>
      </c>
      <c r="H2254" s="83"/>
      <c r="I2254" s="91"/>
    </row>
    <row r="2255" spans="3:9" ht="18" x14ac:dyDescent="0.25">
      <c r="C2255" s="83" t="s">
        <v>69</v>
      </c>
      <c r="D2255" s="88"/>
      <c r="E2255" s="103" t="e">
        <f>+'RES CUENTA'!#REF!</f>
        <v>#REF!</v>
      </c>
      <c r="F2255" s="104" t="e">
        <f>+'RES CUENTA'!#REF!</f>
        <v>#REF!</v>
      </c>
      <c r="G2255" s="101" t="e">
        <f>+E2255*F2255/100</f>
        <v>#REF!</v>
      </c>
      <c r="H2255" s="91"/>
      <c r="I2255" s="87"/>
    </row>
    <row r="2256" spans="3:9" ht="18" x14ac:dyDescent="0.25">
      <c r="C2256" s="83" t="s">
        <v>181</v>
      </c>
      <c r="D2256" s="88"/>
      <c r="E2256" s="103" t="e">
        <f>+'RES CUENTA'!#REF!</f>
        <v>#REF!</v>
      </c>
      <c r="F2256" s="104">
        <f>+'RES CUENTA'!M1313</f>
        <v>0</v>
      </c>
      <c r="G2256" s="101" t="e">
        <f>+E2256</f>
        <v>#REF!</v>
      </c>
      <c r="H2256" s="87"/>
      <c r="I2256" s="87"/>
    </row>
    <row r="2257" spans="3:9" ht="18" x14ac:dyDescent="0.25">
      <c r="C2257" s="83" t="s">
        <v>213</v>
      </c>
      <c r="D2257" s="88"/>
      <c r="E2257" s="103" t="e">
        <f>+'RES CUENTA'!#REF!</f>
        <v>#REF!</v>
      </c>
      <c r="F2257" s="104">
        <f>+'RES CUENTA'!N1312</f>
        <v>0</v>
      </c>
      <c r="G2257" s="134" t="e">
        <f>+E2257</f>
        <v>#REF!</v>
      </c>
      <c r="H2257" s="87"/>
      <c r="I2257" s="87"/>
    </row>
    <row r="2258" spans="3:9" ht="18" x14ac:dyDescent="0.25">
      <c r="C2258" s="84"/>
      <c r="D2258" s="88"/>
      <c r="E2258" s="83"/>
      <c r="G2258" s="101" t="e">
        <f>SUM(G2254:G2257)</f>
        <v>#REF!</v>
      </c>
      <c r="H2258" s="87"/>
      <c r="I2258" s="87"/>
    </row>
    <row r="2259" spans="3:9" ht="18" x14ac:dyDescent="0.25">
      <c r="C2259" s="84"/>
      <c r="D2259" s="88"/>
      <c r="E2259" s="83"/>
      <c r="G2259" s="101"/>
      <c r="H2259" s="87"/>
      <c r="I2259" s="87"/>
    </row>
    <row r="2260" spans="3:9" ht="18" x14ac:dyDescent="0.25">
      <c r="C2260" s="84"/>
      <c r="D2260" s="88"/>
      <c r="E2260" s="83"/>
      <c r="G2260" s="85"/>
      <c r="H2260" s="87"/>
      <c r="I2260" s="88"/>
    </row>
    <row r="2261" spans="3:9" ht="18" x14ac:dyDescent="0.25">
      <c r="C2261" s="83"/>
      <c r="D2261" s="88"/>
      <c r="E2261" s="83"/>
      <c r="F2261" s="83"/>
      <c r="G2261" s="89"/>
      <c r="H2261" s="88"/>
      <c r="I2261" s="88"/>
    </row>
    <row r="2262" spans="3:9" ht="18" x14ac:dyDescent="0.25">
      <c r="C2262" s="83"/>
      <c r="D2262" s="88"/>
      <c r="E2262" s="83"/>
      <c r="F2262" s="83"/>
      <c r="G2262" s="89"/>
      <c r="H2262" s="88"/>
      <c r="I2262" s="88"/>
    </row>
    <row r="2263" spans="3:9" ht="21.75" customHeight="1" x14ac:dyDescent="0.25">
      <c r="C2263" s="83"/>
      <c r="D2263" s="88"/>
      <c r="E2263" s="83"/>
      <c r="F2263" s="83"/>
      <c r="G2263" s="89"/>
      <c r="H2263" s="88"/>
      <c r="I2263" s="83"/>
    </row>
    <row r="2264" spans="3:9" ht="18" x14ac:dyDescent="0.25">
      <c r="C2264" s="83" t="e">
        <f>+C2249</f>
        <v>#REF!</v>
      </c>
      <c r="D2264" s="88"/>
      <c r="E2264" s="83"/>
      <c r="F2264" s="83" t="e">
        <f>+C2249</f>
        <v>#REF!</v>
      </c>
      <c r="G2264" s="83"/>
      <c r="H2264" s="83"/>
      <c r="I2264" s="99"/>
    </row>
    <row r="2265" spans="3:9" ht="18" x14ac:dyDescent="0.25">
      <c r="C2265" s="84"/>
      <c r="D2265" s="88"/>
      <c r="E2265" s="83"/>
      <c r="G2265" s="83"/>
      <c r="H2265" s="99"/>
      <c r="I2265" s="90" t="str">
        <f>+I2250</f>
        <v>Unid. 60</v>
      </c>
    </row>
    <row r="2266" spans="3:9" ht="18" x14ac:dyDescent="0.25">
      <c r="C2266" s="83" t="str">
        <f>+$F$1</f>
        <v>MONTES DE OCA 1068/1070 C.A.B.A.</v>
      </c>
      <c r="D2266" s="88"/>
      <c r="E2266" s="90" t="str">
        <f>+I2265</f>
        <v>Unid. 60</v>
      </c>
      <c r="F2266" s="83" t="str">
        <f>+$F$1</f>
        <v>MONTES DE OCA 1068/1070 C.A.B.A.</v>
      </c>
      <c r="G2266" s="83"/>
      <c r="H2266" s="83"/>
      <c r="I2266" s="84"/>
    </row>
    <row r="2267" spans="3:9" ht="18" x14ac:dyDescent="0.25">
      <c r="C2267" s="84"/>
      <c r="D2267" s="91"/>
      <c r="E2267" s="84"/>
      <c r="G2267" s="83"/>
      <c r="H2267" s="83"/>
    </row>
    <row r="2268" spans="3:9" ht="11.25" customHeight="1" x14ac:dyDescent="0.25">
      <c r="C2268" s="83"/>
      <c r="D2268" s="88"/>
      <c r="E2268" s="83"/>
      <c r="F2268" s="84"/>
      <c r="G2268" s="83"/>
      <c r="H2268" s="83"/>
      <c r="I2268" s="99"/>
    </row>
    <row r="2269" spans="3:9" ht="18" x14ac:dyDescent="0.25">
      <c r="C2269" s="83" t="str">
        <f>+$F$2</f>
        <v>P/Depósito o transferencia en Banco Santander Rio</v>
      </c>
      <c r="D2269" s="88"/>
      <c r="E2269" s="83"/>
      <c r="F2269" s="83"/>
      <c r="G2269" s="128"/>
      <c r="H2269" s="84"/>
      <c r="I2269" s="83"/>
    </row>
    <row r="2270" spans="3:9" ht="18" x14ac:dyDescent="0.25">
      <c r="C2270" s="83" t="str">
        <f>+$F$3</f>
        <v xml:space="preserve">Cta. Cte. $ N° 558-000162/1 </v>
      </c>
      <c r="D2270" s="88"/>
      <c r="E2270" s="83"/>
      <c r="F2270" s="93"/>
      <c r="H2270" s="91"/>
      <c r="I2270" s="92"/>
    </row>
    <row r="2271" spans="3:9" ht="18" x14ac:dyDescent="0.25">
      <c r="C2271" s="84"/>
      <c r="D2271" s="88"/>
      <c r="E2271" s="83"/>
      <c r="F2271" s="83" t="s">
        <v>70</v>
      </c>
      <c r="G2271" s="102" t="e">
        <f>+G2254</f>
        <v>#REF!</v>
      </c>
      <c r="H2271" s="92"/>
      <c r="I2271" s="97">
        <f>+C2275</f>
        <v>46183</v>
      </c>
    </row>
    <row r="2272" spans="3:9" ht="18" x14ac:dyDescent="0.25">
      <c r="C2272" s="84"/>
      <c r="D2272" s="88"/>
      <c r="E2272" s="83"/>
      <c r="F2272" s="83" t="s">
        <v>71</v>
      </c>
      <c r="G2272" s="102" t="e">
        <f>+G2255</f>
        <v>#REF!</v>
      </c>
      <c r="I2272" s="83"/>
    </row>
    <row r="2273" spans="3:9" ht="18" x14ac:dyDescent="0.25">
      <c r="C2273" s="83"/>
      <c r="D2273" s="88"/>
      <c r="E2273" s="83"/>
      <c r="F2273" s="83" t="s">
        <v>72</v>
      </c>
      <c r="G2273" s="102" t="e">
        <f>+G2256</f>
        <v>#REF!</v>
      </c>
      <c r="H2273" s="83"/>
      <c r="I2273" s="83"/>
    </row>
    <row r="2274" spans="3:9" ht="18" x14ac:dyDescent="0.25">
      <c r="C2274" s="93"/>
      <c r="D2274" s="93"/>
      <c r="E2274" s="93"/>
      <c r="F2274" s="83" t="s">
        <v>73</v>
      </c>
      <c r="G2274" s="102" t="e">
        <f>+G2257</f>
        <v>#REF!</v>
      </c>
      <c r="H2274" s="83"/>
      <c r="I2274" s="83"/>
    </row>
    <row r="2275" spans="3:9" ht="18" x14ac:dyDescent="0.25">
      <c r="C2275" s="97">
        <f>+$H$43</f>
        <v>46183</v>
      </c>
      <c r="D2275" s="157" t="e">
        <f>+G2258</f>
        <v>#REF!</v>
      </c>
      <c r="E2275" s="83"/>
      <c r="F2275" s="83" t="s">
        <v>181</v>
      </c>
      <c r="G2275" s="135">
        <v>0</v>
      </c>
      <c r="H2275" s="83"/>
      <c r="I2275" s="83"/>
    </row>
    <row r="2276" spans="3:9" ht="18" x14ac:dyDescent="0.25">
      <c r="C2276" s="83"/>
      <c r="D2276" s="88"/>
      <c r="E2276" s="83"/>
      <c r="F2276" s="83" t="s">
        <v>74</v>
      </c>
      <c r="G2276" s="102" t="e">
        <f>+G2258</f>
        <v>#REF!</v>
      </c>
      <c r="H2276" s="83"/>
      <c r="I2276" s="83"/>
    </row>
    <row r="2277" spans="3:9" ht="18" x14ac:dyDescent="0.25">
      <c r="C2277" s="83"/>
      <c r="D2277" s="88"/>
      <c r="E2277" s="83"/>
      <c r="F2277" s="83"/>
      <c r="G2277" s="83"/>
      <c r="H2277" s="83"/>
      <c r="I2277" s="83"/>
    </row>
    <row r="2278" spans="3:9" ht="18" x14ac:dyDescent="0.25">
      <c r="C2278" s="83"/>
      <c r="D2278" s="88"/>
      <c r="E2278" s="83"/>
      <c r="F2278" s="100"/>
      <c r="G2278" s="83"/>
      <c r="H2278" s="83"/>
      <c r="I2278" s="83"/>
    </row>
    <row r="2279" spans="3:9" ht="18" x14ac:dyDescent="0.25">
      <c r="C2279" s="83"/>
      <c r="D2279" s="88"/>
      <c r="E2279" s="83"/>
      <c r="F2279" s="83"/>
      <c r="G2279" s="83"/>
      <c r="H2279" s="83"/>
      <c r="I2279" s="91"/>
    </row>
    <row r="2280" spans="3:9" ht="11.25" customHeight="1" x14ac:dyDescent="0.25">
      <c r="F2280" s="83"/>
      <c r="H2280" s="91"/>
      <c r="I2280" s="83"/>
    </row>
    <row r="2282" spans="3:9" ht="18" x14ac:dyDescent="0.25">
      <c r="C2282" s="424"/>
      <c r="D2282" s="424"/>
      <c r="E2282" s="424"/>
      <c r="F2282" s="433">
        <f>+$C$1</f>
        <v>46143</v>
      </c>
      <c r="G2282" s="83"/>
      <c r="H2282" s="429">
        <f>+$E$1</f>
        <v>46183</v>
      </c>
      <c r="I2282" s="83"/>
    </row>
    <row r="2283" spans="3:9" ht="18" x14ac:dyDescent="0.25">
      <c r="C2283" s="82"/>
      <c r="D2283" s="82"/>
      <c r="E2283" s="98"/>
      <c r="F2283" s="433"/>
      <c r="G2283" s="83"/>
      <c r="H2283" s="429"/>
      <c r="I2283" s="83"/>
    </row>
    <row r="2284" spans="3:9" ht="18" x14ac:dyDescent="0.25">
      <c r="C2284" s="83"/>
      <c r="D2284" s="88"/>
      <c r="E2284" s="83"/>
      <c r="F2284" s="84"/>
      <c r="G2284" s="83"/>
      <c r="H2284" s="84"/>
      <c r="I2284" s="83"/>
    </row>
    <row r="2285" spans="3:9" ht="18" x14ac:dyDescent="0.25">
      <c r="C2285" s="83" t="e">
        <f>+#REF!</f>
        <v>#REF!</v>
      </c>
      <c r="D2285" s="88"/>
      <c r="E2285" s="83"/>
      <c r="F2285" s="84"/>
      <c r="G2285" s="83"/>
      <c r="H2285" s="84"/>
      <c r="I2285" s="83"/>
    </row>
    <row r="2286" spans="3:9" ht="14.25" customHeight="1" x14ac:dyDescent="0.25">
      <c r="C2286" s="84"/>
      <c r="D2286" s="88"/>
      <c r="E2286" s="83"/>
      <c r="F2286" s="83" t="s">
        <v>293</v>
      </c>
      <c r="G2286" s="83"/>
      <c r="H2286" s="83"/>
      <c r="I2286" s="90" t="s">
        <v>135</v>
      </c>
    </row>
    <row r="2287" spans="3:9" ht="18" x14ac:dyDescent="0.25">
      <c r="C2287" s="83"/>
      <c r="D2287" s="88"/>
      <c r="E2287" s="83"/>
      <c r="F2287" s="84"/>
      <c r="G2287" s="83"/>
      <c r="H2287" s="83"/>
      <c r="I2287" s="84"/>
    </row>
    <row r="2288" spans="3:9" ht="18" x14ac:dyDescent="0.25">
      <c r="C2288" s="91"/>
      <c r="D2288" s="88"/>
      <c r="E2288" s="91"/>
      <c r="F2288" s="83"/>
      <c r="G2288" s="83"/>
      <c r="H2288" s="83"/>
      <c r="I2288" s="83"/>
    </row>
    <row r="2289" spans="3:9" ht="18" x14ac:dyDescent="0.25">
      <c r="C2289" s="91"/>
      <c r="D2289" s="88"/>
      <c r="E2289" s="91"/>
      <c r="F2289" s="83"/>
      <c r="G2289" s="83"/>
      <c r="H2289" s="83"/>
      <c r="I2289" s="83"/>
    </row>
    <row r="2290" spans="3:9" ht="18" x14ac:dyDescent="0.25">
      <c r="C2290" s="83" t="s">
        <v>68</v>
      </c>
      <c r="D2290" s="88"/>
      <c r="E2290" s="103" t="e">
        <f>+'RES CUENTA'!#REF!</f>
        <v>#REF!</v>
      </c>
      <c r="F2290" s="104" t="e">
        <f>+'RES CUENTA'!#REF!</f>
        <v>#REF!</v>
      </c>
      <c r="G2290" s="101" t="e">
        <f>+E2290*F2290/100</f>
        <v>#REF!</v>
      </c>
      <c r="H2290" s="425"/>
      <c r="I2290" s="425"/>
    </row>
    <row r="2291" spans="3:9" ht="18" x14ac:dyDescent="0.25">
      <c r="C2291" s="83" t="s">
        <v>69</v>
      </c>
      <c r="D2291" s="88"/>
      <c r="E2291" s="103" t="e">
        <f>+'RES CUENTA'!#REF!</f>
        <v>#REF!</v>
      </c>
      <c r="F2291" s="104" t="e">
        <f>+'RES CUENTA'!#REF!</f>
        <v>#REF!</v>
      </c>
      <c r="G2291" s="101" t="e">
        <f>+E2291*F2291/100</f>
        <v>#REF!</v>
      </c>
      <c r="H2291" s="430"/>
      <c r="I2291" s="430"/>
    </row>
    <row r="2292" spans="3:9" ht="18" x14ac:dyDescent="0.25">
      <c r="C2292" s="83" t="s">
        <v>181</v>
      </c>
      <c r="D2292" s="88"/>
      <c r="E2292" s="103" t="e">
        <f>+'RES CUENTA'!#REF!</f>
        <v>#REF!</v>
      </c>
      <c r="F2292" s="104">
        <v>0</v>
      </c>
      <c r="G2292" s="101" t="e">
        <f>+E2292</f>
        <v>#REF!</v>
      </c>
      <c r="H2292" s="430"/>
      <c r="I2292" s="430"/>
    </row>
    <row r="2293" spans="3:9" ht="18" x14ac:dyDescent="0.25">
      <c r="C2293" s="83" t="s">
        <v>213</v>
      </c>
      <c r="D2293" s="88"/>
      <c r="E2293" s="103" t="e">
        <f>+'RES CUENTA'!#REF!</f>
        <v>#REF!</v>
      </c>
      <c r="F2293" s="104">
        <v>0</v>
      </c>
      <c r="G2293" s="134" t="e">
        <f>+E2293</f>
        <v>#REF!</v>
      </c>
      <c r="H2293" s="430"/>
      <c r="I2293" s="430"/>
    </row>
    <row r="2294" spans="3:9" ht="18" x14ac:dyDescent="0.25">
      <c r="C2294" s="84"/>
      <c r="D2294" s="88"/>
      <c r="E2294" s="83"/>
      <c r="F2294" s="89"/>
      <c r="G2294" s="101" t="e">
        <f>SUM(G2290:G2293)</f>
        <v>#REF!</v>
      </c>
      <c r="H2294" s="430"/>
      <c r="I2294" s="430"/>
    </row>
    <row r="2295" spans="3:9" ht="18" x14ac:dyDescent="0.25">
      <c r="C2295" s="84"/>
      <c r="D2295" s="88"/>
      <c r="E2295" s="83"/>
      <c r="F2295" s="89"/>
      <c r="G2295" s="101"/>
      <c r="H2295" s="87"/>
      <c r="I2295" s="87"/>
    </row>
    <row r="2296" spans="3:9" ht="18" x14ac:dyDescent="0.25">
      <c r="C2296" s="84"/>
      <c r="D2296" s="88"/>
      <c r="E2296" s="83"/>
      <c r="F2296" s="83"/>
      <c r="H2296" s="432"/>
      <c r="I2296" s="432"/>
    </row>
    <row r="2297" spans="3:9" ht="18" x14ac:dyDescent="0.25">
      <c r="C2297" s="83"/>
      <c r="D2297" s="88"/>
      <c r="E2297" s="83"/>
      <c r="F2297" s="83"/>
      <c r="G2297" s="85"/>
      <c r="H2297" s="88"/>
      <c r="I2297" s="88"/>
    </row>
    <row r="2298" spans="3:9" ht="18" x14ac:dyDescent="0.25">
      <c r="C2298" s="83"/>
      <c r="D2298" s="88"/>
      <c r="E2298" s="83"/>
      <c r="F2298" s="83"/>
      <c r="G2298" s="89"/>
      <c r="H2298" s="83"/>
      <c r="I2298" s="83"/>
    </row>
    <row r="2299" spans="3:9" ht="23.25" customHeight="1" x14ac:dyDescent="0.25">
      <c r="C2299" s="83"/>
      <c r="D2299" s="88"/>
      <c r="E2299" s="83"/>
      <c r="F2299" s="83"/>
      <c r="G2299" s="89"/>
      <c r="H2299" s="83"/>
      <c r="I2299" s="83"/>
    </row>
    <row r="2300" spans="3:9" ht="18" x14ac:dyDescent="0.25">
      <c r="C2300" s="83" t="e">
        <f>+C2285</f>
        <v>#REF!</v>
      </c>
      <c r="D2300" s="427"/>
      <c r="E2300" s="427"/>
      <c r="F2300" s="83" t="e">
        <f>+C2300</f>
        <v>#REF!</v>
      </c>
      <c r="G2300" s="89"/>
      <c r="H2300" s="83"/>
      <c r="I2300" s="83"/>
    </row>
    <row r="2301" spans="3:9" ht="18" x14ac:dyDescent="0.25">
      <c r="D2301" s="88"/>
      <c r="E2301" s="83"/>
      <c r="G2301" s="427"/>
      <c r="H2301" s="427"/>
      <c r="I2301" s="427"/>
    </row>
    <row r="2302" spans="3:9" ht="18" x14ac:dyDescent="0.25">
      <c r="C2302" s="83" t="str">
        <f>+$F$1</f>
        <v>MONTES DE OCA 1068/1070 C.A.B.A.</v>
      </c>
      <c r="D2302" s="88"/>
      <c r="E2302" s="90" t="str">
        <f>+I2286</f>
        <v>Unid. 61</v>
      </c>
      <c r="F2302" s="83" t="str">
        <f>+$F$1</f>
        <v>MONTES DE OCA 1068/1070 C.A.B.A.</v>
      </c>
      <c r="G2302" s="83"/>
      <c r="H2302" s="83"/>
      <c r="I2302" s="90" t="str">
        <f>+E2302</f>
        <v>Unid. 61</v>
      </c>
    </row>
    <row r="2303" spans="3:9" ht="18" x14ac:dyDescent="0.25">
      <c r="I2303" s="84"/>
    </row>
    <row r="2304" spans="3:9" ht="14.25" customHeight="1" x14ac:dyDescent="0.25">
      <c r="C2304" s="84"/>
      <c r="D2304" s="91"/>
      <c r="E2304" s="84"/>
      <c r="F2304" s="84"/>
      <c r="G2304" s="83"/>
      <c r="H2304" s="83"/>
    </row>
    <row r="2305" spans="3:9" ht="18" x14ac:dyDescent="0.25">
      <c r="C2305" s="83" t="str">
        <f>+$F$2</f>
        <v>P/Depósito o transferencia en Banco Santander Rio</v>
      </c>
      <c r="D2305" s="88"/>
      <c r="E2305" s="83"/>
      <c r="F2305" s="83"/>
      <c r="G2305" s="83"/>
      <c r="H2305" s="84"/>
      <c r="I2305" s="99"/>
    </row>
    <row r="2306" spans="3:9" ht="18" x14ac:dyDescent="0.25">
      <c r="C2306" s="83" t="str">
        <f>+$F$3</f>
        <v xml:space="preserve">Cta. Cte. $ N° 558-000162/1 </v>
      </c>
      <c r="D2306" s="88"/>
      <c r="E2306" s="83"/>
      <c r="F2306" s="93"/>
      <c r="G2306" s="83"/>
      <c r="H2306" s="91"/>
      <c r="I2306" s="83"/>
    </row>
    <row r="2307" spans="3:9" ht="18" x14ac:dyDescent="0.25">
      <c r="D2307" s="88"/>
      <c r="E2307" s="83"/>
      <c r="F2307" s="83" t="s">
        <v>70</v>
      </c>
      <c r="G2307" s="102" t="e">
        <f>+G2290</f>
        <v>#REF!</v>
      </c>
      <c r="I2307" s="97">
        <f>+C2312</f>
        <v>46183</v>
      </c>
    </row>
    <row r="2308" spans="3:9" ht="18" x14ac:dyDescent="0.25">
      <c r="C2308" s="84"/>
      <c r="D2308" s="88"/>
      <c r="E2308" s="83"/>
      <c r="F2308" s="83" t="s">
        <v>71</v>
      </c>
      <c r="G2308" s="102" t="e">
        <f>+G2291</f>
        <v>#REF!</v>
      </c>
    </row>
    <row r="2309" spans="3:9" ht="18" x14ac:dyDescent="0.25">
      <c r="C2309" s="84"/>
      <c r="D2309" s="88"/>
      <c r="E2309" s="83"/>
      <c r="F2309" s="83" t="s">
        <v>72</v>
      </c>
      <c r="G2309" s="102" t="e">
        <f>+G2292</f>
        <v>#REF!</v>
      </c>
      <c r="H2309" s="83"/>
      <c r="I2309" s="83"/>
    </row>
    <row r="2310" spans="3:9" ht="18" x14ac:dyDescent="0.25">
      <c r="C2310" s="83"/>
      <c r="D2310" s="88"/>
      <c r="E2310" s="83"/>
      <c r="F2310" s="83" t="s">
        <v>73</v>
      </c>
      <c r="G2310" s="102" t="e">
        <f>+G2293</f>
        <v>#REF!</v>
      </c>
      <c r="H2310" s="83"/>
      <c r="I2310" s="83"/>
    </row>
    <row r="2311" spans="3:9" ht="18" x14ac:dyDescent="0.25">
      <c r="C2311" s="93"/>
      <c r="D2311" s="93"/>
      <c r="E2311" s="93"/>
      <c r="F2311" s="83" t="s">
        <v>181</v>
      </c>
      <c r="G2311" s="135">
        <v>0</v>
      </c>
      <c r="H2311" s="83"/>
      <c r="I2311" s="83"/>
    </row>
    <row r="2312" spans="3:9" ht="18" x14ac:dyDescent="0.25">
      <c r="C2312" s="97">
        <f>+$H$43</f>
        <v>46183</v>
      </c>
      <c r="D2312" s="157" t="e">
        <f>+G2294</f>
        <v>#REF!</v>
      </c>
      <c r="E2312" s="83"/>
      <c r="F2312" s="83" t="s">
        <v>74</v>
      </c>
      <c r="G2312" s="102" t="e">
        <f>+G2294</f>
        <v>#REF!</v>
      </c>
      <c r="H2312" s="83"/>
      <c r="I2312" s="83"/>
    </row>
    <row r="2313" spans="3:9" ht="18" x14ac:dyDescent="0.25">
      <c r="C2313" s="83"/>
      <c r="D2313" s="88"/>
      <c r="E2313" s="83"/>
      <c r="F2313" s="83"/>
      <c r="G2313" s="83"/>
      <c r="H2313" s="83"/>
      <c r="I2313" s="83"/>
    </row>
    <row r="2314" spans="3:9" ht="18" x14ac:dyDescent="0.25">
      <c r="C2314" s="83"/>
      <c r="D2314" s="88"/>
      <c r="E2314" s="83"/>
      <c r="F2314" s="83"/>
      <c r="G2314" s="83"/>
      <c r="H2314" s="425"/>
      <c r="I2314" s="425"/>
    </row>
    <row r="2315" spans="3:9" ht="18" x14ac:dyDescent="0.25">
      <c r="C2315" s="83"/>
      <c r="D2315" s="88"/>
      <c r="E2315" s="83"/>
      <c r="F2315" s="83"/>
      <c r="G2315" s="83"/>
      <c r="H2315" s="83"/>
      <c r="I2315" s="83"/>
    </row>
    <row r="2316" spans="3:9" ht="18" x14ac:dyDescent="0.25">
      <c r="C2316" s="83"/>
      <c r="D2316" s="88"/>
      <c r="E2316" s="83"/>
      <c r="F2316" s="83"/>
      <c r="G2316" s="83"/>
      <c r="H2316" s="83"/>
      <c r="I2316" s="83"/>
    </row>
    <row r="2317" spans="3:9" ht="18" x14ac:dyDescent="0.25">
      <c r="C2317" s="83"/>
      <c r="D2317" s="88"/>
      <c r="E2317" s="83"/>
      <c r="F2317" s="83"/>
      <c r="G2317" s="83"/>
      <c r="H2317" s="83"/>
      <c r="I2317" s="83"/>
    </row>
    <row r="2318" spans="3:9" ht="18" x14ac:dyDescent="0.25">
      <c r="C2318" s="83"/>
      <c r="D2318" s="88"/>
      <c r="E2318" s="83"/>
      <c r="F2318" s="83"/>
      <c r="G2318" s="83"/>
      <c r="H2318" s="83"/>
      <c r="I2318" s="83"/>
    </row>
    <row r="2319" spans="3:9" ht="18" x14ac:dyDescent="0.25">
      <c r="C2319" s="83"/>
      <c r="D2319" s="88"/>
      <c r="E2319" s="83"/>
      <c r="F2319" s="83"/>
      <c r="G2319" s="83"/>
      <c r="I2319" s="83"/>
    </row>
    <row r="2320" spans="3:9" ht="18" x14ac:dyDescent="0.25">
      <c r="C2320" s="424"/>
      <c r="D2320" s="424"/>
      <c r="E2320" s="424"/>
      <c r="F2320" s="83"/>
      <c r="G2320" s="83"/>
      <c r="I2320" s="83"/>
    </row>
    <row r="2321" spans="3:9" ht="18" x14ac:dyDescent="0.25">
      <c r="C2321" s="424"/>
      <c r="D2321" s="424"/>
      <c r="E2321" s="424"/>
      <c r="F2321" s="96">
        <f>+$C$1</f>
        <v>46143</v>
      </c>
      <c r="G2321" s="83"/>
      <c r="H2321" s="97">
        <f>+$E$1</f>
        <v>46183</v>
      </c>
      <c r="I2321" s="95"/>
    </row>
    <row r="2322" spans="3:9" ht="18" x14ac:dyDescent="0.25">
      <c r="C2322" s="82"/>
      <c r="D2322" s="82"/>
      <c r="E2322" s="98"/>
      <c r="F2322" s="96"/>
      <c r="G2322" s="83"/>
    </row>
    <row r="2323" spans="3:9" ht="18" x14ac:dyDescent="0.25">
      <c r="C2323" s="83" t="e">
        <f>+#REF!</f>
        <v>#REF!</v>
      </c>
      <c r="D2323" s="88"/>
      <c r="E2323" s="83"/>
      <c r="G2323" s="83"/>
    </row>
    <row r="2324" spans="3:9" ht="15" customHeight="1" x14ac:dyDescent="0.25">
      <c r="D2324" s="88"/>
      <c r="E2324" s="83"/>
      <c r="F2324" s="83" t="str">
        <f>+$F$1</f>
        <v>MONTES DE OCA 1068/1070 C.A.B.A.</v>
      </c>
      <c r="G2324" s="83"/>
      <c r="I2324" s="90" t="s">
        <v>136</v>
      </c>
    </row>
    <row r="2325" spans="3:9" ht="18" x14ac:dyDescent="0.25">
      <c r="C2325" s="84"/>
      <c r="D2325" s="88"/>
      <c r="E2325" s="83"/>
      <c r="G2325" s="83"/>
      <c r="H2325" s="84"/>
    </row>
    <row r="2326" spans="3:9" ht="18" x14ac:dyDescent="0.25">
      <c r="C2326" s="83"/>
      <c r="D2326" s="88"/>
      <c r="E2326" s="83"/>
      <c r="F2326" s="84"/>
      <c r="G2326" s="83"/>
      <c r="H2326" s="83"/>
      <c r="I2326" s="84"/>
    </row>
    <row r="2327" spans="3:9" ht="18" x14ac:dyDescent="0.25">
      <c r="C2327" s="83"/>
      <c r="D2327" s="88"/>
      <c r="E2327" s="83"/>
      <c r="F2327" s="84"/>
      <c r="G2327" s="83"/>
      <c r="H2327" s="83"/>
      <c r="I2327" s="84"/>
    </row>
    <row r="2328" spans="3:9" ht="18" x14ac:dyDescent="0.25">
      <c r="C2328" s="83" t="s">
        <v>68</v>
      </c>
      <c r="D2328" s="88"/>
      <c r="E2328" s="103" t="e">
        <f>+'RES CUENTA'!#REF!</f>
        <v>#REF!</v>
      </c>
      <c r="F2328" s="104" t="e">
        <f>+'RES CUENTA'!#REF!</f>
        <v>#REF!</v>
      </c>
      <c r="G2328" s="101" t="e">
        <f>+E2328*F2328/100</f>
        <v>#REF!</v>
      </c>
      <c r="H2328" s="83"/>
      <c r="I2328" s="91"/>
    </row>
    <row r="2329" spans="3:9" ht="18" x14ac:dyDescent="0.25">
      <c r="C2329" s="83" t="s">
        <v>69</v>
      </c>
      <c r="D2329" s="88"/>
      <c r="E2329" s="103" t="e">
        <f>+'RES CUENTA'!#REF!</f>
        <v>#REF!</v>
      </c>
      <c r="F2329" s="104" t="e">
        <f>+'RES CUENTA'!#REF!</f>
        <v>#REF!</v>
      </c>
      <c r="G2329" s="101" t="e">
        <f>+E2329*F2329/100</f>
        <v>#REF!</v>
      </c>
      <c r="H2329" s="91"/>
      <c r="I2329" s="87"/>
    </row>
    <row r="2330" spans="3:9" ht="18" x14ac:dyDescent="0.25">
      <c r="C2330" s="83" t="s">
        <v>181</v>
      </c>
      <c r="D2330" s="88"/>
      <c r="E2330" s="103" t="e">
        <f>+'RES CUENTA'!#REF!</f>
        <v>#REF!</v>
      </c>
      <c r="F2330" s="104">
        <f>+'RES CUENTA'!M1389</f>
        <v>0</v>
      </c>
      <c r="G2330" s="101" t="e">
        <f>+E2330</f>
        <v>#REF!</v>
      </c>
      <c r="H2330" s="87"/>
      <c r="I2330" s="87"/>
    </row>
    <row r="2331" spans="3:9" ht="18" x14ac:dyDescent="0.25">
      <c r="C2331" s="83" t="s">
        <v>213</v>
      </c>
      <c r="D2331" s="88"/>
      <c r="E2331" s="103" t="e">
        <f>+'RES CUENTA'!#REF!</f>
        <v>#REF!</v>
      </c>
      <c r="F2331" s="104">
        <f>+'RES CUENTA'!N1388</f>
        <v>0</v>
      </c>
      <c r="G2331" s="134" t="e">
        <f>+E2331</f>
        <v>#REF!</v>
      </c>
      <c r="H2331" s="87"/>
      <c r="I2331" s="87"/>
    </row>
    <row r="2332" spans="3:9" ht="18" x14ac:dyDescent="0.25">
      <c r="C2332" s="84"/>
      <c r="D2332" s="88"/>
      <c r="E2332" s="83"/>
      <c r="G2332" s="101" t="e">
        <f>SUM(G2328:G2331)</f>
        <v>#REF!</v>
      </c>
      <c r="H2332" s="87"/>
      <c r="I2332" s="87"/>
    </row>
    <row r="2333" spans="3:9" ht="18" x14ac:dyDescent="0.25">
      <c r="C2333" s="84"/>
      <c r="D2333" s="88"/>
      <c r="E2333" s="83"/>
      <c r="G2333" s="101"/>
      <c r="H2333" s="87"/>
      <c r="I2333" s="87"/>
    </row>
    <row r="2334" spans="3:9" ht="18" x14ac:dyDescent="0.25">
      <c r="C2334" s="84"/>
      <c r="D2334" s="88"/>
      <c r="E2334" s="83"/>
      <c r="G2334" s="85"/>
      <c r="H2334" s="87"/>
      <c r="I2334" s="88"/>
    </row>
    <row r="2335" spans="3:9" ht="18" x14ac:dyDescent="0.25">
      <c r="C2335" s="83"/>
      <c r="D2335" s="88"/>
      <c r="E2335" s="83"/>
      <c r="F2335" s="83"/>
      <c r="G2335" s="89"/>
      <c r="H2335" s="88"/>
      <c r="I2335" s="88"/>
    </row>
    <row r="2336" spans="3:9" ht="18" x14ac:dyDescent="0.25">
      <c r="C2336" s="83"/>
      <c r="D2336" s="88"/>
      <c r="E2336" s="83"/>
      <c r="F2336" s="83"/>
      <c r="G2336" s="89"/>
      <c r="H2336" s="88"/>
      <c r="I2336" s="88"/>
    </row>
    <row r="2337" spans="3:9" ht="23.25" customHeight="1" x14ac:dyDescent="0.25">
      <c r="C2337" s="83"/>
      <c r="D2337" s="88"/>
      <c r="E2337" s="83"/>
      <c r="F2337" s="83"/>
      <c r="G2337" s="89"/>
      <c r="H2337" s="88"/>
      <c r="I2337" s="83"/>
    </row>
    <row r="2338" spans="3:9" ht="18" x14ac:dyDescent="0.25">
      <c r="C2338" s="83" t="e">
        <f>+C2323</f>
        <v>#REF!</v>
      </c>
      <c r="D2338" s="88"/>
      <c r="E2338" s="83"/>
      <c r="F2338" s="83" t="e">
        <f>+C2323</f>
        <v>#REF!</v>
      </c>
      <c r="G2338" s="83"/>
      <c r="H2338" s="83"/>
      <c r="I2338" s="99"/>
    </row>
    <row r="2339" spans="3:9" ht="18" x14ac:dyDescent="0.25">
      <c r="C2339" s="84"/>
      <c r="D2339" s="88"/>
      <c r="E2339" s="83"/>
      <c r="G2339" s="83"/>
      <c r="H2339" s="99"/>
      <c r="I2339" s="90" t="str">
        <f>+I2324</f>
        <v>Unid. 62</v>
      </c>
    </row>
    <row r="2340" spans="3:9" ht="18" x14ac:dyDescent="0.25">
      <c r="C2340" s="83" t="str">
        <f>+$F$1</f>
        <v>MONTES DE OCA 1068/1070 C.A.B.A.</v>
      </c>
      <c r="D2340" s="88"/>
      <c r="E2340" s="90" t="str">
        <f>+I2339</f>
        <v>Unid. 62</v>
      </c>
      <c r="F2340" s="83" t="str">
        <f>+$F$1</f>
        <v>MONTES DE OCA 1068/1070 C.A.B.A.</v>
      </c>
      <c r="G2340" s="83"/>
      <c r="H2340" s="83"/>
      <c r="I2340" s="84"/>
    </row>
    <row r="2341" spans="3:9" ht="18" x14ac:dyDescent="0.25">
      <c r="C2341" s="84"/>
      <c r="D2341" s="91"/>
      <c r="E2341" s="84"/>
      <c r="G2341" s="83"/>
      <c r="H2341" s="83"/>
    </row>
    <row r="2342" spans="3:9" ht="11.25" customHeight="1" x14ac:dyDescent="0.25">
      <c r="C2342" s="83"/>
      <c r="D2342" s="88"/>
      <c r="E2342" s="83"/>
      <c r="F2342" s="84"/>
      <c r="G2342" s="83"/>
      <c r="H2342" s="83"/>
      <c r="I2342" s="99"/>
    </row>
    <row r="2343" spans="3:9" ht="18" x14ac:dyDescent="0.25">
      <c r="C2343" s="83" t="str">
        <f>+$F$2</f>
        <v>P/Depósito o transferencia en Banco Santander Rio</v>
      </c>
      <c r="D2343" s="88"/>
      <c r="E2343" s="83"/>
      <c r="F2343" s="83"/>
      <c r="G2343" s="128"/>
      <c r="H2343" s="84"/>
      <c r="I2343" s="83"/>
    </row>
    <row r="2344" spans="3:9" ht="18" x14ac:dyDescent="0.25">
      <c r="C2344" s="83" t="str">
        <f>+$F$3</f>
        <v xml:space="preserve">Cta. Cte. $ N° 558-000162/1 </v>
      </c>
      <c r="D2344" s="88"/>
      <c r="E2344" s="83"/>
      <c r="F2344" s="93"/>
      <c r="H2344" s="91"/>
      <c r="I2344" s="92"/>
    </row>
    <row r="2345" spans="3:9" ht="18" x14ac:dyDescent="0.25">
      <c r="C2345" s="84"/>
      <c r="D2345" s="88"/>
      <c r="E2345" s="83"/>
      <c r="F2345" s="83" t="s">
        <v>70</v>
      </c>
      <c r="G2345" s="102" t="e">
        <f>+G2328</f>
        <v>#REF!</v>
      </c>
      <c r="H2345" s="92"/>
      <c r="I2345" s="97">
        <f>+C2349</f>
        <v>46183</v>
      </c>
    </row>
    <row r="2346" spans="3:9" ht="18" x14ac:dyDescent="0.25">
      <c r="C2346" s="84"/>
      <c r="D2346" s="88"/>
      <c r="E2346" s="83"/>
      <c r="F2346" s="83" t="s">
        <v>71</v>
      </c>
      <c r="G2346" s="102" t="e">
        <f>+G2329</f>
        <v>#REF!</v>
      </c>
      <c r="I2346" s="83"/>
    </row>
    <row r="2347" spans="3:9" ht="18" x14ac:dyDescent="0.25">
      <c r="C2347" s="83"/>
      <c r="D2347" s="88"/>
      <c r="E2347" s="83"/>
      <c r="F2347" s="83" t="s">
        <v>72</v>
      </c>
      <c r="G2347" s="102" t="e">
        <f>+G2330</f>
        <v>#REF!</v>
      </c>
      <c r="H2347" s="83"/>
      <c r="I2347" s="83"/>
    </row>
    <row r="2348" spans="3:9" ht="18" x14ac:dyDescent="0.25">
      <c r="C2348" s="93"/>
      <c r="D2348" s="93"/>
      <c r="E2348" s="93"/>
      <c r="F2348" s="83" t="s">
        <v>73</v>
      </c>
      <c r="G2348" s="102" t="e">
        <f>+G2331</f>
        <v>#REF!</v>
      </c>
      <c r="H2348" s="83"/>
      <c r="I2348" s="83"/>
    </row>
    <row r="2349" spans="3:9" ht="18" x14ac:dyDescent="0.25">
      <c r="C2349" s="97">
        <f>+$H$43</f>
        <v>46183</v>
      </c>
      <c r="D2349" s="157" t="e">
        <f>+G2332</f>
        <v>#REF!</v>
      </c>
      <c r="E2349" s="83"/>
      <c r="F2349" s="83" t="s">
        <v>181</v>
      </c>
      <c r="G2349" s="135">
        <v>0</v>
      </c>
      <c r="H2349" s="83"/>
      <c r="I2349" s="83"/>
    </row>
    <row r="2350" spans="3:9" ht="18" x14ac:dyDescent="0.25">
      <c r="C2350" s="83"/>
      <c r="D2350" s="88"/>
      <c r="E2350" s="83"/>
      <c r="F2350" s="83" t="s">
        <v>74</v>
      </c>
      <c r="G2350" s="102" t="e">
        <f>+G2332</f>
        <v>#REF!</v>
      </c>
      <c r="H2350" s="83"/>
      <c r="I2350" s="83"/>
    </row>
    <row r="2351" spans="3:9" ht="18" x14ac:dyDescent="0.25">
      <c r="C2351" s="83"/>
      <c r="D2351" s="88"/>
      <c r="E2351" s="83"/>
      <c r="F2351" s="83"/>
      <c r="G2351" s="83"/>
      <c r="H2351" s="83"/>
      <c r="I2351" s="83"/>
    </row>
    <row r="2352" spans="3:9" ht="18" x14ac:dyDescent="0.25">
      <c r="C2352" s="83"/>
      <c r="D2352" s="88"/>
      <c r="E2352" s="83"/>
      <c r="F2352" s="100"/>
      <c r="G2352" s="83"/>
      <c r="H2352" s="83"/>
      <c r="I2352" s="83"/>
    </row>
    <row r="2353" spans="3:9" ht="18" x14ac:dyDescent="0.25">
      <c r="C2353" s="83"/>
      <c r="D2353" s="88"/>
      <c r="E2353" s="83"/>
      <c r="F2353" s="83"/>
      <c r="G2353" s="83"/>
      <c r="H2353" s="83"/>
      <c r="I2353" s="91"/>
    </row>
    <row r="2354" spans="3:9" ht="8.25" customHeight="1" x14ac:dyDescent="0.25">
      <c r="F2354" s="83"/>
      <c r="H2354" s="91"/>
      <c r="I2354" s="83"/>
    </row>
    <row r="2356" spans="3:9" ht="18" x14ac:dyDescent="0.25">
      <c r="C2356" s="424"/>
      <c r="D2356" s="424"/>
      <c r="E2356" s="424"/>
      <c r="F2356" s="433">
        <f>+$C$1</f>
        <v>46143</v>
      </c>
      <c r="G2356" s="83"/>
      <c r="H2356" s="429">
        <f>+$E$1</f>
        <v>46183</v>
      </c>
      <c r="I2356" s="83"/>
    </row>
    <row r="2357" spans="3:9" ht="18" x14ac:dyDescent="0.25">
      <c r="C2357" s="82"/>
      <c r="D2357" s="82"/>
      <c r="E2357" s="98"/>
      <c r="F2357" s="433"/>
      <c r="G2357" s="83"/>
      <c r="H2357" s="429"/>
      <c r="I2357" s="83"/>
    </row>
    <row r="2358" spans="3:9" ht="18" x14ac:dyDescent="0.25">
      <c r="C2358" s="83"/>
      <c r="D2358" s="88"/>
      <c r="E2358" s="83"/>
      <c r="F2358" s="84"/>
      <c r="G2358" s="83"/>
      <c r="H2358" s="84"/>
      <c r="I2358" s="83"/>
    </row>
    <row r="2359" spans="3:9" ht="18" x14ac:dyDescent="0.25">
      <c r="C2359" s="83" t="e">
        <f>+#REF!</f>
        <v>#REF!</v>
      </c>
      <c r="D2359" s="88"/>
      <c r="E2359" s="83"/>
      <c r="F2359" s="84"/>
      <c r="G2359" s="83"/>
      <c r="H2359" s="84"/>
      <c r="I2359" s="83"/>
    </row>
    <row r="2360" spans="3:9" ht="18" x14ac:dyDescent="0.25">
      <c r="C2360" s="84"/>
      <c r="D2360" s="88"/>
      <c r="E2360" s="83"/>
      <c r="F2360" s="83" t="s">
        <v>293</v>
      </c>
      <c r="G2360" s="83"/>
      <c r="H2360" s="83"/>
      <c r="I2360" s="90" t="s">
        <v>137</v>
      </c>
    </row>
    <row r="2361" spans="3:9" ht="18" x14ac:dyDescent="0.25">
      <c r="C2361" s="83"/>
      <c r="D2361" s="88"/>
      <c r="E2361" s="83"/>
      <c r="F2361" s="84"/>
      <c r="G2361" s="83"/>
      <c r="H2361" s="83"/>
      <c r="I2361" s="84"/>
    </row>
    <row r="2362" spans="3:9" ht="18" x14ac:dyDescent="0.25">
      <c r="C2362" s="91"/>
      <c r="D2362" s="88"/>
      <c r="E2362" s="91"/>
      <c r="F2362" s="83"/>
      <c r="G2362" s="83"/>
      <c r="H2362" s="83"/>
      <c r="I2362" s="83"/>
    </row>
    <row r="2363" spans="3:9" ht="18" x14ac:dyDescent="0.25">
      <c r="C2363" s="91"/>
      <c r="D2363" s="88"/>
      <c r="E2363" s="91"/>
      <c r="F2363" s="83"/>
      <c r="G2363" s="83"/>
      <c r="H2363" s="83"/>
      <c r="I2363" s="83"/>
    </row>
    <row r="2364" spans="3:9" ht="18" x14ac:dyDescent="0.25">
      <c r="C2364" s="83" t="s">
        <v>68</v>
      </c>
      <c r="D2364" s="88"/>
      <c r="E2364" s="103" t="e">
        <f>+'RES CUENTA'!#REF!</f>
        <v>#REF!</v>
      </c>
      <c r="F2364" s="104" t="e">
        <f>+'RES CUENTA'!#REF!</f>
        <v>#REF!</v>
      </c>
      <c r="G2364" s="101" t="e">
        <f>+E2364*F2364/100</f>
        <v>#REF!</v>
      </c>
      <c r="H2364" s="425"/>
      <c r="I2364" s="425"/>
    </row>
    <row r="2365" spans="3:9" ht="18" x14ac:dyDescent="0.25">
      <c r="C2365" s="83" t="s">
        <v>69</v>
      </c>
      <c r="D2365" s="88"/>
      <c r="E2365" s="103" t="e">
        <f>+'RES CUENTA'!#REF!</f>
        <v>#REF!</v>
      </c>
      <c r="F2365" s="104" t="e">
        <f>+'RES CUENTA'!#REF!</f>
        <v>#REF!</v>
      </c>
      <c r="G2365" s="101" t="e">
        <f>+E2365*F2365/100</f>
        <v>#REF!</v>
      </c>
      <c r="H2365" s="430"/>
      <c r="I2365" s="430"/>
    </row>
    <row r="2366" spans="3:9" ht="18" x14ac:dyDescent="0.25">
      <c r="C2366" s="83" t="s">
        <v>181</v>
      </c>
      <c r="D2366" s="88"/>
      <c r="E2366" s="103" t="e">
        <f>+'RES CUENTA'!#REF!</f>
        <v>#REF!</v>
      </c>
      <c r="F2366" s="104">
        <v>0</v>
      </c>
      <c r="G2366" s="101" t="e">
        <f>+E2366</f>
        <v>#REF!</v>
      </c>
      <c r="H2366" s="430"/>
      <c r="I2366" s="430"/>
    </row>
    <row r="2367" spans="3:9" ht="18" x14ac:dyDescent="0.25">
      <c r="C2367" s="83" t="s">
        <v>213</v>
      </c>
      <c r="D2367" s="88"/>
      <c r="E2367" s="103" t="e">
        <f>+'RES CUENTA'!#REF!</f>
        <v>#REF!</v>
      </c>
      <c r="F2367" s="104">
        <v>0</v>
      </c>
      <c r="G2367" s="134" t="e">
        <f>+E2367</f>
        <v>#REF!</v>
      </c>
      <c r="H2367" s="430"/>
      <c r="I2367" s="430"/>
    </row>
    <row r="2368" spans="3:9" ht="18" x14ac:dyDescent="0.25">
      <c r="C2368" s="84"/>
      <c r="D2368" s="88"/>
      <c r="E2368" s="83"/>
      <c r="F2368" s="89"/>
      <c r="G2368" s="101" t="e">
        <f>SUM(G2364:G2367)</f>
        <v>#REF!</v>
      </c>
      <c r="H2368" s="430"/>
      <c r="I2368" s="430"/>
    </row>
    <row r="2369" spans="3:9" ht="18" x14ac:dyDescent="0.25">
      <c r="C2369" s="84"/>
      <c r="D2369" s="88"/>
      <c r="E2369" s="83"/>
      <c r="F2369" s="89"/>
      <c r="G2369" s="101"/>
      <c r="H2369" s="87"/>
      <c r="I2369" s="87"/>
    </row>
    <row r="2370" spans="3:9" ht="18" x14ac:dyDescent="0.25">
      <c r="C2370" s="84"/>
      <c r="D2370" s="88"/>
      <c r="E2370" s="83"/>
      <c r="F2370" s="83"/>
      <c r="H2370" s="432"/>
      <c r="I2370" s="432"/>
    </row>
    <row r="2371" spans="3:9" ht="18" x14ac:dyDescent="0.25">
      <c r="C2371" s="83"/>
      <c r="D2371" s="88"/>
      <c r="E2371" s="83"/>
      <c r="F2371" s="83"/>
      <c r="G2371" s="85"/>
      <c r="H2371" s="88"/>
      <c r="I2371" s="88"/>
    </row>
    <row r="2372" spans="3:9" ht="18" x14ac:dyDescent="0.25">
      <c r="C2372" s="83"/>
      <c r="D2372" s="88"/>
      <c r="E2372" s="83"/>
      <c r="F2372" s="83"/>
      <c r="G2372" s="89"/>
      <c r="H2372" s="83"/>
      <c r="I2372" s="83"/>
    </row>
    <row r="2373" spans="3:9" ht="23.25" customHeight="1" x14ac:dyDescent="0.25">
      <c r="C2373" s="83"/>
      <c r="D2373" s="88"/>
      <c r="E2373" s="83"/>
      <c r="F2373" s="83"/>
      <c r="G2373" s="89"/>
      <c r="H2373" s="83"/>
      <c r="I2373" s="83"/>
    </row>
    <row r="2374" spans="3:9" ht="18" x14ac:dyDescent="0.25">
      <c r="C2374" s="83" t="e">
        <f>+C2359</f>
        <v>#REF!</v>
      </c>
      <c r="D2374" s="427"/>
      <c r="E2374" s="427"/>
      <c r="F2374" s="83" t="e">
        <f>+C2374</f>
        <v>#REF!</v>
      </c>
      <c r="G2374" s="89"/>
      <c r="H2374" s="83"/>
      <c r="I2374" s="83"/>
    </row>
    <row r="2375" spans="3:9" ht="18" x14ac:dyDescent="0.25">
      <c r="D2375" s="88"/>
      <c r="E2375" s="83"/>
      <c r="G2375" s="427"/>
      <c r="H2375" s="427"/>
      <c r="I2375" s="427"/>
    </row>
    <row r="2376" spans="3:9" ht="18" x14ac:dyDescent="0.25">
      <c r="C2376" s="83" t="str">
        <f>+$F$1</f>
        <v>MONTES DE OCA 1068/1070 C.A.B.A.</v>
      </c>
      <c r="D2376" s="88"/>
      <c r="E2376" s="90" t="str">
        <f>+I2360</f>
        <v>Unid. 63</v>
      </c>
      <c r="F2376" s="83" t="str">
        <f>+$F$1</f>
        <v>MONTES DE OCA 1068/1070 C.A.B.A.</v>
      </c>
      <c r="G2376" s="83"/>
      <c r="H2376" s="83"/>
      <c r="I2376" s="90" t="str">
        <f>+E2376</f>
        <v>Unid. 63</v>
      </c>
    </row>
    <row r="2377" spans="3:9" ht="18" x14ac:dyDescent="0.25">
      <c r="I2377" s="84"/>
    </row>
    <row r="2378" spans="3:9" ht="11.25" customHeight="1" x14ac:dyDescent="0.25">
      <c r="C2378" s="84"/>
      <c r="D2378" s="91"/>
      <c r="E2378" s="84"/>
      <c r="F2378" s="84"/>
      <c r="G2378" s="83"/>
      <c r="H2378" s="83"/>
    </row>
    <row r="2379" spans="3:9" ht="18" x14ac:dyDescent="0.25">
      <c r="C2379" s="83" t="str">
        <f>+$F$2</f>
        <v>P/Depósito o transferencia en Banco Santander Rio</v>
      </c>
      <c r="D2379" s="88"/>
      <c r="E2379" s="83"/>
      <c r="F2379" s="83"/>
      <c r="G2379" s="83"/>
      <c r="H2379" s="84"/>
      <c r="I2379" s="99"/>
    </row>
    <row r="2380" spans="3:9" ht="18" x14ac:dyDescent="0.25">
      <c r="C2380" s="83" t="str">
        <f>+$F$3</f>
        <v xml:space="preserve">Cta. Cte. $ N° 558-000162/1 </v>
      </c>
      <c r="D2380" s="88"/>
      <c r="E2380" s="83"/>
      <c r="F2380" s="93"/>
      <c r="G2380" s="83"/>
      <c r="H2380" s="91"/>
      <c r="I2380" s="83"/>
    </row>
    <row r="2381" spans="3:9" ht="18" x14ac:dyDescent="0.25">
      <c r="D2381" s="88"/>
      <c r="E2381" s="83"/>
      <c r="F2381" s="83" t="s">
        <v>70</v>
      </c>
      <c r="G2381" s="102" t="e">
        <f>+G2364</f>
        <v>#REF!</v>
      </c>
      <c r="I2381" s="97">
        <f>+C2386</f>
        <v>46183</v>
      </c>
    </row>
    <row r="2382" spans="3:9" ht="18" x14ac:dyDescent="0.25">
      <c r="C2382" s="84"/>
      <c r="D2382" s="88"/>
      <c r="E2382" s="83"/>
      <c r="F2382" s="83" t="s">
        <v>71</v>
      </c>
      <c r="G2382" s="102" t="e">
        <f>+G2365</f>
        <v>#REF!</v>
      </c>
    </row>
    <row r="2383" spans="3:9" ht="18" x14ac:dyDescent="0.25">
      <c r="C2383" s="84"/>
      <c r="D2383" s="88"/>
      <c r="E2383" s="83"/>
      <c r="F2383" s="83" t="s">
        <v>72</v>
      </c>
      <c r="G2383" s="102" t="e">
        <f>+G2366</f>
        <v>#REF!</v>
      </c>
      <c r="H2383" s="83"/>
      <c r="I2383" s="83"/>
    </row>
    <row r="2384" spans="3:9" ht="18" x14ac:dyDescent="0.25">
      <c r="C2384" s="83"/>
      <c r="D2384" s="88"/>
      <c r="E2384" s="83"/>
      <c r="F2384" s="83" t="s">
        <v>73</v>
      </c>
      <c r="G2384" s="102" t="e">
        <f>+G2367</f>
        <v>#REF!</v>
      </c>
      <c r="H2384" s="83"/>
      <c r="I2384" s="83"/>
    </row>
    <row r="2385" spans="3:9" ht="18" x14ac:dyDescent="0.25">
      <c r="C2385" s="93"/>
      <c r="D2385" s="93"/>
      <c r="E2385" s="93"/>
      <c r="F2385" s="83" t="s">
        <v>181</v>
      </c>
      <c r="G2385" s="135">
        <v>0</v>
      </c>
      <c r="H2385" s="83"/>
      <c r="I2385" s="83"/>
    </row>
    <row r="2386" spans="3:9" ht="18" x14ac:dyDescent="0.25">
      <c r="C2386" s="97">
        <f>+$H$43</f>
        <v>46183</v>
      </c>
      <c r="D2386" s="157" t="e">
        <f>+G2368</f>
        <v>#REF!</v>
      </c>
      <c r="E2386" s="83"/>
      <c r="F2386" s="83" t="s">
        <v>74</v>
      </c>
      <c r="G2386" s="102" t="e">
        <f>+G2368</f>
        <v>#REF!</v>
      </c>
      <c r="H2386" s="83"/>
      <c r="I2386" s="83"/>
    </row>
    <row r="2387" spans="3:9" ht="18" x14ac:dyDescent="0.25">
      <c r="C2387" s="83"/>
      <c r="D2387" s="88"/>
      <c r="E2387" s="83"/>
      <c r="F2387" s="83"/>
      <c r="G2387" s="83"/>
      <c r="H2387" s="83"/>
      <c r="I2387" s="83"/>
    </row>
    <row r="2388" spans="3:9" ht="18" x14ac:dyDescent="0.25">
      <c r="C2388" s="83"/>
      <c r="D2388" s="88"/>
      <c r="E2388" s="83"/>
      <c r="F2388" s="83"/>
      <c r="G2388" s="83"/>
      <c r="H2388" s="425"/>
      <c r="I2388" s="425"/>
    </row>
    <row r="2389" spans="3:9" ht="18" x14ac:dyDescent="0.25">
      <c r="C2389" s="83"/>
      <c r="D2389" s="88"/>
      <c r="E2389" s="83"/>
      <c r="F2389" s="83"/>
      <c r="G2389" s="83"/>
      <c r="H2389" s="83"/>
      <c r="I2389" s="83"/>
    </row>
    <row r="2390" spans="3:9" ht="18" x14ac:dyDescent="0.25">
      <c r="C2390" s="83"/>
      <c r="D2390" s="88"/>
      <c r="E2390" s="83"/>
      <c r="F2390" s="83"/>
      <c r="G2390" s="83"/>
      <c r="H2390" s="83"/>
      <c r="I2390" s="83"/>
    </row>
    <row r="2391" spans="3:9" ht="18" x14ac:dyDescent="0.25">
      <c r="C2391" s="83"/>
      <c r="D2391" s="88"/>
      <c r="E2391" s="83"/>
      <c r="F2391" s="83"/>
      <c r="G2391" s="83"/>
      <c r="H2391" s="83"/>
      <c r="I2391" s="83"/>
    </row>
    <row r="2392" spans="3:9" ht="18" x14ac:dyDescent="0.25">
      <c r="C2392" s="83"/>
      <c r="D2392" s="88"/>
      <c r="E2392" s="83"/>
      <c r="F2392" s="83"/>
      <c r="G2392" s="83"/>
      <c r="H2392" s="83"/>
      <c r="I2392" s="83"/>
    </row>
    <row r="2393" spans="3:9" ht="18" x14ac:dyDescent="0.25">
      <c r="C2393" s="83"/>
      <c r="D2393" s="88"/>
      <c r="E2393" s="83"/>
      <c r="F2393" s="83"/>
      <c r="G2393" s="83"/>
      <c r="I2393" s="83"/>
    </row>
    <row r="2394" spans="3:9" ht="18" x14ac:dyDescent="0.25">
      <c r="C2394" s="424"/>
      <c r="D2394" s="424"/>
      <c r="E2394" s="424"/>
      <c r="F2394" s="83"/>
      <c r="G2394" s="83"/>
      <c r="I2394" s="83"/>
    </row>
    <row r="2395" spans="3:9" ht="18" x14ac:dyDescent="0.25">
      <c r="C2395" s="424"/>
      <c r="D2395" s="424"/>
      <c r="E2395" s="424"/>
      <c r="F2395" s="96">
        <f>+$C$1</f>
        <v>46143</v>
      </c>
      <c r="G2395" s="83"/>
      <c r="H2395" s="97">
        <f>+$E$1</f>
        <v>46183</v>
      </c>
      <c r="I2395" s="95"/>
    </row>
    <row r="2396" spans="3:9" ht="18" x14ac:dyDescent="0.25">
      <c r="C2396" s="82"/>
      <c r="D2396" s="82"/>
      <c r="E2396" s="98"/>
      <c r="F2396" s="96"/>
      <c r="G2396" s="83"/>
    </row>
    <row r="2397" spans="3:9" ht="18" x14ac:dyDescent="0.25">
      <c r="C2397" s="83" t="e">
        <f>+#REF!</f>
        <v>#REF!</v>
      </c>
      <c r="D2397" s="88"/>
      <c r="E2397" s="83"/>
      <c r="G2397" s="83"/>
    </row>
    <row r="2398" spans="3:9" ht="18" x14ac:dyDescent="0.25">
      <c r="D2398" s="88"/>
      <c r="E2398" s="83"/>
      <c r="F2398" s="83" t="str">
        <f>+$F$1</f>
        <v>MONTES DE OCA 1068/1070 C.A.B.A.</v>
      </c>
      <c r="G2398" s="83"/>
      <c r="I2398" s="90" t="s">
        <v>138</v>
      </c>
    </row>
    <row r="2399" spans="3:9" ht="18" x14ac:dyDescent="0.25">
      <c r="C2399" s="84"/>
      <c r="D2399" s="88"/>
      <c r="E2399" s="83"/>
      <c r="G2399" s="83"/>
      <c r="H2399" s="84"/>
    </row>
    <row r="2400" spans="3:9" ht="18" x14ac:dyDescent="0.25">
      <c r="C2400" s="83"/>
      <c r="D2400" s="88"/>
      <c r="E2400" s="83"/>
      <c r="F2400" s="84"/>
      <c r="G2400" s="83"/>
      <c r="H2400" s="83"/>
      <c r="I2400" s="84"/>
    </row>
    <row r="2401" spans="3:9" ht="18" x14ac:dyDescent="0.25">
      <c r="C2401" s="91"/>
      <c r="D2401" s="88"/>
      <c r="E2401" s="91"/>
      <c r="F2401" s="83"/>
      <c r="G2401" s="83"/>
      <c r="H2401" s="83"/>
      <c r="I2401" s="83"/>
    </row>
    <row r="2402" spans="3:9" ht="18" x14ac:dyDescent="0.25">
      <c r="C2402" s="83" t="s">
        <v>68</v>
      </c>
      <c r="D2402" s="88"/>
      <c r="E2402" s="103" t="e">
        <f>+'RES CUENTA'!#REF!</f>
        <v>#REF!</v>
      </c>
      <c r="F2402" s="104" t="e">
        <f>+'RES CUENTA'!#REF!</f>
        <v>#REF!</v>
      </c>
      <c r="G2402" s="101" t="e">
        <f>+E2402*F2402/100</f>
        <v>#REF!</v>
      </c>
      <c r="H2402" s="83"/>
      <c r="I2402" s="91"/>
    </row>
    <row r="2403" spans="3:9" ht="18" x14ac:dyDescent="0.25">
      <c r="C2403" s="83" t="s">
        <v>69</v>
      </c>
      <c r="D2403" s="88"/>
      <c r="E2403" s="103" t="e">
        <f>+'RES CUENTA'!#REF!</f>
        <v>#REF!</v>
      </c>
      <c r="F2403" s="104" t="e">
        <f>+'RES CUENTA'!#REF!</f>
        <v>#REF!</v>
      </c>
      <c r="G2403" s="101" t="e">
        <f>+E2403*F2403/100</f>
        <v>#REF!</v>
      </c>
      <c r="H2403" s="91"/>
      <c r="I2403" s="87"/>
    </row>
    <row r="2404" spans="3:9" ht="18" x14ac:dyDescent="0.25">
      <c r="C2404" s="83" t="s">
        <v>181</v>
      </c>
      <c r="D2404" s="88"/>
      <c r="E2404" s="103" t="e">
        <f>+'RES CUENTA'!#REF!</f>
        <v>#REF!</v>
      </c>
      <c r="F2404" s="104">
        <f>+'RES CUENTA'!M1465</f>
        <v>0</v>
      </c>
      <c r="G2404" s="101" t="e">
        <f>+E2404</f>
        <v>#REF!</v>
      </c>
      <c r="H2404" s="87"/>
      <c r="I2404" s="87"/>
    </row>
    <row r="2405" spans="3:9" ht="18" x14ac:dyDescent="0.25">
      <c r="C2405" s="83" t="s">
        <v>213</v>
      </c>
      <c r="D2405" s="88"/>
      <c r="E2405" s="103" t="e">
        <f>+'RES CUENTA'!#REF!</f>
        <v>#REF!</v>
      </c>
      <c r="F2405" s="104">
        <f>+'RES CUENTA'!N1464</f>
        <v>0</v>
      </c>
      <c r="G2405" s="134" t="e">
        <f>+E2405</f>
        <v>#REF!</v>
      </c>
      <c r="H2405" s="87"/>
      <c r="I2405" s="87"/>
    </row>
    <row r="2406" spans="3:9" ht="18" x14ac:dyDescent="0.25">
      <c r="C2406" s="84"/>
      <c r="D2406" s="88"/>
      <c r="E2406" s="83"/>
      <c r="G2406" s="101" t="e">
        <f>SUM(G2402:G2405)</f>
        <v>#REF!</v>
      </c>
      <c r="H2406" s="87"/>
      <c r="I2406" s="87"/>
    </row>
    <row r="2407" spans="3:9" ht="18" x14ac:dyDescent="0.25">
      <c r="C2407" s="84"/>
      <c r="D2407" s="88"/>
      <c r="E2407" s="83"/>
      <c r="G2407" s="85"/>
      <c r="H2407" s="87"/>
      <c r="I2407" s="88"/>
    </row>
    <row r="2408" spans="3:9" ht="18" x14ac:dyDescent="0.25">
      <c r="C2408" s="84"/>
      <c r="D2408" s="88"/>
      <c r="E2408" s="83"/>
      <c r="G2408" s="85"/>
      <c r="H2408" s="87"/>
      <c r="I2408" s="88"/>
    </row>
    <row r="2409" spans="3:9" ht="18" x14ac:dyDescent="0.25">
      <c r="C2409" s="83"/>
      <c r="D2409" s="88"/>
      <c r="E2409" s="83"/>
      <c r="F2409" s="83"/>
      <c r="G2409" s="89"/>
      <c r="H2409" s="88"/>
      <c r="I2409" s="88"/>
    </row>
    <row r="2410" spans="3:9" ht="18" x14ac:dyDescent="0.25">
      <c r="C2410" s="83"/>
      <c r="D2410" s="88"/>
      <c r="E2410" s="83"/>
      <c r="F2410" s="83"/>
      <c r="G2410" s="89"/>
      <c r="H2410" s="88"/>
      <c r="I2410" s="88"/>
    </row>
    <row r="2411" spans="3:9" ht="24.75" customHeight="1" x14ac:dyDescent="0.25">
      <c r="C2411" s="83"/>
      <c r="D2411" s="88"/>
      <c r="E2411" s="83"/>
      <c r="F2411" s="83"/>
      <c r="G2411" s="89"/>
      <c r="H2411" s="88"/>
      <c r="I2411" s="83"/>
    </row>
    <row r="2412" spans="3:9" ht="18" x14ac:dyDescent="0.25">
      <c r="C2412" s="83" t="e">
        <f>+C2397</f>
        <v>#REF!</v>
      </c>
      <c r="D2412" s="88"/>
      <c r="E2412" s="83"/>
      <c r="F2412" s="83" t="e">
        <f>+C2397</f>
        <v>#REF!</v>
      </c>
      <c r="G2412" s="83"/>
      <c r="H2412" s="83"/>
      <c r="I2412" s="99"/>
    </row>
    <row r="2413" spans="3:9" ht="18" x14ac:dyDescent="0.25">
      <c r="C2413" s="84"/>
      <c r="D2413" s="88"/>
      <c r="E2413" s="83"/>
      <c r="G2413" s="83"/>
      <c r="H2413" s="99"/>
      <c r="I2413" s="90" t="str">
        <f>+I2398</f>
        <v>Unid. 64</v>
      </c>
    </row>
    <row r="2414" spans="3:9" ht="18" x14ac:dyDescent="0.25">
      <c r="C2414" s="83" t="str">
        <f>+$F$1</f>
        <v>MONTES DE OCA 1068/1070 C.A.B.A.</v>
      </c>
      <c r="D2414" s="88"/>
      <c r="E2414" s="90" t="str">
        <f>+I2413</f>
        <v>Unid. 64</v>
      </c>
      <c r="F2414" s="83" t="str">
        <f>+$F$1</f>
        <v>MONTES DE OCA 1068/1070 C.A.B.A.</v>
      </c>
      <c r="G2414" s="83"/>
      <c r="H2414" s="83"/>
      <c r="I2414" s="84"/>
    </row>
    <row r="2415" spans="3:9" ht="18" x14ac:dyDescent="0.25">
      <c r="C2415" s="84"/>
      <c r="D2415" s="91"/>
      <c r="E2415" s="84"/>
      <c r="G2415" s="83"/>
      <c r="H2415" s="83"/>
    </row>
    <row r="2416" spans="3:9" ht="12" customHeight="1" x14ac:dyDescent="0.25">
      <c r="C2416" s="83"/>
      <c r="D2416" s="88"/>
      <c r="E2416" s="83"/>
      <c r="F2416" s="84"/>
      <c r="G2416" s="83"/>
      <c r="H2416" s="83"/>
      <c r="I2416" s="99"/>
    </row>
    <row r="2417" spans="2:9" ht="18" x14ac:dyDescent="0.25">
      <c r="C2417" s="83" t="str">
        <f>+$F$2</f>
        <v>P/Depósito o transferencia en Banco Santander Rio</v>
      </c>
      <c r="D2417" s="88"/>
      <c r="E2417" s="83"/>
      <c r="F2417" s="83"/>
      <c r="G2417" s="128"/>
      <c r="H2417" s="84"/>
      <c r="I2417" s="83"/>
    </row>
    <row r="2418" spans="2:9" ht="18" x14ac:dyDescent="0.25">
      <c r="C2418" s="83" t="str">
        <f>+$F$3</f>
        <v xml:space="preserve">Cta. Cte. $ N° 558-000162/1 </v>
      </c>
      <c r="D2418" s="88"/>
      <c r="E2418" s="83"/>
      <c r="F2418" s="93"/>
      <c r="H2418" s="91"/>
      <c r="I2418" s="92"/>
    </row>
    <row r="2419" spans="2:9" ht="18" x14ac:dyDescent="0.25">
      <c r="C2419" s="84"/>
      <c r="D2419" s="88"/>
      <c r="E2419" s="83"/>
      <c r="F2419" s="83" t="s">
        <v>70</v>
      </c>
      <c r="G2419" s="102" t="e">
        <f>+G2402</f>
        <v>#REF!</v>
      </c>
      <c r="H2419" s="92"/>
      <c r="I2419" s="97">
        <f>+C2423</f>
        <v>46183</v>
      </c>
    </row>
    <row r="2420" spans="2:9" ht="18" x14ac:dyDescent="0.25">
      <c r="C2420" s="84"/>
      <c r="D2420" s="88"/>
      <c r="E2420" s="83"/>
      <c r="F2420" s="83" t="s">
        <v>71</v>
      </c>
      <c r="G2420" s="102" t="e">
        <f>+G2403</f>
        <v>#REF!</v>
      </c>
      <c r="I2420" s="83"/>
    </row>
    <row r="2421" spans="2:9" ht="18" x14ac:dyDescent="0.25">
      <c r="C2421" s="83"/>
      <c r="D2421" s="88"/>
      <c r="E2421" s="83"/>
      <c r="F2421" s="83" t="s">
        <v>72</v>
      </c>
      <c r="G2421" s="102" t="e">
        <f>+G2404</f>
        <v>#REF!</v>
      </c>
      <c r="H2421" s="83"/>
      <c r="I2421" s="83"/>
    </row>
    <row r="2422" spans="2:9" ht="18" x14ac:dyDescent="0.25">
      <c r="C2422" s="93"/>
      <c r="D2422" s="93"/>
      <c r="E2422" s="93"/>
      <c r="F2422" s="83" t="s">
        <v>73</v>
      </c>
      <c r="G2422" s="102" t="e">
        <f>+G2405</f>
        <v>#REF!</v>
      </c>
      <c r="H2422" s="83"/>
      <c r="I2422" s="83"/>
    </row>
    <row r="2423" spans="2:9" ht="18" x14ac:dyDescent="0.25">
      <c r="C2423" s="97">
        <f>+$H$43</f>
        <v>46183</v>
      </c>
      <c r="D2423" s="157" t="e">
        <f>+G2406</f>
        <v>#REF!</v>
      </c>
      <c r="E2423" s="83"/>
      <c r="F2423" s="83" t="s">
        <v>181</v>
      </c>
      <c r="G2423" s="135">
        <v>0</v>
      </c>
      <c r="H2423" s="83"/>
      <c r="I2423" s="83"/>
    </row>
    <row r="2424" spans="2:9" ht="18" x14ac:dyDescent="0.25">
      <c r="C2424" s="83"/>
      <c r="D2424" s="88"/>
      <c r="E2424" s="83"/>
      <c r="F2424" s="83" t="s">
        <v>74</v>
      </c>
      <c r="G2424" s="102" t="e">
        <f>+G2406</f>
        <v>#REF!</v>
      </c>
      <c r="I2424" s="83"/>
    </row>
    <row r="2425" spans="2:9" ht="18" x14ac:dyDescent="0.25">
      <c r="C2425" s="83"/>
      <c r="D2425" s="88"/>
      <c r="E2425" s="83"/>
      <c r="F2425" s="83"/>
      <c r="G2425" s="83"/>
      <c r="H2425" s="83"/>
      <c r="I2425" s="83"/>
    </row>
    <row r="2426" spans="2:9" ht="18" x14ac:dyDescent="0.25">
      <c r="C2426" s="83"/>
      <c r="D2426" s="88"/>
      <c r="E2426" s="83"/>
      <c r="F2426" s="100"/>
      <c r="G2426" s="83"/>
      <c r="H2426" s="83"/>
      <c r="I2426" s="83"/>
    </row>
    <row r="2427" spans="2:9" ht="18" x14ac:dyDescent="0.25">
      <c r="C2427" s="83"/>
      <c r="D2427" s="88"/>
      <c r="E2427" s="83"/>
      <c r="F2427" s="83"/>
      <c r="G2427" s="83"/>
      <c r="H2427" s="83"/>
      <c r="I2427" s="91"/>
    </row>
    <row r="2428" spans="2:9" ht="12" customHeight="1" x14ac:dyDescent="0.25">
      <c r="B2428" s="79"/>
      <c r="C2428" s="79"/>
      <c r="D2428" s="159"/>
      <c r="E2428" s="79"/>
      <c r="F2428" s="83"/>
      <c r="H2428" s="88"/>
      <c r="I2428" s="83"/>
    </row>
    <row r="2429" spans="2:9" x14ac:dyDescent="0.2">
      <c r="B2429" s="79"/>
      <c r="C2429" s="79"/>
      <c r="D2429" s="159"/>
      <c r="E2429" s="79"/>
      <c r="F2429" s="79"/>
      <c r="H2429" s="79"/>
      <c r="I2429" s="79"/>
    </row>
    <row r="2430" spans="2:9" ht="18" x14ac:dyDescent="0.25">
      <c r="B2430" s="79"/>
      <c r="C2430" s="434"/>
      <c r="D2430" s="434"/>
      <c r="E2430" s="434"/>
      <c r="F2430" s="433">
        <f>+$C$1</f>
        <v>46143</v>
      </c>
      <c r="G2430" s="83"/>
      <c r="H2430" s="429">
        <f>+$E$1</f>
        <v>46183</v>
      </c>
      <c r="I2430" s="83"/>
    </row>
    <row r="2431" spans="2:9" ht="18" x14ac:dyDescent="0.25">
      <c r="B2431" s="79"/>
      <c r="C2431" s="127"/>
      <c r="D2431" s="127"/>
      <c r="E2431" s="98"/>
      <c r="F2431" s="433"/>
      <c r="G2431" s="83"/>
      <c r="H2431" s="429"/>
      <c r="I2431" s="83"/>
    </row>
    <row r="2432" spans="2:9" ht="18" x14ac:dyDescent="0.25">
      <c r="B2432" s="79"/>
      <c r="C2432" s="83"/>
      <c r="D2432" s="88"/>
      <c r="E2432" s="83"/>
      <c r="F2432" s="83"/>
      <c r="G2432" s="83"/>
      <c r="H2432" s="83"/>
      <c r="I2432" s="83"/>
    </row>
    <row r="2433" spans="2:9" ht="18" x14ac:dyDescent="0.25">
      <c r="B2433" s="79"/>
      <c r="C2433" s="83" t="e">
        <f>+#REF!</f>
        <v>#REF!</v>
      </c>
      <c r="D2433" s="88"/>
      <c r="E2433" s="83"/>
      <c r="F2433" s="83"/>
      <c r="G2433" s="83"/>
      <c r="H2433" s="83"/>
      <c r="I2433" s="83"/>
    </row>
    <row r="2434" spans="2:9" ht="15" customHeight="1" x14ac:dyDescent="0.25">
      <c r="B2434" s="79"/>
      <c r="C2434" s="83"/>
      <c r="D2434" s="88"/>
      <c r="E2434" s="83"/>
      <c r="F2434" s="83" t="s">
        <v>293</v>
      </c>
      <c r="G2434" s="83"/>
      <c r="H2434" s="83"/>
      <c r="I2434" s="90" t="s">
        <v>139</v>
      </c>
    </row>
    <row r="2435" spans="2:9" ht="18" x14ac:dyDescent="0.25">
      <c r="B2435" s="79"/>
      <c r="C2435" s="83"/>
      <c r="D2435" s="88"/>
      <c r="E2435" s="83"/>
      <c r="F2435" s="83"/>
      <c r="G2435" s="83"/>
      <c r="H2435" s="83"/>
      <c r="I2435" s="83"/>
    </row>
    <row r="2436" spans="2:9" ht="18" x14ac:dyDescent="0.25">
      <c r="B2436" s="79"/>
      <c r="C2436" s="88"/>
      <c r="D2436" s="88"/>
      <c r="E2436" s="88"/>
      <c r="F2436" s="83"/>
      <c r="G2436" s="83"/>
      <c r="H2436" s="83"/>
      <c r="I2436" s="83"/>
    </row>
    <row r="2437" spans="2:9" ht="18" x14ac:dyDescent="0.25">
      <c r="B2437" s="79"/>
      <c r="C2437" s="88"/>
      <c r="D2437" s="88"/>
      <c r="E2437" s="88"/>
      <c r="F2437" s="83"/>
      <c r="G2437" s="83"/>
      <c r="H2437" s="83"/>
      <c r="I2437" s="83"/>
    </row>
    <row r="2438" spans="2:9" ht="18" x14ac:dyDescent="0.25">
      <c r="B2438" s="79"/>
      <c r="C2438" s="83" t="s">
        <v>68</v>
      </c>
      <c r="D2438" s="88"/>
      <c r="E2438" s="103" t="e">
        <f>+'RES CUENTA'!#REF!</f>
        <v>#REF!</v>
      </c>
      <c r="F2438" s="104" t="e">
        <f>+'RES CUENTA'!#REF!</f>
        <v>#REF!</v>
      </c>
      <c r="G2438" s="101" t="e">
        <f>+E2438*F2438/100</f>
        <v>#REF!</v>
      </c>
      <c r="H2438" s="432"/>
      <c r="I2438" s="432"/>
    </row>
    <row r="2439" spans="2:9" ht="18" x14ac:dyDescent="0.25">
      <c r="B2439" s="79"/>
      <c r="C2439" s="83" t="s">
        <v>69</v>
      </c>
      <c r="D2439" s="88"/>
      <c r="E2439" s="103" t="e">
        <f>+'RES CUENTA'!#REF!</f>
        <v>#REF!</v>
      </c>
      <c r="F2439" s="104" t="e">
        <f>+'RES CUENTA'!#REF!</f>
        <v>#REF!</v>
      </c>
      <c r="G2439" s="101" t="e">
        <f>+E2439*F2439/100</f>
        <v>#REF!</v>
      </c>
      <c r="H2439" s="430"/>
      <c r="I2439" s="430"/>
    </row>
    <row r="2440" spans="2:9" ht="18" x14ac:dyDescent="0.25">
      <c r="B2440" s="79"/>
      <c r="C2440" s="83" t="s">
        <v>181</v>
      </c>
      <c r="D2440" s="88"/>
      <c r="E2440" s="103" t="e">
        <f>+'RES CUENTA'!#REF!</f>
        <v>#REF!</v>
      </c>
      <c r="F2440" s="104">
        <v>0</v>
      </c>
      <c r="G2440" s="101" t="e">
        <f>+E2440</f>
        <v>#REF!</v>
      </c>
      <c r="H2440" s="430"/>
      <c r="I2440" s="430"/>
    </row>
    <row r="2441" spans="2:9" ht="18" x14ac:dyDescent="0.25">
      <c r="B2441" s="79"/>
      <c r="C2441" s="83" t="s">
        <v>213</v>
      </c>
      <c r="D2441" s="88"/>
      <c r="E2441" s="103" t="e">
        <f>+'RES CUENTA'!#REF!</f>
        <v>#REF!</v>
      </c>
      <c r="F2441" s="104">
        <v>0</v>
      </c>
      <c r="G2441" s="134" t="e">
        <f>+E2441</f>
        <v>#REF!</v>
      </c>
      <c r="H2441" s="430"/>
      <c r="I2441" s="430"/>
    </row>
    <row r="2442" spans="2:9" ht="18" x14ac:dyDescent="0.25">
      <c r="B2442" s="79"/>
      <c r="C2442" s="83"/>
      <c r="D2442" s="88"/>
      <c r="E2442" s="83"/>
      <c r="F2442" s="89"/>
      <c r="G2442" s="101" t="e">
        <f>SUM(G2438:G2441)</f>
        <v>#REF!</v>
      </c>
      <c r="H2442" s="430"/>
      <c r="I2442" s="430"/>
    </row>
    <row r="2443" spans="2:9" ht="18" x14ac:dyDescent="0.25">
      <c r="B2443" s="79"/>
      <c r="C2443" s="83"/>
      <c r="D2443" s="88"/>
      <c r="E2443" s="83"/>
      <c r="F2443" s="89"/>
      <c r="G2443" s="101"/>
      <c r="H2443" s="87"/>
      <c r="I2443" s="87"/>
    </row>
    <row r="2444" spans="2:9" ht="18" x14ac:dyDescent="0.25">
      <c r="B2444" s="79"/>
      <c r="C2444" s="83"/>
      <c r="D2444" s="88"/>
      <c r="E2444" s="83"/>
      <c r="F2444" s="83"/>
      <c r="H2444" s="432"/>
      <c r="I2444" s="432"/>
    </row>
    <row r="2445" spans="2:9" ht="18" x14ac:dyDescent="0.25">
      <c r="B2445" s="79"/>
      <c r="C2445" s="83"/>
      <c r="D2445" s="88"/>
      <c r="E2445" s="83"/>
      <c r="F2445" s="83"/>
      <c r="G2445" s="85"/>
      <c r="H2445" s="88"/>
      <c r="I2445" s="88"/>
    </row>
    <row r="2446" spans="2:9" ht="18" x14ac:dyDescent="0.25">
      <c r="B2446" s="79"/>
      <c r="C2446" s="83"/>
      <c r="D2446" s="88"/>
      <c r="E2446" s="83"/>
      <c r="F2446" s="83"/>
      <c r="G2446" s="89"/>
      <c r="H2446" s="83"/>
      <c r="I2446" s="83"/>
    </row>
    <row r="2447" spans="2:9" ht="24" customHeight="1" x14ac:dyDescent="0.25">
      <c r="B2447" s="79"/>
      <c r="C2447" s="83"/>
      <c r="D2447" s="88"/>
      <c r="E2447" s="83"/>
      <c r="F2447" s="83"/>
      <c r="G2447" s="89"/>
      <c r="H2447" s="83"/>
      <c r="I2447" s="83"/>
    </row>
    <row r="2448" spans="2:9" ht="18" x14ac:dyDescent="0.25">
      <c r="B2448" s="79"/>
      <c r="C2448" s="83" t="e">
        <f>+C2433</f>
        <v>#REF!</v>
      </c>
      <c r="D2448" s="435"/>
      <c r="E2448" s="435"/>
      <c r="F2448" s="83" t="e">
        <f>+C2448</f>
        <v>#REF!</v>
      </c>
      <c r="G2448" s="89"/>
      <c r="H2448" s="83"/>
      <c r="I2448" s="83"/>
    </row>
    <row r="2449" spans="2:9" ht="18" x14ac:dyDescent="0.25">
      <c r="B2449" s="79"/>
      <c r="C2449" s="79"/>
      <c r="D2449" s="88"/>
      <c r="E2449" s="83"/>
      <c r="F2449" s="79"/>
      <c r="G2449" s="435"/>
      <c r="H2449" s="435"/>
      <c r="I2449" s="435"/>
    </row>
    <row r="2450" spans="2:9" ht="18" x14ac:dyDescent="0.25">
      <c r="B2450" s="79"/>
      <c r="C2450" s="83" t="str">
        <f>+$F$1</f>
        <v>MONTES DE OCA 1068/1070 C.A.B.A.</v>
      </c>
      <c r="D2450" s="88"/>
      <c r="E2450" s="90" t="str">
        <f>+I2434</f>
        <v>Unid. 65</v>
      </c>
      <c r="F2450" s="83" t="str">
        <f>+$F$1</f>
        <v>MONTES DE OCA 1068/1070 C.A.B.A.</v>
      </c>
      <c r="G2450" s="83"/>
      <c r="H2450" s="83"/>
      <c r="I2450" s="90" t="str">
        <f>+E2450</f>
        <v>Unid. 65</v>
      </c>
    </row>
    <row r="2451" spans="2:9" ht="18" x14ac:dyDescent="0.25">
      <c r="B2451" s="79"/>
      <c r="C2451" s="79"/>
      <c r="D2451" s="159"/>
      <c r="E2451" s="79"/>
      <c r="F2451" s="79"/>
      <c r="H2451" s="79"/>
      <c r="I2451" s="83"/>
    </row>
    <row r="2452" spans="2:9" ht="12.75" customHeight="1" x14ac:dyDescent="0.25">
      <c r="B2452" s="79"/>
      <c r="C2452" s="83"/>
      <c r="D2452" s="88"/>
      <c r="E2452" s="83"/>
      <c r="F2452" s="83"/>
      <c r="G2452" s="83"/>
      <c r="H2452" s="83"/>
      <c r="I2452" s="79"/>
    </row>
    <row r="2453" spans="2:9" ht="18" x14ac:dyDescent="0.25">
      <c r="B2453" s="79"/>
      <c r="C2453" s="83" t="str">
        <f>+$F$2</f>
        <v>P/Depósito o transferencia en Banco Santander Rio</v>
      </c>
      <c r="D2453" s="88"/>
      <c r="E2453" s="83"/>
      <c r="F2453" s="83"/>
      <c r="G2453" s="83"/>
      <c r="H2453" s="83"/>
      <c r="I2453" s="89"/>
    </row>
    <row r="2454" spans="2:9" ht="18" x14ac:dyDescent="0.25">
      <c r="B2454" s="79"/>
      <c r="C2454" s="83" t="str">
        <f>+$F$3</f>
        <v xml:space="preserve">Cta. Cte. $ N° 558-000162/1 </v>
      </c>
      <c r="D2454" s="88"/>
      <c r="E2454" s="83"/>
      <c r="F2454" s="128"/>
      <c r="G2454" s="83"/>
      <c r="H2454" s="88"/>
      <c r="I2454" s="83"/>
    </row>
    <row r="2455" spans="2:9" ht="18" x14ac:dyDescent="0.25">
      <c r="B2455" s="79"/>
      <c r="C2455" s="79"/>
      <c r="D2455" s="88"/>
      <c r="E2455" s="83"/>
      <c r="F2455" s="83" t="s">
        <v>70</v>
      </c>
      <c r="G2455" s="102" t="e">
        <f>+G2438</f>
        <v>#REF!</v>
      </c>
      <c r="H2455" s="79"/>
      <c r="I2455" s="97">
        <f>+C2460</f>
        <v>46183</v>
      </c>
    </row>
    <row r="2456" spans="2:9" ht="18" x14ac:dyDescent="0.25">
      <c r="B2456" s="79"/>
      <c r="C2456" s="83"/>
      <c r="D2456" s="88"/>
      <c r="E2456" s="83"/>
      <c r="F2456" s="83" t="s">
        <v>71</v>
      </c>
      <c r="G2456" s="102" t="e">
        <f>+G2439</f>
        <v>#REF!</v>
      </c>
      <c r="H2456" s="79"/>
      <c r="I2456" s="79"/>
    </row>
    <row r="2457" spans="2:9" ht="18" x14ac:dyDescent="0.25">
      <c r="B2457" s="79"/>
      <c r="C2457" s="83"/>
      <c r="D2457" s="88"/>
      <c r="E2457" s="83"/>
      <c r="F2457" s="83" t="s">
        <v>72</v>
      </c>
      <c r="G2457" s="102" t="e">
        <f>+G2440</f>
        <v>#REF!</v>
      </c>
      <c r="H2457" s="83"/>
      <c r="I2457" s="83"/>
    </row>
    <row r="2458" spans="2:9" ht="18" x14ac:dyDescent="0.25">
      <c r="B2458" s="79"/>
      <c r="C2458" s="83"/>
      <c r="D2458" s="88"/>
      <c r="E2458" s="83"/>
      <c r="F2458" s="83" t="s">
        <v>73</v>
      </c>
      <c r="G2458" s="102" t="e">
        <f>+G2441</f>
        <v>#REF!</v>
      </c>
      <c r="H2458" s="83"/>
      <c r="I2458" s="83"/>
    </row>
    <row r="2459" spans="2:9" ht="18" x14ac:dyDescent="0.25">
      <c r="B2459" s="79"/>
      <c r="C2459" s="128"/>
      <c r="D2459" s="128"/>
      <c r="E2459" s="128"/>
      <c r="F2459" s="83" t="s">
        <v>181</v>
      </c>
      <c r="G2459" s="135">
        <v>0</v>
      </c>
      <c r="H2459" s="83"/>
      <c r="I2459" s="83"/>
    </row>
    <row r="2460" spans="2:9" ht="18" x14ac:dyDescent="0.25">
      <c r="B2460" s="79"/>
      <c r="C2460" s="97">
        <f>+$H$43</f>
        <v>46183</v>
      </c>
      <c r="D2460" s="157" t="e">
        <f>+G2442</f>
        <v>#REF!</v>
      </c>
      <c r="E2460" s="83"/>
      <c r="F2460" s="83" t="s">
        <v>74</v>
      </c>
      <c r="G2460" s="102" t="e">
        <f>+G2442</f>
        <v>#REF!</v>
      </c>
      <c r="H2460" s="83"/>
      <c r="I2460" s="83"/>
    </row>
    <row r="2461" spans="2:9" ht="18" x14ac:dyDescent="0.25">
      <c r="B2461" s="79"/>
      <c r="C2461" s="83"/>
      <c r="D2461" s="88"/>
      <c r="E2461" s="83"/>
      <c r="F2461" s="83"/>
      <c r="G2461" s="83"/>
      <c r="H2461" s="83"/>
      <c r="I2461" s="83"/>
    </row>
    <row r="2462" spans="2:9" ht="18" x14ac:dyDescent="0.25">
      <c r="B2462" s="79"/>
      <c r="C2462" s="83"/>
      <c r="D2462" s="88"/>
      <c r="E2462" s="83"/>
      <c r="F2462" s="83"/>
      <c r="G2462" s="83"/>
      <c r="H2462" s="432"/>
      <c r="I2462" s="432"/>
    </row>
    <row r="2463" spans="2:9" ht="18" x14ac:dyDescent="0.25">
      <c r="B2463" s="79"/>
      <c r="C2463" s="83"/>
      <c r="D2463" s="88"/>
      <c r="E2463" s="83"/>
      <c r="F2463" s="83"/>
      <c r="G2463" s="83"/>
      <c r="H2463" s="83"/>
      <c r="I2463" s="83"/>
    </row>
    <row r="2464" spans="2:9" ht="18" x14ac:dyDescent="0.25">
      <c r="B2464" s="79"/>
      <c r="C2464" s="83"/>
      <c r="D2464" s="88"/>
      <c r="E2464" s="83"/>
      <c r="F2464" s="83"/>
      <c r="G2464" s="83"/>
      <c r="H2464" s="83"/>
      <c r="I2464" s="83"/>
    </row>
    <row r="2465" spans="2:9" ht="18" x14ac:dyDescent="0.25">
      <c r="B2465" s="79"/>
      <c r="C2465" s="83"/>
      <c r="D2465" s="88"/>
      <c r="E2465" s="83"/>
      <c r="F2465" s="83"/>
      <c r="G2465" s="83"/>
      <c r="H2465" s="83"/>
      <c r="I2465" s="83"/>
    </row>
    <row r="2466" spans="2:9" ht="18" x14ac:dyDescent="0.25">
      <c r="B2466" s="79"/>
      <c r="C2466" s="83"/>
      <c r="D2466" s="88"/>
      <c r="E2466" s="83"/>
      <c r="F2466" s="83"/>
      <c r="G2466" s="83"/>
      <c r="H2466" s="83"/>
      <c r="I2466" s="83"/>
    </row>
    <row r="2467" spans="2:9" ht="18" x14ac:dyDescent="0.25">
      <c r="B2467" s="79"/>
      <c r="C2467" s="83"/>
      <c r="D2467" s="88"/>
      <c r="E2467" s="83"/>
      <c r="F2467" s="83"/>
      <c r="G2467" s="83"/>
      <c r="H2467" s="79"/>
      <c r="I2467" s="83"/>
    </row>
    <row r="2468" spans="2:9" ht="18" x14ac:dyDescent="0.25">
      <c r="B2468" s="79"/>
      <c r="C2468" s="434"/>
      <c r="D2468" s="434"/>
      <c r="E2468" s="434"/>
      <c r="F2468" s="83"/>
      <c r="G2468" s="83"/>
      <c r="H2468" s="79"/>
      <c r="I2468" s="83"/>
    </row>
    <row r="2469" spans="2:9" ht="18" x14ac:dyDescent="0.25">
      <c r="B2469" s="79"/>
      <c r="C2469" s="434"/>
      <c r="D2469" s="434"/>
      <c r="E2469" s="434"/>
      <c r="F2469" s="96">
        <f>+$C$1</f>
        <v>46143</v>
      </c>
      <c r="G2469" s="83"/>
      <c r="H2469" s="97">
        <f>+$E$1</f>
        <v>46183</v>
      </c>
      <c r="I2469" s="129"/>
    </row>
    <row r="2470" spans="2:9" ht="18" x14ac:dyDescent="0.25">
      <c r="B2470" s="79"/>
      <c r="C2470" s="127"/>
      <c r="D2470" s="127"/>
      <c r="E2470" s="98"/>
      <c r="F2470" s="96"/>
      <c r="G2470" s="83"/>
      <c r="H2470" s="79"/>
      <c r="I2470" s="79"/>
    </row>
    <row r="2471" spans="2:9" ht="18" x14ac:dyDescent="0.25">
      <c r="B2471" s="79"/>
      <c r="C2471" s="83" t="e">
        <f>+#REF!</f>
        <v>#REF!</v>
      </c>
      <c r="D2471" s="88"/>
      <c r="E2471" s="83"/>
      <c r="F2471" s="79"/>
      <c r="G2471" s="83"/>
      <c r="H2471" s="79"/>
      <c r="I2471" s="79"/>
    </row>
    <row r="2472" spans="2:9" ht="17.25" customHeight="1" x14ac:dyDescent="0.25">
      <c r="B2472" s="79"/>
      <c r="C2472" s="79"/>
      <c r="D2472" s="88"/>
      <c r="E2472" s="83"/>
      <c r="F2472" s="83" t="str">
        <f>+$F$1</f>
        <v>MONTES DE OCA 1068/1070 C.A.B.A.</v>
      </c>
      <c r="G2472" s="83"/>
      <c r="H2472" s="79"/>
      <c r="I2472" s="90" t="s">
        <v>140</v>
      </c>
    </row>
    <row r="2473" spans="2:9" ht="18" x14ac:dyDescent="0.25">
      <c r="B2473" s="79"/>
      <c r="C2473" s="83"/>
      <c r="D2473" s="88"/>
      <c r="E2473" s="83"/>
      <c r="F2473" s="79"/>
      <c r="G2473" s="83"/>
      <c r="H2473" s="83"/>
      <c r="I2473" s="79"/>
    </row>
    <row r="2474" spans="2:9" ht="18" x14ac:dyDescent="0.25">
      <c r="B2474" s="79"/>
      <c r="C2474" s="83"/>
      <c r="D2474" s="88"/>
      <c r="E2474" s="83"/>
      <c r="F2474" s="83"/>
      <c r="G2474" s="83"/>
      <c r="H2474" s="83"/>
      <c r="I2474" s="83"/>
    </row>
    <row r="2475" spans="2:9" ht="18" x14ac:dyDescent="0.25">
      <c r="B2475" s="79"/>
      <c r="C2475" s="88"/>
      <c r="D2475" s="88"/>
      <c r="E2475" s="88"/>
      <c r="F2475" s="83"/>
      <c r="G2475" s="83"/>
      <c r="H2475" s="83"/>
      <c r="I2475" s="83"/>
    </row>
    <row r="2476" spans="2:9" ht="18" x14ac:dyDescent="0.25">
      <c r="B2476" s="79"/>
      <c r="C2476" s="83" t="s">
        <v>68</v>
      </c>
      <c r="D2476" s="88"/>
      <c r="E2476" s="103" t="e">
        <f>+'RES CUENTA'!#REF!</f>
        <v>#REF!</v>
      </c>
      <c r="F2476" s="104" t="e">
        <f>+'RES CUENTA'!#REF!</f>
        <v>#REF!</v>
      </c>
      <c r="G2476" s="101" t="e">
        <f>+E2476*F2476/100</f>
        <v>#REF!</v>
      </c>
      <c r="H2476" s="83"/>
      <c r="I2476" s="88"/>
    </row>
    <row r="2477" spans="2:9" ht="18" x14ac:dyDescent="0.25">
      <c r="B2477" s="79"/>
      <c r="C2477" s="83" t="s">
        <v>69</v>
      </c>
      <c r="D2477" s="88"/>
      <c r="E2477" s="103" t="e">
        <f>+'RES CUENTA'!#REF!</f>
        <v>#REF!</v>
      </c>
      <c r="F2477" s="104" t="e">
        <f>+'RES CUENTA'!#REF!</f>
        <v>#REF!</v>
      </c>
      <c r="G2477" s="101" t="e">
        <f>+E2477*F2477/100</f>
        <v>#REF!</v>
      </c>
      <c r="H2477" s="88"/>
      <c r="I2477" s="87"/>
    </row>
    <row r="2478" spans="2:9" ht="18" x14ac:dyDescent="0.25">
      <c r="B2478" s="79"/>
      <c r="C2478" s="83" t="s">
        <v>181</v>
      </c>
      <c r="D2478" s="88"/>
      <c r="E2478" s="103" t="e">
        <f>+'RES CUENTA'!#REF!</f>
        <v>#REF!</v>
      </c>
      <c r="F2478" s="104">
        <f>+'RES CUENTA'!M1541</f>
        <v>0</v>
      </c>
      <c r="G2478" s="101" t="e">
        <f>+E2478</f>
        <v>#REF!</v>
      </c>
      <c r="H2478" s="87"/>
      <c r="I2478" s="87"/>
    </row>
    <row r="2479" spans="2:9" ht="18" x14ac:dyDescent="0.25">
      <c r="B2479" s="79"/>
      <c r="C2479" s="83" t="s">
        <v>213</v>
      </c>
      <c r="D2479" s="88"/>
      <c r="E2479" s="103" t="e">
        <f>+'RES CUENTA'!#REF!</f>
        <v>#REF!</v>
      </c>
      <c r="F2479" s="104">
        <f>+'RES CUENTA'!N1540</f>
        <v>0</v>
      </c>
      <c r="G2479" s="134" t="e">
        <f>+E2479</f>
        <v>#REF!</v>
      </c>
      <c r="H2479" s="87"/>
      <c r="I2479" s="87"/>
    </row>
    <row r="2480" spans="2:9" ht="18" x14ac:dyDescent="0.25">
      <c r="B2480" s="79"/>
      <c r="C2480" s="83"/>
      <c r="D2480" s="88"/>
      <c r="E2480" s="83"/>
      <c r="F2480" s="79"/>
      <c r="G2480" s="101" t="e">
        <f>SUM(G2476:G2479)</f>
        <v>#REF!</v>
      </c>
      <c r="H2480" s="87"/>
      <c r="I2480" s="88"/>
    </row>
    <row r="2481" spans="2:9" ht="18" x14ac:dyDescent="0.25">
      <c r="B2481" s="79"/>
      <c r="C2481" s="83"/>
      <c r="D2481" s="88"/>
      <c r="E2481" s="83"/>
      <c r="F2481" s="83"/>
      <c r="G2481" s="89"/>
      <c r="H2481" s="88"/>
      <c r="I2481" s="88"/>
    </row>
    <row r="2482" spans="2:9" ht="18" x14ac:dyDescent="0.25">
      <c r="B2482" s="79"/>
      <c r="C2482" s="83"/>
      <c r="D2482" s="88"/>
      <c r="E2482" s="83"/>
      <c r="F2482" s="83"/>
      <c r="G2482" s="89"/>
      <c r="H2482" s="88"/>
      <c r="I2482" s="88"/>
    </row>
    <row r="2483" spans="2:9" ht="18" x14ac:dyDescent="0.25">
      <c r="B2483" s="79"/>
      <c r="C2483" s="83"/>
      <c r="D2483" s="88"/>
      <c r="E2483" s="83"/>
      <c r="F2483" s="83"/>
      <c r="G2483" s="89"/>
      <c r="H2483" s="88"/>
      <c r="I2483" s="88"/>
    </row>
    <row r="2484" spans="2:9" ht="18" x14ac:dyDescent="0.25">
      <c r="B2484" s="79"/>
      <c r="C2484" s="83"/>
      <c r="D2484" s="88"/>
      <c r="E2484" s="83"/>
      <c r="F2484" s="83"/>
      <c r="G2484" s="89"/>
      <c r="H2484" s="88"/>
      <c r="I2484" s="88"/>
    </row>
    <row r="2485" spans="2:9" ht="24" customHeight="1" x14ac:dyDescent="0.25">
      <c r="B2485" s="79"/>
      <c r="C2485" s="83"/>
      <c r="D2485" s="88"/>
      <c r="E2485" s="83"/>
      <c r="F2485" s="83"/>
      <c r="G2485" s="89"/>
      <c r="H2485" s="88"/>
      <c r="I2485" s="83"/>
    </row>
    <row r="2486" spans="2:9" ht="18" x14ac:dyDescent="0.25">
      <c r="B2486" s="79"/>
      <c r="C2486" s="83" t="e">
        <f>+C2471</f>
        <v>#REF!</v>
      </c>
      <c r="D2486" s="88"/>
      <c r="E2486" s="83"/>
      <c r="F2486" s="83" t="e">
        <f>+C2471</f>
        <v>#REF!</v>
      </c>
      <c r="G2486" s="83"/>
      <c r="H2486" s="83"/>
      <c r="I2486" s="89"/>
    </row>
    <row r="2487" spans="2:9" ht="18" x14ac:dyDescent="0.25">
      <c r="B2487" s="79"/>
      <c r="C2487" s="83"/>
      <c r="D2487" s="88"/>
      <c r="E2487" s="83"/>
      <c r="F2487" s="79"/>
      <c r="G2487" s="83"/>
      <c r="H2487" s="89"/>
      <c r="I2487" s="90" t="str">
        <f>+I2472</f>
        <v>Unid. 66</v>
      </c>
    </row>
    <row r="2488" spans="2:9" ht="18" x14ac:dyDescent="0.25">
      <c r="B2488" s="79"/>
      <c r="C2488" s="83" t="str">
        <f>+$F$1</f>
        <v>MONTES DE OCA 1068/1070 C.A.B.A.</v>
      </c>
      <c r="D2488" s="88"/>
      <c r="E2488" s="90" t="str">
        <f>+I2487</f>
        <v>Unid. 66</v>
      </c>
      <c r="F2488" s="83" t="str">
        <f>+$F$1</f>
        <v>MONTES DE OCA 1068/1070 C.A.B.A.</v>
      </c>
      <c r="G2488" s="83"/>
      <c r="H2488" s="83"/>
      <c r="I2488" s="83"/>
    </row>
    <row r="2489" spans="2:9" ht="18" x14ac:dyDescent="0.25">
      <c r="B2489" s="79"/>
      <c r="C2489" s="83"/>
      <c r="D2489" s="88"/>
      <c r="E2489" s="83"/>
      <c r="F2489" s="79"/>
      <c r="G2489" s="83"/>
      <c r="H2489" s="83"/>
      <c r="I2489" s="79"/>
    </row>
    <row r="2490" spans="2:9" ht="12" customHeight="1" x14ac:dyDescent="0.25">
      <c r="B2490" s="79"/>
      <c r="C2490" s="83"/>
      <c r="D2490" s="88"/>
      <c r="E2490" s="83"/>
      <c r="F2490" s="83"/>
      <c r="G2490" s="83"/>
      <c r="H2490" s="83"/>
      <c r="I2490" s="89"/>
    </row>
    <row r="2491" spans="2:9" ht="18" x14ac:dyDescent="0.25">
      <c r="B2491" s="79"/>
      <c r="C2491" s="83" t="str">
        <f>+$F$2</f>
        <v>P/Depósito o transferencia en Banco Santander Rio</v>
      </c>
      <c r="D2491" s="88"/>
      <c r="E2491" s="83"/>
      <c r="F2491" s="83"/>
      <c r="G2491" s="128"/>
      <c r="H2491" s="83"/>
      <c r="I2491" s="83"/>
    </row>
    <row r="2492" spans="2:9" ht="18" x14ac:dyDescent="0.25">
      <c r="B2492" s="79"/>
      <c r="C2492" s="83" t="str">
        <f>+$F$3</f>
        <v xml:space="preserve">Cta. Cte. $ N° 558-000162/1 </v>
      </c>
      <c r="D2492" s="88"/>
      <c r="E2492" s="83"/>
      <c r="F2492" s="128"/>
      <c r="H2492" s="88"/>
      <c r="I2492" s="130"/>
    </row>
    <row r="2493" spans="2:9" ht="18" x14ac:dyDescent="0.25">
      <c r="B2493" s="79"/>
      <c r="C2493" s="83"/>
      <c r="D2493" s="88"/>
      <c r="E2493" s="83"/>
      <c r="F2493" s="83" t="s">
        <v>70</v>
      </c>
      <c r="G2493" s="102" t="e">
        <f>+G2476</f>
        <v>#REF!</v>
      </c>
      <c r="H2493" s="130"/>
      <c r="I2493" s="97">
        <f>+C2497</f>
        <v>46183</v>
      </c>
    </row>
    <row r="2494" spans="2:9" ht="18" x14ac:dyDescent="0.25">
      <c r="B2494" s="79"/>
      <c r="C2494" s="83"/>
      <c r="D2494" s="88"/>
      <c r="E2494" s="83"/>
      <c r="F2494" s="83" t="s">
        <v>71</v>
      </c>
      <c r="G2494" s="102" t="e">
        <f>+G2477</f>
        <v>#REF!</v>
      </c>
      <c r="H2494" s="79"/>
      <c r="I2494" s="83"/>
    </row>
    <row r="2495" spans="2:9" ht="18" x14ac:dyDescent="0.25">
      <c r="B2495" s="79"/>
      <c r="C2495" s="83"/>
      <c r="D2495" s="88"/>
      <c r="E2495" s="83"/>
      <c r="F2495" s="83" t="s">
        <v>72</v>
      </c>
      <c r="G2495" s="102" t="e">
        <f>+G2478</f>
        <v>#REF!</v>
      </c>
      <c r="H2495" s="83"/>
      <c r="I2495" s="83"/>
    </row>
    <row r="2496" spans="2:9" ht="18" x14ac:dyDescent="0.25">
      <c r="B2496" s="79"/>
      <c r="C2496" s="128"/>
      <c r="D2496" s="128"/>
      <c r="E2496" s="128"/>
      <c r="F2496" s="83" t="s">
        <v>73</v>
      </c>
      <c r="G2496" s="102" t="e">
        <f>+G2479</f>
        <v>#REF!</v>
      </c>
      <c r="H2496" s="83"/>
      <c r="I2496" s="83"/>
    </row>
    <row r="2497" spans="2:9" ht="18" x14ac:dyDescent="0.25">
      <c r="B2497" s="79"/>
      <c r="C2497" s="97">
        <f>+$H$43</f>
        <v>46183</v>
      </c>
      <c r="D2497" s="157" t="e">
        <f>+G2480</f>
        <v>#REF!</v>
      </c>
      <c r="E2497" s="83"/>
      <c r="F2497" s="83" t="s">
        <v>181</v>
      </c>
      <c r="G2497" s="135">
        <v>0</v>
      </c>
      <c r="H2497" s="83"/>
      <c r="I2497" s="83"/>
    </row>
    <row r="2498" spans="2:9" ht="18" x14ac:dyDescent="0.25">
      <c r="B2498" s="79"/>
      <c r="C2498" s="83"/>
      <c r="D2498" s="88"/>
      <c r="E2498" s="83"/>
      <c r="F2498" s="83" t="s">
        <v>74</v>
      </c>
      <c r="G2498" s="102" t="e">
        <f>+G2480</f>
        <v>#REF!</v>
      </c>
      <c r="H2498" s="83"/>
      <c r="I2498" s="83"/>
    </row>
    <row r="2499" spans="2:9" ht="18" x14ac:dyDescent="0.25">
      <c r="B2499" s="79"/>
      <c r="C2499" s="83"/>
      <c r="D2499" s="88"/>
      <c r="E2499" s="83"/>
      <c r="F2499" s="83"/>
      <c r="G2499" s="83"/>
      <c r="H2499" s="83"/>
      <c r="I2499" s="83"/>
    </row>
    <row r="2500" spans="2:9" ht="18" x14ac:dyDescent="0.25">
      <c r="B2500" s="79"/>
      <c r="C2500" s="83"/>
      <c r="D2500" s="88"/>
      <c r="E2500" s="83"/>
      <c r="F2500" s="100"/>
      <c r="G2500" s="83"/>
      <c r="H2500" s="83"/>
      <c r="I2500" s="83"/>
    </row>
    <row r="2501" spans="2:9" ht="18" x14ac:dyDescent="0.25">
      <c r="C2501" s="83"/>
      <c r="D2501" s="88"/>
      <c r="E2501" s="83"/>
      <c r="F2501" s="83"/>
      <c r="G2501" s="83"/>
      <c r="H2501" s="83"/>
      <c r="I2501" s="91"/>
    </row>
    <row r="2502" spans="2:9" ht="8.25" customHeight="1" x14ac:dyDescent="0.25">
      <c r="F2502" s="83"/>
      <c r="H2502" s="91"/>
      <c r="I2502" s="83"/>
    </row>
    <row r="2504" spans="2:9" ht="18" x14ac:dyDescent="0.25">
      <c r="C2504" s="424"/>
      <c r="D2504" s="424"/>
      <c r="E2504" s="424"/>
      <c r="F2504" s="433">
        <f>+$C$1</f>
        <v>46143</v>
      </c>
      <c r="G2504" s="83"/>
      <c r="H2504" s="429">
        <f>+$E$1</f>
        <v>46183</v>
      </c>
      <c r="I2504" s="83"/>
    </row>
    <row r="2505" spans="2:9" ht="18" x14ac:dyDescent="0.25">
      <c r="C2505" s="82"/>
      <c r="D2505" s="82"/>
      <c r="E2505" s="98"/>
      <c r="F2505" s="433"/>
      <c r="G2505" s="83"/>
      <c r="H2505" s="429"/>
      <c r="I2505" s="83"/>
    </row>
    <row r="2506" spans="2:9" ht="18" x14ac:dyDescent="0.25">
      <c r="C2506" s="83"/>
      <c r="D2506" s="88"/>
      <c r="E2506" s="83"/>
      <c r="F2506" s="84"/>
      <c r="G2506" s="83"/>
      <c r="H2506" s="84"/>
      <c r="I2506" s="83"/>
    </row>
    <row r="2507" spans="2:9" ht="24" customHeight="1" x14ac:dyDescent="0.25">
      <c r="C2507" s="83" t="e">
        <f>+#REF!</f>
        <v>#REF!</v>
      </c>
      <c r="D2507" s="88"/>
      <c r="E2507" s="83"/>
      <c r="F2507" s="84"/>
      <c r="G2507" s="83"/>
      <c r="H2507" s="84"/>
      <c r="I2507" s="83"/>
    </row>
    <row r="2508" spans="2:9" ht="18" x14ac:dyDescent="0.25">
      <c r="C2508" s="84"/>
      <c r="D2508" s="88"/>
      <c r="E2508" s="83"/>
      <c r="F2508" s="83" t="s">
        <v>293</v>
      </c>
      <c r="G2508" s="83"/>
      <c r="H2508" s="83"/>
      <c r="I2508" s="90" t="s">
        <v>141</v>
      </c>
    </row>
    <row r="2509" spans="2:9" ht="18" x14ac:dyDescent="0.25">
      <c r="C2509" s="83"/>
      <c r="D2509" s="88"/>
      <c r="E2509" s="83"/>
      <c r="F2509" s="84"/>
      <c r="G2509" s="83"/>
      <c r="H2509" s="83"/>
      <c r="I2509" s="84"/>
    </row>
    <row r="2510" spans="2:9" ht="18" x14ac:dyDescent="0.25">
      <c r="C2510" s="91"/>
      <c r="D2510" s="88"/>
      <c r="E2510" s="91"/>
      <c r="F2510" s="83"/>
      <c r="G2510" s="83"/>
      <c r="H2510" s="83"/>
      <c r="I2510" s="83"/>
    </row>
    <row r="2511" spans="2:9" ht="18" x14ac:dyDescent="0.25">
      <c r="C2511" s="91"/>
      <c r="D2511" s="88"/>
      <c r="E2511" s="91"/>
      <c r="F2511" s="83"/>
      <c r="G2511" s="83"/>
      <c r="H2511" s="83"/>
      <c r="I2511" s="83"/>
    </row>
    <row r="2512" spans="2:9" ht="18" x14ac:dyDescent="0.25">
      <c r="C2512" s="83" t="s">
        <v>68</v>
      </c>
      <c r="D2512" s="88"/>
      <c r="E2512" s="103" t="e">
        <f>+'RES CUENTA'!#REF!</f>
        <v>#REF!</v>
      </c>
      <c r="F2512" s="104" t="e">
        <f>+'RES CUENTA'!#REF!</f>
        <v>#REF!</v>
      </c>
      <c r="G2512" s="101" t="e">
        <f>+E2512*F2512/100</f>
        <v>#REF!</v>
      </c>
      <c r="H2512" s="425"/>
      <c r="I2512" s="425"/>
    </row>
    <row r="2513" spans="3:9" ht="18" x14ac:dyDescent="0.25">
      <c r="C2513" s="83" t="s">
        <v>69</v>
      </c>
      <c r="D2513" s="88"/>
      <c r="E2513" s="103" t="e">
        <f>+'RES CUENTA'!#REF!</f>
        <v>#REF!</v>
      </c>
      <c r="F2513" s="104" t="e">
        <f>+'RES CUENTA'!#REF!</f>
        <v>#REF!</v>
      </c>
      <c r="G2513" s="101" t="e">
        <f>+E2513*F2513/100</f>
        <v>#REF!</v>
      </c>
      <c r="H2513" s="430"/>
      <c r="I2513" s="430"/>
    </row>
    <row r="2514" spans="3:9" ht="18" x14ac:dyDescent="0.25">
      <c r="C2514" s="83" t="s">
        <v>181</v>
      </c>
      <c r="D2514" s="88"/>
      <c r="E2514" s="103" t="e">
        <f>+'RES CUENTA'!#REF!</f>
        <v>#REF!</v>
      </c>
      <c r="F2514" s="104">
        <v>0</v>
      </c>
      <c r="G2514" s="101" t="e">
        <f>+E2514</f>
        <v>#REF!</v>
      </c>
      <c r="H2514" s="430"/>
      <c r="I2514" s="430"/>
    </row>
    <row r="2515" spans="3:9" ht="18" x14ac:dyDescent="0.25">
      <c r="C2515" s="83" t="s">
        <v>213</v>
      </c>
      <c r="D2515" s="88"/>
      <c r="E2515" s="103" t="e">
        <f>+'RES CUENTA'!#REF!</f>
        <v>#REF!</v>
      </c>
      <c r="F2515" s="104">
        <v>0</v>
      </c>
      <c r="G2515" s="134" t="e">
        <f>+E2515</f>
        <v>#REF!</v>
      </c>
      <c r="H2515" s="430"/>
      <c r="I2515" s="430"/>
    </row>
    <row r="2516" spans="3:9" ht="18" x14ac:dyDescent="0.25">
      <c r="C2516" s="84"/>
      <c r="D2516" s="88"/>
      <c r="E2516" s="83"/>
      <c r="F2516" s="89"/>
      <c r="G2516" s="101" t="e">
        <f>SUM(G2512:G2515)</f>
        <v>#REF!</v>
      </c>
      <c r="H2516" s="430"/>
      <c r="I2516" s="430"/>
    </row>
    <row r="2517" spans="3:9" ht="18" x14ac:dyDescent="0.25">
      <c r="C2517" s="84"/>
      <c r="D2517" s="88"/>
      <c r="E2517" s="83"/>
      <c r="F2517" s="83"/>
      <c r="H2517" s="432"/>
      <c r="I2517" s="432"/>
    </row>
    <row r="2518" spans="3:9" ht="18" x14ac:dyDescent="0.25">
      <c r="C2518" s="83"/>
      <c r="D2518" s="88"/>
      <c r="E2518" s="83"/>
      <c r="F2518" s="83"/>
      <c r="G2518" s="85"/>
      <c r="H2518" s="88"/>
      <c r="I2518" s="88"/>
    </row>
    <row r="2519" spans="3:9" ht="18" x14ac:dyDescent="0.25">
      <c r="C2519" s="83"/>
      <c r="D2519" s="88"/>
      <c r="E2519" s="83"/>
      <c r="F2519" s="83"/>
      <c r="G2519" s="89"/>
      <c r="H2519" s="83"/>
      <c r="I2519" s="83"/>
    </row>
    <row r="2520" spans="3:9" ht="18" x14ac:dyDescent="0.25">
      <c r="C2520" s="83"/>
      <c r="D2520" s="88"/>
      <c r="E2520" s="83"/>
      <c r="F2520" s="83"/>
      <c r="G2520" s="89"/>
      <c r="H2520" s="83"/>
      <c r="I2520" s="83"/>
    </row>
    <row r="2521" spans="3:9" ht="27" customHeight="1" x14ac:dyDescent="0.25">
      <c r="C2521" s="83"/>
      <c r="D2521" s="88"/>
      <c r="E2521" s="83"/>
      <c r="F2521" s="83"/>
      <c r="G2521" s="89"/>
      <c r="H2521" s="83"/>
      <c r="I2521" s="83"/>
    </row>
    <row r="2522" spans="3:9" ht="18" x14ac:dyDescent="0.25">
      <c r="C2522" s="83" t="e">
        <f>+C2507</f>
        <v>#REF!</v>
      </c>
      <c r="D2522" s="427"/>
      <c r="E2522" s="427"/>
      <c r="F2522" s="83" t="e">
        <f>+C2522</f>
        <v>#REF!</v>
      </c>
      <c r="G2522" s="89"/>
      <c r="H2522" s="83"/>
      <c r="I2522" s="83"/>
    </row>
    <row r="2523" spans="3:9" ht="18" x14ac:dyDescent="0.25">
      <c r="D2523" s="88"/>
      <c r="E2523" s="83"/>
      <c r="G2523" s="427"/>
      <c r="H2523" s="427"/>
      <c r="I2523" s="427"/>
    </row>
    <row r="2524" spans="3:9" ht="18" x14ac:dyDescent="0.25">
      <c r="C2524" s="83" t="str">
        <f>+$F$1</f>
        <v>MONTES DE OCA 1068/1070 C.A.B.A.</v>
      </c>
      <c r="D2524" s="88"/>
      <c r="E2524" s="90" t="str">
        <f>+I2508</f>
        <v>Unid. 67</v>
      </c>
      <c r="F2524" s="83" t="str">
        <f>+$F$1</f>
        <v>MONTES DE OCA 1068/1070 C.A.B.A.</v>
      </c>
      <c r="G2524" s="83"/>
      <c r="H2524" s="83"/>
      <c r="I2524" s="90" t="str">
        <f>+E2524</f>
        <v>Unid. 67</v>
      </c>
    </row>
    <row r="2525" spans="3:9" ht="18" x14ac:dyDescent="0.25">
      <c r="I2525" s="84"/>
    </row>
    <row r="2526" spans="3:9" ht="9.75" customHeight="1" x14ac:dyDescent="0.25">
      <c r="C2526" s="84"/>
      <c r="D2526" s="91"/>
      <c r="E2526" s="84"/>
      <c r="F2526" s="84"/>
      <c r="G2526" s="83"/>
      <c r="H2526" s="83"/>
    </row>
    <row r="2527" spans="3:9" ht="18" x14ac:dyDescent="0.25">
      <c r="C2527" s="83" t="str">
        <f>+$F$2</f>
        <v>P/Depósito o transferencia en Banco Santander Rio</v>
      </c>
      <c r="D2527" s="88"/>
      <c r="E2527" s="83"/>
      <c r="F2527" s="83"/>
      <c r="G2527" s="83"/>
      <c r="H2527" s="84"/>
      <c r="I2527" s="99"/>
    </row>
    <row r="2528" spans="3:9" ht="18" x14ac:dyDescent="0.25">
      <c r="C2528" s="83" t="str">
        <f>+$F$3</f>
        <v xml:space="preserve">Cta. Cte. $ N° 558-000162/1 </v>
      </c>
      <c r="D2528" s="88"/>
      <c r="E2528" s="83"/>
      <c r="F2528" s="93"/>
      <c r="G2528" s="83"/>
      <c r="H2528" s="91"/>
      <c r="I2528" s="83"/>
    </row>
    <row r="2529" spans="3:9" ht="18" x14ac:dyDescent="0.25">
      <c r="D2529" s="88"/>
      <c r="E2529" s="83"/>
      <c r="F2529" s="83" t="s">
        <v>70</v>
      </c>
      <c r="G2529" s="102" t="e">
        <f>+G2512</f>
        <v>#REF!</v>
      </c>
      <c r="I2529" s="97">
        <f>+C2534</f>
        <v>46183</v>
      </c>
    </row>
    <row r="2530" spans="3:9" ht="18" x14ac:dyDescent="0.25">
      <c r="C2530" s="84"/>
      <c r="D2530" s="88"/>
      <c r="E2530" s="83"/>
      <c r="F2530" s="83" t="s">
        <v>71</v>
      </c>
      <c r="G2530" s="102" t="e">
        <f>+G2513</f>
        <v>#REF!</v>
      </c>
    </row>
    <row r="2531" spans="3:9" ht="18" x14ac:dyDescent="0.25">
      <c r="C2531" s="84"/>
      <c r="D2531" s="88"/>
      <c r="E2531" s="83"/>
      <c r="F2531" s="83" t="s">
        <v>72</v>
      </c>
      <c r="G2531" s="102" t="e">
        <f>+G2514</f>
        <v>#REF!</v>
      </c>
      <c r="H2531" s="83"/>
      <c r="I2531" s="83"/>
    </row>
    <row r="2532" spans="3:9" ht="18" x14ac:dyDescent="0.25">
      <c r="C2532" s="83"/>
      <c r="D2532" s="88"/>
      <c r="E2532" s="83"/>
      <c r="F2532" s="83" t="s">
        <v>73</v>
      </c>
      <c r="G2532" s="102" t="e">
        <f>+G2515</f>
        <v>#REF!</v>
      </c>
      <c r="H2532" s="83"/>
      <c r="I2532" s="83"/>
    </row>
    <row r="2533" spans="3:9" ht="18" x14ac:dyDescent="0.25">
      <c r="C2533" s="93"/>
      <c r="D2533" s="93"/>
      <c r="E2533" s="93"/>
      <c r="F2533" s="83" t="s">
        <v>181</v>
      </c>
      <c r="G2533" s="135">
        <v>0</v>
      </c>
      <c r="H2533" s="83"/>
      <c r="I2533" s="83"/>
    </row>
    <row r="2534" spans="3:9" ht="18" x14ac:dyDescent="0.25">
      <c r="C2534" s="97">
        <f>+$H$43</f>
        <v>46183</v>
      </c>
      <c r="D2534" s="157" t="e">
        <f>+G2516</f>
        <v>#REF!</v>
      </c>
      <c r="E2534" s="83"/>
      <c r="F2534" s="83" t="s">
        <v>74</v>
      </c>
      <c r="G2534" s="102" t="e">
        <f>+G2516</f>
        <v>#REF!</v>
      </c>
      <c r="H2534" s="83"/>
      <c r="I2534" s="83"/>
    </row>
    <row r="2535" spans="3:9" ht="18" x14ac:dyDescent="0.25">
      <c r="C2535" s="83"/>
      <c r="D2535" s="88"/>
      <c r="E2535" s="83"/>
      <c r="F2535" s="83"/>
      <c r="G2535" s="83"/>
      <c r="H2535" s="83"/>
      <c r="I2535" s="83"/>
    </row>
    <row r="2536" spans="3:9" ht="18" x14ac:dyDescent="0.25">
      <c r="C2536" s="83"/>
      <c r="D2536" s="88"/>
      <c r="E2536" s="83"/>
      <c r="F2536" s="83"/>
      <c r="G2536" s="83"/>
      <c r="H2536" s="425"/>
      <c r="I2536" s="425"/>
    </row>
    <row r="2537" spans="3:9" ht="18" x14ac:dyDescent="0.25">
      <c r="C2537" s="83"/>
      <c r="D2537" s="88"/>
      <c r="E2537" s="83"/>
      <c r="F2537" s="83"/>
      <c r="G2537" s="83"/>
      <c r="H2537" s="83"/>
      <c r="I2537" s="83"/>
    </row>
    <row r="2538" spans="3:9" ht="18" x14ac:dyDescent="0.25">
      <c r="C2538" s="83"/>
      <c r="D2538" s="88"/>
      <c r="E2538" s="83"/>
      <c r="F2538" s="83"/>
      <c r="G2538" s="83"/>
      <c r="H2538" s="83"/>
      <c r="I2538" s="83"/>
    </row>
    <row r="2539" spans="3:9" ht="18" x14ac:dyDescent="0.25">
      <c r="C2539" s="83"/>
      <c r="D2539" s="88"/>
      <c r="E2539" s="83"/>
      <c r="F2539" s="83"/>
      <c r="G2539" s="83"/>
      <c r="H2539" s="83"/>
      <c r="I2539" s="83"/>
    </row>
    <row r="2540" spans="3:9" ht="18" x14ac:dyDescent="0.25">
      <c r="C2540" s="83"/>
      <c r="D2540" s="88"/>
      <c r="E2540" s="83"/>
      <c r="F2540" s="83"/>
      <c r="G2540" s="83"/>
      <c r="I2540" s="83"/>
    </row>
    <row r="2541" spans="3:9" ht="18" x14ac:dyDescent="0.25">
      <c r="C2541" s="83"/>
      <c r="D2541" s="88"/>
      <c r="E2541" s="83"/>
      <c r="F2541" s="83"/>
      <c r="G2541" s="83"/>
      <c r="I2541" s="83"/>
    </row>
    <row r="2542" spans="3:9" ht="18" x14ac:dyDescent="0.25">
      <c r="C2542" s="424"/>
      <c r="D2542" s="424"/>
      <c r="E2542" s="424"/>
      <c r="F2542" s="83"/>
      <c r="G2542" s="83"/>
      <c r="I2542" s="83"/>
    </row>
    <row r="2543" spans="3:9" ht="18" x14ac:dyDescent="0.25">
      <c r="C2543" s="424"/>
      <c r="D2543" s="424"/>
      <c r="E2543" s="424"/>
      <c r="F2543" s="96">
        <f>+$C$1</f>
        <v>46143</v>
      </c>
      <c r="G2543" s="83"/>
      <c r="H2543" s="97">
        <f>+$E$1</f>
        <v>46183</v>
      </c>
      <c r="I2543" s="95"/>
    </row>
    <row r="2544" spans="3:9" ht="18" x14ac:dyDescent="0.25">
      <c r="C2544" s="82"/>
      <c r="D2544" s="82"/>
      <c r="E2544" s="98"/>
      <c r="F2544" s="96"/>
      <c r="G2544" s="83"/>
    </row>
    <row r="2545" spans="3:9" ht="18" x14ac:dyDescent="0.25">
      <c r="C2545" s="83" t="e">
        <f>+#REF!</f>
        <v>#REF!</v>
      </c>
      <c r="D2545" s="88"/>
      <c r="E2545" s="83"/>
      <c r="G2545" s="83"/>
    </row>
    <row r="2546" spans="3:9" ht="18" x14ac:dyDescent="0.25">
      <c r="D2546" s="88"/>
      <c r="E2546" s="83"/>
      <c r="F2546" s="83" t="str">
        <f>+$F$1</f>
        <v>MONTES DE OCA 1068/1070 C.A.B.A.</v>
      </c>
      <c r="G2546" s="83"/>
      <c r="I2546" s="90" t="s">
        <v>142</v>
      </c>
    </row>
    <row r="2547" spans="3:9" ht="18" x14ac:dyDescent="0.25">
      <c r="C2547" s="84"/>
      <c r="D2547" s="88"/>
      <c r="E2547" s="83"/>
      <c r="G2547" s="83"/>
      <c r="H2547" s="84"/>
    </row>
    <row r="2548" spans="3:9" ht="18" x14ac:dyDescent="0.25">
      <c r="C2548" s="84"/>
      <c r="D2548" s="88"/>
      <c r="E2548" s="83"/>
      <c r="G2548" s="83"/>
      <c r="H2548" s="84"/>
    </row>
    <row r="2549" spans="3:9" ht="18" x14ac:dyDescent="0.25">
      <c r="C2549" s="91"/>
      <c r="D2549" s="88"/>
      <c r="E2549" s="91"/>
      <c r="F2549" s="83"/>
      <c r="G2549" s="83"/>
      <c r="H2549" s="83"/>
      <c r="I2549" s="83"/>
    </row>
    <row r="2550" spans="3:9" ht="18" x14ac:dyDescent="0.25">
      <c r="C2550" s="83" t="s">
        <v>68</v>
      </c>
      <c r="D2550" s="88"/>
      <c r="E2550" s="103" t="e">
        <f>+'RES CUENTA'!#REF!</f>
        <v>#REF!</v>
      </c>
      <c r="F2550" s="104" t="e">
        <f>+'RES CUENTA'!#REF!</f>
        <v>#REF!</v>
      </c>
      <c r="G2550" s="101" t="e">
        <f>+E2550*F2550/100</f>
        <v>#REF!</v>
      </c>
      <c r="H2550" s="83"/>
      <c r="I2550" s="91"/>
    </row>
    <row r="2551" spans="3:9" ht="18" x14ac:dyDescent="0.25">
      <c r="C2551" s="83" t="s">
        <v>69</v>
      </c>
      <c r="D2551" s="88"/>
      <c r="E2551" s="103" t="e">
        <f>+'RES CUENTA'!#REF!</f>
        <v>#REF!</v>
      </c>
      <c r="F2551" s="104" t="e">
        <f>+'RES CUENTA'!#REF!</f>
        <v>#REF!</v>
      </c>
      <c r="G2551" s="101" t="e">
        <f>+E2551*F2551/100</f>
        <v>#REF!</v>
      </c>
      <c r="H2551" s="91"/>
      <c r="I2551" s="87"/>
    </row>
    <row r="2552" spans="3:9" ht="18" x14ac:dyDescent="0.25">
      <c r="C2552" s="83" t="s">
        <v>181</v>
      </c>
      <c r="D2552" s="88"/>
      <c r="E2552" s="103" t="e">
        <f>+'RES CUENTA'!#REF!</f>
        <v>#REF!</v>
      </c>
      <c r="F2552" s="104">
        <f>+'RES CUENTA'!M1617</f>
        <v>0</v>
      </c>
      <c r="G2552" s="101" t="e">
        <f>+E2552</f>
        <v>#REF!</v>
      </c>
      <c r="H2552" s="87"/>
      <c r="I2552" s="87"/>
    </row>
    <row r="2553" spans="3:9" ht="18" x14ac:dyDescent="0.25">
      <c r="C2553" s="83" t="s">
        <v>213</v>
      </c>
      <c r="D2553" s="88"/>
      <c r="E2553" s="103" t="e">
        <f>+'RES CUENTA'!#REF!</f>
        <v>#REF!</v>
      </c>
      <c r="F2553" s="104">
        <f>+'RES CUENTA'!N1616</f>
        <v>0</v>
      </c>
      <c r="G2553" s="134" t="e">
        <f>+E2553</f>
        <v>#REF!</v>
      </c>
      <c r="H2553" s="87"/>
      <c r="I2553" s="87"/>
    </row>
    <row r="2554" spans="3:9" ht="18" x14ac:dyDescent="0.25">
      <c r="C2554" s="84"/>
      <c r="D2554" s="88"/>
      <c r="E2554" s="83"/>
      <c r="G2554" s="101" t="e">
        <f>SUM(G2550:G2553)</f>
        <v>#REF!</v>
      </c>
      <c r="H2554" s="87"/>
      <c r="I2554" s="88"/>
    </row>
    <row r="2555" spans="3:9" ht="18" x14ac:dyDescent="0.25">
      <c r="C2555" s="84"/>
      <c r="D2555" s="88"/>
      <c r="E2555" s="83"/>
      <c r="G2555" s="101"/>
      <c r="H2555" s="87"/>
      <c r="I2555" s="88"/>
    </row>
    <row r="2556" spans="3:9" ht="18" x14ac:dyDescent="0.25">
      <c r="C2556" s="83"/>
      <c r="D2556" s="88"/>
      <c r="E2556" s="83"/>
      <c r="F2556" s="83"/>
      <c r="G2556" s="89"/>
      <c r="H2556" s="88"/>
      <c r="I2556" s="88"/>
    </row>
    <row r="2557" spans="3:9" ht="18" x14ac:dyDescent="0.25">
      <c r="C2557" s="83"/>
      <c r="D2557" s="88"/>
      <c r="E2557" s="83"/>
      <c r="F2557" s="83"/>
      <c r="G2557" s="89"/>
      <c r="H2557" s="88"/>
      <c r="I2557" s="88"/>
    </row>
    <row r="2558" spans="3:9" ht="15" customHeight="1" x14ac:dyDescent="0.25">
      <c r="C2558" s="83"/>
      <c r="D2558" s="88"/>
      <c r="E2558" s="83"/>
      <c r="F2558" s="83"/>
      <c r="G2558" s="89"/>
      <c r="H2558" s="88"/>
      <c r="I2558" s="88"/>
    </row>
    <row r="2559" spans="3:9" ht="21" customHeight="1" x14ac:dyDescent="0.25">
      <c r="C2559" s="83"/>
      <c r="D2559" s="88"/>
      <c r="E2559" s="83"/>
      <c r="F2559" s="83"/>
      <c r="G2559" s="89"/>
      <c r="H2559" s="88"/>
      <c r="I2559" s="83"/>
    </row>
    <row r="2560" spans="3:9" ht="18" x14ac:dyDescent="0.25">
      <c r="C2560" s="83" t="e">
        <f>+C2545</f>
        <v>#REF!</v>
      </c>
      <c r="D2560" s="88"/>
      <c r="E2560" s="83"/>
      <c r="F2560" s="83" t="e">
        <f>+C2545</f>
        <v>#REF!</v>
      </c>
      <c r="G2560" s="83"/>
      <c r="H2560" s="83"/>
      <c r="I2560" s="99"/>
    </row>
    <row r="2561" spans="3:9" ht="18" x14ac:dyDescent="0.25">
      <c r="C2561" s="84"/>
      <c r="D2561" s="88"/>
      <c r="E2561" s="83"/>
      <c r="G2561" s="83"/>
      <c r="H2561" s="99"/>
      <c r="I2561" s="90" t="str">
        <f>+I2546</f>
        <v>Unid. 68</v>
      </c>
    </row>
    <row r="2562" spans="3:9" ht="18" x14ac:dyDescent="0.25">
      <c r="C2562" s="83" t="str">
        <f>+$F$1</f>
        <v>MONTES DE OCA 1068/1070 C.A.B.A.</v>
      </c>
      <c r="D2562" s="88"/>
      <c r="E2562" s="90" t="str">
        <f>+I2561</f>
        <v>Unid. 68</v>
      </c>
      <c r="F2562" s="83" t="str">
        <f>+$F$1</f>
        <v>MONTES DE OCA 1068/1070 C.A.B.A.</v>
      </c>
      <c r="G2562" s="83"/>
      <c r="H2562" s="83"/>
      <c r="I2562" s="84"/>
    </row>
    <row r="2563" spans="3:9" ht="18" x14ac:dyDescent="0.25">
      <c r="C2563" s="84"/>
      <c r="D2563" s="91"/>
      <c r="E2563" s="84"/>
      <c r="G2563" s="83"/>
      <c r="H2563" s="83"/>
    </row>
    <row r="2564" spans="3:9" ht="12.75" customHeight="1" x14ac:dyDescent="0.25">
      <c r="C2564" s="83"/>
      <c r="D2564" s="88"/>
      <c r="E2564" s="83"/>
      <c r="F2564" s="84"/>
      <c r="G2564" s="83"/>
      <c r="H2564" s="83"/>
      <c r="I2564" s="99"/>
    </row>
    <row r="2565" spans="3:9" ht="18" x14ac:dyDescent="0.25">
      <c r="C2565" s="83" t="str">
        <f>+$F$2</f>
        <v>P/Depósito o transferencia en Banco Santander Rio</v>
      </c>
      <c r="D2565" s="88"/>
      <c r="E2565" s="83"/>
      <c r="F2565" s="83"/>
      <c r="G2565" s="128"/>
      <c r="H2565" s="84"/>
      <c r="I2565" s="83"/>
    </row>
    <row r="2566" spans="3:9" ht="18" x14ac:dyDescent="0.25">
      <c r="C2566" s="83" t="str">
        <f>+$F$3</f>
        <v xml:space="preserve">Cta. Cte. $ N° 558-000162/1 </v>
      </c>
      <c r="D2566" s="88"/>
      <c r="E2566" s="83"/>
      <c r="F2566" s="93"/>
      <c r="H2566" s="91"/>
      <c r="I2566" s="92"/>
    </row>
    <row r="2567" spans="3:9" ht="18" x14ac:dyDescent="0.25">
      <c r="C2567" s="84"/>
      <c r="D2567" s="88"/>
      <c r="E2567" s="83"/>
      <c r="F2567" s="83" t="s">
        <v>70</v>
      </c>
      <c r="G2567" s="102" t="e">
        <f>+G2550</f>
        <v>#REF!</v>
      </c>
      <c r="H2567" s="92"/>
      <c r="I2567" s="97">
        <f>+C2571</f>
        <v>46183</v>
      </c>
    </row>
    <row r="2568" spans="3:9" ht="18" x14ac:dyDescent="0.25">
      <c r="C2568" s="84"/>
      <c r="D2568" s="88"/>
      <c r="E2568" s="83"/>
      <c r="F2568" s="83" t="s">
        <v>71</v>
      </c>
      <c r="G2568" s="102" t="e">
        <f>+G2551</f>
        <v>#REF!</v>
      </c>
      <c r="I2568" s="83"/>
    </row>
    <row r="2569" spans="3:9" ht="18" x14ac:dyDescent="0.25">
      <c r="C2569" s="83"/>
      <c r="D2569" s="88"/>
      <c r="E2569" s="83"/>
      <c r="F2569" s="83" t="s">
        <v>72</v>
      </c>
      <c r="G2569" s="102" t="e">
        <f>+G2552</f>
        <v>#REF!</v>
      </c>
      <c r="H2569" s="83"/>
      <c r="I2569" s="83"/>
    </row>
    <row r="2570" spans="3:9" ht="18" x14ac:dyDescent="0.25">
      <c r="C2570" s="93"/>
      <c r="D2570" s="93"/>
      <c r="E2570" s="93"/>
      <c r="F2570" s="83" t="s">
        <v>73</v>
      </c>
      <c r="G2570" s="102" t="e">
        <f>+G2553</f>
        <v>#REF!</v>
      </c>
      <c r="H2570" s="83"/>
      <c r="I2570" s="83"/>
    </row>
    <row r="2571" spans="3:9" ht="18" x14ac:dyDescent="0.25">
      <c r="C2571" s="97">
        <f>+$H$43</f>
        <v>46183</v>
      </c>
      <c r="D2571" s="157" t="e">
        <f>+G2554</f>
        <v>#REF!</v>
      </c>
      <c r="E2571" s="83"/>
      <c r="F2571" s="83" t="s">
        <v>181</v>
      </c>
      <c r="G2571" s="135">
        <v>0</v>
      </c>
      <c r="H2571" s="83"/>
      <c r="I2571" s="83"/>
    </row>
    <row r="2572" spans="3:9" ht="18" x14ac:dyDescent="0.25">
      <c r="C2572" s="83"/>
      <c r="D2572" s="88"/>
      <c r="E2572" s="83"/>
      <c r="F2572" s="83" t="s">
        <v>74</v>
      </c>
      <c r="G2572" s="102" t="e">
        <f>+G2554</f>
        <v>#REF!</v>
      </c>
      <c r="H2572" s="83"/>
      <c r="I2572" s="83"/>
    </row>
    <row r="2573" spans="3:9" ht="18" x14ac:dyDescent="0.25">
      <c r="C2573" s="83"/>
      <c r="D2573" s="88"/>
      <c r="E2573" s="83"/>
      <c r="F2573" s="83"/>
      <c r="G2573" s="83"/>
      <c r="H2573" s="83"/>
      <c r="I2573" s="83"/>
    </row>
    <row r="2574" spans="3:9" ht="18" x14ac:dyDescent="0.25">
      <c r="C2574" s="83"/>
      <c r="D2574" s="88"/>
      <c r="E2574" s="83"/>
      <c r="F2574" s="100"/>
      <c r="G2574" s="83"/>
      <c r="H2574" s="83"/>
      <c r="I2574" s="83"/>
    </row>
    <row r="2575" spans="3:9" ht="18" x14ac:dyDescent="0.25">
      <c r="C2575" s="83"/>
      <c r="D2575" s="88"/>
      <c r="E2575" s="83"/>
      <c r="F2575" s="83"/>
      <c r="G2575" s="83"/>
      <c r="H2575" s="83"/>
      <c r="I2575" s="91"/>
    </row>
    <row r="2576" spans="3:9" ht="9" customHeight="1" x14ac:dyDescent="0.25">
      <c r="F2576" s="83"/>
      <c r="H2576" s="91"/>
      <c r="I2576" s="83"/>
    </row>
    <row r="2577" spans="2:9" x14ac:dyDescent="0.2">
      <c r="B2577" s="79"/>
      <c r="C2577" s="79"/>
      <c r="D2577" s="159"/>
      <c r="E2577" s="79"/>
      <c r="F2577" s="79"/>
      <c r="H2577" s="79"/>
      <c r="I2577" s="79"/>
    </row>
    <row r="2578" spans="2:9" ht="18" x14ac:dyDescent="0.25">
      <c r="B2578" s="79"/>
      <c r="C2578" s="424"/>
      <c r="D2578" s="424"/>
      <c r="E2578" s="424"/>
      <c r="F2578" s="433">
        <f>+$C$1</f>
        <v>46143</v>
      </c>
      <c r="G2578" s="83"/>
      <c r="H2578" s="429">
        <f>+$E$1</f>
        <v>46183</v>
      </c>
      <c r="I2578" s="83"/>
    </row>
    <row r="2579" spans="2:9" ht="18" x14ac:dyDescent="0.25">
      <c r="B2579" s="79"/>
      <c r="C2579" s="82"/>
      <c r="D2579" s="82"/>
      <c r="E2579" s="98"/>
      <c r="F2579" s="433"/>
      <c r="G2579" s="83"/>
      <c r="H2579" s="429"/>
      <c r="I2579" s="83"/>
    </row>
    <row r="2580" spans="2:9" ht="18" x14ac:dyDescent="0.25">
      <c r="B2580" s="79"/>
      <c r="C2580" s="83"/>
      <c r="D2580" s="88"/>
      <c r="E2580" s="83"/>
      <c r="F2580" s="84"/>
      <c r="G2580" s="83"/>
      <c r="H2580" s="84"/>
      <c r="I2580" s="83"/>
    </row>
    <row r="2581" spans="2:9" ht="21" customHeight="1" x14ac:dyDescent="0.25">
      <c r="B2581" s="79"/>
      <c r="C2581" s="83" t="e">
        <f>+#REF!</f>
        <v>#REF!</v>
      </c>
      <c r="D2581" s="88"/>
      <c r="E2581" s="83"/>
      <c r="F2581" s="84"/>
      <c r="G2581" s="83"/>
      <c r="H2581" s="84"/>
      <c r="I2581" s="83"/>
    </row>
    <row r="2582" spans="2:9" ht="18" x14ac:dyDescent="0.25">
      <c r="B2582" s="79"/>
      <c r="C2582" s="84"/>
      <c r="D2582" s="88"/>
      <c r="E2582" s="83"/>
      <c r="F2582" s="83" t="s">
        <v>293</v>
      </c>
      <c r="G2582" s="83"/>
      <c r="H2582" s="83"/>
      <c r="I2582" s="90" t="s">
        <v>143</v>
      </c>
    </row>
    <row r="2583" spans="2:9" ht="18" x14ac:dyDescent="0.25">
      <c r="B2583" s="79"/>
      <c r="C2583" s="83"/>
      <c r="D2583" s="88"/>
      <c r="E2583" s="83"/>
      <c r="F2583" s="84"/>
      <c r="G2583" s="83"/>
      <c r="H2583" s="83"/>
      <c r="I2583" s="84"/>
    </row>
    <row r="2584" spans="2:9" ht="18" x14ac:dyDescent="0.25">
      <c r="B2584" s="79"/>
      <c r="C2584" s="91"/>
      <c r="D2584" s="88"/>
      <c r="E2584" s="91"/>
      <c r="F2584" s="83"/>
      <c r="G2584" s="83"/>
      <c r="H2584" s="83"/>
      <c r="I2584" s="83"/>
    </row>
    <row r="2585" spans="2:9" ht="18" x14ac:dyDescent="0.25">
      <c r="B2585" s="79"/>
      <c r="C2585" s="91"/>
      <c r="D2585" s="88"/>
      <c r="E2585" s="91"/>
      <c r="F2585" s="83"/>
      <c r="G2585" s="83"/>
      <c r="H2585" s="83"/>
      <c r="I2585" s="83"/>
    </row>
    <row r="2586" spans="2:9" ht="18" x14ac:dyDescent="0.25">
      <c r="B2586" s="79"/>
      <c r="C2586" s="83" t="s">
        <v>68</v>
      </c>
      <c r="D2586" s="88"/>
      <c r="E2586" s="103" t="e">
        <f>+'RES CUENTA'!#REF!</f>
        <v>#REF!</v>
      </c>
      <c r="F2586" s="104" t="e">
        <f>+'RES CUENTA'!#REF!</f>
        <v>#REF!</v>
      </c>
      <c r="G2586" s="101" t="e">
        <f>+E2586*F2586/100</f>
        <v>#REF!</v>
      </c>
      <c r="H2586" s="425"/>
      <c r="I2586" s="425"/>
    </row>
    <row r="2587" spans="2:9" ht="18" x14ac:dyDescent="0.25">
      <c r="B2587" s="79"/>
      <c r="C2587" s="83" t="s">
        <v>69</v>
      </c>
      <c r="D2587" s="88"/>
      <c r="E2587" s="103" t="e">
        <f>+'RES CUENTA'!#REF!</f>
        <v>#REF!</v>
      </c>
      <c r="F2587" s="104" t="e">
        <f>+'RES CUENTA'!#REF!</f>
        <v>#REF!</v>
      </c>
      <c r="G2587" s="101" t="e">
        <f>+E2587*F2587/100</f>
        <v>#REF!</v>
      </c>
      <c r="H2587" s="430"/>
      <c r="I2587" s="430"/>
    </row>
    <row r="2588" spans="2:9" ht="18" x14ac:dyDescent="0.25">
      <c r="B2588" s="79"/>
      <c r="C2588" s="83" t="s">
        <v>181</v>
      </c>
      <c r="D2588" s="88"/>
      <c r="E2588" s="103" t="e">
        <f>+'RES CUENTA'!#REF!</f>
        <v>#REF!</v>
      </c>
      <c r="F2588" s="104">
        <v>0</v>
      </c>
      <c r="G2588" s="101" t="e">
        <f>+E2588</f>
        <v>#REF!</v>
      </c>
      <c r="H2588" s="430"/>
      <c r="I2588" s="430"/>
    </row>
    <row r="2589" spans="2:9" ht="18" x14ac:dyDescent="0.25">
      <c r="B2589" s="79"/>
      <c r="C2589" s="83" t="s">
        <v>213</v>
      </c>
      <c r="D2589" s="88"/>
      <c r="E2589" s="103" t="e">
        <f>+'RES CUENTA'!#REF!</f>
        <v>#REF!</v>
      </c>
      <c r="F2589" s="104">
        <v>0</v>
      </c>
      <c r="G2589" s="134" t="e">
        <f>+E2589</f>
        <v>#REF!</v>
      </c>
      <c r="H2589" s="430"/>
      <c r="I2589" s="430"/>
    </row>
    <row r="2590" spans="2:9" ht="18" x14ac:dyDescent="0.25">
      <c r="B2590" s="79"/>
      <c r="C2590" s="84"/>
      <c r="D2590" s="88"/>
      <c r="E2590" s="83"/>
      <c r="F2590" s="89"/>
      <c r="G2590" s="101" t="e">
        <f>SUM(G2586:G2589)</f>
        <v>#REF!</v>
      </c>
      <c r="H2590" s="430"/>
      <c r="I2590" s="430"/>
    </row>
    <row r="2591" spans="2:9" ht="18" x14ac:dyDescent="0.25">
      <c r="B2591" s="79"/>
      <c r="C2591" s="84"/>
      <c r="D2591" s="88"/>
      <c r="E2591" s="83"/>
      <c r="F2591" s="89"/>
      <c r="G2591" s="101"/>
      <c r="H2591" s="87"/>
      <c r="I2591" s="87"/>
    </row>
    <row r="2592" spans="2:9" ht="18" x14ac:dyDescent="0.25">
      <c r="B2592" s="79"/>
      <c r="C2592" s="84"/>
      <c r="D2592" s="88"/>
      <c r="E2592" s="83"/>
      <c r="F2592" s="83"/>
      <c r="H2592" s="432"/>
      <c r="I2592" s="432"/>
    </row>
    <row r="2593" spans="2:9" ht="18" x14ac:dyDescent="0.25">
      <c r="B2593" s="79"/>
      <c r="C2593" s="83"/>
      <c r="D2593" s="88"/>
      <c r="E2593" s="83"/>
      <c r="F2593" s="83"/>
      <c r="G2593" s="85"/>
      <c r="H2593" s="88"/>
      <c r="I2593" s="88"/>
    </row>
    <row r="2594" spans="2:9" ht="18" x14ac:dyDescent="0.25">
      <c r="B2594" s="79"/>
      <c r="C2594" s="83"/>
      <c r="D2594" s="88"/>
      <c r="E2594" s="83"/>
      <c r="F2594" s="83"/>
      <c r="G2594" s="89"/>
      <c r="H2594" s="83"/>
      <c r="I2594" s="83"/>
    </row>
    <row r="2595" spans="2:9" ht="23.25" customHeight="1" x14ac:dyDescent="0.25">
      <c r="B2595" s="79"/>
      <c r="C2595" s="83"/>
      <c r="D2595" s="88"/>
      <c r="E2595" s="83"/>
      <c r="F2595" s="83"/>
      <c r="G2595" s="89"/>
      <c r="H2595" s="83"/>
      <c r="I2595" s="83"/>
    </row>
    <row r="2596" spans="2:9" ht="18" x14ac:dyDescent="0.25">
      <c r="B2596" s="79"/>
      <c r="C2596" s="83" t="e">
        <f>+C2581</f>
        <v>#REF!</v>
      </c>
      <c r="D2596" s="427"/>
      <c r="E2596" s="427"/>
      <c r="F2596" s="83" t="e">
        <f>+C2596</f>
        <v>#REF!</v>
      </c>
      <c r="G2596" s="89"/>
      <c r="H2596" s="83"/>
      <c r="I2596" s="83"/>
    </row>
    <row r="2597" spans="2:9" ht="18" x14ac:dyDescent="0.25">
      <c r="B2597" s="79"/>
      <c r="C2597" s="79"/>
      <c r="D2597" s="88"/>
      <c r="E2597" s="83"/>
      <c r="F2597" s="79"/>
      <c r="G2597" s="427"/>
      <c r="H2597" s="427"/>
      <c r="I2597" s="427"/>
    </row>
    <row r="2598" spans="2:9" ht="18" x14ac:dyDescent="0.25">
      <c r="B2598" s="79"/>
      <c r="C2598" s="83" t="str">
        <f>+$F$1</f>
        <v>MONTES DE OCA 1068/1070 C.A.B.A.</v>
      </c>
      <c r="D2598" s="88"/>
      <c r="E2598" s="90" t="str">
        <f>+I2582</f>
        <v>Unid. 69</v>
      </c>
      <c r="F2598" s="83" t="str">
        <f>+$F$1</f>
        <v>MONTES DE OCA 1068/1070 C.A.B.A.</v>
      </c>
      <c r="G2598" s="83"/>
      <c r="H2598" s="83"/>
      <c r="I2598" s="90" t="str">
        <f>+E2598</f>
        <v>Unid. 69</v>
      </c>
    </row>
    <row r="2599" spans="2:9" ht="18" x14ac:dyDescent="0.25">
      <c r="B2599" s="79"/>
      <c r="C2599" s="79"/>
      <c r="D2599" s="159"/>
      <c r="E2599" s="79"/>
      <c r="F2599" s="79"/>
      <c r="H2599" s="79"/>
      <c r="I2599" s="84"/>
    </row>
    <row r="2600" spans="2:9" ht="12.75" customHeight="1" x14ac:dyDescent="0.25">
      <c r="B2600" s="79"/>
      <c r="C2600" s="84"/>
      <c r="D2600" s="91"/>
      <c r="E2600" s="84"/>
      <c r="F2600" s="84"/>
      <c r="G2600" s="83"/>
      <c r="H2600" s="83"/>
      <c r="I2600" s="79"/>
    </row>
    <row r="2601" spans="2:9" ht="18" x14ac:dyDescent="0.25">
      <c r="B2601" s="79"/>
      <c r="C2601" s="83" t="str">
        <f>+$F$2</f>
        <v>P/Depósito o transferencia en Banco Santander Rio</v>
      </c>
      <c r="D2601" s="88"/>
      <c r="E2601" s="83"/>
      <c r="F2601" s="83"/>
      <c r="G2601" s="83"/>
      <c r="H2601" s="84"/>
      <c r="I2601" s="99"/>
    </row>
    <row r="2602" spans="2:9" ht="18" x14ac:dyDescent="0.25">
      <c r="B2602" s="79"/>
      <c r="C2602" s="83" t="str">
        <f>+$F$3</f>
        <v xml:space="preserve">Cta. Cte. $ N° 558-000162/1 </v>
      </c>
      <c r="D2602" s="88"/>
      <c r="E2602" s="83"/>
      <c r="F2602" s="93"/>
      <c r="G2602" s="83"/>
      <c r="H2602" s="91"/>
      <c r="I2602" s="83"/>
    </row>
    <row r="2603" spans="2:9" ht="18" x14ac:dyDescent="0.25">
      <c r="B2603" s="79"/>
      <c r="C2603" s="79"/>
      <c r="D2603" s="88"/>
      <c r="E2603" s="83"/>
      <c r="F2603" s="83" t="s">
        <v>70</v>
      </c>
      <c r="G2603" s="102" t="e">
        <f>+G2586</f>
        <v>#REF!</v>
      </c>
      <c r="H2603" s="79"/>
      <c r="I2603" s="97">
        <f>+C2608</f>
        <v>46183</v>
      </c>
    </row>
    <row r="2604" spans="2:9" ht="18" x14ac:dyDescent="0.25">
      <c r="B2604" s="79"/>
      <c r="C2604" s="84"/>
      <c r="D2604" s="88"/>
      <c r="E2604" s="83"/>
      <c r="F2604" s="83" t="s">
        <v>71</v>
      </c>
      <c r="G2604" s="102" t="e">
        <f>+G2587</f>
        <v>#REF!</v>
      </c>
      <c r="H2604" s="79"/>
      <c r="I2604" s="79"/>
    </row>
    <row r="2605" spans="2:9" ht="18" x14ac:dyDescent="0.25">
      <c r="B2605" s="79"/>
      <c r="C2605" s="84"/>
      <c r="D2605" s="88"/>
      <c r="E2605" s="83"/>
      <c r="F2605" s="83" t="s">
        <v>72</v>
      </c>
      <c r="G2605" s="102" t="e">
        <f>+G2588</f>
        <v>#REF!</v>
      </c>
      <c r="H2605" s="83"/>
      <c r="I2605" s="83"/>
    </row>
    <row r="2606" spans="2:9" ht="18" x14ac:dyDescent="0.25">
      <c r="B2606" s="79"/>
      <c r="C2606" s="83"/>
      <c r="D2606" s="88"/>
      <c r="E2606" s="83"/>
      <c r="F2606" s="83" t="s">
        <v>73</v>
      </c>
      <c r="G2606" s="102" t="e">
        <f>+G2589</f>
        <v>#REF!</v>
      </c>
      <c r="H2606" s="83"/>
      <c r="I2606" s="83"/>
    </row>
    <row r="2607" spans="2:9" ht="18" x14ac:dyDescent="0.25">
      <c r="B2607" s="79"/>
      <c r="C2607" s="93"/>
      <c r="D2607" s="93"/>
      <c r="E2607" s="93"/>
      <c r="F2607" s="83" t="s">
        <v>181</v>
      </c>
      <c r="G2607" s="135">
        <v>0</v>
      </c>
      <c r="H2607" s="83"/>
      <c r="I2607" s="83"/>
    </row>
    <row r="2608" spans="2:9" ht="18" x14ac:dyDescent="0.25">
      <c r="B2608" s="79"/>
      <c r="C2608" s="97">
        <f>+$H$43</f>
        <v>46183</v>
      </c>
      <c r="D2608" s="157" t="e">
        <f>+G2590</f>
        <v>#REF!</v>
      </c>
      <c r="E2608" s="83"/>
      <c r="F2608" s="83" t="s">
        <v>74</v>
      </c>
      <c r="G2608" s="102" t="e">
        <f>+G2590</f>
        <v>#REF!</v>
      </c>
      <c r="H2608" s="83"/>
      <c r="I2608" s="83"/>
    </row>
    <row r="2609" spans="2:9" ht="18" x14ac:dyDescent="0.25">
      <c r="B2609" s="79"/>
      <c r="C2609" s="83"/>
      <c r="D2609" s="88"/>
      <c r="E2609" s="83"/>
      <c r="F2609" s="83"/>
      <c r="G2609" s="83"/>
      <c r="H2609" s="83"/>
      <c r="I2609" s="83"/>
    </row>
    <row r="2610" spans="2:9" ht="18" x14ac:dyDescent="0.25">
      <c r="B2610" s="79"/>
      <c r="C2610" s="83"/>
      <c r="D2610" s="88"/>
      <c r="E2610" s="83"/>
      <c r="F2610" s="83"/>
      <c r="G2610" s="83"/>
      <c r="H2610" s="425"/>
      <c r="I2610" s="425"/>
    </row>
    <row r="2611" spans="2:9" ht="18" x14ac:dyDescent="0.25">
      <c r="B2611" s="79"/>
      <c r="C2611" s="83"/>
      <c r="D2611" s="88"/>
      <c r="E2611" s="83"/>
      <c r="F2611" s="83"/>
      <c r="G2611" s="83"/>
      <c r="H2611" s="83"/>
      <c r="I2611" s="83"/>
    </row>
    <row r="2612" spans="2:9" ht="18" x14ac:dyDescent="0.25">
      <c r="B2612" s="79"/>
      <c r="C2612" s="83"/>
      <c r="D2612" s="88"/>
      <c r="E2612" s="83"/>
      <c r="F2612" s="83"/>
      <c r="G2612" s="83"/>
      <c r="H2612" s="83"/>
      <c r="I2612" s="83"/>
    </row>
    <row r="2613" spans="2:9" ht="18" x14ac:dyDescent="0.25">
      <c r="B2613" s="79"/>
      <c r="C2613" s="83"/>
      <c r="D2613" s="88"/>
      <c r="E2613" s="83"/>
      <c r="F2613" s="83"/>
      <c r="G2613" s="83"/>
      <c r="H2613" s="83"/>
      <c r="I2613" s="83"/>
    </row>
    <row r="2614" spans="2:9" ht="18" x14ac:dyDescent="0.25">
      <c r="B2614" s="79"/>
      <c r="C2614" s="83"/>
      <c r="D2614" s="88"/>
      <c r="E2614" s="83"/>
      <c r="F2614" s="83"/>
      <c r="G2614" s="83"/>
      <c r="H2614" s="83"/>
      <c r="I2614" s="83"/>
    </row>
    <row r="2615" spans="2:9" ht="18" x14ac:dyDescent="0.25">
      <c r="B2615" s="79"/>
      <c r="C2615" s="83"/>
      <c r="D2615" s="88"/>
      <c r="E2615" s="83"/>
      <c r="F2615" s="83"/>
      <c r="G2615" s="83"/>
      <c r="H2615" s="79"/>
      <c r="I2615" s="83"/>
    </row>
    <row r="2616" spans="2:9" ht="18" x14ac:dyDescent="0.25">
      <c r="B2616" s="79"/>
      <c r="C2616" s="424"/>
      <c r="D2616" s="424"/>
      <c r="E2616" s="424"/>
      <c r="F2616" s="83"/>
      <c r="G2616" s="83"/>
      <c r="H2616" s="79"/>
      <c r="I2616" s="83"/>
    </row>
    <row r="2617" spans="2:9" ht="18" x14ac:dyDescent="0.25">
      <c r="B2617" s="79"/>
      <c r="C2617" s="424"/>
      <c r="D2617" s="424"/>
      <c r="E2617" s="424"/>
      <c r="F2617" s="96">
        <f>+$C$1</f>
        <v>46143</v>
      </c>
      <c r="G2617" s="83"/>
      <c r="H2617" s="97">
        <f>+$E$1</f>
        <v>46183</v>
      </c>
      <c r="I2617" s="95"/>
    </row>
    <row r="2618" spans="2:9" ht="18" x14ac:dyDescent="0.25">
      <c r="B2618" s="79"/>
      <c r="C2618" s="82"/>
      <c r="D2618" s="82"/>
      <c r="E2618" s="98"/>
      <c r="F2618" s="96"/>
      <c r="G2618" s="83"/>
      <c r="H2618" s="79"/>
      <c r="I2618" s="79"/>
    </row>
    <row r="2619" spans="2:9" ht="18" x14ac:dyDescent="0.25">
      <c r="B2619" s="79"/>
      <c r="C2619" s="83" t="e">
        <f>+#REF!</f>
        <v>#REF!</v>
      </c>
      <c r="D2619" s="88"/>
      <c r="E2619" s="83"/>
      <c r="F2619" s="79"/>
      <c r="G2619" s="83"/>
      <c r="H2619" s="79"/>
      <c r="I2619" s="79"/>
    </row>
    <row r="2620" spans="2:9" ht="18" x14ac:dyDescent="0.25">
      <c r="B2620" s="79"/>
      <c r="C2620" s="79"/>
      <c r="D2620" s="88"/>
      <c r="E2620" s="83"/>
      <c r="F2620" s="83" t="str">
        <f>+$F$1</f>
        <v>MONTES DE OCA 1068/1070 C.A.B.A.</v>
      </c>
      <c r="G2620" s="83"/>
      <c r="H2620" s="79"/>
      <c r="I2620" s="90" t="s">
        <v>144</v>
      </c>
    </row>
    <row r="2621" spans="2:9" ht="18" x14ac:dyDescent="0.25">
      <c r="B2621" s="79"/>
      <c r="C2621" s="83"/>
      <c r="D2621" s="88"/>
      <c r="E2621" s="83"/>
      <c r="F2621" s="84"/>
      <c r="G2621" s="83"/>
      <c r="H2621" s="83"/>
      <c r="I2621" s="84"/>
    </row>
    <row r="2622" spans="2:9" ht="18" x14ac:dyDescent="0.25">
      <c r="B2622" s="79"/>
      <c r="C2622" s="83"/>
      <c r="D2622" s="88"/>
      <c r="E2622" s="83"/>
      <c r="F2622" s="84"/>
      <c r="G2622" s="83"/>
      <c r="H2622" s="83"/>
      <c r="I2622" s="84"/>
    </row>
    <row r="2623" spans="2:9" ht="18" x14ac:dyDescent="0.25">
      <c r="B2623" s="79"/>
      <c r="C2623" s="91"/>
      <c r="D2623" s="88"/>
      <c r="E2623" s="91"/>
      <c r="F2623" s="83"/>
      <c r="G2623" s="83"/>
      <c r="H2623" s="83"/>
      <c r="I2623" s="83"/>
    </row>
    <row r="2624" spans="2:9" ht="18" x14ac:dyDescent="0.25">
      <c r="B2624" s="79"/>
      <c r="C2624" s="83" t="s">
        <v>68</v>
      </c>
      <c r="D2624" s="88"/>
      <c r="E2624" s="103" t="e">
        <f>+'RES CUENTA'!#REF!</f>
        <v>#REF!</v>
      </c>
      <c r="F2624" s="104" t="e">
        <f>+'RES CUENTA'!#REF!</f>
        <v>#REF!</v>
      </c>
      <c r="G2624" s="101" t="e">
        <f>+E2624*F2624/100</f>
        <v>#REF!</v>
      </c>
      <c r="H2624" s="83"/>
      <c r="I2624" s="91"/>
    </row>
    <row r="2625" spans="2:9" ht="18" x14ac:dyDescent="0.25">
      <c r="B2625" s="79"/>
      <c r="C2625" s="83" t="s">
        <v>69</v>
      </c>
      <c r="D2625" s="88"/>
      <c r="E2625" s="103" t="e">
        <f>+'RES CUENTA'!#REF!</f>
        <v>#REF!</v>
      </c>
      <c r="F2625" s="104" t="e">
        <f>+'RES CUENTA'!#REF!</f>
        <v>#REF!</v>
      </c>
      <c r="G2625" s="101" t="e">
        <f>+E2625*F2625/100</f>
        <v>#REF!</v>
      </c>
      <c r="H2625" s="91"/>
      <c r="I2625" s="87"/>
    </row>
    <row r="2626" spans="2:9" ht="18" x14ac:dyDescent="0.25">
      <c r="B2626" s="79"/>
      <c r="C2626" s="83" t="s">
        <v>181</v>
      </c>
      <c r="D2626" s="88"/>
      <c r="E2626" s="103" t="e">
        <f>+'RES CUENTA'!#REF!</f>
        <v>#REF!</v>
      </c>
      <c r="F2626" s="104">
        <f>+'RES CUENTA'!M1693</f>
        <v>0</v>
      </c>
      <c r="G2626" s="101" t="e">
        <f>+E2626</f>
        <v>#REF!</v>
      </c>
      <c r="H2626" s="87"/>
      <c r="I2626" s="87"/>
    </row>
    <row r="2627" spans="2:9" ht="18" x14ac:dyDescent="0.25">
      <c r="B2627" s="79"/>
      <c r="C2627" s="83" t="s">
        <v>213</v>
      </c>
      <c r="D2627" s="88"/>
      <c r="E2627" s="103" t="e">
        <f>+'RES CUENTA'!#REF!</f>
        <v>#REF!</v>
      </c>
      <c r="F2627" s="104">
        <f>+'RES CUENTA'!N1692</f>
        <v>0</v>
      </c>
      <c r="G2627" s="134" t="e">
        <f>+E2627</f>
        <v>#REF!</v>
      </c>
      <c r="H2627" s="87"/>
      <c r="I2627" s="87"/>
    </row>
    <row r="2628" spans="2:9" ht="18" x14ac:dyDescent="0.25">
      <c r="B2628" s="79"/>
      <c r="C2628" s="84"/>
      <c r="D2628" s="88"/>
      <c r="E2628" s="83"/>
      <c r="F2628" s="79"/>
      <c r="G2628" s="101" t="e">
        <f>SUM(G2624:G2627)</f>
        <v>#REF!</v>
      </c>
      <c r="H2628" s="87"/>
      <c r="I2628" s="87"/>
    </row>
    <row r="2629" spans="2:9" ht="18" x14ac:dyDescent="0.25">
      <c r="B2629" s="79"/>
      <c r="C2629" s="84"/>
      <c r="D2629" s="88"/>
      <c r="E2629" s="83"/>
      <c r="F2629" s="79"/>
      <c r="G2629" s="101"/>
      <c r="H2629" s="87"/>
      <c r="I2629" s="87"/>
    </row>
    <row r="2630" spans="2:9" ht="18" x14ac:dyDescent="0.25">
      <c r="B2630" s="79"/>
      <c r="C2630" s="83"/>
      <c r="D2630" s="88"/>
      <c r="E2630" s="83"/>
      <c r="F2630" s="83"/>
      <c r="G2630" s="89"/>
      <c r="H2630" s="88"/>
      <c r="I2630" s="88"/>
    </row>
    <row r="2631" spans="2:9" ht="18" x14ac:dyDescent="0.25">
      <c r="B2631" s="79"/>
      <c r="C2631" s="83"/>
      <c r="D2631" s="88"/>
      <c r="E2631" s="83"/>
      <c r="F2631" s="83"/>
      <c r="G2631" s="89"/>
      <c r="H2631" s="88"/>
      <c r="I2631" s="88"/>
    </row>
    <row r="2632" spans="2:9" ht="18" x14ac:dyDescent="0.25">
      <c r="B2632" s="79"/>
      <c r="C2632" s="83"/>
      <c r="D2632" s="88"/>
      <c r="E2632" s="83"/>
      <c r="F2632" s="83"/>
      <c r="G2632" s="89"/>
      <c r="H2632" s="88"/>
      <c r="I2632" s="88"/>
    </row>
    <row r="2633" spans="2:9" ht="24" customHeight="1" x14ac:dyDescent="0.25">
      <c r="B2633" s="79"/>
      <c r="C2633" s="83"/>
      <c r="D2633" s="88"/>
      <c r="E2633" s="83"/>
      <c r="F2633" s="83"/>
      <c r="G2633" s="89"/>
      <c r="H2633" s="88"/>
      <c r="I2633" s="83"/>
    </row>
    <row r="2634" spans="2:9" ht="18" x14ac:dyDescent="0.25">
      <c r="B2634" s="79"/>
      <c r="C2634" s="83" t="e">
        <f>+C2619</f>
        <v>#REF!</v>
      </c>
      <c r="D2634" s="88"/>
      <c r="E2634" s="83"/>
      <c r="F2634" s="83" t="e">
        <f>+C2619</f>
        <v>#REF!</v>
      </c>
      <c r="G2634" s="83"/>
      <c r="H2634" s="83"/>
      <c r="I2634" s="99"/>
    </row>
    <row r="2635" spans="2:9" ht="18" x14ac:dyDescent="0.25">
      <c r="B2635" s="79"/>
      <c r="C2635" s="84"/>
      <c r="D2635" s="88"/>
      <c r="E2635" s="83"/>
      <c r="F2635" s="79"/>
      <c r="G2635" s="83"/>
      <c r="H2635" s="99"/>
      <c r="I2635" s="90" t="str">
        <f>+I2620</f>
        <v>Unid. 70</v>
      </c>
    </row>
    <row r="2636" spans="2:9" ht="18" x14ac:dyDescent="0.25">
      <c r="B2636" s="79"/>
      <c r="C2636" s="83" t="str">
        <f>+$F$1</f>
        <v>MONTES DE OCA 1068/1070 C.A.B.A.</v>
      </c>
      <c r="D2636" s="88"/>
      <c r="E2636" s="90" t="str">
        <f>+I2635</f>
        <v>Unid. 70</v>
      </c>
      <c r="F2636" s="83" t="str">
        <f>+$F$1</f>
        <v>MONTES DE OCA 1068/1070 C.A.B.A.</v>
      </c>
      <c r="G2636" s="83"/>
      <c r="H2636" s="83"/>
      <c r="I2636" s="84"/>
    </row>
    <row r="2637" spans="2:9" ht="18" x14ac:dyDescent="0.25">
      <c r="B2637" s="79"/>
      <c r="C2637" s="84"/>
      <c r="D2637" s="91"/>
      <c r="E2637" s="84"/>
      <c r="F2637" s="79"/>
      <c r="G2637" s="83"/>
      <c r="H2637" s="83"/>
      <c r="I2637" s="79"/>
    </row>
    <row r="2638" spans="2:9" ht="14.25" customHeight="1" x14ac:dyDescent="0.25">
      <c r="B2638" s="79"/>
      <c r="C2638" s="83"/>
      <c r="D2638" s="88"/>
      <c r="E2638" s="83"/>
      <c r="F2638" s="84"/>
      <c r="G2638" s="83"/>
      <c r="H2638" s="83"/>
      <c r="I2638" s="99"/>
    </row>
    <row r="2639" spans="2:9" ht="18" x14ac:dyDescent="0.25">
      <c r="B2639" s="79"/>
      <c r="C2639" s="83" t="str">
        <f>+$F$2</f>
        <v>P/Depósito o transferencia en Banco Santander Rio</v>
      </c>
      <c r="D2639" s="88"/>
      <c r="E2639" s="83"/>
      <c r="F2639" s="83"/>
      <c r="G2639" s="128"/>
      <c r="H2639" s="84"/>
      <c r="I2639" s="83"/>
    </row>
    <row r="2640" spans="2:9" ht="18" x14ac:dyDescent="0.25">
      <c r="B2640" s="79"/>
      <c r="C2640" s="83" t="str">
        <f>+$F$3</f>
        <v xml:space="preserve">Cta. Cte. $ N° 558-000162/1 </v>
      </c>
      <c r="D2640" s="88"/>
      <c r="E2640" s="83"/>
      <c r="F2640" s="93"/>
      <c r="H2640" s="91"/>
      <c r="I2640" s="92"/>
    </row>
    <row r="2641" spans="2:9" ht="18" x14ac:dyDescent="0.25">
      <c r="B2641" s="79"/>
      <c r="C2641" s="84"/>
      <c r="D2641" s="88"/>
      <c r="E2641" s="83"/>
      <c r="F2641" s="83" t="s">
        <v>70</v>
      </c>
      <c r="G2641" s="102" t="e">
        <f>+G2624</f>
        <v>#REF!</v>
      </c>
      <c r="H2641" s="92"/>
      <c r="I2641" s="97">
        <f>+C2645</f>
        <v>46183</v>
      </c>
    </row>
    <row r="2642" spans="2:9" ht="18" x14ac:dyDescent="0.25">
      <c r="B2642" s="79"/>
      <c r="C2642" s="84"/>
      <c r="D2642" s="88"/>
      <c r="E2642" s="83"/>
      <c r="F2642" s="83" t="s">
        <v>71</v>
      </c>
      <c r="G2642" s="102" t="e">
        <f>+G2625</f>
        <v>#REF!</v>
      </c>
      <c r="H2642" s="79"/>
      <c r="I2642" s="83"/>
    </row>
    <row r="2643" spans="2:9" ht="18" x14ac:dyDescent="0.25">
      <c r="B2643" s="79"/>
      <c r="C2643" s="83"/>
      <c r="D2643" s="88"/>
      <c r="E2643" s="83"/>
      <c r="F2643" s="83" t="s">
        <v>72</v>
      </c>
      <c r="G2643" s="102" t="e">
        <f>+G2626</f>
        <v>#REF!</v>
      </c>
      <c r="H2643" s="83"/>
      <c r="I2643" s="83"/>
    </row>
    <row r="2644" spans="2:9" ht="18" x14ac:dyDescent="0.25">
      <c r="B2644" s="79"/>
      <c r="C2644" s="93"/>
      <c r="D2644" s="93"/>
      <c r="E2644" s="93"/>
      <c r="F2644" s="83" t="s">
        <v>73</v>
      </c>
      <c r="G2644" s="102" t="e">
        <f>+G2627</f>
        <v>#REF!</v>
      </c>
      <c r="H2644" s="83"/>
      <c r="I2644" s="83"/>
    </row>
    <row r="2645" spans="2:9" ht="18" x14ac:dyDescent="0.25">
      <c r="B2645" s="79"/>
      <c r="C2645" s="97">
        <f>+$H$43</f>
        <v>46183</v>
      </c>
      <c r="D2645" s="157" t="e">
        <f>+G2628</f>
        <v>#REF!</v>
      </c>
      <c r="E2645" s="83"/>
      <c r="F2645" s="83" t="s">
        <v>181</v>
      </c>
      <c r="G2645" s="135">
        <v>0</v>
      </c>
      <c r="H2645" s="83"/>
      <c r="I2645" s="83"/>
    </row>
    <row r="2646" spans="2:9" ht="18" x14ac:dyDescent="0.25">
      <c r="B2646" s="79"/>
      <c r="C2646" s="83"/>
      <c r="D2646" s="88"/>
      <c r="E2646" s="83"/>
      <c r="F2646" s="83" t="s">
        <v>74</v>
      </c>
      <c r="G2646" s="102" t="e">
        <f>+G2628</f>
        <v>#REF!</v>
      </c>
      <c r="H2646" s="83"/>
      <c r="I2646" s="83"/>
    </row>
    <row r="2647" spans="2:9" ht="18" x14ac:dyDescent="0.25">
      <c r="B2647" s="79"/>
      <c r="C2647" s="83"/>
      <c r="D2647" s="88"/>
      <c r="E2647" s="83"/>
      <c r="F2647" s="83"/>
      <c r="G2647" s="83"/>
      <c r="H2647" s="83"/>
      <c r="I2647" s="83"/>
    </row>
    <row r="2648" spans="2:9" ht="18" x14ac:dyDescent="0.25">
      <c r="C2648" s="83"/>
      <c r="D2648" s="88"/>
      <c r="E2648" s="83"/>
      <c r="F2648" s="100"/>
      <c r="G2648" s="83"/>
      <c r="H2648" s="83"/>
      <c r="I2648" s="83"/>
    </row>
    <row r="2649" spans="2:9" ht="18" x14ac:dyDescent="0.25">
      <c r="C2649" s="83"/>
      <c r="D2649" s="88"/>
      <c r="E2649" s="83"/>
      <c r="F2649" s="83"/>
      <c r="G2649" s="83"/>
      <c r="H2649" s="83"/>
      <c r="I2649" s="91"/>
    </row>
    <row r="2650" spans="2:9" ht="11.25" customHeight="1" x14ac:dyDescent="0.25">
      <c r="F2650" s="83"/>
      <c r="H2650" s="91"/>
      <c r="I2650" s="83"/>
    </row>
    <row r="2652" spans="2:9" ht="18" x14ac:dyDescent="0.25">
      <c r="C2652" s="424"/>
      <c r="D2652" s="424"/>
      <c r="E2652" s="424"/>
      <c r="F2652" s="433">
        <f>+$C$1</f>
        <v>46143</v>
      </c>
      <c r="G2652" s="83"/>
      <c r="H2652" s="429">
        <f>+$E$1</f>
        <v>46183</v>
      </c>
      <c r="I2652" s="83"/>
    </row>
    <row r="2653" spans="2:9" ht="18" x14ac:dyDescent="0.25">
      <c r="C2653" s="82"/>
      <c r="D2653" s="82"/>
      <c r="E2653" s="98"/>
      <c r="F2653" s="433"/>
      <c r="G2653" s="83"/>
      <c r="H2653" s="429"/>
      <c r="I2653" s="83"/>
    </row>
    <row r="2654" spans="2:9" ht="18" x14ac:dyDescent="0.25">
      <c r="C2654" s="83"/>
      <c r="D2654" s="88"/>
      <c r="E2654" s="83"/>
      <c r="F2654" s="84"/>
      <c r="G2654" s="83"/>
      <c r="H2654" s="84"/>
      <c r="I2654" s="83"/>
    </row>
    <row r="2655" spans="2:9" ht="18" x14ac:dyDescent="0.25">
      <c r="C2655" s="83" t="e">
        <f>+#REF!</f>
        <v>#REF!</v>
      </c>
      <c r="D2655" s="88"/>
      <c r="E2655" s="83"/>
      <c r="F2655" s="84"/>
      <c r="G2655" s="83"/>
      <c r="H2655" s="84"/>
      <c r="I2655" s="83"/>
    </row>
    <row r="2656" spans="2:9" ht="18" x14ac:dyDescent="0.25">
      <c r="C2656" s="84"/>
      <c r="D2656" s="88"/>
      <c r="E2656" s="83"/>
      <c r="F2656" s="83" t="s">
        <v>293</v>
      </c>
      <c r="G2656" s="83"/>
      <c r="H2656" s="83"/>
      <c r="I2656" s="90" t="s">
        <v>145</v>
      </c>
    </row>
    <row r="2657" spans="3:9" ht="18" x14ac:dyDescent="0.25">
      <c r="C2657" s="83"/>
      <c r="D2657" s="88"/>
      <c r="E2657" s="83"/>
      <c r="F2657" s="84"/>
      <c r="G2657" s="83"/>
      <c r="H2657" s="83"/>
      <c r="I2657" s="84"/>
    </row>
    <row r="2658" spans="3:9" ht="18" x14ac:dyDescent="0.25">
      <c r="C2658" s="91"/>
      <c r="D2658" s="88"/>
      <c r="E2658" s="91"/>
      <c r="F2658" s="83"/>
      <c r="G2658" s="83"/>
      <c r="H2658" s="83"/>
      <c r="I2658" s="83"/>
    </row>
    <row r="2659" spans="3:9" ht="18" x14ac:dyDescent="0.25">
      <c r="C2659" s="91"/>
      <c r="D2659" s="88"/>
      <c r="E2659" s="91"/>
      <c r="F2659" s="83"/>
      <c r="G2659" s="83"/>
      <c r="H2659" s="83"/>
      <c r="I2659" s="83"/>
    </row>
    <row r="2660" spans="3:9" ht="18" x14ac:dyDescent="0.25">
      <c r="C2660" s="83" t="s">
        <v>68</v>
      </c>
      <c r="D2660" s="88"/>
      <c r="E2660" s="103" t="e">
        <f>+'RES CUENTA'!#REF!</f>
        <v>#REF!</v>
      </c>
      <c r="F2660" s="104" t="e">
        <f>+'RES CUENTA'!#REF!</f>
        <v>#REF!</v>
      </c>
      <c r="G2660" s="101" t="e">
        <f>+E2660*F2660/100</f>
        <v>#REF!</v>
      </c>
      <c r="H2660" s="425"/>
      <c r="I2660" s="425"/>
    </row>
    <row r="2661" spans="3:9" ht="18" x14ac:dyDescent="0.25">
      <c r="C2661" s="83" t="s">
        <v>69</v>
      </c>
      <c r="D2661" s="88"/>
      <c r="E2661" s="103" t="e">
        <f>+'RES CUENTA'!#REF!</f>
        <v>#REF!</v>
      </c>
      <c r="F2661" s="104" t="e">
        <f>+'RES CUENTA'!#REF!</f>
        <v>#REF!</v>
      </c>
      <c r="G2661" s="101" t="e">
        <f>+E2661*F2661/100</f>
        <v>#REF!</v>
      </c>
      <c r="H2661" s="430"/>
      <c r="I2661" s="430"/>
    </row>
    <row r="2662" spans="3:9" ht="18" x14ac:dyDescent="0.25">
      <c r="C2662" s="83" t="s">
        <v>181</v>
      </c>
      <c r="D2662" s="88"/>
      <c r="E2662" s="103" t="e">
        <f>+'RES CUENTA'!#REF!</f>
        <v>#REF!</v>
      </c>
      <c r="F2662" s="104">
        <v>0</v>
      </c>
      <c r="G2662" s="101" t="e">
        <f>+E2662</f>
        <v>#REF!</v>
      </c>
      <c r="H2662" s="430"/>
      <c r="I2662" s="430"/>
    </row>
    <row r="2663" spans="3:9" ht="18" x14ac:dyDescent="0.25">
      <c r="C2663" s="83" t="s">
        <v>213</v>
      </c>
      <c r="D2663" s="88"/>
      <c r="E2663" s="103" t="e">
        <f>+'RES CUENTA'!#REF!</f>
        <v>#REF!</v>
      </c>
      <c r="F2663" s="104">
        <v>0</v>
      </c>
      <c r="G2663" s="134" t="e">
        <f>+E2663</f>
        <v>#REF!</v>
      </c>
      <c r="H2663" s="430"/>
      <c r="I2663" s="430"/>
    </row>
    <row r="2664" spans="3:9" ht="18" x14ac:dyDescent="0.25">
      <c r="C2664" s="84"/>
      <c r="D2664" s="88"/>
      <c r="E2664" s="83"/>
      <c r="F2664" s="89"/>
      <c r="G2664" s="101" t="e">
        <f>SUM(G2660:G2663)</f>
        <v>#REF!</v>
      </c>
      <c r="H2664" s="430"/>
      <c r="I2664" s="430"/>
    </row>
    <row r="2665" spans="3:9" ht="18" x14ac:dyDescent="0.25">
      <c r="C2665" s="84"/>
      <c r="D2665" s="88"/>
      <c r="E2665" s="83"/>
      <c r="F2665" s="89"/>
      <c r="G2665" s="101"/>
      <c r="H2665" s="87"/>
      <c r="I2665" s="87"/>
    </row>
    <row r="2666" spans="3:9" ht="18" x14ac:dyDescent="0.25">
      <c r="C2666" s="84"/>
      <c r="D2666" s="88"/>
      <c r="E2666" s="83"/>
      <c r="F2666" s="83"/>
      <c r="H2666" s="432"/>
      <c r="I2666" s="432"/>
    </row>
    <row r="2667" spans="3:9" ht="18" x14ac:dyDescent="0.25">
      <c r="C2667" s="83"/>
      <c r="D2667" s="88"/>
      <c r="E2667" s="83"/>
      <c r="F2667" s="83"/>
      <c r="G2667" s="85"/>
      <c r="H2667" s="88"/>
      <c r="I2667" s="88"/>
    </row>
    <row r="2668" spans="3:9" ht="18" x14ac:dyDescent="0.25">
      <c r="C2668" s="83"/>
      <c r="D2668" s="88"/>
      <c r="E2668" s="83"/>
      <c r="F2668" s="83"/>
      <c r="G2668" s="89"/>
      <c r="H2668" s="83"/>
      <c r="I2668" s="83"/>
    </row>
    <row r="2669" spans="3:9" ht="24" customHeight="1" x14ac:dyDescent="0.25">
      <c r="C2669" s="83"/>
      <c r="D2669" s="88"/>
      <c r="E2669" s="83"/>
      <c r="F2669" s="83"/>
      <c r="G2669" s="89"/>
      <c r="H2669" s="83"/>
      <c r="I2669" s="83"/>
    </row>
    <row r="2670" spans="3:9" ht="18" x14ac:dyDescent="0.25">
      <c r="C2670" s="83" t="e">
        <f>+C2655</f>
        <v>#REF!</v>
      </c>
      <c r="D2670" s="427"/>
      <c r="E2670" s="427"/>
      <c r="F2670" s="83" t="e">
        <f>+C2670</f>
        <v>#REF!</v>
      </c>
      <c r="G2670" s="89"/>
      <c r="H2670" s="83"/>
      <c r="I2670" s="83"/>
    </row>
    <row r="2671" spans="3:9" ht="18" x14ac:dyDescent="0.25">
      <c r="D2671" s="88"/>
      <c r="E2671" s="83"/>
      <c r="G2671" s="427"/>
      <c r="H2671" s="427"/>
      <c r="I2671" s="427"/>
    </row>
    <row r="2672" spans="3:9" ht="18" x14ac:dyDescent="0.25">
      <c r="C2672" s="83" t="str">
        <f>+$F$1</f>
        <v>MONTES DE OCA 1068/1070 C.A.B.A.</v>
      </c>
      <c r="D2672" s="88"/>
      <c r="E2672" s="90" t="str">
        <f>+I2656</f>
        <v>Unid. 71</v>
      </c>
      <c r="F2672" s="83" t="str">
        <f>+$F$1</f>
        <v>MONTES DE OCA 1068/1070 C.A.B.A.</v>
      </c>
      <c r="G2672" s="83"/>
      <c r="H2672" s="83"/>
      <c r="I2672" s="90" t="str">
        <f>+E2672</f>
        <v>Unid. 71</v>
      </c>
    </row>
    <row r="2673" spans="3:9" ht="18" x14ac:dyDescent="0.25">
      <c r="I2673" s="84"/>
    </row>
    <row r="2674" spans="3:9" ht="12.75" customHeight="1" x14ac:dyDescent="0.25">
      <c r="C2674" s="84"/>
      <c r="D2674" s="91"/>
      <c r="E2674" s="84"/>
      <c r="F2674" s="84"/>
      <c r="G2674" s="83"/>
      <c r="H2674" s="83"/>
    </row>
    <row r="2675" spans="3:9" ht="18" x14ac:dyDescent="0.25">
      <c r="C2675" s="83" t="str">
        <f>+$F$2</f>
        <v>P/Depósito o transferencia en Banco Santander Rio</v>
      </c>
      <c r="D2675" s="88"/>
      <c r="E2675" s="83"/>
      <c r="F2675" s="83"/>
      <c r="G2675" s="83"/>
      <c r="H2675" s="84"/>
      <c r="I2675" s="99"/>
    </row>
    <row r="2676" spans="3:9" ht="18" x14ac:dyDescent="0.25">
      <c r="C2676" s="83" t="str">
        <f>+$F$3</f>
        <v xml:space="preserve">Cta. Cte. $ N° 558-000162/1 </v>
      </c>
      <c r="D2676" s="88"/>
      <c r="E2676" s="83"/>
      <c r="F2676" s="93"/>
      <c r="G2676" s="83"/>
      <c r="H2676" s="91"/>
      <c r="I2676" s="83"/>
    </row>
    <row r="2677" spans="3:9" ht="18" x14ac:dyDescent="0.25">
      <c r="D2677" s="88"/>
      <c r="E2677" s="83"/>
      <c r="F2677" s="83" t="s">
        <v>70</v>
      </c>
      <c r="G2677" s="102" t="e">
        <f>+G2660</f>
        <v>#REF!</v>
      </c>
      <c r="I2677" s="97">
        <f>+C2682</f>
        <v>46183</v>
      </c>
    </row>
    <row r="2678" spans="3:9" ht="18" x14ac:dyDescent="0.25">
      <c r="C2678" s="84"/>
      <c r="D2678" s="88"/>
      <c r="E2678" s="83"/>
      <c r="F2678" s="83" t="s">
        <v>71</v>
      </c>
      <c r="G2678" s="102" t="e">
        <f>+G2661</f>
        <v>#REF!</v>
      </c>
    </row>
    <row r="2679" spans="3:9" ht="18" x14ac:dyDescent="0.25">
      <c r="C2679" s="84"/>
      <c r="D2679" s="88"/>
      <c r="E2679" s="83"/>
      <c r="F2679" s="83" t="s">
        <v>72</v>
      </c>
      <c r="G2679" s="102" t="e">
        <f>+G2662</f>
        <v>#REF!</v>
      </c>
      <c r="H2679" s="83"/>
      <c r="I2679" s="83"/>
    </row>
    <row r="2680" spans="3:9" ht="18" x14ac:dyDescent="0.25">
      <c r="C2680" s="83"/>
      <c r="D2680" s="88"/>
      <c r="E2680" s="83"/>
      <c r="F2680" s="83" t="s">
        <v>73</v>
      </c>
      <c r="G2680" s="102" t="e">
        <f>+G2663</f>
        <v>#REF!</v>
      </c>
      <c r="H2680" s="83"/>
      <c r="I2680" s="83"/>
    </row>
    <row r="2681" spans="3:9" ht="18" x14ac:dyDescent="0.25">
      <c r="C2681" s="93"/>
      <c r="D2681" s="93"/>
      <c r="E2681" s="93"/>
      <c r="F2681" s="83" t="s">
        <v>181</v>
      </c>
      <c r="G2681" s="135">
        <v>0</v>
      </c>
      <c r="H2681" s="83"/>
      <c r="I2681" s="83"/>
    </row>
    <row r="2682" spans="3:9" ht="18" x14ac:dyDescent="0.25">
      <c r="C2682" s="97">
        <f>+$H$43</f>
        <v>46183</v>
      </c>
      <c r="D2682" s="157" t="e">
        <f>+G2664</f>
        <v>#REF!</v>
      </c>
      <c r="E2682" s="83"/>
      <c r="F2682" s="83" t="s">
        <v>74</v>
      </c>
      <c r="G2682" s="102" t="e">
        <f>+G2664</f>
        <v>#REF!</v>
      </c>
      <c r="H2682" s="83"/>
      <c r="I2682" s="83"/>
    </row>
    <row r="2683" spans="3:9" ht="18" x14ac:dyDescent="0.25">
      <c r="C2683" s="83"/>
      <c r="D2683" s="88"/>
      <c r="E2683" s="83"/>
      <c r="F2683" s="83"/>
      <c r="G2683" s="83"/>
      <c r="H2683" s="83"/>
      <c r="I2683" s="83"/>
    </row>
    <row r="2684" spans="3:9" ht="18" x14ac:dyDescent="0.25">
      <c r="C2684" s="83"/>
      <c r="D2684" s="88"/>
      <c r="E2684" s="83"/>
      <c r="F2684" s="83"/>
      <c r="G2684" s="83"/>
      <c r="H2684" s="425"/>
      <c r="I2684" s="425"/>
    </row>
    <row r="2685" spans="3:9" ht="18" x14ac:dyDescent="0.25">
      <c r="C2685" s="83"/>
      <c r="D2685" s="88"/>
      <c r="E2685" s="83"/>
      <c r="F2685" s="83"/>
      <c r="G2685" s="83"/>
      <c r="H2685" s="83"/>
      <c r="I2685" s="83"/>
    </row>
    <row r="2686" spans="3:9" ht="18" x14ac:dyDescent="0.25">
      <c r="C2686" s="83"/>
      <c r="D2686" s="88"/>
      <c r="E2686" s="83"/>
      <c r="F2686" s="83"/>
      <c r="G2686" s="83"/>
      <c r="H2686" s="83"/>
      <c r="I2686" s="83"/>
    </row>
    <row r="2687" spans="3:9" ht="18" x14ac:dyDescent="0.25">
      <c r="C2687" s="83"/>
      <c r="D2687" s="88"/>
      <c r="E2687" s="83"/>
      <c r="F2687" s="83"/>
      <c r="G2687" s="83"/>
      <c r="H2687" s="83"/>
      <c r="I2687" s="83"/>
    </row>
    <row r="2688" spans="3:9" ht="18" x14ac:dyDescent="0.25">
      <c r="C2688" s="83"/>
      <c r="D2688" s="88"/>
      <c r="E2688" s="83"/>
      <c r="F2688" s="83"/>
      <c r="G2688" s="83"/>
      <c r="I2688" s="83"/>
    </row>
    <row r="2689" spans="3:9" ht="18" x14ac:dyDescent="0.25">
      <c r="C2689" s="83"/>
      <c r="D2689" s="88"/>
      <c r="E2689" s="83"/>
      <c r="F2689" s="83"/>
      <c r="G2689" s="83"/>
      <c r="I2689" s="83"/>
    </row>
    <row r="2690" spans="3:9" ht="18" x14ac:dyDescent="0.25">
      <c r="C2690" s="424"/>
      <c r="D2690" s="424"/>
      <c r="E2690" s="424"/>
      <c r="F2690" s="83"/>
      <c r="G2690" s="83"/>
      <c r="I2690" s="83"/>
    </row>
    <row r="2691" spans="3:9" ht="18" x14ac:dyDescent="0.25">
      <c r="C2691" s="424"/>
      <c r="D2691" s="424"/>
      <c r="E2691" s="424"/>
      <c r="F2691" s="96">
        <f>+$C$1</f>
        <v>46143</v>
      </c>
      <c r="G2691" s="83"/>
      <c r="H2691" s="97">
        <f>+$E$1</f>
        <v>46183</v>
      </c>
      <c r="I2691" s="95"/>
    </row>
    <row r="2692" spans="3:9" ht="18" x14ac:dyDescent="0.25">
      <c r="C2692" s="82"/>
      <c r="D2692" s="82"/>
      <c r="E2692" s="98"/>
      <c r="F2692" s="96"/>
      <c r="G2692" s="83"/>
    </row>
    <row r="2693" spans="3:9" ht="18" x14ac:dyDescent="0.25">
      <c r="C2693" s="83" t="e">
        <f>+#REF!</f>
        <v>#REF!</v>
      </c>
      <c r="D2693" s="88"/>
      <c r="E2693" s="83"/>
      <c r="G2693" s="83"/>
    </row>
    <row r="2694" spans="3:9" ht="18" x14ac:dyDescent="0.25">
      <c r="D2694" s="88"/>
      <c r="E2694" s="83"/>
      <c r="F2694" s="83" t="str">
        <f>+$F$1</f>
        <v>MONTES DE OCA 1068/1070 C.A.B.A.</v>
      </c>
      <c r="G2694" s="83"/>
      <c r="I2694" s="90" t="s">
        <v>146</v>
      </c>
    </row>
    <row r="2695" spans="3:9" ht="18" x14ac:dyDescent="0.25">
      <c r="C2695" s="84"/>
      <c r="D2695" s="88"/>
      <c r="E2695" s="83"/>
      <c r="G2695" s="83"/>
      <c r="H2695" s="84"/>
    </row>
    <row r="2696" spans="3:9" ht="18" x14ac:dyDescent="0.25">
      <c r="C2696" s="83"/>
      <c r="D2696" s="88"/>
      <c r="E2696" s="83"/>
      <c r="F2696" s="84"/>
      <c r="G2696" s="83"/>
      <c r="H2696" s="83"/>
      <c r="I2696" s="84"/>
    </row>
    <row r="2697" spans="3:9" ht="18" x14ac:dyDescent="0.25">
      <c r="C2697" s="91"/>
      <c r="D2697" s="88"/>
      <c r="E2697" s="91"/>
      <c r="F2697" s="83"/>
      <c r="G2697" s="83"/>
      <c r="H2697" s="83"/>
      <c r="I2697" s="83"/>
    </row>
    <row r="2698" spans="3:9" ht="18" x14ac:dyDescent="0.25">
      <c r="C2698" s="83" t="s">
        <v>68</v>
      </c>
      <c r="D2698" s="88"/>
      <c r="E2698" s="103" t="e">
        <f>+'RES CUENTA'!#REF!</f>
        <v>#REF!</v>
      </c>
      <c r="F2698" s="104" t="e">
        <f>+'RES CUENTA'!#REF!</f>
        <v>#REF!</v>
      </c>
      <c r="G2698" s="101" t="e">
        <f>+E2698*F2698/100</f>
        <v>#REF!</v>
      </c>
      <c r="H2698" s="83"/>
      <c r="I2698" s="91"/>
    </row>
    <row r="2699" spans="3:9" ht="18" x14ac:dyDescent="0.25">
      <c r="C2699" s="83" t="s">
        <v>69</v>
      </c>
      <c r="D2699" s="88"/>
      <c r="E2699" s="103" t="e">
        <f>+'RES CUENTA'!#REF!</f>
        <v>#REF!</v>
      </c>
      <c r="F2699" s="104" t="e">
        <f>+'RES CUENTA'!#REF!</f>
        <v>#REF!</v>
      </c>
      <c r="G2699" s="101" t="e">
        <f>+E2699*F2699/100</f>
        <v>#REF!</v>
      </c>
      <c r="H2699" s="91"/>
      <c r="I2699" s="87"/>
    </row>
    <row r="2700" spans="3:9" ht="18" x14ac:dyDescent="0.25">
      <c r="C2700" s="83" t="s">
        <v>181</v>
      </c>
      <c r="D2700" s="88"/>
      <c r="E2700" s="103" t="e">
        <f>+'RES CUENTA'!#REF!</f>
        <v>#REF!</v>
      </c>
      <c r="F2700" s="104">
        <f>+'RES CUENTA'!M1769</f>
        <v>0</v>
      </c>
      <c r="G2700" s="101" t="e">
        <f>+E2700</f>
        <v>#REF!</v>
      </c>
      <c r="H2700" s="87"/>
      <c r="I2700" s="87"/>
    </row>
    <row r="2701" spans="3:9" ht="18" x14ac:dyDescent="0.25">
      <c r="C2701" s="83" t="s">
        <v>213</v>
      </c>
      <c r="D2701" s="88"/>
      <c r="E2701" s="103" t="e">
        <f>+'RES CUENTA'!#REF!</f>
        <v>#REF!</v>
      </c>
      <c r="F2701" s="104">
        <f>+'RES CUENTA'!N1768</f>
        <v>0</v>
      </c>
      <c r="G2701" s="134" t="e">
        <f>+E2701</f>
        <v>#REF!</v>
      </c>
      <c r="H2701" s="87"/>
      <c r="I2701" s="87"/>
    </row>
    <row r="2702" spans="3:9" ht="18" x14ac:dyDescent="0.25">
      <c r="C2702" s="84"/>
      <c r="D2702" s="88"/>
      <c r="E2702" s="83"/>
      <c r="G2702" s="101" t="e">
        <f>SUM(G2698:G2701)</f>
        <v>#REF!</v>
      </c>
      <c r="H2702" s="87"/>
      <c r="I2702" s="88"/>
    </row>
    <row r="2703" spans="3:9" ht="18" x14ac:dyDescent="0.25">
      <c r="C2703" s="83"/>
      <c r="D2703" s="88"/>
      <c r="E2703" s="83"/>
      <c r="F2703" s="83"/>
      <c r="G2703" s="89"/>
      <c r="H2703" s="88"/>
      <c r="I2703" s="88"/>
    </row>
    <row r="2704" spans="3:9" ht="18" x14ac:dyDescent="0.25">
      <c r="C2704" s="83"/>
      <c r="D2704" s="88"/>
      <c r="E2704" s="83"/>
      <c r="F2704" s="83"/>
      <c r="G2704" s="89"/>
      <c r="H2704" s="88"/>
      <c r="I2704" s="88"/>
    </row>
    <row r="2705" spans="3:9" ht="18" x14ac:dyDescent="0.25">
      <c r="C2705" s="83"/>
      <c r="D2705" s="88"/>
      <c r="E2705" s="83"/>
      <c r="F2705" s="83"/>
      <c r="G2705" s="89"/>
      <c r="H2705" s="88"/>
      <c r="I2705" s="88"/>
    </row>
    <row r="2706" spans="3:9" ht="18" x14ac:dyDescent="0.25">
      <c r="C2706" s="83"/>
      <c r="D2706" s="88"/>
      <c r="E2706" s="83"/>
      <c r="F2706" s="83"/>
      <c r="G2706" s="89"/>
      <c r="H2706" s="88"/>
      <c r="I2706" s="88"/>
    </row>
    <row r="2707" spans="3:9" ht="23.25" customHeight="1" x14ac:dyDescent="0.25">
      <c r="C2707" s="83"/>
      <c r="D2707" s="88"/>
      <c r="E2707" s="83"/>
      <c r="F2707" s="83"/>
      <c r="G2707" s="89"/>
      <c r="H2707" s="88"/>
      <c r="I2707" s="83"/>
    </row>
    <row r="2708" spans="3:9" ht="18" x14ac:dyDescent="0.25">
      <c r="C2708" s="83" t="e">
        <f>+C2693</f>
        <v>#REF!</v>
      </c>
      <c r="D2708" s="88"/>
      <c r="E2708" s="83"/>
      <c r="F2708" s="83" t="e">
        <f>+C2693</f>
        <v>#REF!</v>
      </c>
      <c r="G2708" s="83"/>
      <c r="H2708" s="83"/>
      <c r="I2708" s="99"/>
    </row>
    <row r="2709" spans="3:9" ht="18" x14ac:dyDescent="0.25">
      <c r="C2709" s="84"/>
      <c r="D2709" s="88"/>
      <c r="E2709" s="83"/>
      <c r="G2709" s="83"/>
      <c r="H2709" s="99"/>
      <c r="I2709" s="90" t="str">
        <f>+I2694</f>
        <v>Unid. 72</v>
      </c>
    </row>
    <row r="2710" spans="3:9" ht="18" x14ac:dyDescent="0.25">
      <c r="C2710" s="83" t="str">
        <f>+$F$1</f>
        <v>MONTES DE OCA 1068/1070 C.A.B.A.</v>
      </c>
      <c r="D2710" s="88"/>
      <c r="E2710" s="90" t="str">
        <f>+I2709</f>
        <v>Unid. 72</v>
      </c>
      <c r="F2710" s="83" t="str">
        <f>+$F$1</f>
        <v>MONTES DE OCA 1068/1070 C.A.B.A.</v>
      </c>
      <c r="G2710" s="83"/>
      <c r="H2710" s="83"/>
      <c r="I2710" s="84"/>
    </row>
    <row r="2711" spans="3:9" ht="18" x14ac:dyDescent="0.25">
      <c r="C2711" s="84"/>
      <c r="D2711" s="91"/>
      <c r="E2711" s="84"/>
      <c r="G2711" s="83"/>
      <c r="H2711" s="83"/>
    </row>
    <row r="2712" spans="3:9" ht="14.25" customHeight="1" x14ac:dyDescent="0.25">
      <c r="C2712" s="83"/>
      <c r="D2712" s="88"/>
      <c r="E2712" s="83"/>
      <c r="F2712" s="84"/>
      <c r="G2712" s="83"/>
      <c r="H2712" s="83"/>
      <c r="I2712" s="99"/>
    </row>
    <row r="2713" spans="3:9" ht="18" x14ac:dyDescent="0.25">
      <c r="C2713" s="83" t="str">
        <f>+$F$2</f>
        <v>P/Depósito o transferencia en Banco Santander Rio</v>
      </c>
      <c r="D2713" s="88"/>
      <c r="E2713" s="83"/>
      <c r="F2713" s="83"/>
      <c r="G2713" s="128"/>
      <c r="H2713" s="84"/>
      <c r="I2713" s="83"/>
    </row>
    <row r="2714" spans="3:9" ht="18" x14ac:dyDescent="0.25">
      <c r="C2714" s="83" t="str">
        <f>+$F$3</f>
        <v xml:space="preserve">Cta. Cte. $ N° 558-000162/1 </v>
      </c>
      <c r="D2714" s="88"/>
      <c r="E2714" s="83"/>
      <c r="F2714" s="93"/>
      <c r="H2714" s="91"/>
      <c r="I2714" s="92"/>
    </row>
    <row r="2715" spans="3:9" ht="18" x14ac:dyDescent="0.25">
      <c r="C2715" s="84"/>
      <c r="D2715" s="88"/>
      <c r="E2715" s="83"/>
      <c r="F2715" s="83" t="s">
        <v>70</v>
      </c>
      <c r="G2715" s="102" t="e">
        <f>+G2698</f>
        <v>#REF!</v>
      </c>
      <c r="H2715" s="92"/>
      <c r="I2715" s="97">
        <f>+C2719</f>
        <v>46183</v>
      </c>
    </row>
    <row r="2716" spans="3:9" ht="18" x14ac:dyDescent="0.25">
      <c r="C2716" s="84"/>
      <c r="D2716" s="88"/>
      <c r="E2716" s="83"/>
      <c r="F2716" s="83" t="s">
        <v>71</v>
      </c>
      <c r="G2716" s="102" t="e">
        <f>+G2699</f>
        <v>#REF!</v>
      </c>
      <c r="I2716" s="83"/>
    </row>
    <row r="2717" spans="3:9" ht="18" x14ac:dyDescent="0.25">
      <c r="C2717" s="83"/>
      <c r="D2717" s="88"/>
      <c r="E2717" s="83"/>
      <c r="F2717" s="83" t="s">
        <v>72</v>
      </c>
      <c r="G2717" s="102" t="e">
        <f>+G2700</f>
        <v>#REF!</v>
      </c>
      <c r="H2717" s="83"/>
      <c r="I2717" s="83"/>
    </row>
    <row r="2718" spans="3:9" ht="18" x14ac:dyDescent="0.25">
      <c r="C2718" s="93"/>
      <c r="D2718" s="93"/>
      <c r="E2718" s="93"/>
      <c r="F2718" s="83" t="s">
        <v>73</v>
      </c>
      <c r="G2718" s="102" t="e">
        <f>+G2701</f>
        <v>#REF!</v>
      </c>
      <c r="H2718" s="83"/>
      <c r="I2718" s="83"/>
    </row>
    <row r="2719" spans="3:9" ht="18" x14ac:dyDescent="0.25">
      <c r="C2719" s="97">
        <f>+$H$43</f>
        <v>46183</v>
      </c>
      <c r="D2719" s="157" t="e">
        <f>+G2702</f>
        <v>#REF!</v>
      </c>
      <c r="E2719" s="83"/>
      <c r="F2719" s="83" t="s">
        <v>181</v>
      </c>
      <c r="G2719" s="135">
        <v>0</v>
      </c>
      <c r="H2719" s="83"/>
      <c r="I2719" s="83"/>
    </row>
    <row r="2720" spans="3:9" ht="18" x14ac:dyDescent="0.25">
      <c r="C2720" s="83"/>
      <c r="D2720" s="88"/>
      <c r="E2720" s="83"/>
      <c r="F2720" s="83" t="s">
        <v>74</v>
      </c>
      <c r="G2720" s="102" t="e">
        <f>+G2702</f>
        <v>#REF!</v>
      </c>
      <c r="H2720" s="83"/>
      <c r="I2720" s="83"/>
    </row>
    <row r="2721" spans="3:9" ht="18" x14ac:dyDescent="0.25">
      <c r="C2721" s="83"/>
      <c r="D2721" s="88"/>
      <c r="E2721" s="83"/>
      <c r="F2721" s="83"/>
      <c r="G2721" s="83"/>
      <c r="H2721" s="83"/>
      <c r="I2721" s="83"/>
    </row>
    <row r="2722" spans="3:9" ht="18" x14ac:dyDescent="0.25">
      <c r="C2722" s="83"/>
      <c r="D2722" s="88"/>
      <c r="E2722" s="83"/>
      <c r="F2722" s="100"/>
      <c r="G2722" s="83"/>
      <c r="H2722" s="83"/>
      <c r="I2722" s="83"/>
    </row>
    <row r="2723" spans="3:9" ht="18" x14ac:dyDescent="0.25">
      <c r="C2723" s="83"/>
      <c r="D2723" s="88"/>
      <c r="E2723" s="83"/>
      <c r="F2723" s="83"/>
      <c r="G2723" s="83"/>
      <c r="H2723" s="83"/>
      <c r="I2723" s="91"/>
    </row>
    <row r="2724" spans="3:9" ht="8.25" customHeight="1" x14ac:dyDescent="0.25">
      <c r="F2724" s="83"/>
      <c r="H2724" s="91"/>
      <c r="I2724" s="83"/>
    </row>
    <row r="2726" spans="3:9" ht="18" x14ac:dyDescent="0.25">
      <c r="C2726" s="424"/>
      <c r="D2726" s="424"/>
      <c r="E2726" s="424"/>
      <c r="F2726" s="433">
        <f>+$C$1</f>
        <v>46143</v>
      </c>
      <c r="G2726" s="83"/>
      <c r="H2726" s="429">
        <f>+$E$1</f>
        <v>46183</v>
      </c>
      <c r="I2726" s="83"/>
    </row>
    <row r="2727" spans="3:9" ht="18" x14ac:dyDescent="0.25">
      <c r="C2727" s="82"/>
      <c r="D2727" s="82"/>
      <c r="E2727" s="98"/>
      <c r="F2727" s="433"/>
      <c r="G2727" s="83"/>
      <c r="H2727" s="429"/>
      <c r="I2727" s="83"/>
    </row>
    <row r="2728" spans="3:9" ht="18" x14ac:dyDescent="0.25">
      <c r="C2728" s="83"/>
      <c r="D2728" s="88"/>
      <c r="E2728" s="83"/>
      <c r="F2728" s="84"/>
      <c r="G2728" s="83"/>
      <c r="H2728" s="84"/>
      <c r="I2728" s="83"/>
    </row>
    <row r="2729" spans="3:9" ht="18" x14ac:dyDescent="0.25">
      <c r="C2729" s="83" t="e">
        <f>+#REF!</f>
        <v>#REF!</v>
      </c>
      <c r="D2729" s="88"/>
      <c r="E2729" s="83"/>
      <c r="F2729" s="84"/>
      <c r="G2729" s="83"/>
      <c r="H2729" s="84"/>
      <c r="I2729" s="83"/>
    </row>
    <row r="2730" spans="3:9" ht="18" x14ac:dyDescent="0.25">
      <c r="C2730" s="84"/>
      <c r="D2730" s="88"/>
      <c r="E2730" s="83"/>
      <c r="F2730" s="83" t="s">
        <v>293</v>
      </c>
      <c r="G2730" s="83"/>
      <c r="H2730" s="83"/>
      <c r="I2730" s="90" t="s">
        <v>147</v>
      </c>
    </row>
    <row r="2731" spans="3:9" ht="18" x14ac:dyDescent="0.25">
      <c r="C2731" s="83"/>
      <c r="D2731" s="88"/>
      <c r="E2731" s="83"/>
      <c r="F2731" s="84"/>
      <c r="G2731" s="83"/>
      <c r="H2731" s="83"/>
      <c r="I2731" s="84"/>
    </row>
    <row r="2732" spans="3:9" ht="18" x14ac:dyDescent="0.25">
      <c r="C2732" s="91"/>
      <c r="D2732" s="88"/>
      <c r="E2732" s="91"/>
      <c r="F2732" s="83"/>
      <c r="G2732" s="83"/>
      <c r="H2732" s="83"/>
      <c r="I2732" s="83"/>
    </row>
    <row r="2733" spans="3:9" ht="18" x14ac:dyDescent="0.25">
      <c r="C2733" s="91"/>
      <c r="D2733" s="88"/>
      <c r="E2733" s="91"/>
      <c r="F2733" s="83"/>
      <c r="G2733" s="83"/>
      <c r="H2733" s="83"/>
      <c r="I2733" s="83"/>
    </row>
    <row r="2734" spans="3:9" ht="18" x14ac:dyDescent="0.25">
      <c r="C2734" s="83" t="s">
        <v>68</v>
      </c>
      <c r="D2734" s="88"/>
      <c r="E2734" s="103" t="e">
        <f>+'RES CUENTA'!#REF!</f>
        <v>#REF!</v>
      </c>
      <c r="F2734" s="104" t="e">
        <f>+'RES CUENTA'!#REF!</f>
        <v>#REF!</v>
      </c>
      <c r="G2734" s="101" t="e">
        <f>+E2734*F2734/100</f>
        <v>#REF!</v>
      </c>
      <c r="H2734" s="425"/>
      <c r="I2734" s="425"/>
    </row>
    <row r="2735" spans="3:9" ht="18" x14ac:dyDescent="0.25">
      <c r="C2735" s="83" t="s">
        <v>69</v>
      </c>
      <c r="D2735" s="88"/>
      <c r="E2735" s="103" t="e">
        <f>+'RES CUENTA'!#REF!</f>
        <v>#REF!</v>
      </c>
      <c r="F2735" s="104" t="e">
        <f>+'RES CUENTA'!#REF!</f>
        <v>#REF!</v>
      </c>
      <c r="G2735" s="101" t="e">
        <f>+E2735*F2735/100</f>
        <v>#REF!</v>
      </c>
      <c r="H2735" s="430"/>
      <c r="I2735" s="430"/>
    </row>
    <row r="2736" spans="3:9" ht="18" x14ac:dyDescent="0.25">
      <c r="C2736" s="83" t="s">
        <v>181</v>
      </c>
      <c r="D2736" s="88"/>
      <c r="E2736" s="103" t="e">
        <f>+'RES CUENTA'!#REF!</f>
        <v>#REF!</v>
      </c>
      <c r="F2736" s="104">
        <v>0</v>
      </c>
      <c r="G2736" s="101" t="e">
        <f>+E2736</f>
        <v>#REF!</v>
      </c>
      <c r="H2736" s="430"/>
      <c r="I2736" s="430"/>
    </row>
    <row r="2737" spans="3:9" ht="18" x14ac:dyDescent="0.25">
      <c r="C2737" s="83" t="s">
        <v>213</v>
      </c>
      <c r="D2737" s="88"/>
      <c r="E2737" s="103" t="e">
        <f>+'RES CUENTA'!#REF!</f>
        <v>#REF!</v>
      </c>
      <c r="F2737" s="104">
        <v>0</v>
      </c>
      <c r="G2737" s="134" t="e">
        <f>+E2737</f>
        <v>#REF!</v>
      </c>
      <c r="H2737" s="430"/>
      <c r="I2737" s="430"/>
    </row>
    <row r="2738" spans="3:9" ht="18" x14ac:dyDescent="0.25">
      <c r="C2738" s="84"/>
      <c r="D2738" s="88"/>
      <c r="E2738" s="83"/>
      <c r="F2738" s="89"/>
      <c r="G2738" s="101" t="e">
        <f>SUM(G2734:G2737)</f>
        <v>#REF!</v>
      </c>
      <c r="H2738" s="430"/>
      <c r="I2738" s="430"/>
    </row>
    <row r="2739" spans="3:9" ht="18" x14ac:dyDescent="0.25">
      <c r="C2739" s="84"/>
      <c r="D2739" s="88"/>
      <c r="E2739" s="83"/>
      <c r="F2739" s="89"/>
      <c r="G2739" s="101"/>
      <c r="H2739" s="87"/>
      <c r="I2739" s="87"/>
    </row>
    <row r="2740" spans="3:9" ht="18" x14ac:dyDescent="0.25">
      <c r="C2740" s="84"/>
      <c r="D2740" s="88"/>
      <c r="E2740" s="83"/>
      <c r="F2740" s="83"/>
      <c r="H2740" s="432"/>
      <c r="I2740" s="432"/>
    </row>
    <row r="2741" spans="3:9" ht="18" x14ac:dyDescent="0.25">
      <c r="C2741" s="83"/>
      <c r="D2741" s="88"/>
      <c r="E2741" s="83"/>
      <c r="F2741" s="83"/>
      <c r="G2741" s="85"/>
      <c r="H2741" s="88"/>
      <c r="I2741" s="88"/>
    </row>
    <row r="2742" spans="3:9" ht="18" x14ac:dyDescent="0.25">
      <c r="C2742" s="83"/>
      <c r="D2742" s="88"/>
      <c r="E2742" s="83"/>
      <c r="F2742" s="83"/>
      <c r="G2742" s="89"/>
      <c r="H2742" s="83"/>
      <c r="I2742" s="83"/>
    </row>
    <row r="2743" spans="3:9" ht="23.25" customHeight="1" x14ac:dyDescent="0.25">
      <c r="C2743" s="83"/>
      <c r="D2743" s="88"/>
      <c r="E2743" s="83"/>
      <c r="F2743" s="83"/>
      <c r="G2743" s="89"/>
      <c r="H2743" s="83"/>
      <c r="I2743" s="83"/>
    </row>
    <row r="2744" spans="3:9" ht="18" x14ac:dyDescent="0.25">
      <c r="C2744" s="83" t="e">
        <f>+C2729</f>
        <v>#REF!</v>
      </c>
      <c r="D2744" s="427"/>
      <c r="E2744" s="427"/>
      <c r="F2744" s="83" t="e">
        <f>+C2744</f>
        <v>#REF!</v>
      </c>
      <c r="G2744" s="89"/>
      <c r="H2744" s="83"/>
      <c r="I2744" s="83"/>
    </row>
    <row r="2745" spans="3:9" ht="18" x14ac:dyDescent="0.25">
      <c r="D2745" s="88"/>
      <c r="E2745" s="83"/>
      <c r="G2745" s="427"/>
      <c r="H2745" s="427"/>
      <c r="I2745" s="427"/>
    </row>
    <row r="2746" spans="3:9" ht="18" x14ac:dyDescent="0.25">
      <c r="C2746" s="83" t="str">
        <f>+$F$1</f>
        <v>MONTES DE OCA 1068/1070 C.A.B.A.</v>
      </c>
      <c r="D2746" s="88"/>
      <c r="E2746" s="90" t="str">
        <f>+I2730</f>
        <v>Unid. 73</v>
      </c>
      <c r="F2746" s="83" t="str">
        <f>+$F$1</f>
        <v>MONTES DE OCA 1068/1070 C.A.B.A.</v>
      </c>
      <c r="G2746" s="83"/>
      <c r="H2746" s="83"/>
      <c r="I2746" s="90" t="str">
        <f>+E2746</f>
        <v>Unid. 73</v>
      </c>
    </row>
    <row r="2747" spans="3:9" ht="18" x14ac:dyDescent="0.25">
      <c r="I2747" s="84"/>
    </row>
    <row r="2748" spans="3:9" ht="12.75" customHeight="1" x14ac:dyDescent="0.25">
      <c r="C2748" s="84"/>
      <c r="D2748" s="91"/>
      <c r="E2748" s="84"/>
      <c r="F2748" s="84"/>
      <c r="G2748" s="83"/>
      <c r="H2748" s="83"/>
    </row>
    <row r="2749" spans="3:9" ht="18" x14ac:dyDescent="0.25">
      <c r="C2749" s="83" t="str">
        <f>+$F$2</f>
        <v>P/Depósito o transferencia en Banco Santander Rio</v>
      </c>
      <c r="D2749" s="88"/>
      <c r="E2749" s="83"/>
      <c r="F2749" s="83"/>
      <c r="G2749" s="83"/>
      <c r="H2749" s="84"/>
      <c r="I2749" s="99"/>
    </row>
    <row r="2750" spans="3:9" ht="18" x14ac:dyDescent="0.25">
      <c r="C2750" s="83" t="str">
        <f>+$F$3</f>
        <v xml:space="preserve">Cta. Cte. $ N° 558-000162/1 </v>
      </c>
      <c r="D2750" s="88"/>
      <c r="E2750" s="83"/>
      <c r="F2750" s="93"/>
      <c r="G2750" s="83"/>
      <c r="H2750" s="91"/>
      <c r="I2750" s="83"/>
    </row>
    <row r="2751" spans="3:9" ht="18" x14ac:dyDescent="0.25">
      <c r="D2751" s="88"/>
      <c r="E2751" s="83"/>
      <c r="F2751" s="83" t="s">
        <v>70</v>
      </c>
      <c r="G2751" s="102" t="e">
        <f>+G2734</f>
        <v>#REF!</v>
      </c>
      <c r="I2751" s="97">
        <f>+C2756</f>
        <v>46183</v>
      </c>
    </row>
    <row r="2752" spans="3:9" ht="18" x14ac:dyDescent="0.25">
      <c r="C2752" s="84"/>
      <c r="D2752" s="88"/>
      <c r="E2752" s="83"/>
      <c r="F2752" s="83" t="s">
        <v>71</v>
      </c>
      <c r="G2752" s="102" t="e">
        <f>+G2735</f>
        <v>#REF!</v>
      </c>
    </row>
    <row r="2753" spans="3:9" ht="18" x14ac:dyDescent="0.25">
      <c r="C2753" s="84"/>
      <c r="D2753" s="88"/>
      <c r="E2753" s="83"/>
      <c r="F2753" s="83" t="s">
        <v>72</v>
      </c>
      <c r="G2753" s="102" t="e">
        <f>+G2736</f>
        <v>#REF!</v>
      </c>
      <c r="H2753" s="83"/>
      <c r="I2753" s="83"/>
    </row>
    <row r="2754" spans="3:9" ht="18" x14ac:dyDescent="0.25">
      <c r="C2754" s="83"/>
      <c r="D2754" s="88"/>
      <c r="E2754" s="83"/>
      <c r="F2754" s="83" t="s">
        <v>73</v>
      </c>
      <c r="G2754" s="102" t="e">
        <f>+G2737</f>
        <v>#REF!</v>
      </c>
      <c r="H2754" s="83"/>
      <c r="I2754" s="83"/>
    </row>
    <row r="2755" spans="3:9" ht="18" x14ac:dyDescent="0.25">
      <c r="C2755" s="93"/>
      <c r="D2755" s="93"/>
      <c r="E2755" s="93"/>
      <c r="F2755" s="83" t="s">
        <v>181</v>
      </c>
      <c r="G2755" s="135">
        <v>0</v>
      </c>
      <c r="H2755" s="83"/>
      <c r="I2755" s="83"/>
    </row>
    <row r="2756" spans="3:9" ht="18" x14ac:dyDescent="0.25">
      <c r="C2756" s="97">
        <f>+$H$43</f>
        <v>46183</v>
      </c>
      <c r="D2756" s="157" t="e">
        <f>+G2738</f>
        <v>#REF!</v>
      </c>
      <c r="E2756" s="83"/>
      <c r="F2756" s="83" t="s">
        <v>74</v>
      </c>
      <c r="G2756" s="102" t="e">
        <f>+G2738</f>
        <v>#REF!</v>
      </c>
      <c r="H2756" s="83"/>
      <c r="I2756" s="83"/>
    </row>
    <row r="2757" spans="3:9" ht="18" x14ac:dyDescent="0.25">
      <c r="C2757" s="83"/>
      <c r="D2757" s="88"/>
      <c r="E2757" s="83"/>
      <c r="F2757" s="83"/>
      <c r="G2757" s="83"/>
      <c r="H2757" s="83"/>
      <c r="I2757" s="83"/>
    </row>
    <row r="2758" spans="3:9" ht="18" x14ac:dyDescent="0.25">
      <c r="C2758" s="83"/>
      <c r="D2758" s="88"/>
      <c r="E2758" s="83"/>
      <c r="F2758" s="83"/>
      <c r="G2758" s="83"/>
      <c r="H2758" s="425"/>
      <c r="I2758" s="425"/>
    </row>
    <row r="2759" spans="3:9" ht="18" x14ac:dyDescent="0.25">
      <c r="C2759" s="83"/>
      <c r="D2759" s="88"/>
      <c r="E2759" s="83"/>
      <c r="F2759" s="83"/>
      <c r="G2759" s="83"/>
      <c r="H2759" s="83"/>
      <c r="I2759" s="83"/>
    </row>
    <row r="2760" spans="3:9" ht="18" x14ac:dyDescent="0.25">
      <c r="C2760" s="83"/>
      <c r="D2760" s="88"/>
      <c r="E2760" s="83"/>
      <c r="F2760" s="83"/>
      <c r="G2760" s="83"/>
      <c r="H2760" s="83"/>
      <c r="I2760" s="83"/>
    </row>
    <row r="2761" spans="3:9" ht="18" x14ac:dyDescent="0.25">
      <c r="C2761" s="83"/>
      <c r="D2761" s="88"/>
      <c r="E2761" s="83"/>
      <c r="F2761" s="83"/>
      <c r="G2761" s="83"/>
      <c r="H2761" s="83"/>
      <c r="I2761" s="83"/>
    </row>
    <row r="2762" spans="3:9" ht="18" x14ac:dyDescent="0.25">
      <c r="C2762" s="83"/>
      <c r="D2762" s="88"/>
      <c r="E2762" s="83"/>
      <c r="F2762" s="83"/>
      <c r="G2762" s="83"/>
      <c r="H2762" s="83"/>
      <c r="I2762" s="83"/>
    </row>
    <row r="2763" spans="3:9" ht="18" x14ac:dyDescent="0.25">
      <c r="C2763" s="83"/>
      <c r="D2763" s="88"/>
      <c r="E2763" s="83"/>
      <c r="F2763" s="83"/>
      <c r="G2763" s="83"/>
      <c r="I2763" s="83"/>
    </row>
    <row r="2764" spans="3:9" ht="18" x14ac:dyDescent="0.25">
      <c r="C2764" s="424"/>
      <c r="D2764" s="424"/>
      <c r="E2764" s="424"/>
      <c r="F2764" s="83"/>
      <c r="G2764" s="83"/>
      <c r="I2764" s="83"/>
    </row>
    <row r="2765" spans="3:9" ht="18" x14ac:dyDescent="0.25">
      <c r="C2765" s="424"/>
      <c r="D2765" s="424"/>
      <c r="E2765" s="424"/>
      <c r="F2765" s="96">
        <f>+$C$1</f>
        <v>46143</v>
      </c>
      <c r="G2765" s="83"/>
      <c r="H2765" s="97">
        <f>+$E$1</f>
        <v>46183</v>
      </c>
      <c r="I2765" s="95"/>
    </row>
    <row r="2766" spans="3:9" ht="18" x14ac:dyDescent="0.25">
      <c r="C2766" s="82"/>
      <c r="D2766" s="82"/>
      <c r="E2766" s="98"/>
      <c r="F2766" s="96"/>
      <c r="G2766" s="83"/>
    </row>
    <row r="2767" spans="3:9" ht="18" x14ac:dyDescent="0.25">
      <c r="C2767" s="83" t="e">
        <f>+#REF!</f>
        <v>#REF!</v>
      </c>
      <c r="D2767" s="88"/>
      <c r="E2767" s="83"/>
      <c r="G2767" s="83"/>
    </row>
    <row r="2768" spans="3:9" ht="18" x14ac:dyDescent="0.25">
      <c r="D2768" s="88"/>
      <c r="E2768" s="83"/>
      <c r="F2768" s="83" t="str">
        <f>+$F$1</f>
        <v>MONTES DE OCA 1068/1070 C.A.B.A.</v>
      </c>
      <c r="G2768" s="83"/>
      <c r="I2768" s="90" t="s">
        <v>148</v>
      </c>
    </row>
    <row r="2769" spans="3:9" ht="18" x14ac:dyDescent="0.25">
      <c r="C2769" s="84"/>
      <c r="D2769" s="88"/>
      <c r="E2769" s="83"/>
      <c r="G2769" s="83"/>
      <c r="H2769" s="84"/>
    </row>
    <row r="2770" spans="3:9" ht="18" x14ac:dyDescent="0.25">
      <c r="C2770" s="83"/>
      <c r="D2770" s="88"/>
      <c r="E2770" s="83"/>
      <c r="F2770" s="84"/>
      <c r="G2770" s="83"/>
      <c r="H2770" s="83"/>
      <c r="I2770" s="84"/>
    </row>
    <row r="2771" spans="3:9" ht="18" x14ac:dyDescent="0.25">
      <c r="C2771" s="91"/>
      <c r="D2771" s="88"/>
      <c r="E2771" s="91"/>
      <c r="F2771" s="83"/>
      <c r="G2771" s="83"/>
      <c r="H2771" s="83"/>
      <c r="I2771" s="83"/>
    </row>
    <row r="2772" spans="3:9" ht="18" x14ac:dyDescent="0.25">
      <c r="C2772" s="83" t="s">
        <v>68</v>
      </c>
      <c r="D2772" s="88"/>
      <c r="E2772" s="103" t="e">
        <f>+'RES CUENTA'!#REF!</f>
        <v>#REF!</v>
      </c>
      <c r="F2772" s="104" t="e">
        <f>+'RES CUENTA'!#REF!</f>
        <v>#REF!</v>
      </c>
      <c r="G2772" s="101" t="e">
        <f>+E2772*F2772/100</f>
        <v>#REF!</v>
      </c>
      <c r="H2772" s="83"/>
      <c r="I2772" s="91"/>
    </row>
    <row r="2773" spans="3:9" ht="18" x14ac:dyDescent="0.25">
      <c r="C2773" s="83" t="s">
        <v>69</v>
      </c>
      <c r="D2773" s="88"/>
      <c r="E2773" s="103" t="e">
        <f>+'RES CUENTA'!#REF!</f>
        <v>#REF!</v>
      </c>
      <c r="F2773" s="104" t="e">
        <f>+'RES CUENTA'!#REF!</f>
        <v>#REF!</v>
      </c>
      <c r="G2773" s="101" t="e">
        <f>+E2773*F2773/100</f>
        <v>#REF!</v>
      </c>
      <c r="H2773" s="91"/>
      <c r="I2773" s="87"/>
    </row>
    <row r="2774" spans="3:9" ht="18" x14ac:dyDescent="0.25">
      <c r="C2774" s="83" t="s">
        <v>181</v>
      </c>
      <c r="D2774" s="88"/>
      <c r="E2774" s="103" t="e">
        <f>+'RES CUENTA'!#REF!</f>
        <v>#REF!</v>
      </c>
      <c r="F2774" s="104">
        <f>+'RES CUENTA'!M1845</f>
        <v>0</v>
      </c>
      <c r="G2774" s="101" t="e">
        <f>+E2774</f>
        <v>#REF!</v>
      </c>
      <c r="H2774" s="87"/>
      <c r="I2774" s="87"/>
    </row>
    <row r="2775" spans="3:9" ht="18" x14ac:dyDescent="0.25">
      <c r="C2775" s="83" t="s">
        <v>213</v>
      </c>
      <c r="D2775" s="88"/>
      <c r="E2775" s="103" t="e">
        <f>+'RES CUENTA'!#REF!</f>
        <v>#REF!</v>
      </c>
      <c r="F2775" s="104">
        <f>+'RES CUENTA'!N1844</f>
        <v>0</v>
      </c>
      <c r="G2775" s="134" t="e">
        <f>+E2775</f>
        <v>#REF!</v>
      </c>
      <c r="H2775" s="87"/>
      <c r="I2775" s="87"/>
    </row>
    <row r="2776" spans="3:9" ht="18" x14ac:dyDescent="0.25">
      <c r="C2776" s="84"/>
      <c r="D2776" s="88"/>
      <c r="E2776" s="83"/>
      <c r="G2776" s="101" t="e">
        <f>SUM(G2772:G2775)</f>
        <v>#REF!</v>
      </c>
      <c r="H2776" s="87"/>
      <c r="I2776" s="87"/>
    </row>
    <row r="2777" spans="3:9" ht="18" x14ac:dyDescent="0.25">
      <c r="C2777" s="84"/>
      <c r="D2777" s="88"/>
      <c r="E2777" s="83"/>
      <c r="G2777" s="85"/>
      <c r="H2777" s="87"/>
      <c r="I2777" s="88"/>
    </row>
    <row r="2778" spans="3:9" ht="18" x14ac:dyDescent="0.25">
      <c r="C2778" s="84"/>
      <c r="D2778" s="88"/>
      <c r="E2778" s="83"/>
      <c r="G2778" s="85"/>
      <c r="H2778" s="87"/>
      <c r="I2778" s="88"/>
    </row>
    <row r="2779" spans="3:9" ht="18" x14ac:dyDescent="0.25">
      <c r="C2779" s="83"/>
      <c r="D2779" s="88"/>
      <c r="E2779" s="83"/>
      <c r="F2779" s="83"/>
      <c r="G2779" s="89"/>
      <c r="H2779" s="88"/>
      <c r="I2779" s="88"/>
    </row>
    <row r="2780" spans="3:9" ht="18" x14ac:dyDescent="0.25">
      <c r="C2780" s="83"/>
      <c r="D2780" s="88"/>
      <c r="E2780" s="83"/>
      <c r="F2780" s="83"/>
      <c r="G2780" s="89"/>
      <c r="H2780" s="88"/>
      <c r="I2780" s="88"/>
    </row>
    <row r="2781" spans="3:9" ht="23.25" customHeight="1" x14ac:dyDescent="0.25">
      <c r="C2781" s="83"/>
      <c r="D2781" s="88"/>
      <c r="E2781" s="83"/>
      <c r="F2781" s="83"/>
      <c r="G2781" s="89"/>
      <c r="H2781" s="88"/>
      <c r="I2781" s="83"/>
    </row>
    <row r="2782" spans="3:9" ht="18" x14ac:dyDescent="0.25">
      <c r="C2782" s="83" t="e">
        <f>+C2767</f>
        <v>#REF!</v>
      </c>
      <c r="D2782" s="88"/>
      <c r="E2782" s="83"/>
      <c r="F2782" s="83" t="e">
        <f>+C2767</f>
        <v>#REF!</v>
      </c>
      <c r="G2782" s="83"/>
      <c r="H2782" s="83"/>
      <c r="I2782" s="99"/>
    </row>
    <row r="2783" spans="3:9" ht="18" x14ac:dyDescent="0.25">
      <c r="C2783" s="84"/>
      <c r="D2783" s="88"/>
      <c r="E2783" s="83"/>
      <c r="G2783" s="83"/>
      <c r="H2783" s="99"/>
      <c r="I2783" s="90" t="str">
        <f>+I2768</f>
        <v>Unid. 74</v>
      </c>
    </row>
    <row r="2784" spans="3:9" ht="18" x14ac:dyDescent="0.25">
      <c r="C2784" s="83" t="str">
        <f>+$F$1</f>
        <v>MONTES DE OCA 1068/1070 C.A.B.A.</v>
      </c>
      <c r="D2784" s="88"/>
      <c r="E2784" s="90" t="str">
        <f>+I2783</f>
        <v>Unid. 74</v>
      </c>
      <c r="F2784" s="83" t="str">
        <f>+$F$1</f>
        <v>MONTES DE OCA 1068/1070 C.A.B.A.</v>
      </c>
      <c r="G2784" s="83"/>
      <c r="H2784" s="83"/>
      <c r="I2784" s="84"/>
    </row>
    <row r="2785" spans="3:9" ht="18" x14ac:dyDescent="0.25">
      <c r="C2785" s="84"/>
      <c r="D2785" s="91"/>
      <c r="E2785" s="84"/>
      <c r="G2785" s="83"/>
      <c r="H2785" s="83"/>
    </row>
    <row r="2786" spans="3:9" ht="14.25" customHeight="1" x14ac:dyDescent="0.25">
      <c r="C2786" s="83"/>
      <c r="D2786" s="88"/>
      <c r="E2786" s="83"/>
      <c r="F2786" s="84"/>
      <c r="G2786" s="83"/>
      <c r="H2786" s="83"/>
      <c r="I2786" s="99"/>
    </row>
    <row r="2787" spans="3:9" ht="18" x14ac:dyDescent="0.25">
      <c r="C2787" s="83" t="str">
        <f>+$F$2</f>
        <v>P/Depósito o transferencia en Banco Santander Rio</v>
      </c>
      <c r="D2787" s="88"/>
      <c r="E2787" s="83"/>
      <c r="F2787" s="83"/>
      <c r="G2787" s="128"/>
      <c r="H2787" s="84"/>
      <c r="I2787" s="83"/>
    </row>
    <row r="2788" spans="3:9" ht="18" x14ac:dyDescent="0.25">
      <c r="C2788" s="83" t="str">
        <f>+$F$3</f>
        <v xml:space="preserve">Cta. Cte. $ N° 558-000162/1 </v>
      </c>
      <c r="D2788" s="88"/>
      <c r="E2788" s="83"/>
      <c r="F2788" s="93"/>
      <c r="H2788" s="91"/>
      <c r="I2788" s="92"/>
    </row>
    <row r="2789" spans="3:9" ht="18" x14ac:dyDescent="0.25">
      <c r="C2789" s="84"/>
      <c r="D2789" s="88"/>
      <c r="E2789" s="83"/>
      <c r="F2789" s="83" t="s">
        <v>70</v>
      </c>
      <c r="G2789" s="102" t="e">
        <f>+G2772</f>
        <v>#REF!</v>
      </c>
      <c r="H2789" s="92"/>
      <c r="I2789" s="97">
        <f>+C2793</f>
        <v>46183</v>
      </c>
    </row>
    <row r="2790" spans="3:9" ht="18" x14ac:dyDescent="0.25">
      <c r="C2790" s="84"/>
      <c r="D2790" s="88"/>
      <c r="E2790" s="83"/>
      <c r="F2790" s="83" t="s">
        <v>71</v>
      </c>
      <c r="G2790" s="102" t="e">
        <f>+G2773</f>
        <v>#REF!</v>
      </c>
      <c r="I2790" s="83"/>
    </row>
    <row r="2791" spans="3:9" ht="18" x14ac:dyDescent="0.25">
      <c r="C2791" s="83"/>
      <c r="D2791" s="88"/>
      <c r="E2791" s="83"/>
      <c r="F2791" s="83" t="s">
        <v>72</v>
      </c>
      <c r="G2791" s="102" t="e">
        <f>+G2774</f>
        <v>#REF!</v>
      </c>
      <c r="H2791" s="83"/>
      <c r="I2791" s="83"/>
    </row>
    <row r="2792" spans="3:9" ht="18" x14ac:dyDescent="0.25">
      <c r="C2792" s="93"/>
      <c r="D2792" s="93"/>
      <c r="E2792" s="93"/>
      <c r="F2792" s="83" t="s">
        <v>73</v>
      </c>
      <c r="G2792" s="102" t="e">
        <f>+G2775</f>
        <v>#REF!</v>
      </c>
      <c r="H2792" s="83"/>
      <c r="I2792" s="83"/>
    </row>
    <row r="2793" spans="3:9" ht="18" x14ac:dyDescent="0.25">
      <c r="C2793" s="97">
        <f>+$H$43</f>
        <v>46183</v>
      </c>
      <c r="D2793" s="157" t="e">
        <f>+G2776</f>
        <v>#REF!</v>
      </c>
      <c r="E2793" s="83"/>
      <c r="F2793" s="83" t="s">
        <v>181</v>
      </c>
      <c r="G2793" s="135">
        <v>0</v>
      </c>
      <c r="H2793" s="83"/>
      <c r="I2793" s="83"/>
    </row>
    <row r="2794" spans="3:9" ht="18" x14ac:dyDescent="0.25">
      <c r="C2794" s="83"/>
      <c r="D2794" s="88"/>
      <c r="E2794" s="83"/>
      <c r="F2794" s="83" t="s">
        <v>74</v>
      </c>
      <c r="G2794" s="102" t="e">
        <f>+G2776</f>
        <v>#REF!</v>
      </c>
      <c r="H2794" s="83"/>
      <c r="I2794" s="83"/>
    </row>
    <row r="2795" spans="3:9" ht="18" x14ac:dyDescent="0.25">
      <c r="C2795" s="83"/>
      <c r="D2795" s="88"/>
      <c r="E2795" s="83"/>
      <c r="F2795" s="83"/>
      <c r="G2795" s="83"/>
      <c r="H2795" s="83"/>
      <c r="I2795" s="83"/>
    </row>
    <row r="2796" spans="3:9" ht="18" x14ac:dyDescent="0.25">
      <c r="C2796" s="83"/>
      <c r="D2796" s="88"/>
      <c r="E2796" s="83"/>
      <c r="F2796" s="100"/>
      <c r="G2796" s="83"/>
      <c r="H2796" s="83"/>
      <c r="I2796" s="83"/>
    </row>
    <row r="2797" spans="3:9" ht="18" x14ac:dyDescent="0.25">
      <c r="C2797" s="83"/>
      <c r="D2797" s="88"/>
      <c r="E2797" s="83"/>
      <c r="F2797" s="83"/>
      <c r="G2797" s="83"/>
      <c r="H2797" s="83"/>
      <c r="I2797" s="91"/>
    </row>
    <row r="2798" spans="3:9" ht="11.25" customHeight="1" x14ac:dyDescent="0.25">
      <c r="F2798" s="83"/>
      <c r="H2798" s="91"/>
      <c r="I2798" s="83"/>
    </row>
    <row r="2800" spans="3:9" ht="18" x14ac:dyDescent="0.25">
      <c r="C2800" s="424"/>
      <c r="D2800" s="424"/>
      <c r="E2800" s="424"/>
      <c r="F2800" s="433">
        <f>+$C$1</f>
        <v>46143</v>
      </c>
      <c r="G2800" s="83"/>
      <c r="H2800" s="429">
        <f>+$E$1</f>
        <v>46183</v>
      </c>
      <c r="I2800" s="83"/>
    </row>
    <row r="2801" spans="3:9" ht="18" x14ac:dyDescent="0.25">
      <c r="C2801" s="82"/>
      <c r="D2801" s="82"/>
      <c r="E2801" s="98"/>
      <c r="F2801" s="433"/>
      <c r="G2801" s="83"/>
      <c r="H2801" s="429"/>
      <c r="I2801" s="83"/>
    </row>
    <row r="2802" spans="3:9" ht="18" x14ac:dyDescent="0.25">
      <c r="C2802" s="83"/>
      <c r="D2802" s="88"/>
      <c r="E2802" s="83"/>
      <c r="F2802" s="84"/>
      <c r="G2802" s="83"/>
      <c r="H2802" s="84"/>
      <c r="I2802" s="83"/>
    </row>
    <row r="2803" spans="3:9" ht="18" x14ac:dyDescent="0.25">
      <c r="C2803" s="83" t="e">
        <f>+#REF!</f>
        <v>#REF!</v>
      </c>
      <c r="D2803" s="88"/>
      <c r="E2803" s="83"/>
      <c r="F2803" s="84"/>
      <c r="G2803" s="83"/>
      <c r="H2803" s="84"/>
      <c r="I2803" s="83"/>
    </row>
    <row r="2804" spans="3:9" ht="18" x14ac:dyDescent="0.25">
      <c r="C2804" s="84"/>
      <c r="D2804" s="88"/>
      <c r="E2804" s="83"/>
      <c r="F2804" s="83" t="s">
        <v>293</v>
      </c>
      <c r="G2804" s="83"/>
      <c r="H2804" s="83"/>
      <c r="I2804" s="90" t="s">
        <v>149</v>
      </c>
    </row>
    <row r="2805" spans="3:9" ht="18" x14ac:dyDescent="0.25">
      <c r="C2805" s="83"/>
      <c r="D2805" s="88"/>
      <c r="E2805" s="83"/>
      <c r="F2805" s="84"/>
      <c r="G2805" s="83"/>
      <c r="H2805" s="83"/>
      <c r="I2805" s="84"/>
    </row>
    <row r="2806" spans="3:9" ht="18" x14ac:dyDescent="0.25">
      <c r="C2806" s="91"/>
      <c r="D2806" s="88"/>
      <c r="E2806" s="91"/>
      <c r="F2806" s="83"/>
      <c r="G2806" s="83"/>
      <c r="H2806" s="83"/>
      <c r="I2806" s="83"/>
    </row>
    <row r="2807" spans="3:9" ht="18" x14ac:dyDescent="0.25">
      <c r="C2807" s="91"/>
      <c r="D2807" s="88"/>
      <c r="E2807" s="91"/>
      <c r="F2807" s="83"/>
      <c r="G2807" s="83"/>
      <c r="H2807" s="83"/>
      <c r="I2807" s="83"/>
    </row>
    <row r="2808" spans="3:9" ht="18" x14ac:dyDescent="0.25">
      <c r="C2808" s="83" t="s">
        <v>68</v>
      </c>
      <c r="D2808" s="88"/>
      <c r="E2808" s="103" t="e">
        <f>+'RES CUENTA'!#REF!</f>
        <v>#REF!</v>
      </c>
      <c r="F2808" s="104" t="e">
        <f>+'RES CUENTA'!#REF!</f>
        <v>#REF!</v>
      </c>
      <c r="G2808" s="101" t="e">
        <f>+E2808*F2808/100</f>
        <v>#REF!</v>
      </c>
      <c r="H2808" s="425"/>
      <c r="I2808" s="425"/>
    </row>
    <row r="2809" spans="3:9" ht="18" x14ac:dyDescent="0.25">
      <c r="C2809" s="83" t="s">
        <v>69</v>
      </c>
      <c r="D2809" s="88"/>
      <c r="E2809" s="103" t="e">
        <f>+'RES CUENTA'!#REF!</f>
        <v>#REF!</v>
      </c>
      <c r="F2809" s="104" t="e">
        <f>+'RES CUENTA'!#REF!</f>
        <v>#REF!</v>
      </c>
      <c r="G2809" s="101" t="e">
        <f>+E2809*F2809/100</f>
        <v>#REF!</v>
      </c>
      <c r="H2809" s="430"/>
      <c r="I2809" s="430"/>
    </row>
    <row r="2810" spans="3:9" ht="18" x14ac:dyDescent="0.25">
      <c r="C2810" s="83" t="s">
        <v>181</v>
      </c>
      <c r="D2810" s="88"/>
      <c r="E2810" s="103" t="e">
        <f>+'RES CUENTA'!#REF!</f>
        <v>#REF!</v>
      </c>
      <c r="F2810" s="104">
        <v>0</v>
      </c>
      <c r="G2810" s="101" t="e">
        <f>+E2810</f>
        <v>#REF!</v>
      </c>
      <c r="H2810" s="430"/>
      <c r="I2810" s="430"/>
    </row>
    <row r="2811" spans="3:9" ht="18" x14ac:dyDescent="0.25">
      <c r="C2811" s="83" t="s">
        <v>213</v>
      </c>
      <c r="D2811" s="88"/>
      <c r="E2811" s="103" t="e">
        <f>+'RES CUENTA'!#REF!</f>
        <v>#REF!</v>
      </c>
      <c r="F2811" s="104">
        <v>0</v>
      </c>
      <c r="G2811" s="134" t="e">
        <f>+E2811</f>
        <v>#REF!</v>
      </c>
      <c r="H2811" s="430"/>
      <c r="I2811" s="430"/>
    </row>
    <row r="2812" spans="3:9" ht="18" x14ac:dyDescent="0.25">
      <c r="C2812" s="84"/>
      <c r="D2812" s="88"/>
      <c r="E2812" s="83"/>
      <c r="F2812" s="89"/>
      <c r="G2812" s="101" t="e">
        <f>SUM(G2808:G2811)</f>
        <v>#REF!</v>
      </c>
      <c r="H2812" s="430"/>
      <c r="I2812" s="430"/>
    </row>
    <row r="2813" spans="3:9" ht="18" x14ac:dyDescent="0.25">
      <c r="C2813" s="84"/>
      <c r="D2813" s="88"/>
      <c r="E2813" s="83"/>
      <c r="F2813" s="89"/>
      <c r="G2813" s="101"/>
      <c r="H2813" s="87"/>
      <c r="I2813" s="87"/>
    </row>
    <row r="2814" spans="3:9" ht="18" x14ac:dyDescent="0.25">
      <c r="C2814" s="84"/>
      <c r="D2814" s="88"/>
      <c r="E2814" s="83"/>
      <c r="F2814" s="83"/>
      <c r="H2814" s="432"/>
      <c r="I2814" s="432"/>
    </row>
    <row r="2815" spans="3:9" ht="18" x14ac:dyDescent="0.25">
      <c r="C2815" s="83"/>
      <c r="D2815" s="88"/>
      <c r="E2815" s="83"/>
      <c r="F2815" s="83"/>
      <c r="G2815" s="85"/>
      <c r="H2815" s="88"/>
      <c r="I2815" s="88"/>
    </row>
    <row r="2816" spans="3:9" ht="18" x14ac:dyDescent="0.25">
      <c r="C2816" s="83"/>
      <c r="D2816" s="88"/>
      <c r="E2816" s="83"/>
      <c r="F2816" s="83"/>
      <c r="G2816" s="89"/>
      <c r="H2816" s="83"/>
      <c r="I2816" s="83"/>
    </row>
    <row r="2817" spans="3:9" ht="23.25" customHeight="1" x14ac:dyDescent="0.25">
      <c r="C2817" s="83"/>
      <c r="D2817" s="88"/>
      <c r="E2817" s="83"/>
      <c r="F2817" s="83"/>
      <c r="G2817" s="89"/>
      <c r="H2817" s="83"/>
      <c r="I2817" s="83"/>
    </row>
    <row r="2818" spans="3:9" ht="18" x14ac:dyDescent="0.25">
      <c r="C2818" s="83" t="e">
        <f>+C2803</f>
        <v>#REF!</v>
      </c>
      <c r="D2818" s="427"/>
      <c r="E2818" s="427"/>
      <c r="F2818" s="83" t="e">
        <f>+C2818</f>
        <v>#REF!</v>
      </c>
      <c r="G2818" s="89"/>
      <c r="H2818" s="83"/>
      <c r="I2818" s="83"/>
    </row>
    <row r="2819" spans="3:9" ht="18" x14ac:dyDescent="0.25">
      <c r="D2819" s="88"/>
      <c r="E2819" s="83"/>
      <c r="G2819" s="427"/>
      <c r="H2819" s="427"/>
      <c r="I2819" s="427"/>
    </row>
    <row r="2820" spans="3:9" ht="18" x14ac:dyDescent="0.25">
      <c r="C2820" s="83" t="str">
        <f>+$F$1</f>
        <v>MONTES DE OCA 1068/1070 C.A.B.A.</v>
      </c>
      <c r="D2820" s="88"/>
      <c r="E2820" s="90" t="str">
        <f>+I2804</f>
        <v>Unid. 75</v>
      </c>
      <c r="F2820" s="83" t="str">
        <f>+$F$1</f>
        <v>MONTES DE OCA 1068/1070 C.A.B.A.</v>
      </c>
      <c r="G2820" s="83"/>
      <c r="H2820" s="83"/>
      <c r="I2820" s="90" t="str">
        <f>+E2820</f>
        <v>Unid. 75</v>
      </c>
    </row>
    <row r="2821" spans="3:9" ht="18" x14ac:dyDescent="0.25">
      <c r="I2821" s="84"/>
    </row>
    <row r="2822" spans="3:9" ht="12.75" customHeight="1" x14ac:dyDescent="0.25">
      <c r="C2822" s="84"/>
      <c r="D2822" s="91"/>
      <c r="E2822" s="84"/>
      <c r="F2822" s="84"/>
      <c r="G2822" s="83"/>
      <c r="H2822" s="83"/>
    </row>
    <row r="2823" spans="3:9" ht="18" x14ac:dyDescent="0.25">
      <c r="C2823" s="83" t="str">
        <f>+$F$2</f>
        <v>P/Depósito o transferencia en Banco Santander Rio</v>
      </c>
      <c r="D2823" s="88"/>
      <c r="E2823" s="83"/>
      <c r="F2823" s="83"/>
      <c r="G2823" s="83"/>
      <c r="H2823" s="84"/>
      <c r="I2823" s="99"/>
    </row>
    <row r="2824" spans="3:9" ht="18" x14ac:dyDescent="0.25">
      <c r="C2824" s="83" t="str">
        <f>+$F$3</f>
        <v xml:space="preserve">Cta. Cte. $ N° 558-000162/1 </v>
      </c>
      <c r="D2824" s="88"/>
      <c r="E2824" s="83"/>
      <c r="F2824" s="93"/>
      <c r="G2824" s="83"/>
      <c r="H2824" s="91"/>
      <c r="I2824" s="83"/>
    </row>
    <row r="2825" spans="3:9" ht="18" x14ac:dyDescent="0.25">
      <c r="D2825" s="88"/>
      <c r="E2825" s="83"/>
      <c r="F2825" s="83" t="s">
        <v>70</v>
      </c>
      <c r="G2825" s="102" t="e">
        <f>+G2808</f>
        <v>#REF!</v>
      </c>
      <c r="I2825" s="97">
        <f>+C2830</f>
        <v>46183</v>
      </c>
    </row>
    <row r="2826" spans="3:9" ht="18" x14ac:dyDescent="0.25">
      <c r="C2826" s="84"/>
      <c r="D2826" s="88"/>
      <c r="E2826" s="83"/>
      <c r="F2826" s="83" t="s">
        <v>71</v>
      </c>
      <c r="G2826" s="102" t="e">
        <f>+G2809</f>
        <v>#REF!</v>
      </c>
    </row>
    <row r="2827" spans="3:9" ht="18" x14ac:dyDescent="0.25">
      <c r="C2827" s="84"/>
      <c r="D2827" s="88"/>
      <c r="E2827" s="83"/>
      <c r="F2827" s="83" t="s">
        <v>72</v>
      </c>
      <c r="G2827" s="102" t="e">
        <f>+G2810</f>
        <v>#REF!</v>
      </c>
      <c r="H2827" s="83"/>
      <c r="I2827" s="83"/>
    </row>
    <row r="2828" spans="3:9" ht="18" x14ac:dyDescent="0.25">
      <c r="C2828" s="83"/>
      <c r="D2828" s="88"/>
      <c r="E2828" s="83"/>
      <c r="F2828" s="83" t="s">
        <v>73</v>
      </c>
      <c r="G2828" s="102" t="e">
        <f>+G2811</f>
        <v>#REF!</v>
      </c>
      <c r="H2828" s="83"/>
      <c r="I2828" s="83"/>
    </row>
    <row r="2829" spans="3:9" ht="18" x14ac:dyDescent="0.25">
      <c r="C2829" s="93"/>
      <c r="D2829" s="93"/>
      <c r="E2829" s="93"/>
      <c r="F2829" s="83" t="s">
        <v>181</v>
      </c>
      <c r="G2829" s="135">
        <v>0</v>
      </c>
      <c r="H2829" s="83"/>
      <c r="I2829" s="83"/>
    </row>
    <row r="2830" spans="3:9" ht="18" x14ac:dyDescent="0.25">
      <c r="C2830" s="97">
        <f>+$H$43</f>
        <v>46183</v>
      </c>
      <c r="D2830" s="157" t="e">
        <f>+G2812</f>
        <v>#REF!</v>
      </c>
      <c r="E2830" s="83"/>
      <c r="F2830" s="83" t="s">
        <v>74</v>
      </c>
      <c r="G2830" s="102" t="e">
        <f>+G2812</f>
        <v>#REF!</v>
      </c>
      <c r="H2830" s="83"/>
      <c r="I2830" s="83"/>
    </row>
    <row r="2831" spans="3:9" ht="18" x14ac:dyDescent="0.25">
      <c r="C2831" s="83"/>
      <c r="D2831" s="88"/>
      <c r="E2831" s="83"/>
      <c r="F2831" s="83"/>
      <c r="G2831" s="83"/>
      <c r="H2831" s="83"/>
      <c r="I2831" s="83"/>
    </row>
    <row r="2832" spans="3:9" ht="18" x14ac:dyDescent="0.25">
      <c r="C2832" s="83"/>
      <c r="D2832" s="88"/>
      <c r="E2832" s="83"/>
      <c r="F2832" s="83"/>
      <c r="G2832" s="83"/>
      <c r="H2832" s="425"/>
      <c r="I2832" s="425"/>
    </row>
    <row r="2833" spans="3:9" ht="18" x14ac:dyDescent="0.25">
      <c r="C2833" s="83"/>
      <c r="D2833" s="88"/>
      <c r="E2833" s="83"/>
      <c r="F2833" s="83"/>
      <c r="G2833" s="83"/>
      <c r="H2833" s="83"/>
      <c r="I2833" s="83"/>
    </row>
    <row r="2834" spans="3:9" ht="18" x14ac:dyDescent="0.25">
      <c r="C2834" s="83"/>
      <c r="D2834" s="88"/>
      <c r="E2834" s="83"/>
      <c r="F2834" s="83"/>
      <c r="G2834" s="83"/>
      <c r="H2834" s="83"/>
      <c r="I2834" s="83"/>
    </row>
    <row r="2835" spans="3:9" ht="18" x14ac:dyDescent="0.25">
      <c r="C2835" s="83"/>
      <c r="D2835" s="88"/>
      <c r="E2835" s="83"/>
      <c r="F2835" s="83"/>
      <c r="G2835" s="83"/>
      <c r="H2835" s="83"/>
      <c r="I2835" s="83"/>
    </row>
    <row r="2836" spans="3:9" ht="18" x14ac:dyDescent="0.25">
      <c r="C2836" s="83"/>
      <c r="D2836" s="88"/>
      <c r="E2836" s="83"/>
      <c r="F2836" s="83"/>
      <c r="G2836" s="83"/>
      <c r="H2836" s="83"/>
      <c r="I2836" s="83"/>
    </row>
    <row r="2837" spans="3:9" ht="18" x14ac:dyDescent="0.25">
      <c r="C2837" s="83"/>
      <c r="D2837" s="88"/>
      <c r="E2837" s="83"/>
      <c r="F2837" s="83"/>
      <c r="G2837" s="83"/>
      <c r="I2837" s="83"/>
    </row>
    <row r="2838" spans="3:9" ht="18" x14ac:dyDescent="0.25">
      <c r="C2838" s="424"/>
      <c r="D2838" s="424"/>
      <c r="E2838" s="424"/>
      <c r="F2838" s="83"/>
      <c r="G2838" s="83"/>
      <c r="I2838" s="83"/>
    </row>
    <row r="2839" spans="3:9" ht="18" x14ac:dyDescent="0.25">
      <c r="C2839" s="424"/>
      <c r="D2839" s="424"/>
      <c r="E2839" s="424"/>
      <c r="F2839" s="96">
        <f>+$C$1</f>
        <v>46143</v>
      </c>
      <c r="G2839" s="83"/>
      <c r="H2839" s="97">
        <f>+$E$1</f>
        <v>46183</v>
      </c>
      <c r="I2839" s="95"/>
    </row>
    <row r="2840" spans="3:9" ht="18" x14ac:dyDescent="0.25">
      <c r="C2840" s="82"/>
      <c r="D2840" s="82"/>
      <c r="E2840" s="98"/>
      <c r="F2840" s="96"/>
      <c r="G2840" s="83"/>
    </row>
    <row r="2841" spans="3:9" ht="18" x14ac:dyDescent="0.25">
      <c r="C2841" s="83" t="e">
        <f>+#REF!</f>
        <v>#REF!</v>
      </c>
      <c r="D2841" s="88"/>
      <c r="E2841" s="83"/>
      <c r="G2841" s="83"/>
    </row>
    <row r="2842" spans="3:9" ht="18" x14ac:dyDescent="0.25">
      <c r="D2842" s="88"/>
      <c r="E2842" s="83"/>
      <c r="F2842" s="83" t="str">
        <f>+$F$1</f>
        <v>MONTES DE OCA 1068/1070 C.A.B.A.</v>
      </c>
      <c r="G2842" s="83"/>
      <c r="I2842" s="90" t="s">
        <v>150</v>
      </c>
    </row>
    <row r="2843" spans="3:9" ht="18" x14ac:dyDescent="0.25">
      <c r="C2843" s="84"/>
      <c r="D2843" s="88"/>
      <c r="E2843" s="83"/>
      <c r="G2843" s="83"/>
      <c r="H2843" s="84"/>
    </row>
    <row r="2844" spans="3:9" ht="18" x14ac:dyDescent="0.25">
      <c r="C2844" s="83"/>
      <c r="D2844" s="88"/>
      <c r="E2844" s="83"/>
      <c r="F2844" s="84"/>
      <c r="G2844" s="83"/>
      <c r="H2844" s="83"/>
      <c r="I2844" s="84"/>
    </row>
    <row r="2845" spans="3:9" ht="18.75" customHeight="1" x14ac:dyDescent="0.25">
      <c r="C2845" s="91"/>
      <c r="D2845" s="88"/>
      <c r="E2845" s="91"/>
      <c r="F2845" s="83"/>
      <c r="G2845" s="83"/>
      <c r="H2845" s="83"/>
      <c r="I2845" s="83"/>
    </row>
    <row r="2846" spans="3:9" ht="18" x14ac:dyDescent="0.25">
      <c r="C2846" s="83" t="s">
        <v>68</v>
      </c>
      <c r="D2846" s="88"/>
      <c r="E2846" s="103" t="e">
        <f>+'RES CUENTA'!#REF!</f>
        <v>#REF!</v>
      </c>
      <c r="F2846" s="104" t="e">
        <f>+'RES CUENTA'!#REF!</f>
        <v>#REF!</v>
      </c>
      <c r="G2846" s="101" t="e">
        <f>+E2846*F2846/100</f>
        <v>#REF!</v>
      </c>
      <c r="H2846" s="83"/>
      <c r="I2846" s="91"/>
    </row>
    <row r="2847" spans="3:9" ht="18" x14ac:dyDescent="0.25">
      <c r="C2847" s="83" t="s">
        <v>69</v>
      </c>
      <c r="D2847" s="88"/>
      <c r="E2847" s="103" t="e">
        <f>+'RES CUENTA'!#REF!</f>
        <v>#REF!</v>
      </c>
      <c r="F2847" s="104" t="e">
        <f>+'RES CUENTA'!#REF!</f>
        <v>#REF!</v>
      </c>
      <c r="G2847" s="101" t="e">
        <f>+E2847*F2847/100</f>
        <v>#REF!</v>
      </c>
      <c r="H2847" s="91"/>
      <c r="I2847" s="87"/>
    </row>
    <row r="2848" spans="3:9" ht="18" x14ac:dyDescent="0.25">
      <c r="C2848" s="83" t="s">
        <v>181</v>
      </c>
      <c r="D2848" s="88"/>
      <c r="E2848" s="103" t="e">
        <f>+'RES CUENTA'!#REF!</f>
        <v>#REF!</v>
      </c>
      <c r="F2848" s="104">
        <f>+'RES CUENTA'!M1921</f>
        <v>0</v>
      </c>
      <c r="G2848" s="101" t="e">
        <f>+E2848</f>
        <v>#REF!</v>
      </c>
      <c r="H2848" s="87"/>
      <c r="I2848" s="87"/>
    </row>
    <row r="2849" spans="3:9" ht="18" x14ac:dyDescent="0.25">
      <c r="C2849" s="83" t="s">
        <v>213</v>
      </c>
      <c r="D2849" s="88"/>
      <c r="E2849" s="103" t="e">
        <f>+'RES CUENTA'!#REF!</f>
        <v>#REF!</v>
      </c>
      <c r="F2849" s="104">
        <f>+'RES CUENTA'!N1920</f>
        <v>0</v>
      </c>
      <c r="G2849" s="134" t="e">
        <f>+E2849</f>
        <v>#REF!</v>
      </c>
      <c r="H2849" s="87"/>
      <c r="I2849" s="87"/>
    </row>
    <row r="2850" spans="3:9" ht="18" x14ac:dyDescent="0.25">
      <c r="C2850" s="84"/>
      <c r="D2850" s="88"/>
      <c r="E2850" s="83"/>
      <c r="G2850" s="101" t="e">
        <f>SUM(G2846:G2849)</f>
        <v>#REF!</v>
      </c>
      <c r="H2850" s="87"/>
      <c r="I2850" s="88"/>
    </row>
    <row r="2851" spans="3:9" ht="18" x14ac:dyDescent="0.25">
      <c r="C2851" s="83"/>
      <c r="D2851" s="88"/>
      <c r="E2851" s="83"/>
      <c r="F2851" s="83"/>
      <c r="G2851" s="89"/>
      <c r="H2851" s="88"/>
      <c r="I2851" s="88"/>
    </row>
    <row r="2852" spans="3:9" ht="18" x14ac:dyDescent="0.25">
      <c r="C2852" s="83"/>
      <c r="D2852" s="88"/>
      <c r="E2852" s="83"/>
      <c r="F2852" s="83"/>
      <c r="G2852" s="89"/>
      <c r="H2852" s="88"/>
      <c r="I2852" s="88"/>
    </row>
    <row r="2853" spans="3:9" ht="18" x14ac:dyDescent="0.25">
      <c r="C2853" s="83"/>
      <c r="D2853" s="88"/>
      <c r="E2853" s="83"/>
      <c r="F2853" s="83"/>
      <c r="G2853" s="89"/>
      <c r="H2853" s="88"/>
      <c r="I2853" s="88"/>
    </row>
    <row r="2854" spans="3:9" ht="18" x14ac:dyDescent="0.25">
      <c r="C2854" s="83"/>
      <c r="D2854" s="88"/>
      <c r="E2854" s="83"/>
      <c r="F2854" s="83"/>
      <c r="G2854" s="89"/>
      <c r="H2854" s="88"/>
      <c r="I2854" s="88"/>
    </row>
    <row r="2855" spans="3:9" ht="24" customHeight="1" x14ac:dyDescent="0.25">
      <c r="C2855" s="83"/>
      <c r="D2855" s="88"/>
      <c r="E2855" s="83"/>
      <c r="F2855" s="83"/>
      <c r="G2855" s="89"/>
      <c r="H2855" s="88"/>
      <c r="I2855" s="83"/>
    </row>
    <row r="2856" spans="3:9" ht="18" x14ac:dyDescent="0.25">
      <c r="C2856" s="83" t="e">
        <f>+C2841</f>
        <v>#REF!</v>
      </c>
      <c r="D2856" s="88"/>
      <c r="E2856" s="83"/>
      <c r="F2856" s="83" t="e">
        <f>+C2841</f>
        <v>#REF!</v>
      </c>
      <c r="G2856" s="83"/>
      <c r="H2856" s="83"/>
      <c r="I2856" s="99"/>
    </row>
    <row r="2857" spans="3:9" ht="18" x14ac:dyDescent="0.25">
      <c r="C2857" s="84"/>
      <c r="D2857" s="88"/>
      <c r="E2857" s="83"/>
      <c r="G2857" s="83"/>
      <c r="H2857" s="99"/>
      <c r="I2857" s="90" t="str">
        <f>+I2842</f>
        <v>Unid. 76</v>
      </c>
    </row>
    <row r="2858" spans="3:9" ht="18" x14ac:dyDescent="0.25">
      <c r="C2858" s="83" t="str">
        <f>+$F$1</f>
        <v>MONTES DE OCA 1068/1070 C.A.B.A.</v>
      </c>
      <c r="D2858" s="88"/>
      <c r="E2858" s="90" t="str">
        <f>+I2857</f>
        <v>Unid. 76</v>
      </c>
      <c r="F2858" s="83" t="str">
        <f>+$F$1</f>
        <v>MONTES DE OCA 1068/1070 C.A.B.A.</v>
      </c>
      <c r="G2858" s="83"/>
      <c r="H2858" s="83"/>
      <c r="I2858" s="84"/>
    </row>
    <row r="2859" spans="3:9" ht="18" x14ac:dyDescent="0.25">
      <c r="C2859" s="84"/>
      <c r="D2859" s="91"/>
      <c r="E2859" s="84"/>
      <c r="G2859" s="83"/>
      <c r="H2859" s="83"/>
    </row>
    <row r="2860" spans="3:9" ht="14.25" customHeight="1" x14ac:dyDescent="0.25">
      <c r="C2860" s="83"/>
      <c r="D2860" s="88"/>
      <c r="E2860" s="83"/>
      <c r="F2860" s="84"/>
      <c r="G2860" s="83"/>
      <c r="H2860" s="83"/>
      <c r="I2860" s="99"/>
    </row>
    <row r="2861" spans="3:9" ht="18" x14ac:dyDescent="0.25">
      <c r="C2861" s="83" t="str">
        <f>+$F$2</f>
        <v>P/Depósito o transferencia en Banco Santander Rio</v>
      </c>
      <c r="D2861" s="88"/>
      <c r="E2861" s="83"/>
      <c r="F2861" s="83"/>
      <c r="G2861" s="128"/>
      <c r="H2861" s="84"/>
      <c r="I2861" s="83"/>
    </row>
    <row r="2862" spans="3:9" ht="18" x14ac:dyDescent="0.25">
      <c r="C2862" s="83" t="str">
        <f>+$F$3</f>
        <v xml:space="preserve">Cta. Cte. $ N° 558-000162/1 </v>
      </c>
      <c r="D2862" s="88"/>
      <c r="E2862" s="83"/>
      <c r="F2862" s="93"/>
      <c r="H2862" s="91"/>
      <c r="I2862" s="92"/>
    </row>
    <row r="2863" spans="3:9" ht="18" x14ac:dyDescent="0.25">
      <c r="C2863" s="84"/>
      <c r="D2863" s="88"/>
      <c r="E2863" s="83"/>
      <c r="F2863" s="83" t="s">
        <v>70</v>
      </c>
      <c r="G2863" s="102" t="e">
        <f>+G2846</f>
        <v>#REF!</v>
      </c>
      <c r="H2863" s="92"/>
      <c r="I2863" s="97">
        <f>+C2867</f>
        <v>46183</v>
      </c>
    </row>
    <row r="2864" spans="3:9" ht="18" x14ac:dyDescent="0.25">
      <c r="C2864" s="84"/>
      <c r="D2864" s="88"/>
      <c r="E2864" s="83"/>
      <c r="F2864" s="83" t="s">
        <v>71</v>
      </c>
      <c r="G2864" s="102" t="e">
        <f>+G2847</f>
        <v>#REF!</v>
      </c>
      <c r="I2864" s="83"/>
    </row>
    <row r="2865" spans="3:9" ht="18" x14ac:dyDescent="0.25">
      <c r="C2865" s="83"/>
      <c r="D2865" s="88"/>
      <c r="E2865" s="83"/>
      <c r="F2865" s="83" t="s">
        <v>72</v>
      </c>
      <c r="G2865" s="102" t="e">
        <f>+G2848</f>
        <v>#REF!</v>
      </c>
      <c r="H2865" s="83"/>
      <c r="I2865" s="83"/>
    </row>
    <row r="2866" spans="3:9" ht="18" x14ac:dyDescent="0.25">
      <c r="C2866" s="93"/>
      <c r="D2866" s="93"/>
      <c r="E2866" s="93"/>
      <c r="F2866" s="83" t="s">
        <v>73</v>
      </c>
      <c r="G2866" s="102" t="e">
        <f>+G2849</f>
        <v>#REF!</v>
      </c>
      <c r="H2866" s="83"/>
      <c r="I2866" s="83"/>
    </row>
    <row r="2867" spans="3:9" ht="18" x14ac:dyDescent="0.25">
      <c r="C2867" s="97">
        <f>+$H$43</f>
        <v>46183</v>
      </c>
      <c r="D2867" s="157" t="e">
        <f>+G2850</f>
        <v>#REF!</v>
      </c>
      <c r="E2867" s="83"/>
      <c r="F2867" s="83" t="s">
        <v>181</v>
      </c>
      <c r="G2867" s="135">
        <v>0</v>
      </c>
      <c r="H2867" s="83"/>
      <c r="I2867" s="83"/>
    </row>
    <row r="2868" spans="3:9" ht="18" x14ac:dyDescent="0.25">
      <c r="C2868" s="83"/>
      <c r="D2868" s="88"/>
      <c r="E2868" s="83"/>
      <c r="F2868" s="83" t="s">
        <v>74</v>
      </c>
      <c r="G2868" s="102" t="e">
        <f>+G2850</f>
        <v>#REF!</v>
      </c>
      <c r="H2868" s="83"/>
      <c r="I2868" s="83"/>
    </row>
    <row r="2869" spans="3:9" ht="18" x14ac:dyDescent="0.25">
      <c r="C2869" s="83"/>
      <c r="D2869" s="88"/>
      <c r="E2869" s="83"/>
      <c r="F2869" s="83"/>
      <c r="G2869" s="83"/>
      <c r="H2869" s="83"/>
      <c r="I2869" s="83"/>
    </row>
    <row r="2870" spans="3:9" ht="18" x14ac:dyDescent="0.25">
      <c r="C2870" s="83"/>
      <c r="D2870" s="88"/>
      <c r="E2870" s="83"/>
      <c r="F2870" s="100"/>
      <c r="G2870" s="83"/>
      <c r="H2870" s="83"/>
      <c r="I2870" s="83"/>
    </row>
    <row r="2871" spans="3:9" ht="18" x14ac:dyDescent="0.25">
      <c r="C2871" s="83"/>
      <c r="D2871" s="88"/>
      <c r="E2871" s="83"/>
      <c r="F2871" s="83"/>
      <c r="G2871" s="83"/>
      <c r="H2871" s="83"/>
      <c r="I2871" s="91"/>
    </row>
    <row r="2872" spans="3:9" ht="9.75" customHeight="1" x14ac:dyDescent="0.25">
      <c r="F2872" s="83"/>
      <c r="H2872" s="91"/>
      <c r="I2872" s="83"/>
    </row>
    <row r="2874" spans="3:9" ht="18" x14ac:dyDescent="0.25">
      <c r="C2874" s="424"/>
      <c r="D2874" s="424"/>
      <c r="E2874" s="424"/>
      <c r="F2874" s="433">
        <f>+$C$1</f>
        <v>46143</v>
      </c>
      <c r="G2874" s="83"/>
      <c r="H2874" s="429">
        <f>+$E$1</f>
        <v>46183</v>
      </c>
      <c r="I2874" s="83"/>
    </row>
    <row r="2875" spans="3:9" ht="18" x14ac:dyDescent="0.25">
      <c r="C2875" s="82"/>
      <c r="D2875" s="82"/>
      <c r="E2875" s="98"/>
      <c r="F2875" s="433"/>
      <c r="G2875" s="83"/>
      <c r="H2875" s="429"/>
      <c r="I2875" s="83"/>
    </row>
    <row r="2876" spans="3:9" ht="18" x14ac:dyDescent="0.25">
      <c r="C2876" s="83"/>
      <c r="D2876" s="88"/>
      <c r="E2876" s="83"/>
      <c r="F2876" s="84"/>
      <c r="G2876" s="83"/>
      <c r="H2876" s="84"/>
      <c r="I2876" s="83"/>
    </row>
    <row r="2877" spans="3:9" ht="18" x14ac:dyDescent="0.25">
      <c r="C2877" s="83" t="e">
        <f>+#REF!</f>
        <v>#REF!</v>
      </c>
      <c r="D2877" s="88"/>
      <c r="E2877" s="83"/>
      <c r="F2877" s="84"/>
      <c r="G2877" s="83"/>
      <c r="H2877" s="84"/>
      <c r="I2877" s="83"/>
    </row>
    <row r="2878" spans="3:9" ht="18" x14ac:dyDescent="0.25">
      <c r="C2878" s="84"/>
      <c r="D2878" s="88"/>
      <c r="E2878" s="83"/>
      <c r="F2878" s="83" t="s">
        <v>293</v>
      </c>
      <c r="G2878" s="83"/>
      <c r="H2878" s="83"/>
      <c r="I2878" s="90" t="s">
        <v>151</v>
      </c>
    </row>
    <row r="2879" spans="3:9" ht="18" x14ac:dyDescent="0.25">
      <c r="C2879" s="83"/>
      <c r="D2879" s="88"/>
      <c r="E2879" s="83"/>
      <c r="F2879" s="84"/>
      <c r="G2879" s="83"/>
      <c r="H2879" s="83"/>
      <c r="I2879" s="84"/>
    </row>
    <row r="2880" spans="3:9" ht="18" x14ac:dyDescent="0.25">
      <c r="C2880" s="91"/>
      <c r="D2880" s="88"/>
      <c r="E2880" s="91"/>
      <c r="F2880" s="83"/>
      <c r="G2880" s="83"/>
      <c r="H2880" s="83"/>
      <c r="I2880" s="83"/>
    </row>
    <row r="2881" spans="3:9" ht="18" x14ac:dyDescent="0.25">
      <c r="C2881" s="91"/>
      <c r="D2881" s="88"/>
      <c r="E2881" s="91"/>
      <c r="F2881" s="83"/>
      <c r="G2881" s="83"/>
      <c r="H2881" s="83"/>
      <c r="I2881" s="83"/>
    </row>
    <row r="2882" spans="3:9" ht="18" x14ac:dyDescent="0.25">
      <c r="C2882" s="83" t="s">
        <v>68</v>
      </c>
      <c r="D2882" s="88"/>
      <c r="E2882" s="103" t="e">
        <f>+'RES CUENTA'!#REF!</f>
        <v>#REF!</v>
      </c>
      <c r="F2882" s="104" t="e">
        <f>+'RES CUENTA'!#REF!</f>
        <v>#REF!</v>
      </c>
      <c r="G2882" s="101" t="e">
        <f>+E2882*F2882/100</f>
        <v>#REF!</v>
      </c>
      <c r="H2882" s="425"/>
      <c r="I2882" s="425"/>
    </row>
    <row r="2883" spans="3:9" ht="18" x14ac:dyDescent="0.25">
      <c r="C2883" s="83" t="s">
        <v>69</v>
      </c>
      <c r="D2883" s="88"/>
      <c r="E2883" s="103" t="e">
        <f>+'RES CUENTA'!#REF!</f>
        <v>#REF!</v>
      </c>
      <c r="F2883" s="104" t="e">
        <f>+'RES CUENTA'!#REF!</f>
        <v>#REF!</v>
      </c>
      <c r="G2883" s="101" t="e">
        <f>+E2883*F2883/100</f>
        <v>#REF!</v>
      </c>
      <c r="H2883" s="430"/>
      <c r="I2883" s="430"/>
    </row>
    <row r="2884" spans="3:9" ht="18" x14ac:dyDescent="0.25">
      <c r="C2884" s="83" t="s">
        <v>181</v>
      </c>
      <c r="D2884" s="88"/>
      <c r="E2884" s="103" t="e">
        <f>+'RES CUENTA'!#REF!</f>
        <v>#REF!</v>
      </c>
      <c r="F2884" s="104">
        <v>0</v>
      </c>
      <c r="G2884" s="101" t="e">
        <f>+E2884</f>
        <v>#REF!</v>
      </c>
      <c r="H2884" s="430"/>
      <c r="I2884" s="430"/>
    </row>
    <row r="2885" spans="3:9" ht="18" x14ac:dyDescent="0.25">
      <c r="C2885" s="83" t="s">
        <v>213</v>
      </c>
      <c r="D2885" s="88"/>
      <c r="E2885" s="103" t="e">
        <f>+'RES CUENTA'!#REF!</f>
        <v>#REF!</v>
      </c>
      <c r="F2885" s="104">
        <v>0</v>
      </c>
      <c r="G2885" s="134" t="e">
        <f>+E2885</f>
        <v>#REF!</v>
      </c>
      <c r="H2885" s="430"/>
      <c r="I2885" s="430"/>
    </row>
    <row r="2886" spans="3:9" ht="18" x14ac:dyDescent="0.25">
      <c r="C2886" s="84"/>
      <c r="D2886" s="88"/>
      <c r="E2886" s="83"/>
      <c r="F2886" s="89"/>
      <c r="G2886" s="101" t="e">
        <f>SUM(G2882:G2885)</f>
        <v>#REF!</v>
      </c>
      <c r="H2886" s="430"/>
      <c r="I2886" s="430"/>
    </row>
    <row r="2887" spans="3:9" ht="18" x14ac:dyDescent="0.25">
      <c r="C2887" s="84"/>
      <c r="D2887" s="88"/>
      <c r="E2887" s="83"/>
      <c r="F2887" s="83"/>
      <c r="H2887" s="432"/>
      <c r="I2887" s="432"/>
    </row>
    <row r="2888" spans="3:9" ht="18" x14ac:dyDescent="0.25">
      <c r="C2888" s="84"/>
      <c r="D2888" s="88"/>
      <c r="E2888" s="83"/>
      <c r="F2888" s="83"/>
      <c r="H2888" s="88"/>
      <c r="I2888" s="88"/>
    </row>
    <row r="2889" spans="3:9" ht="18" x14ac:dyDescent="0.25">
      <c r="C2889" s="83"/>
      <c r="D2889" s="88"/>
      <c r="E2889" s="83"/>
      <c r="F2889" s="83"/>
      <c r="G2889" s="85"/>
      <c r="H2889" s="88"/>
      <c r="I2889" s="88"/>
    </row>
    <row r="2890" spans="3:9" ht="18" x14ac:dyDescent="0.25">
      <c r="C2890" s="83"/>
      <c r="D2890" s="88"/>
      <c r="E2890" s="83"/>
      <c r="F2890" s="83"/>
      <c r="G2890" s="89"/>
      <c r="H2890" s="83"/>
      <c r="I2890" s="83"/>
    </row>
    <row r="2891" spans="3:9" ht="21.75" customHeight="1" x14ac:dyDescent="0.25">
      <c r="C2891" s="83"/>
      <c r="D2891" s="88"/>
      <c r="E2891" s="83"/>
      <c r="F2891" s="83"/>
      <c r="G2891" s="89"/>
      <c r="H2891" s="83"/>
      <c r="I2891" s="83"/>
    </row>
    <row r="2892" spans="3:9" ht="18" x14ac:dyDescent="0.25">
      <c r="C2892" s="83" t="e">
        <f>+C2877</f>
        <v>#REF!</v>
      </c>
      <c r="D2892" s="427"/>
      <c r="E2892" s="427"/>
      <c r="F2892" s="83" t="e">
        <f>+C2892</f>
        <v>#REF!</v>
      </c>
      <c r="G2892" s="89"/>
      <c r="H2892" s="83"/>
      <c r="I2892" s="83"/>
    </row>
    <row r="2893" spans="3:9" ht="18" x14ac:dyDescent="0.25">
      <c r="D2893" s="88"/>
      <c r="E2893" s="83"/>
      <c r="G2893" s="427"/>
      <c r="H2893" s="427"/>
      <c r="I2893" s="427"/>
    </row>
    <row r="2894" spans="3:9" ht="18" x14ac:dyDescent="0.25">
      <c r="C2894" s="83" t="str">
        <f>+$F$1</f>
        <v>MONTES DE OCA 1068/1070 C.A.B.A.</v>
      </c>
      <c r="D2894" s="88"/>
      <c r="E2894" s="90" t="str">
        <f>+I2878</f>
        <v>Unid. 77</v>
      </c>
      <c r="F2894" s="83" t="str">
        <f>+$F$1</f>
        <v>MONTES DE OCA 1068/1070 C.A.B.A.</v>
      </c>
      <c r="G2894" s="83"/>
      <c r="H2894" s="83"/>
      <c r="I2894" s="90" t="str">
        <f>+E2894</f>
        <v>Unid. 77</v>
      </c>
    </row>
    <row r="2895" spans="3:9" ht="18" x14ac:dyDescent="0.25">
      <c r="I2895" s="84"/>
    </row>
    <row r="2896" spans="3:9" ht="12.75" customHeight="1" x14ac:dyDescent="0.25">
      <c r="C2896" s="84"/>
      <c r="D2896" s="91"/>
      <c r="E2896" s="84"/>
      <c r="F2896" s="84"/>
      <c r="G2896" s="83"/>
      <c r="H2896" s="83"/>
    </row>
    <row r="2897" spans="3:9" ht="18" x14ac:dyDescent="0.25">
      <c r="C2897" s="83" t="str">
        <f>+$F$2</f>
        <v>P/Depósito o transferencia en Banco Santander Rio</v>
      </c>
      <c r="D2897" s="88"/>
      <c r="E2897" s="83"/>
      <c r="F2897" s="83"/>
      <c r="G2897" s="83"/>
      <c r="H2897" s="84"/>
      <c r="I2897" s="99"/>
    </row>
    <row r="2898" spans="3:9" ht="18" x14ac:dyDescent="0.25">
      <c r="C2898" s="83" t="str">
        <f>+$F$3</f>
        <v xml:space="preserve">Cta. Cte. $ N° 558-000162/1 </v>
      </c>
      <c r="D2898" s="88"/>
      <c r="E2898" s="83"/>
      <c r="F2898" s="93"/>
      <c r="G2898" s="83"/>
      <c r="H2898" s="91"/>
      <c r="I2898" s="83"/>
    </row>
    <row r="2899" spans="3:9" ht="18" x14ac:dyDescent="0.25">
      <c r="D2899" s="88"/>
      <c r="E2899" s="83"/>
      <c r="F2899" s="83" t="s">
        <v>70</v>
      </c>
      <c r="G2899" s="102" t="e">
        <f>+G2882</f>
        <v>#REF!</v>
      </c>
      <c r="I2899" s="97">
        <f>+C2904</f>
        <v>46183</v>
      </c>
    </row>
    <row r="2900" spans="3:9" ht="18" x14ac:dyDescent="0.25">
      <c r="C2900" s="84"/>
      <c r="D2900" s="88"/>
      <c r="E2900" s="83"/>
      <c r="F2900" s="83" t="s">
        <v>71</v>
      </c>
      <c r="G2900" s="102" t="e">
        <f>+G2883</f>
        <v>#REF!</v>
      </c>
    </row>
    <row r="2901" spans="3:9" ht="18" x14ac:dyDescent="0.25">
      <c r="C2901" s="84"/>
      <c r="D2901" s="88"/>
      <c r="E2901" s="83"/>
      <c r="F2901" s="83" t="s">
        <v>72</v>
      </c>
      <c r="G2901" s="102" t="e">
        <f>+G2884</f>
        <v>#REF!</v>
      </c>
      <c r="H2901" s="83"/>
      <c r="I2901" s="83"/>
    </row>
    <row r="2902" spans="3:9" ht="18" x14ac:dyDescent="0.25">
      <c r="C2902" s="83"/>
      <c r="D2902" s="88"/>
      <c r="E2902" s="83"/>
      <c r="F2902" s="83" t="s">
        <v>73</v>
      </c>
      <c r="G2902" s="102" t="e">
        <f>+G2885</f>
        <v>#REF!</v>
      </c>
      <c r="H2902" s="83"/>
      <c r="I2902" s="83"/>
    </row>
    <row r="2903" spans="3:9" ht="18" x14ac:dyDescent="0.25">
      <c r="C2903" s="93"/>
      <c r="D2903" s="93"/>
      <c r="E2903" s="93"/>
      <c r="F2903" s="83" t="s">
        <v>181</v>
      </c>
      <c r="G2903" s="135">
        <v>0</v>
      </c>
      <c r="H2903" s="83"/>
      <c r="I2903" s="83"/>
    </row>
    <row r="2904" spans="3:9" ht="18" x14ac:dyDescent="0.25">
      <c r="C2904" s="97">
        <f>+$H$43</f>
        <v>46183</v>
      </c>
      <c r="D2904" s="157" t="e">
        <f>+G2886</f>
        <v>#REF!</v>
      </c>
      <c r="E2904" s="83"/>
      <c r="F2904" s="83" t="s">
        <v>74</v>
      </c>
      <c r="G2904" s="102" t="e">
        <f>+G2886</f>
        <v>#REF!</v>
      </c>
      <c r="H2904" s="83"/>
      <c r="I2904" s="83"/>
    </row>
    <row r="2905" spans="3:9" ht="18" x14ac:dyDescent="0.25">
      <c r="C2905" s="83"/>
      <c r="D2905" s="88"/>
      <c r="E2905" s="83"/>
      <c r="F2905" s="83"/>
      <c r="G2905" s="83"/>
      <c r="H2905" s="83"/>
      <c r="I2905" s="83"/>
    </row>
    <row r="2906" spans="3:9" ht="18" x14ac:dyDescent="0.25">
      <c r="C2906" s="83"/>
      <c r="D2906" s="88"/>
      <c r="E2906" s="83"/>
      <c r="F2906" s="83"/>
      <c r="G2906" s="83"/>
      <c r="H2906" s="425"/>
      <c r="I2906" s="425"/>
    </row>
    <row r="2907" spans="3:9" ht="18" x14ac:dyDescent="0.25">
      <c r="C2907" s="83"/>
      <c r="D2907" s="88"/>
      <c r="E2907" s="83"/>
      <c r="F2907" s="83"/>
      <c r="G2907" s="83"/>
      <c r="H2907" s="83"/>
      <c r="I2907" s="83"/>
    </row>
    <row r="2908" spans="3:9" ht="18" x14ac:dyDescent="0.25">
      <c r="C2908" s="83"/>
      <c r="D2908" s="88"/>
      <c r="E2908" s="83"/>
      <c r="F2908" s="83"/>
      <c r="G2908" s="83"/>
      <c r="H2908" s="83"/>
      <c r="I2908" s="83"/>
    </row>
    <row r="2909" spans="3:9" ht="18" x14ac:dyDescent="0.25">
      <c r="C2909" s="83"/>
      <c r="D2909" s="88"/>
      <c r="E2909" s="83"/>
      <c r="F2909" s="83"/>
      <c r="G2909" s="83"/>
      <c r="H2909" s="83"/>
      <c r="I2909" s="83"/>
    </row>
    <row r="2910" spans="3:9" ht="18" x14ac:dyDescent="0.25">
      <c r="C2910" s="83"/>
      <c r="D2910" s="88"/>
      <c r="E2910" s="83"/>
      <c r="F2910" s="83"/>
      <c r="G2910" s="83"/>
      <c r="H2910" s="83"/>
      <c r="I2910" s="83"/>
    </row>
    <row r="2911" spans="3:9" ht="18" x14ac:dyDescent="0.25">
      <c r="C2911" s="83"/>
      <c r="D2911" s="88"/>
      <c r="E2911" s="83"/>
      <c r="F2911" s="83"/>
      <c r="G2911" s="83"/>
      <c r="I2911" s="83"/>
    </row>
    <row r="2912" spans="3:9" ht="18" x14ac:dyDescent="0.25">
      <c r="C2912" s="424"/>
      <c r="D2912" s="424"/>
      <c r="E2912" s="424"/>
      <c r="F2912" s="83"/>
      <c r="G2912" s="83"/>
      <c r="I2912" s="83"/>
    </row>
    <row r="2913" spans="3:9" ht="18" x14ac:dyDescent="0.25">
      <c r="C2913" s="424"/>
      <c r="D2913" s="424"/>
      <c r="E2913" s="424"/>
      <c r="F2913" s="96">
        <f>+$C$1</f>
        <v>46143</v>
      </c>
      <c r="G2913" s="83"/>
      <c r="H2913" s="97">
        <f>+$E$1</f>
        <v>46183</v>
      </c>
      <c r="I2913" s="95"/>
    </row>
    <row r="2914" spans="3:9" ht="18" x14ac:dyDescent="0.25">
      <c r="C2914" s="82"/>
      <c r="D2914" s="82"/>
      <c r="E2914" s="98"/>
      <c r="F2914" s="96"/>
      <c r="G2914" s="83"/>
    </row>
    <row r="2915" spans="3:9" ht="18" x14ac:dyDescent="0.25">
      <c r="C2915" s="83" t="e">
        <f>+#REF!</f>
        <v>#REF!</v>
      </c>
      <c r="D2915" s="88"/>
      <c r="E2915" s="83"/>
      <c r="G2915" s="83"/>
    </row>
    <row r="2916" spans="3:9" ht="18" x14ac:dyDescent="0.25">
      <c r="D2916" s="88"/>
      <c r="E2916" s="83"/>
      <c r="F2916" s="83" t="str">
        <f>+$F$1</f>
        <v>MONTES DE OCA 1068/1070 C.A.B.A.</v>
      </c>
      <c r="G2916" s="83"/>
      <c r="I2916" s="90" t="s">
        <v>152</v>
      </c>
    </row>
    <row r="2917" spans="3:9" ht="18" x14ac:dyDescent="0.25">
      <c r="C2917" s="83"/>
      <c r="D2917" s="88"/>
      <c r="E2917" s="83"/>
      <c r="F2917" s="84"/>
      <c r="G2917" s="83"/>
      <c r="H2917" s="83"/>
      <c r="I2917" s="84"/>
    </row>
    <row r="2918" spans="3:9" ht="18" x14ac:dyDescent="0.25">
      <c r="C2918" s="83"/>
      <c r="D2918" s="88"/>
      <c r="E2918" s="83"/>
      <c r="F2918" s="84"/>
      <c r="G2918" s="83"/>
      <c r="H2918" s="83"/>
      <c r="I2918" s="84"/>
    </row>
    <row r="2919" spans="3:9" ht="18" x14ac:dyDescent="0.25">
      <c r="C2919" s="91"/>
      <c r="D2919" s="88"/>
      <c r="E2919" s="91"/>
      <c r="F2919" s="83"/>
      <c r="G2919" s="83"/>
      <c r="H2919" s="83"/>
      <c r="I2919" s="83"/>
    </row>
    <row r="2920" spans="3:9" ht="18" x14ac:dyDescent="0.25">
      <c r="C2920" s="83" t="s">
        <v>68</v>
      </c>
      <c r="D2920" s="88"/>
      <c r="E2920" s="103" t="e">
        <f>+'RES CUENTA'!#REF!</f>
        <v>#REF!</v>
      </c>
      <c r="F2920" s="104" t="e">
        <f>+'RES CUENTA'!#REF!</f>
        <v>#REF!</v>
      </c>
      <c r="G2920" s="101" t="e">
        <f>+E2920*F2920/100</f>
        <v>#REF!</v>
      </c>
      <c r="H2920" s="83"/>
      <c r="I2920" s="91"/>
    </row>
    <row r="2921" spans="3:9" ht="18" x14ac:dyDescent="0.25">
      <c r="C2921" s="83" t="s">
        <v>69</v>
      </c>
      <c r="D2921" s="88"/>
      <c r="E2921" s="103" t="e">
        <f>+'RES CUENTA'!#REF!</f>
        <v>#REF!</v>
      </c>
      <c r="F2921" s="104" t="e">
        <f>+'RES CUENTA'!#REF!</f>
        <v>#REF!</v>
      </c>
      <c r="G2921" s="101" t="e">
        <f>+E2921*F2921/100</f>
        <v>#REF!</v>
      </c>
      <c r="H2921" s="91"/>
      <c r="I2921" s="87"/>
    </row>
    <row r="2922" spans="3:9" ht="18" x14ac:dyDescent="0.25">
      <c r="C2922" s="83" t="s">
        <v>181</v>
      </c>
      <c r="D2922" s="88"/>
      <c r="E2922" s="103" t="e">
        <f>+'RES CUENTA'!#REF!</f>
        <v>#REF!</v>
      </c>
      <c r="F2922" s="104">
        <f>+'RES CUENTA'!M1997</f>
        <v>0</v>
      </c>
      <c r="G2922" s="101" t="e">
        <f>+E2922</f>
        <v>#REF!</v>
      </c>
      <c r="H2922" s="87"/>
      <c r="I2922" s="87"/>
    </row>
    <row r="2923" spans="3:9" ht="18" x14ac:dyDescent="0.25">
      <c r="C2923" s="83" t="s">
        <v>213</v>
      </c>
      <c r="D2923" s="88"/>
      <c r="E2923" s="103" t="e">
        <f>+'RES CUENTA'!#REF!</f>
        <v>#REF!</v>
      </c>
      <c r="F2923" s="104">
        <f>+'RES CUENTA'!N1996</f>
        <v>0</v>
      </c>
      <c r="G2923" s="134" t="e">
        <f>+E2923</f>
        <v>#REF!</v>
      </c>
      <c r="H2923" s="87"/>
      <c r="I2923" s="87"/>
    </row>
    <row r="2924" spans="3:9" ht="18" x14ac:dyDescent="0.25">
      <c r="C2924" s="84"/>
      <c r="D2924" s="88"/>
      <c r="E2924" s="83"/>
      <c r="G2924" s="101" t="e">
        <f>SUM(G2920:G2923)</f>
        <v>#REF!</v>
      </c>
      <c r="H2924" s="87"/>
      <c r="I2924" s="87"/>
    </row>
    <row r="2925" spans="3:9" ht="18" x14ac:dyDescent="0.25">
      <c r="C2925" s="83"/>
      <c r="D2925" s="88"/>
      <c r="E2925" s="83"/>
      <c r="F2925" s="83"/>
      <c r="G2925" s="89"/>
      <c r="H2925" s="88"/>
      <c r="I2925" s="88"/>
    </row>
    <row r="2926" spans="3:9" ht="18" x14ac:dyDescent="0.25">
      <c r="C2926" s="83"/>
      <c r="D2926" s="88"/>
      <c r="E2926" s="83"/>
      <c r="F2926" s="83"/>
      <c r="G2926" s="89"/>
      <c r="H2926" s="88"/>
      <c r="I2926" s="88"/>
    </row>
    <row r="2927" spans="3:9" ht="18" x14ac:dyDescent="0.25">
      <c r="C2927" s="83"/>
      <c r="D2927" s="88"/>
      <c r="E2927" s="83"/>
      <c r="F2927" s="83"/>
      <c r="G2927" s="89"/>
      <c r="H2927" s="88"/>
      <c r="I2927" s="88"/>
    </row>
    <row r="2928" spans="3:9" ht="18" x14ac:dyDescent="0.25">
      <c r="C2928" s="83"/>
      <c r="D2928" s="88"/>
      <c r="E2928" s="83"/>
      <c r="F2928" s="83"/>
      <c r="G2928" s="89"/>
      <c r="H2928" s="88"/>
      <c r="I2928" s="88"/>
    </row>
    <row r="2929" spans="3:9" ht="23.25" customHeight="1" x14ac:dyDescent="0.25">
      <c r="C2929" s="83"/>
      <c r="D2929" s="88"/>
      <c r="E2929" s="83"/>
      <c r="F2929" s="83"/>
      <c r="G2929" s="89"/>
      <c r="H2929" s="88"/>
      <c r="I2929" s="83"/>
    </row>
    <row r="2930" spans="3:9" ht="18" x14ac:dyDescent="0.25">
      <c r="C2930" s="83" t="e">
        <f>+C2915</f>
        <v>#REF!</v>
      </c>
      <c r="D2930" s="88"/>
      <c r="E2930" s="83"/>
      <c r="F2930" s="83" t="e">
        <f>+C2915</f>
        <v>#REF!</v>
      </c>
      <c r="G2930" s="83"/>
      <c r="H2930" s="83"/>
      <c r="I2930" s="99"/>
    </row>
    <row r="2931" spans="3:9" ht="18" x14ac:dyDescent="0.25">
      <c r="C2931" s="84"/>
      <c r="D2931" s="88"/>
      <c r="E2931" s="83"/>
      <c r="G2931" s="83"/>
      <c r="H2931" s="99"/>
      <c r="I2931" s="90" t="str">
        <f>+I2916</f>
        <v>Unid. 78</v>
      </c>
    </row>
    <row r="2932" spans="3:9" ht="18" x14ac:dyDescent="0.25">
      <c r="C2932" s="83" t="str">
        <f>+$F$1</f>
        <v>MONTES DE OCA 1068/1070 C.A.B.A.</v>
      </c>
      <c r="D2932" s="88"/>
      <c r="E2932" s="90" t="str">
        <f>+I2931</f>
        <v>Unid. 78</v>
      </c>
      <c r="F2932" s="83" t="str">
        <f>+$F$1</f>
        <v>MONTES DE OCA 1068/1070 C.A.B.A.</v>
      </c>
      <c r="G2932" s="83"/>
      <c r="H2932" s="83"/>
      <c r="I2932" s="84"/>
    </row>
    <row r="2933" spans="3:9" ht="18" x14ac:dyDescent="0.25">
      <c r="C2933" s="84"/>
      <c r="D2933" s="91"/>
      <c r="E2933" s="84"/>
      <c r="G2933" s="83"/>
      <c r="H2933" s="83"/>
    </row>
    <row r="2934" spans="3:9" ht="12" customHeight="1" x14ac:dyDescent="0.25">
      <c r="C2934" s="83"/>
      <c r="D2934" s="88"/>
      <c r="E2934" s="83"/>
      <c r="F2934" s="84"/>
      <c r="G2934" s="83"/>
      <c r="H2934" s="83"/>
      <c r="I2934" s="99"/>
    </row>
    <row r="2935" spans="3:9" ht="18" x14ac:dyDescent="0.25">
      <c r="C2935" s="83" t="str">
        <f>+$F$2</f>
        <v>P/Depósito o transferencia en Banco Santander Rio</v>
      </c>
      <c r="D2935" s="88"/>
      <c r="E2935" s="83"/>
      <c r="F2935" s="83"/>
      <c r="G2935" s="128"/>
      <c r="H2935" s="84"/>
      <c r="I2935" s="83"/>
    </row>
    <row r="2936" spans="3:9" ht="18" x14ac:dyDescent="0.25">
      <c r="C2936" s="83" t="str">
        <f>+$F$3</f>
        <v xml:space="preserve">Cta. Cte. $ N° 558-000162/1 </v>
      </c>
      <c r="D2936" s="88"/>
      <c r="E2936" s="83"/>
      <c r="F2936" s="93"/>
      <c r="H2936" s="91"/>
      <c r="I2936" s="92"/>
    </row>
    <row r="2937" spans="3:9" ht="18" x14ac:dyDescent="0.25">
      <c r="C2937" s="84"/>
      <c r="D2937" s="88"/>
      <c r="E2937" s="83"/>
      <c r="F2937" s="83" t="s">
        <v>70</v>
      </c>
      <c r="G2937" s="102" t="e">
        <f>+G2920</f>
        <v>#REF!</v>
      </c>
      <c r="H2937" s="92"/>
      <c r="I2937" s="97">
        <f>+C2941</f>
        <v>46183</v>
      </c>
    </row>
    <row r="2938" spans="3:9" ht="18" x14ac:dyDescent="0.25">
      <c r="C2938" s="84"/>
      <c r="D2938" s="88"/>
      <c r="E2938" s="83"/>
      <c r="F2938" s="83" t="s">
        <v>71</v>
      </c>
      <c r="G2938" s="102" t="e">
        <f>+G2921</f>
        <v>#REF!</v>
      </c>
      <c r="I2938" s="83"/>
    </row>
    <row r="2939" spans="3:9" ht="18" x14ac:dyDescent="0.25">
      <c r="C2939" s="83"/>
      <c r="D2939" s="88"/>
      <c r="E2939" s="83"/>
      <c r="F2939" s="83" t="s">
        <v>72</v>
      </c>
      <c r="G2939" s="102" t="e">
        <f>+G2922</f>
        <v>#REF!</v>
      </c>
      <c r="H2939" s="83"/>
      <c r="I2939" s="83"/>
    </row>
    <row r="2940" spans="3:9" ht="18" x14ac:dyDescent="0.25">
      <c r="C2940" s="93"/>
      <c r="D2940" s="93"/>
      <c r="E2940" s="93"/>
      <c r="F2940" s="83" t="s">
        <v>73</v>
      </c>
      <c r="G2940" s="102" t="e">
        <f>+G2923</f>
        <v>#REF!</v>
      </c>
      <c r="H2940" s="83"/>
      <c r="I2940" s="83"/>
    </row>
    <row r="2941" spans="3:9" ht="18" x14ac:dyDescent="0.25">
      <c r="C2941" s="97">
        <f>+$H$43</f>
        <v>46183</v>
      </c>
      <c r="D2941" s="157" t="e">
        <f>+G2924</f>
        <v>#REF!</v>
      </c>
      <c r="E2941" s="83"/>
      <c r="F2941" s="83" t="s">
        <v>181</v>
      </c>
      <c r="G2941" s="135">
        <v>0</v>
      </c>
      <c r="H2941" s="83"/>
      <c r="I2941" s="83"/>
    </row>
    <row r="2942" spans="3:9" ht="18" x14ac:dyDescent="0.25">
      <c r="C2942" s="83"/>
      <c r="D2942" s="88"/>
      <c r="E2942" s="83"/>
      <c r="F2942" s="83" t="s">
        <v>74</v>
      </c>
      <c r="G2942" s="102" t="e">
        <f>+G2924</f>
        <v>#REF!</v>
      </c>
      <c r="H2942" s="83"/>
      <c r="I2942" s="83"/>
    </row>
    <row r="2943" spans="3:9" ht="18" x14ac:dyDescent="0.25">
      <c r="C2943" s="83"/>
      <c r="D2943" s="88"/>
      <c r="E2943" s="83"/>
      <c r="F2943" s="83"/>
      <c r="G2943" s="83"/>
      <c r="H2943" s="83"/>
      <c r="I2943" s="83"/>
    </row>
    <row r="2944" spans="3:9" ht="18" x14ac:dyDescent="0.25">
      <c r="C2944" s="83"/>
      <c r="D2944" s="88"/>
      <c r="E2944" s="83"/>
      <c r="F2944" s="100"/>
      <c r="G2944" s="83"/>
      <c r="H2944" s="83"/>
      <c r="I2944" s="83"/>
    </row>
    <row r="2945" spans="3:9" ht="18" x14ac:dyDescent="0.25">
      <c r="C2945" s="83"/>
      <c r="D2945" s="88"/>
      <c r="E2945" s="83"/>
      <c r="F2945" s="83"/>
      <c r="G2945" s="83"/>
      <c r="H2945" s="83"/>
      <c r="I2945" s="91"/>
    </row>
    <row r="2946" spans="3:9" ht="9" customHeight="1" x14ac:dyDescent="0.25">
      <c r="F2946" s="83"/>
      <c r="H2946" s="91"/>
      <c r="I2946" s="83"/>
    </row>
    <row r="2948" spans="3:9" ht="18" x14ac:dyDescent="0.25">
      <c r="C2948" s="424"/>
      <c r="D2948" s="424"/>
      <c r="E2948" s="424"/>
      <c r="F2948" s="433">
        <f>+$C$1</f>
        <v>46143</v>
      </c>
      <c r="G2948" s="83"/>
      <c r="H2948" s="429">
        <f>+$E$1</f>
        <v>46183</v>
      </c>
      <c r="I2948" s="83"/>
    </row>
    <row r="2949" spans="3:9" ht="18" x14ac:dyDescent="0.25">
      <c r="C2949" s="82"/>
      <c r="D2949" s="82"/>
      <c r="E2949" s="98"/>
      <c r="F2949" s="433"/>
      <c r="G2949" s="83"/>
      <c r="H2949" s="429"/>
      <c r="I2949" s="83"/>
    </row>
    <row r="2950" spans="3:9" ht="18" x14ac:dyDescent="0.25">
      <c r="C2950" s="83"/>
      <c r="D2950" s="88"/>
      <c r="E2950" s="83"/>
      <c r="F2950" s="84"/>
      <c r="G2950" s="83"/>
      <c r="H2950" s="84"/>
      <c r="I2950" s="83"/>
    </row>
    <row r="2951" spans="3:9" ht="18" x14ac:dyDescent="0.25">
      <c r="C2951" s="83" t="e">
        <f>+#REF!</f>
        <v>#REF!</v>
      </c>
      <c r="D2951" s="88"/>
      <c r="E2951" s="83"/>
      <c r="F2951" s="84"/>
      <c r="G2951" s="83"/>
      <c r="H2951" s="84"/>
      <c r="I2951" s="83"/>
    </row>
    <row r="2952" spans="3:9" ht="18" x14ac:dyDescent="0.25">
      <c r="C2952" s="84"/>
      <c r="D2952" s="88"/>
      <c r="E2952" s="83"/>
      <c r="F2952" s="83" t="s">
        <v>293</v>
      </c>
      <c r="G2952" s="83"/>
      <c r="H2952" s="83"/>
      <c r="I2952" s="90" t="s">
        <v>153</v>
      </c>
    </row>
    <row r="2953" spans="3:9" ht="18" x14ac:dyDescent="0.25">
      <c r="C2953" s="83"/>
      <c r="D2953" s="88"/>
      <c r="E2953" s="83"/>
      <c r="F2953" s="84"/>
      <c r="G2953" s="83"/>
      <c r="H2953" s="83"/>
      <c r="I2953" s="84"/>
    </row>
    <row r="2954" spans="3:9" ht="18" x14ac:dyDescent="0.25">
      <c r="C2954" s="91"/>
      <c r="D2954" s="88"/>
      <c r="E2954" s="91"/>
      <c r="F2954" s="83"/>
      <c r="G2954" s="83"/>
      <c r="H2954" s="83"/>
      <c r="I2954" s="83"/>
    </row>
    <row r="2955" spans="3:9" ht="18" x14ac:dyDescent="0.25">
      <c r="C2955" s="91"/>
      <c r="D2955" s="88"/>
      <c r="E2955" s="91"/>
      <c r="F2955" s="83"/>
      <c r="G2955" s="83"/>
      <c r="H2955" s="83"/>
      <c r="I2955" s="83"/>
    </row>
    <row r="2956" spans="3:9" ht="18" x14ac:dyDescent="0.25">
      <c r="C2956" s="83" t="s">
        <v>68</v>
      </c>
      <c r="D2956" s="88"/>
      <c r="E2956" s="103" t="e">
        <f>+'RES CUENTA'!#REF!</f>
        <v>#REF!</v>
      </c>
      <c r="F2956" s="104" t="e">
        <f>+'RES CUENTA'!#REF!</f>
        <v>#REF!</v>
      </c>
      <c r="G2956" s="101" t="e">
        <f>+E2956*F2956/100</f>
        <v>#REF!</v>
      </c>
      <c r="H2956" s="425"/>
      <c r="I2956" s="425"/>
    </row>
    <row r="2957" spans="3:9" ht="18" x14ac:dyDescent="0.25">
      <c r="C2957" s="83" t="s">
        <v>69</v>
      </c>
      <c r="D2957" s="88"/>
      <c r="E2957" s="103" t="e">
        <f>+'RES CUENTA'!#REF!</f>
        <v>#REF!</v>
      </c>
      <c r="F2957" s="104" t="e">
        <f>+'RES CUENTA'!#REF!</f>
        <v>#REF!</v>
      </c>
      <c r="G2957" s="101" t="e">
        <f>+E2957*F2957/100</f>
        <v>#REF!</v>
      </c>
      <c r="H2957" s="430"/>
      <c r="I2957" s="430"/>
    </row>
    <row r="2958" spans="3:9" ht="18" x14ac:dyDescent="0.25">
      <c r="C2958" s="83" t="s">
        <v>181</v>
      </c>
      <c r="D2958" s="88"/>
      <c r="E2958" s="103" t="e">
        <f>+'RES CUENTA'!#REF!</f>
        <v>#REF!</v>
      </c>
      <c r="F2958" s="104">
        <v>0</v>
      </c>
      <c r="G2958" s="101" t="e">
        <f>+E2958</f>
        <v>#REF!</v>
      </c>
      <c r="H2958" s="430"/>
      <c r="I2958" s="430"/>
    </row>
    <row r="2959" spans="3:9" ht="18" x14ac:dyDescent="0.25">
      <c r="C2959" s="83" t="s">
        <v>213</v>
      </c>
      <c r="D2959" s="88"/>
      <c r="E2959" s="103" t="e">
        <f>+'RES CUENTA'!#REF!</f>
        <v>#REF!</v>
      </c>
      <c r="F2959" s="104">
        <v>0</v>
      </c>
      <c r="G2959" s="134" t="e">
        <f>+E2959</f>
        <v>#REF!</v>
      </c>
      <c r="H2959" s="430"/>
      <c r="I2959" s="430"/>
    </row>
    <row r="2960" spans="3:9" ht="18" x14ac:dyDescent="0.25">
      <c r="C2960" s="84"/>
      <c r="D2960" s="88"/>
      <c r="E2960" s="83"/>
      <c r="F2960" s="89"/>
      <c r="G2960" s="101" t="e">
        <f>SUM(G2956:G2959)</f>
        <v>#REF!</v>
      </c>
      <c r="H2960" s="430"/>
      <c r="I2960" s="430"/>
    </row>
    <row r="2961" spans="3:9" ht="18" x14ac:dyDescent="0.25">
      <c r="C2961" s="84"/>
      <c r="D2961" s="88"/>
      <c r="E2961" s="83"/>
      <c r="F2961" s="89"/>
      <c r="G2961" s="101"/>
      <c r="H2961" s="87"/>
      <c r="I2961" s="87"/>
    </row>
    <row r="2962" spans="3:9" ht="18" x14ac:dyDescent="0.25">
      <c r="C2962" s="84"/>
      <c r="D2962" s="88"/>
      <c r="E2962" s="83"/>
      <c r="F2962" s="83"/>
      <c r="H2962" s="432"/>
      <c r="I2962" s="432"/>
    </row>
    <row r="2963" spans="3:9" ht="18" x14ac:dyDescent="0.25">
      <c r="C2963" s="83"/>
      <c r="D2963" s="88"/>
      <c r="E2963" s="83"/>
      <c r="F2963" s="83"/>
      <c r="G2963" s="85"/>
      <c r="H2963" s="88"/>
      <c r="I2963" s="88"/>
    </row>
    <row r="2964" spans="3:9" ht="18" x14ac:dyDescent="0.25">
      <c r="C2964" s="83"/>
      <c r="D2964" s="88"/>
      <c r="E2964" s="83"/>
      <c r="F2964" s="83"/>
      <c r="G2964" s="89"/>
      <c r="H2964" s="83"/>
      <c r="I2964" s="83"/>
    </row>
    <row r="2965" spans="3:9" ht="23.25" customHeight="1" x14ac:dyDescent="0.25">
      <c r="C2965" s="83"/>
      <c r="D2965" s="88"/>
      <c r="E2965" s="83"/>
      <c r="F2965" s="83"/>
      <c r="G2965" s="89"/>
      <c r="H2965" s="83"/>
      <c r="I2965" s="83"/>
    </row>
    <row r="2966" spans="3:9" ht="18" x14ac:dyDescent="0.25">
      <c r="C2966" s="83" t="e">
        <f>+C2951</f>
        <v>#REF!</v>
      </c>
      <c r="D2966" s="427"/>
      <c r="E2966" s="427"/>
      <c r="F2966" s="83" t="e">
        <f>+C2966</f>
        <v>#REF!</v>
      </c>
      <c r="G2966" s="89"/>
      <c r="H2966" s="83"/>
      <c r="I2966" s="83"/>
    </row>
    <row r="2967" spans="3:9" ht="18" x14ac:dyDescent="0.25">
      <c r="D2967" s="88"/>
      <c r="E2967" s="83"/>
      <c r="G2967" s="427"/>
      <c r="H2967" s="427"/>
      <c r="I2967" s="427"/>
    </row>
    <row r="2968" spans="3:9" ht="18" x14ac:dyDescent="0.25">
      <c r="C2968" s="83" t="str">
        <f>+$F$1</f>
        <v>MONTES DE OCA 1068/1070 C.A.B.A.</v>
      </c>
      <c r="D2968" s="88"/>
      <c r="E2968" s="90" t="str">
        <f>+I2952</f>
        <v>Unid. 79</v>
      </c>
      <c r="F2968" s="83" t="str">
        <f>+$F$1</f>
        <v>MONTES DE OCA 1068/1070 C.A.B.A.</v>
      </c>
      <c r="G2968" s="83"/>
      <c r="H2968" s="83"/>
      <c r="I2968" s="90" t="str">
        <f>+E2968</f>
        <v>Unid. 79</v>
      </c>
    </row>
    <row r="2969" spans="3:9" ht="18" x14ac:dyDescent="0.25">
      <c r="I2969" s="84"/>
    </row>
    <row r="2970" spans="3:9" ht="12" customHeight="1" x14ac:dyDescent="0.25">
      <c r="C2970" s="84"/>
      <c r="D2970" s="91"/>
      <c r="E2970" s="84"/>
      <c r="F2970" s="84"/>
      <c r="G2970" s="83"/>
      <c r="H2970" s="83"/>
    </row>
    <row r="2971" spans="3:9" ht="18" x14ac:dyDescent="0.25">
      <c r="C2971" s="83" t="str">
        <f>+$F$2</f>
        <v>P/Depósito o transferencia en Banco Santander Rio</v>
      </c>
      <c r="D2971" s="88"/>
      <c r="E2971" s="83"/>
      <c r="F2971" s="83"/>
      <c r="G2971" s="83"/>
      <c r="H2971" s="84"/>
      <c r="I2971" s="99"/>
    </row>
    <row r="2972" spans="3:9" ht="18" x14ac:dyDescent="0.25">
      <c r="C2972" s="83" t="str">
        <f>+$F$3</f>
        <v xml:space="preserve">Cta. Cte. $ N° 558-000162/1 </v>
      </c>
      <c r="D2972" s="88"/>
      <c r="E2972" s="83"/>
      <c r="F2972" s="93"/>
      <c r="G2972" s="83"/>
      <c r="H2972" s="91"/>
      <c r="I2972" s="83"/>
    </row>
    <row r="2973" spans="3:9" ht="18" x14ac:dyDescent="0.25">
      <c r="D2973" s="88"/>
      <c r="E2973" s="83"/>
      <c r="F2973" s="83" t="s">
        <v>70</v>
      </c>
      <c r="G2973" s="102" t="e">
        <f>+G2956</f>
        <v>#REF!</v>
      </c>
      <c r="I2973" s="97">
        <f>+C2978</f>
        <v>46183</v>
      </c>
    </row>
    <row r="2974" spans="3:9" ht="18" x14ac:dyDescent="0.25">
      <c r="C2974" s="84"/>
      <c r="D2974" s="88"/>
      <c r="E2974" s="83"/>
      <c r="F2974" s="83" t="s">
        <v>71</v>
      </c>
      <c r="G2974" s="102" t="e">
        <f>+G2957</f>
        <v>#REF!</v>
      </c>
    </row>
    <row r="2975" spans="3:9" ht="18" x14ac:dyDescent="0.25">
      <c r="C2975" s="84"/>
      <c r="D2975" s="88"/>
      <c r="E2975" s="83"/>
      <c r="F2975" s="83" t="s">
        <v>72</v>
      </c>
      <c r="G2975" s="102" t="e">
        <f>+G2958</f>
        <v>#REF!</v>
      </c>
      <c r="H2975" s="83"/>
      <c r="I2975" s="83"/>
    </row>
    <row r="2976" spans="3:9" ht="18" x14ac:dyDescent="0.25">
      <c r="C2976" s="83"/>
      <c r="D2976" s="88"/>
      <c r="E2976" s="83"/>
      <c r="F2976" s="83" t="s">
        <v>73</v>
      </c>
      <c r="G2976" s="102" t="e">
        <f>+G2959</f>
        <v>#REF!</v>
      </c>
      <c r="H2976" s="83"/>
      <c r="I2976" s="83"/>
    </row>
    <row r="2977" spans="3:9" ht="18" x14ac:dyDescent="0.25">
      <c r="C2977" s="93"/>
      <c r="D2977" s="93"/>
      <c r="E2977" s="93"/>
      <c r="F2977" s="83" t="s">
        <v>181</v>
      </c>
      <c r="G2977" s="135">
        <v>0</v>
      </c>
      <c r="H2977" s="83"/>
      <c r="I2977" s="83"/>
    </row>
    <row r="2978" spans="3:9" ht="18" x14ac:dyDescent="0.25">
      <c r="C2978" s="97">
        <f>+$H$43</f>
        <v>46183</v>
      </c>
      <c r="D2978" s="157" t="e">
        <f>+G2960</f>
        <v>#REF!</v>
      </c>
      <c r="E2978" s="83"/>
      <c r="F2978" s="83" t="s">
        <v>74</v>
      </c>
      <c r="G2978" s="102" t="e">
        <f>+G2960</f>
        <v>#REF!</v>
      </c>
      <c r="H2978" s="83"/>
      <c r="I2978" s="83"/>
    </row>
    <row r="2979" spans="3:9" ht="18" x14ac:dyDescent="0.25">
      <c r="C2979" s="83"/>
      <c r="D2979" s="88"/>
      <c r="E2979" s="83"/>
      <c r="F2979" s="83"/>
      <c r="G2979" s="83"/>
      <c r="H2979" s="83"/>
      <c r="I2979" s="83"/>
    </row>
    <row r="2980" spans="3:9" ht="18" x14ac:dyDescent="0.25">
      <c r="C2980" s="83"/>
      <c r="D2980" s="88"/>
      <c r="E2980" s="83"/>
      <c r="F2980" s="83"/>
      <c r="G2980" s="83"/>
      <c r="H2980" s="425"/>
      <c r="I2980" s="425"/>
    </row>
    <row r="2981" spans="3:9" ht="18" x14ac:dyDescent="0.25">
      <c r="C2981" s="83"/>
      <c r="D2981" s="88"/>
      <c r="E2981" s="83"/>
      <c r="F2981" s="83"/>
      <c r="G2981" s="83"/>
      <c r="H2981" s="83"/>
      <c r="I2981" s="83"/>
    </row>
    <row r="2982" spans="3:9" ht="18" x14ac:dyDescent="0.25">
      <c r="C2982" s="83"/>
      <c r="D2982" s="88"/>
      <c r="E2982" s="83"/>
      <c r="F2982" s="83"/>
      <c r="G2982" s="83"/>
      <c r="H2982" s="83"/>
      <c r="I2982" s="83"/>
    </row>
    <row r="2983" spans="3:9" ht="18" x14ac:dyDescent="0.25">
      <c r="C2983" s="83"/>
      <c r="D2983" s="88"/>
      <c r="E2983" s="83"/>
      <c r="F2983" s="83"/>
      <c r="G2983" s="83"/>
      <c r="H2983" s="83"/>
      <c r="I2983" s="83"/>
    </row>
    <row r="2984" spans="3:9" ht="18" x14ac:dyDescent="0.25">
      <c r="C2984" s="83"/>
      <c r="D2984" s="88"/>
      <c r="E2984" s="83"/>
      <c r="F2984" s="83"/>
      <c r="G2984" s="83"/>
      <c r="H2984" s="83"/>
      <c r="I2984" s="83"/>
    </row>
    <row r="2985" spans="3:9" ht="18" x14ac:dyDescent="0.25">
      <c r="C2985" s="83"/>
      <c r="D2985" s="88"/>
      <c r="E2985" s="83"/>
      <c r="F2985" s="83"/>
      <c r="G2985" s="83"/>
      <c r="I2985" s="83"/>
    </row>
    <row r="2986" spans="3:9" ht="18" x14ac:dyDescent="0.25">
      <c r="C2986" s="424"/>
      <c r="D2986" s="424"/>
      <c r="E2986" s="424"/>
      <c r="F2986" s="83"/>
      <c r="G2986" s="83"/>
      <c r="I2986" s="83"/>
    </row>
    <row r="2987" spans="3:9" ht="18" x14ac:dyDescent="0.25">
      <c r="C2987" s="424"/>
      <c r="D2987" s="424"/>
      <c r="E2987" s="424"/>
      <c r="F2987" s="96">
        <f>+$C$1</f>
        <v>46143</v>
      </c>
      <c r="G2987" s="83"/>
      <c r="H2987" s="97">
        <f>+$E$1</f>
        <v>46183</v>
      </c>
      <c r="I2987" s="95"/>
    </row>
    <row r="2988" spans="3:9" ht="18" x14ac:dyDescent="0.25">
      <c r="C2988" s="82"/>
      <c r="D2988" s="82"/>
      <c r="E2988" s="98"/>
      <c r="F2988" s="96"/>
      <c r="G2988" s="83"/>
    </row>
    <row r="2989" spans="3:9" ht="18" x14ac:dyDescent="0.25">
      <c r="C2989" s="83" t="e">
        <f>+#REF!</f>
        <v>#REF!</v>
      </c>
      <c r="D2989" s="88"/>
      <c r="E2989" s="83"/>
      <c r="G2989" s="83"/>
    </row>
    <row r="2990" spans="3:9" ht="18" x14ac:dyDescent="0.25">
      <c r="D2990" s="88"/>
      <c r="E2990" s="83"/>
      <c r="F2990" s="83" t="str">
        <f>+$F$1</f>
        <v>MONTES DE OCA 1068/1070 C.A.B.A.</v>
      </c>
      <c r="G2990" s="83"/>
      <c r="I2990" s="90" t="s">
        <v>154</v>
      </c>
    </row>
    <row r="2991" spans="3:9" ht="18" x14ac:dyDescent="0.25">
      <c r="C2991" s="84"/>
      <c r="D2991" s="88"/>
      <c r="E2991" s="83"/>
      <c r="G2991" s="83"/>
      <c r="H2991" s="84"/>
    </row>
    <row r="2992" spans="3:9" ht="18" x14ac:dyDescent="0.25">
      <c r="C2992" s="83"/>
      <c r="D2992" s="88"/>
      <c r="E2992" s="83"/>
      <c r="F2992" s="84"/>
      <c r="G2992" s="83"/>
      <c r="H2992" s="83"/>
      <c r="I2992" s="84"/>
    </row>
    <row r="2993" spans="3:9" ht="18" x14ac:dyDescent="0.25">
      <c r="C2993" s="91"/>
      <c r="D2993" s="88"/>
      <c r="E2993" s="91"/>
      <c r="F2993" s="83"/>
      <c r="G2993" s="83"/>
      <c r="H2993" s="83"/>
      <c r="I2993" s="83"/>
    </row>
    <row r="2994" spans="3:9" ht="18" x14ac:dyDescent="0.25">
      <c r="C2994" s="83" t="s">
        <v>68</v>
      </c>
      <c r="D2994" s="88"/>
      <c r="E2994" s="103" t="e">
        <f>+'RES CUENTA'!#REF!</f>
        <v>#REF!</v>
      </c>
      <c r="F2994" s="104" t="e">
        <f>+'RES CUENTA'!#REF!</f>
        <v>#REF!</v>
      </c>
      <c r="G2994" s="101" t="e">
        <f>+E2994*F2994/100</f>
        <v>#REF!</v>
      </c>
      <c r="H2994" s="83"/>
      <c r="I2994" s="91"/>
    </row>
    <row r="2995" spans="3:9" ht="18" x14ac:dyDescent="0.25">
      <c r="C2995" s="83" t="s">
        <v>69</v>
      </c>
      <c r="D2995" s="88"/>
      <c r="E2995" s="103" t="e">
        <f>+'RES CUENTA'!#REF!</f>
        <v>#REF!</v>
      </c>
      <c r="F2995" s="104" t="e">
        <f>+'RES CUENTA'!#REF!</f>
        <v>#REF!</v>
      </c>
      <c r="G2995" s="101" t="e">
        <f>+E2995*F2995/100</f>
        <v>#REF!</v>
      </c>
      <c r="H2995" s="91"/>
      <c r="I2995" s="87"/>
    </row>
    <row r="2996" spans="3:9" ht="18" x14ac:dyDescent="0.25">
      <c r="C2996" s="83" t="s">
        <v>181</v>
      </c>
      <c r="D2996" s="88"/>
      <c r="E2996" s="103" t="e">
        <f>+'RES CUENTA'!#REF!</f>
        <v>#REF!</v>
      </c>
      <c r="F2996" s="104">
        <f>+'RES CUENTA'!M2073</f>
        <v>0</v>
      </c>
      <c r="G2996" s="101" t="e">
        <f>+E2996</f>
        <v>#REF!</v>
      </c>
      <c r="H2996" s="87"/>
      <c r="I2996" s="87"/>
    </row>
    <row r="2997" spans="3:9" ht="18" x14ac:dyDescent="0.25">
      <c r="C2997" s="83" t="s">
        <v>213</v>
      </c>
      <c r="D2997" s="88"/>
      <c r="E2997" s="103" t="e">
        <f>+'RES CUENTA'!#REF!</f>
        <v>#REF!</v>
      </c>
      <c r="F2997" s="104">
        <f>+'RES CUENTA'!N2072</f>
        <v>0</v>
      </c>
      <c r="G2997" s="134" t="e">
        <f>+E2997</f>
        <v>#REF!</v>
      </c>
      <c r="H2997" s="87"/>
      <c r="I2997" s="87"/>
    </row>
    <row r="2998" spans="3:9" ht="18" x14ac:dyDescent="0.25">
      <c r="C2998" s="84"/>
      <c r="D2998" s="88"/>
      <c r="E2998" s="83"/>
      <c r="G2998" s="101" t="e">
        <f>SUM(G2994:G2997)</f>
        <v>#REF!</v>
      </c>
      <c r="H2998" s="87"/>
      <c r="I2998" s="88"/>
    </row>
    <row r="2999" spans="3:9" ht="18" x14ac:dyDescent="0.25">
      <c r="C2999" s="83"/>
      <c r="D2999" s="88"/>
      <c r="E2999" s="83"/>
      <c r="F2999" s="83"/>
      <c r="G2999" s="89"/>
      <c r="H2999" s="88"/>
      <c r="I2999" s="88"/>
    </row>
    <row r="3000" spans="3:9" ht="18" x14ac:dyDescent="0.25">
      <c r="C3000" s="83"/>
      <c r="D3000" s="88"/>
      <c r="E3000" s="83"/>
      <c r="F3000" s="83"/>
      <c r="G3000" s="89"/>
      <c r="H3000" s="88"/>
      <c r="I3000" s="88"/>
    </row>
    <row r="3001" spans="3:9" ht="18" x14ac:dyDescent="0.25">
      <c r="C3001" s="83"/>
      <c r="D3001" s="88"/>
      <c r="E3001" s="83"/>
      <c r="F3001" s="83"/>
      <c r="G3001" s="89"/>
      <c r="H3001" s="88"/>
      <c r="I3001" s="88"/>
    </row>
    <row r="3002" spans="3:9" ht="18" x14ac:dyDescent="0.25">
      <c r="C3002" s="83"/>
      <c r="D3002" s="88"/>
      <c r="E3002" s="83"/>
      <c r="F3002" s="83"/>
      <c r="G3002" s="89"/>
      <c r="H3002" s="88"/>
      <c r="I3002" s="88"/>
    </row>
    <row r="3003" spans="3:9" ht="23.25" customHeight="1" x14ac:dyDescent="0.25">
      <c r="C3003" s="83"/>
      <c r="D3003" s="88"/>
      <c r="E3003" s="83"/>
      <c r="F3003" s="83"/>
      <c r="G3003" s="89"/>
      <c r="H3003" s="88"/>
      <c r="I3003" s="83"/>
    </row>
    <row r="3004" spans="3:9" ht="18" x14ac:dyDescent="0.25">
      <c r="C3004" s="83" t="e">
        <f>+C2989</f>
        <v>#REF!</v>
      </c>
      <c r="D3004" s="88"/>
      <c r="E3004" s="83"/>
      <c r="F3004" s="83" t="e">
        <f>+C2989</f>
        <v>#REF!</v>
      </c>
      <c r="G3004" s="83"/>
      <c r="H3004" s="83"/>
      <c r="I3004" s="99"/>
    </row>
    <row r="3005" spans="3:9" ht="18" x14ac:dyDescent="0.25">
      <c r="C3005" s="84"/>
      <c r="D3005" s="88"/>
      <c r="E3005" s="83"/>
      <c r="G3005" s="83"/>
      <c r="H3005" s="99"/>
      <c r="I3005" s="90" t="str">
        <f>+I2990</f>
        <v>Unid. 80</v>
      </c>
    </row>
    <row r="3006" spans="3:9" ht="18" x14ac:dyDescent="0.25">
      <c r="C3006" s="83" t="str">
        <f>+$F$1</f>
        <v>MONTES DE OCA 1068/1070 C.A.B.A.</v>
      </c>
      <c r="D3006" s="88"/>
      <c r="E3006" s="90" t="str">
        <f>+I3005</f>
        <v>Unid. 80</v>
      </c>
      <c r="F3006" s="83" t="str">
        <f>+$F$1</f>
        <v>MONTES DE OCA 1068/1070 C.A.B.A.</v>
      </c>
      <c r="G3006" s="83"/>
      <c r="H3006" s="83"/>
      <c r="I3006" s="84"/>
    </row>
    <row r="3007" spans="3:9" ht="18" x14ac:dyDescent="0.25">
      <c r="C3007" s="84"/>
      <c r="D3007" s="91"/>
      <c r="E3007" s="84"/>
      <c r="G3007" s="83"/>
      <c r="H3007" s="83"/>
    </row>
    <row r="3008" spans="3:9" ht="12" customHeight="1" x14ac:dyDescent="0.25">
      <c r="C3008" s="83"/>
      <c r="D3008" s="88"/>
      <c r="E3008" s="83"/>
      <c r="F3008" s="84"/>
      <c r="G3008" s="83"/>
      <c r="H3008" s="83"/>
      <c r="I3008" s="99"/>
    </row>
    <row r="3009" spans="3:9" ht="18" x14ac:dyDescent="0.25">
      <c r="C3009" s="83" t="str">
        <f>+$F$2</f>
        <v>P/Depósito o transferencia en Banco Santander Rio</v>
      </c>
      <c r="D3009" s="88"/>
      <c r="E3009" s="83"/>
      <c r="F3009" s="83"/>
      <c r="G3009" s="128"/>
      <c r="H3009" s="84"/>
      <c r="I3009" s="83"/>
    </row>
    <row r="3010" spans="3:9" ht="18" x14ac:dyDescent="0.25">
      <c r="C3010" s="83" t="str">
        <f>+$F$3</f>
        <v xml:space="preserve">Cta. Cte. $ N° 558-000162/1 </v>
      </c>
      <c r="D3010" s="88"/>
      <c r="E3010" s="83"/>
      <c r="F3010" s="93"/>
      <c r="H3010" s="91"/>
      <c r="I3010" s="92"/>
    </row>
    <row r="3011" spans="3:9" ht="18" x14ac:dyDescent="0.25">
      <c r="C3011" s="84"/>
      <c r="D3011" s="88"/>
      <c r="E3011" s="83"/>
      <c r="F3011" s="83" t="s">
        <v>70</v>
      </c>
      <c r="G3011" s="102" t="e">
        <f>+G2994</f>
        <v>#REF!</v>
      </c>
      <c r="H3011" s="92"/>
      <c r="I3011" s="97">
        <f>+C3015</f>
        <v>46183</v>
      </c>
    </row>
    <row r="3012" spans="3:9" ht="18" x14ac:dyDescent="0.25">
      <c r="C3012" s="84"/>
      <c r="D3012" s="88"/>
      <c r="E3012" s="83"/>
      <c r="F3012" s="83" t="s">
        <v>71</v>
      </c>
      <c r="G3012" s="102" t="e">
        <f>+G2995</f>
        <v>#REF!</v>
      </c>
      <c r="I3012" s="83"/>
    </row>
    <row r="3013" spans="3:9" ht="18" x14ac:dyDescent="0.25">
      <c r="C3013" s="83"/>
      <c r="D3013" s="88"/>
      <c r="E3013" s="83"/>
      <c r="F3013" s="83" t="s">
        <v>72</v>
      </c>
      <c r="G3013" s="102" t="e">
        <f>+G2996</f>
        <v>#REF!</v>
      </c>
      <c r="H3013" s="83"/>
      <c r="I3013" s="83"/>
    </row>
    <row r="3014" spans="3:9" ht="18" x14ac:dyDescent="0.25">
      <c r="C3014" s="93"/>
      <c r="D3014" s="93"/>
      <c r="E3014" s="93"/>
      <c r="F3014" s="83" t="s">
        <v>73</v>
      </c>
      <c r="G3014" s="102" t="e">
        <f>+G2997</f>
        <v>#REF!</v>
      </c>
      <c r="H3014" s="83"/>
      <c r="I3014" s="83"/>
    </row>
    <row r="3015" spans="3:9" ht="18" x14ac:dyDescent="0.25">
      <c r="C3015" s="97">
        <f>+$H$43</f>
        <v>46183</v>
      </c>
      <c r="D3015" s="157" t="e">
        <f>+G3016</f>
        <v>#REF!</v>
      </c>
      <c r="E3015" s="83"/>
      <c r="F3015" s="83" t="s">
        <v>181</v>
      </c>
      <c r="G3015" s="135">
        <v>0</v>
      </c>
      <c r="H3015" s="83"/>
      <c r="I3015" s="83"/>
    </row>
    <row r="3016" spans="3:9" ht="18" x14ac:dyDescent="0.25">
      <c r="C3016" s="83"/>
      <c r="D3016" s="88"/>
      <c r="E3016" s="83"/>
      <c r="F3016" s="83" t="s">
        <v>74</v>
      </c>
      <c r="G3016" s="101" t="e">
        <f>SUM(G3011:G3015)</f>
        <v>#REF!</v>
      </c>
      <c r="H3016" s="83"/>
      <c r="I3016" s="83"/>
    </row>
    <row r="3017" spans="3:9" ht="18" x14ac:dyDescent="0.25">
      <c r="C3017" s="83"/>
      <c r="D3017" s="88"/>
      <c r="E3017" s="83"/>
      <c r="F3017" s="83"/>
      <c r="G3017" s="83"/>
      <c r="H3017" s="83"/>
      <c r="I3017" s="83"/>
    </row>
    <row r="3018" spans="3:9" ht="18" x14ac:dyDescent="0.25">
      <c r="C3018" s="83"/>
      <c r="D3018" s="88"/>
      <c r="E3018" s="83"/>
      <c r="F3018" s="100"/>
      <c r="G3018" s="83"/>
      <c r="H3018" s="83"/>
      <c r="I3018" s="83"/>
    </row>
    <row r="3019" spans="3:9" ht="18" x14ac:dyDescent="0.25">
      <c r="C3019" s="83"/>
      <c r="D3019" s="88"/>
      <c r="E3019" s="83"/>
      <c r="F3019" s="83"/>
      <c r="G3019" s="83"/>
      <c r="H3019" s="83"/>
      <c r="I3019" s="91"/>
    </row>
    <row r="3020" spans="3:9" ht="18" x14ac:dyDescent="0.25">
      <c r="F3020" s="83"/>
      <c r="H3020" s="91"/>
      <c r="I3020" s="83"/>
    </row>
  </sheetData>
  <mergeCells count="552">
    <mergeCell ref="H2980:I2980"/>
    <mergeCell ref="C2986:E2986"/>
    <mergeCell ref="C2987:E2987"/>
    <mergeCell ref="H2960:I2960"/>
    <mergeCell ref="H2962:I2962"/>
    <mergeCell ref="D2966:E2966"/>
    <mergeCell ref="G2967:I2967"/>
    <mergeCell ref="H2956:I2956"/>
    <mergeCell ref="H2957:I2957"/>
    <mergeCell ref="H2958:I2958"/>
    <mergeCell ref="H2959:I2959"/>
    <mergeCell ref="H2906:I2906"/>
    <mergeCell ref="C2912:E2912"/>
    <mergeCell ref="C2913:E2913"/>
    <mergeCell ref="C2948:E2948"/>
    <mergeCell ref="F2948:F2949"/>
    <mergeCell ref="H2948:H2949"/>
    <mergeCell ref="C2838:E2838"/>
    <mergeCell ref="C2839:E2839"/>
    <mergeCell ref="C2874:E2874"/>
    <mergeCell ref="F2874:F2875"/>
    <mergeCell ref="H2874:H2875"/>
    <mergeCell ref="H2886:I2886"/>
    <mergeCell ref="H2887:I2887"/>
    <mergeCell ref="D2892:E2892"/>
    <mergeCell ref="G2893:I2893"/>
    <mergeCell ref="H2882:I2882"/>
    <mergeCell ref="H2883:I2883"/>
    <mergeCell ref="H2884:I2884"/>
    <mergeCell ref="H2885:I2885"/>
    <mergeCell ref="H2812:I2812"/>
    <mergeCell ref="H2814:I2814"/>
    <mergeCell ref="D2818:E2818"/>
    <mergeCell ref="G2819:I2819"/>
    <mergeCell ref="H2808:I2808"/>
    <mergeCell ref="H2809:I2809"/>
    <mergeCell ref="H2810:I2810"/>
    <mergeCell ref="H2811:I2811"/>
    <mergeCell ref="H2832:I2832"/>
    <mergeCell ref="G2745:I2745"/>
    <mergeCell ref="H2734:I2734"/>
    <mergeCell ref="H2735:I2735"/>
    <mergeCell ref="H2736:I2736"/>
    <mergeCell ref="H2737:I2737"/>
    <mergeCell ref="H2758:I2758"/>
    <mergeCell ref="C2764:E2764"/>
    <mergeCell ref="C2765:E2765"/>
    <mergeCell ref="C2800:E2800"/>
    <mergeCell ref="F2800:F2801"/>
    <mergeCell ref="H2800:H2801"/>
    <mergeCell ref="H2684:I2684"/>
    <mergeCell ref="C2690:E2690"/>
    <mergeCell ref="C2691:E2691"/>
    <mergeCell ref="C2726:E2726"/>
    <mergeCell ref="F2726:F2727"/>
    <mergeCell ref="H2726:H2727"/>
    <mergeCell ref="H2738:I2738"/>
    <mergeCell ref="H2740:I2740"/>
    <mergeCell ref="D2744:E2744"/>
    <mergeCell ref="C2616:E2616"/>
    <mergeCell ref="C2617:E2617"/>
    <mergeCell ref="C2652:E2652"/>
    <mergeCell ref="F2652:F2653"/>
    <mergeCell ref="H2652:H2653"/>
    <mergeCell ref="H2664:I2664"/>
    <mergeCell ref="H2666:I2666"/>
    <mergeCell ref="D2670:E2670"/>
    <mergeCell ref="G2671:I2671"/>
    <mergeCell ref="H2660:I2660"/>
    <mergeCell ref="H2661:I2661"/>
    <mergeCell ref="H2662:I2662"/>
    <mergeCell ref="H2663:I2663"/>
    <mergeCell ref="H2590:I2590"/>
    <mergeCell ref="H2592:I2592"/>
    <mergeCell ref="D2596:E2596"/>
    <mergeCell ref="G2597:I2597"/>
    <mergeCell ref="H2586:I2586"/>
    <mergeCell ref="H2587:I2587"/>
    <mergeCell ref="H2588:I2588"/>
    <mergeCell ref="H2589:I2589"/>
    <mergeCell ref="H2610:I2610"/>
    <mergeCell ref="G2523:I2523"/>
    <mergeCell ref="H2512:I2512"/>
    <mergeCell ref="H2513:I2513"/>
    <mergeCell ref="H2514:I2514"/>
    <mergeCell ref="H2515:I2515"/>
    <mergeCell ref="H2536:I2536"/>
    <mergeCell ref="C2542:E2542"/>
    <mergeCell ref="C2543:E2543"/>
    <mergeCell ref="C2578:E2578"/>
    <mergeCell ref="F2578:F2579"/>
    <mergeCell ref="H2578:H2579"/>
    <mergeCell ref="H2462:I2462"/>
    <mergeCell ref="C2468:E2468"/>
    <mergeCell ref="C2469:E2469"/>
    <mergeCell ref="C2504:E2504"/>
    <mergeCell ref="F2504:F2505"/>
    <mergeCell ref="H2504:H2505"/>
    <mergeCell ref="H2516:I2516"/>
    <mergeCell ref="H2517:I2517"/>
    <mergeCell ref="D2522:E2522"/>
    <mergeCell ref="C2394:E2394"/>
    <mergeCell ref="C2395:E2395"/>
    <mergeCell ref="C2430:E2430"/>
    <mergeCell ref="F2430:F2431"/>
    <mergeCell ref="H2430:H2431"/>
    <mergeCell ref="H2442:I2442"/>
    <mergeCell ref="H2444:I2444"/>
    <mergeCell ref="D2448:E2448"/>
    <mergeCell ref="G2449:I2449"/>
    <mergeCell ref="H2438:I2438"/>
    <mergeCell ref="H2439:I2439"/>
    <mergeCell ref="H2440:I2440"/>
    <mergeCell ref="H2441:I2441"/>
    <mergeCell ref="H2368:I2368"/>
    <mergeCell ref="H2370:I2370"/>
    <mergeCell ref="D2374:E2374"/>
    <mergeCell ref="G2375:I2375"/>
    <mergeCell ref="H2364:I2364"/>
    <mergeCell ref="H2365:I2365"/>
    <mergeCell ref="H2366:I2366"/>
    <mergeCell ref="H2367:I2367"/>
    <mergeCell ref="H2388:I2388"/>
    <mergeCell ref="G2301:I2301"/>
    <mergeCell ref="H2290:I2290"/>
    <mergeCell ref="H2291:I2291"/>
    <mergeCell ref="H2292:I2292"/>
    <mergeCell ref="H2293:I2293"/>
    <mergeCell ref="H2314:I2314"/>
    <mergeCell ref="C2320:E2320"/>
    <mergeCell ref="C2321:E2321"/>
    <mergeCell ref="C2356:E2356"/>
    <mergeCell ref="F2356:F2357"/>
    <mergeCell ref="H2356:H2357"/>
    <mergeCell ref="H2240:I2240"/>
    <mergeCell ref="C2246:E2246"/>
    <mergeCell ref="C2247:E2247"/>
    <mergeCell ref="C2282:E2282"/>
    <mergeCell ref="F2282:F2283"/>
    <mergeCell ref="H2282:H2283"/>
    <mergeCell ref="H2294:I2294"/>
    <mergeCell ref="H2296:I2296"/>
    <mergeCell ref="D2300:E2300"/>
    <mergeCell ref="H2220:I2220"/>
    <mergeCell ref="H2222:I2222"/>
    <mergeCell ref="D2226:E2226"/>
    <mergeCell ref="G2227:I2227"/>
    <mergeCell ref="H2092:I2092"/>
    <mergeCell ref="C2098:E2098"/>
    <mergeCell ref="C2099:E2099"/>
    <mergeCell ref="C2134:E2134"/>
    <mergeCell ref="F2134:F2135"/>
    <mergeCell ref="H2134:H2135"/>
    <mergeCell ref="H2219:I2219"/>
    <mergeCell ref="C2024:E2024"/>
    <mergeCell ref="C2025:E2025"/>
    <mergeCell ref="C2060:E2060"/>
    <mergeCell ref="F2060:F2061"/>
    <mergeCell ref="H2060:H2061"/>
    <mergeCell ref="H2072:I2072"/>
    <mergeCell ref="H2074:I2074"/>
    <mergeCell ref="D2078:E2078"/>
    <mergeCell ref="G2079:I2079"/>
    <mergeCell ref="H2068:I2068"/>
    <mergeCell ref="H2069:I2069"/>
    <mergeCell ref="H2070:I2070"/>
    <mergeCell ref="H2071:I2071"/>
    <mergeCell ref="H1852:I1852"/>
    <mergeCell ref="D1856:E1856"/>
    <mergeCell ref="G1857:I1857"/>
    <mergeCell ref="H2166:I2166"/>
    <mergeCell ref="C2172:E2172"/>
    <mergeCell ref="H2145:I2145"/>
    <mergeCell ref="H2146:I2146"/>
    <mergeCell ref="H2148:I2148"/>
    <mergeCell ref="D2152:E2152"/>
    <mergeCell ref="F1912:F1913"/>
    <mergeCell ref="H1912:H1913"/>
    <mergeCell ref="H1920:I1920"/>
    <mergeCell ref="H1921:I1921"/>
    <mergeCell ref="H1922:I1922"/>
    <mergeCell ref="H1995:I1995"/>
    <mergeCell ref="H1996:I1996"/>
    <mergeCell ref="H1997:I1997"/>
    <mergeCell ref="H1998:I1998"/>
    <mergeCell ref="G2153:I2153"/>
    <mergeCell ref="H1923:I1923"/>
    <mergeCell ref="H1924:I1924"/>
    <mergeCell ref="H1926:I1926"/>
    <mergeCell ref="H2144:I2144"/>
    <mergeCell ref="G1931:I1931"/>
    <mergeCell ref="H1872:I1872"/>
    <mergeCell ref="C1877:E1877"/>
    <mergeCell ref="C1912:E1912"/>
    <mergeCell ref="H2216:I2216"/>
    <mergeCell ref="D1930:E1930"/>
    <mergeCell ref="H2217:I2217"/>
    <mergeCell ref="H2218:I2218"/>
    <mergeCell ref="C2173:E2173"/>
    <mergeCell ref="C2208:E2208"/>
    <mergeCell ref="F2208:F2209"/>
    <mergeCell ref="H2208:H2209"/>
    <mergeCell ref="H1944:I1944"/>
    <mergeCell ref="H2142:I2142"/>
    <mergeCell ref="H2143:I2143"/>
    <mergeCell ref="H1994:I1994"/>
    <mergeCell ref="H2000:I2000"/>
    <mergeCell ref="D2004:E2004"/>
    <mergeCell ref="G2005:I2005"/>
    <mergeCell ref="C1950:E1950"/>
    <mergeCell ref="C1951:E1951"/>
    <mergeCell ref="F1986:F1987"/>
    <mergeCell ref="H1986:H1987"/>
    <mergeCell ref="C1986:E1986"/>
    <mergeCell ref="H2018:I2018"/>
    <mergeCell ref="H1847:I1847"/>
    <mergeCell ref="H1848:I1848"/>
    <mergeCell ref="H1849:I1849"/>
    <mergeCell ref="H1850:I1850"/>
    <mergeCell ref="C1764:E1764"/>
    <mergeCell ref="F1764:F1765"/>
    <mergeCell ref="H1846:I1846"/>
    <mergeCell ref="H1775:I1775"/>
    <mergeCell ref="H1772:I1772"/>
    <mergeCell ref="H1773:I1773"/>
    <mergeCell ref="H1778:I1778"/>
    <mergeCell ref="C1803:E1803"/>
    <mergeCell ref="D1782:E1782"/>
    <mergeCell ref="H1774:I1774"/>
    <mergeCell ref="G1783:I1783"/>
    <mergeCell ref="H1796:I1796"/>
    <mergeCell ref="C1802:E1802"/>
    <mergeCell ref="H1555:I1555"/>
    <mergeCell ref="F1616:F1617"/>
    <mergeCell ref="H1616:H1617"/>
    <mergeCell ref="G1560:I1560"/>
    <mergeCell ref="H1573:I1573"/>
    <mergeCell ref="C1616:E1616"/>
    <mergeCell ref="H1541:H1542"/>
    <mergeCell ref="H1549:I1549"/>
    <mergeCell ref="H1550:I1550"/>
    <mergeCell ref="H1551:I1551"/>
    <mergeCell ref="H1552:I1552"/>
    <mergeCell ref="H1553:I1553"/>
    <mergeCell ref="H1624:I1624"/>
    <mergeCell ref="H1764:H1765"/>
    <mergeCell ref="G1635:I1635"/>
    <mergeCell ref="H1648:I1648"/>
    <mergeCell ref="D1634:E1634"/>
    <mergeCell ref="C1654:E1654"/>
    <mergeCell ref="C1655:E1655"/>
    <mergeCell ref="H1629:I1629"/>
    <mergeCell ref="H1704:I1704"/>
    <mergeCell ref="H1701:I1701"/>
    <mergeCell ref="D1708:E1708"/>
    <mergeCell ref="G1709:I1709"/>
    <mergeCell ref="H1722:I1722"/>
    <mergeCell ref="C1729:E1729"/>
    <mergeCell ref="H1702:I1702"/>
    <mergeCell ref="H1625:I1625"/>
    <mergeCell ref="H1626:I1626"/>
    <mergeCell ref="H1627:I1627"/>
    <mergeCell ref="H1628:I1628"/>
    <mergeCell ref="H1690:H1691"/>
    <mergeCell ref="H1698:I1698"/>
    <mergeCell ref="H1699:I1699"/>
    <mergeCell ref="H1700:I1700"/>
    <mergeCell ref="H1400:I1400"/>
    <mergeCell ref="G1412:I1412"/>
    <mergeCell ref="H1838:H1839"/>
    <mergeCell ref="H1425:I1425"/>
    <mergeCell ref="C1431:E1431"/>
    <mergeCell ref="C1432:E1432"/>
    <mergeCell ref="C1467:E1467"/>
    <mergeCell ref="F1467:F1468"/>
    <mergeCell ref="H1467:H1468"/>
    <mergeCell ref="H1475:I1475"/>
    <mergeCell ref="D1485:E1485"/>
    <mergeCell ref="G1486:I1486"/>
    <mergeCell ref="F1690:F1691"/>
    <mergeCell ref="C1728:E1728"/>
    <mergeCell ref="C1580:E1580"/>
    <mergeCell ref="C1506:E1506"/>
    <mergeCell ref="C1541:E1541"/>
    <mergeCell ref="F1541:F1542"/>
    <mergeCell ref="D1559:E1559"/>
    <mergeCell ref="C1579:E1579"/>
    <mergeCell ref="C1690:E1690"/>
    <mergeCell ref="C1838:E1838"/>
    <mergeCell ref="F1838:F1839"/>
    <mergeCell ref="H1776:I1776"/>
    <mergeCell ref="H1275:I1275"/>
    <mergeCell ref="H1329:I1329"/>
    <mergeCell ref="H1330:I1330"/>
    <mergeCell ref="H1325:I1325"/>
    <mergeCell ref="H1326:I1326"/>
    <mergeCell ref="H1327:I1327"/>
    <mergeCell ref="H1328:I1328"/>
    <mergeCell ref="G1337:I1337"/>
    <mergeCell ref="H1350:I1350"/>
    <mergeCell ref="H1499:I1499"/>
    <mergeCell ref="F1317:F1318"/>
    <mergeCell ref="H1317:H1318"/>
    <mergeCell ref="H1479:I1479"/>
    <mergeCell ref="H1481:I1481"/>
    <mergeCell ref="H1476:I1476"/>
    <mergeCell ref="H1477:I1477"/>
    <mergeCell ref="C1505:E1505"/>
    <mergeCell ref="C1281:E1281"/>
    <mergeCell ref="C1282:E1282"/>
    <mergeCell ref="C1317:E1317"/>
    <mergeCell ref="D1336:E1336"/>
    <mergeCell ref="C1356:E1356"/>
    <mergeCell ref="C1357:E1357"/>
    <mergeCell ref="C1391:E1391"/>
    <mergeCell ref="D1411:E1411"/>
    <mergeCell ref="H1478:I1478"/>
    <mergeCell ref="H1401:I1401"/>
    <mergeCell ref="H1402:I1402"/>
    <mergeCell ref="H1403:I1403"/>
    <mergeCell ref="H1405:I1405"/>
    <mergeCell ref="F1391:F1392"/>
    <mergeCell ref="H1391:H1392"/>
    <mergeCell ref="H1399:I1399"/>
    <mergeCell ref="H1253:I1253"/>
    <mergeCell ref="H1254:I1254"/>
    <mergeCell ref="C1242:E1242"/>
    <mergeCell ref="F1242:F1243"/>
    <mergeCell ref="H1242:H1243"/>
    <mergeCell ref="H1250:I1250"/>
    <mergeCell ref="H1256:I1256"/>
    <mergeCell ref="D1261:E1261"/>
    <mergeCell ref="G1262:I1262"/>
    <mergeCell ref="H1200:I1200"/>
    <mergeCell ref="C1206:E1206"/>
    <mergeCell ref="C1207:E1207"/>
    <mergeCell ref="H1178:I1178"/>
    <mergeCell ref="H1179:I1179"/>
    <mergeCell ref="H1181:I1181"/>
    <mergeCell ref="D1186:E1186"/>
    <mergeCell ref="H1251:I1251"/>
    <mergeCell ref="H1252:I1252"/>
    <mergeCell ref="H1167:H1168"/>
    <mergeCell ref="H1175:I1175"/>
    <mergeCell ref="H1176:I1176"/>
    <mergeCell ref="H1177:I1177"/>
    <mergeCell ref="C1131:E1131"/>
    <mergeCell ref="C1132:E1132"/>
    <mergeCell ref="C1167:E1167"/>
    <mergeCell ref="F1167:F1168"/>
    <mergeCell ref="G1187:I1187"/>
    <mergeCell ref="H1100:I1100"/>
    <mergeCell ref="D1036:E1036"/>
    <mergeCell ref="G1037:I1037"/>
    <mergeCell ref="H1052:I1052"/>
    <mergeCell ref="C1057:E1057"/>
    <mergeCell ref="H1105:I1105"/>
    <mergeCell ref="D1111:E1111"/>
    <mergeCell ref="G1112:I1112"/>
    <mergeCell ref="H1125:I1125"/>
    <mergeCell ref="H1101:I1101"/>
    <mergeCell ref="H1102:I1102"/>
    <mergeCell ref="H1103:I1103"/>
    <mergeCell ref="H1104:I1104"/>
    <mergeCell ref="H1028:I1028"/>
    <mergeCell ref="H1029:I1029"/>
    <mergeCell ref="H1030:I1030"/>
    <mergeCell ref="H1032:I1032"/>
    <mergeCell ref="C983:E983"/>
    <mergeCell ref="H1018:H1019"/>
    <mergeCell ref="H1026:I1026"/>
    <mergeCell ref="H1027:I1027"/>
    <mergeCell ref="C1092:E1092"/>
    <mergeCell ref="F1092:F1093"/>
    <mergeCell ref="H1092:H1093"/>
    <mergeCell ref="H952:I952"/>
    <mergeCell ref="F868:F869"/>
    <mergeCell ref="C1018:E1018"/>
    <mergeCell ref="F1018:F1019"/>
    <mergeCell ref="H882:I882"/>
    <mergeCell ref="D887:E887"/>
    <mergeCell ref="G888:I888"/>
    <mergeCell ref="D962:E962"/>
    <mergeCell ref="G963:I963"/>
    <mergeCell ref="H978:I978"/>
    <mergeCell ref="C982:E982"/>
    <mergeCell ref="H953:I953"/>
    <mergeCell ref="H954:I954"/>
    <mergeCell ref="H955:I955"/>
    <mergeCell ref="H957:I957"/>
    <mergeCell ref="H903:I903"/>
    <mergeCell ref="H878:I878"/>
    <mergeCell ref="C908:E908"/>
    <mergeCell ref="C943:E943"/>
    <mergeCell ref="H879:I879"/>
    <mergeCell ref="H880:I880"/>
    <mergeCell ref="F943:F944"/>
    <mergeCell ref="H943:H944"/>
    <mergeCell ref="H951:I951"/>
    <mergeCell ref="H877:I877"/>
    <mergeCell ref="C868:E868"/>
    <mergeCell ref="H753:I753"/>
    <mergeCell ref="C758:E758"/>
    <mergeCell ref="C759:E759"/>
    <mergeCell ref="C794:E794"/>
    <mergeCell ref="F794:F795"/>
    <mergeCell ref="H794:H795"/>
    <mergeCell ref="H808:I808"/>
    <mergeCell ref="H803:I803"/>
    <mergeCell ref="D813:E813"/>
    <mergeCell ref="G814:I814"/>
    <mergeCell ref="H829:I829"/>
    <mergeCell ref="C834:E834"/>
    <mergeCell ref="H868:H869"/>
    <mergeCell ref="H876:I876"/>
    <mergeCell ref="C718:E718"/>
    <mergeCell ref="F718:F719"/>
    <mergeCell ref="H718:H719"/>
    <mergeCell ref="H730:I730"/>
    <mergeCell ref="H732:I732"/>
    <mergeCell ref="D737:E737"/>
    <mergeCell ref="G738:I738"/>
    <mergeCell ref="H726:I726"/>
    <mergeCell ref="H727:I727"/>
    <mergeCell ref="H728:I728"/>
    <mergeCell ref="H729:I729"/>
    <mergeCell ref="D661:E661"/>
    <mergeCell ref="G662:I662"/>
    <mergeCell ref="H650:I650"/>
    <mergeCell ref="H651:I651"/>
    <mergeCell ref="H652:I652"/>
    <mergeCell ref="H653:I653"/>
    <mergeCell ref="H678:I678"/>
    <mergeCell ref="C682:E682"/>
    <mergeCell ref="C683:E683"/>
    <mergeCell ref="C607:E607"/>
    <mergeCell ref="C642:E642"/>
    <mergeCell ref="F642:F643"/>
    <mergeCell ref="H642:H643"/>
    <mergeCell ref="D585:E585"/>
    <mergeCell ref="G586:I586"/>
    <mergeCell ref="H601:I601"/>
    <mergeCell ref="C606:E606"/>
    <mergeCell ref="H654:I654"/>
    <mergeCell ref="C490:E490"/>
    <mergeCell ref="F490:F491"/>
    <mergeCell ref="H427:I427"/>
    <mergeCell ref="H428:I428"/>
    <mergeCell ref="D434:E434"/>
    <mergeCell ref="G435:I435"/>
    <mergeCell ref="H502:I502"/>
    <mergeCell ref="H503:I503"/>
    <mergeCell ref="H574:I574"/>
    <mergeCell ref="H452:I452"/>
    <mergeCell ref="C455:E455"/>
    <mergeCell ref="C456:E456"/>
    <mergeCell ref="D509:E509"/>
    <mergeCell ref="G510:I510"/>
    <mergeCell ref="H527:I527"/>
    <mergeCell ref="C530:E530"/>
    <mergeCell ref="H490:H491"/>
    <mergeCell ref="H498:I498"/>
    <mergeCell ref="H499:I499"/>
    <mergeCell ref="H500:I500"/>
    <mergeCell ref="H501:I501"/>
    <mergeCell ref="C531:E531"/>
    <mergeCell ref="C566:E566"/>
    <mergeCell ref="F566:F567"/>
    <mergeCell ref="H423:I423"/>
    <mergeCell ref="H424:I424"/>
    <mergeCell ref="H425:I425"/>
    <mergeCell ref="H426:I426"/>
    <mergeCell ref="G359:I359"/>
    <mergeCell ref="H375:I375"/>
    <mergeCell ref="H804:I804"/>
    <mergeCell ref="H805:I805"/>
    <mergeCell ref="H806:I806"/>
    <mergeCell ref="H575:I575"/>
    <mergeCell ref="H802:I802"/>
    <mergeCell ref="H576:I576"/>
    <mergeCell ref="H577:I577"/>
    <mergeCell ref="H578:I578"/>
    <mergeCell ref="H579:I579"/>
    <mergeCell ref="H566:H567"/>
    <mergeCell ref="H655:I655"/>
    <mergeCell ref="C305:E305"/>
    <mergeCell ref="C306:E306"/>
    <mergeCell ref="C339:E339"/>
    <mergeCell ref="F339:F340"/>
    <mergeCell ref="C380:E380"/>
    <mergeCell ref="C415:E415"/>
    <mergeCell ref="F415:F416"/>
    <mergeCell ref="H415:H416"/>
    <mergeCell ref="H350:I350"/>
    <mergeCell ref="H351:I351"/>
    <mergeCell ref="H352:I352"/>
    <mergeCell ref="D358:E358"/>
    <mergeCell ref="H300:I300"/>
    <mergeCell ref="H273:I273"/>
    <mergeCell ref="H274:I274"/>
    <mergeCell ref="H275:I275"/>
    <mergeCell ref="H276:I276"/>
    <mergeCell ref="H339:H340"/>
    <mergeCell ref="H347:I347"/>
    <mergeCell ref="H348:I348"/>
    <mergeCell ref="H349:I349"/>
    <mergeCell ref="C264:E264"/>
    <mergeCell ref="F264:F265"/>
    <mergeCell ref="H264:H265"/>
    <mergeCell ref="H272:I272"/>
    <mergeCell ref="H222:I222"/>
    <mergeCell ref="C230:E230"/>
    <mergeCell ref="H277:I277"/>
    <mergeCell ref="D283:E283"/>
    <mergeCell ref="G284:I284"/>
    <mergeCell ref="G209:I209"/>
    <mergeCell ref="C155:E155"/>
    <mergeCell ref="C189:E189"/>
    <mergeCell ref="F189:F190"/>
    <mergeCell ref="H127:I127"/>
    <mergeCell ref="D134:E134"/>
    <mergeCell ref="G135:I135"/>
    <mergeCell ref="H150:I150"/>
    <mergeCell ref="H189:H190"/>
    <mergeCell ref="H200:I200"/>
    <mergeCell ref="H201:I201"/>
    <mergeCell ref="H202:I202"/>
    <mergeCell ref="D208:E208"/>
    <mergeCell ref="H197:I197"/>
    <mergeCell ref="H198:I198"/>
    <mergeCell ref="H199:I199"/>
    <mergeCell ref="H124:I124"/>
    <mergeCell ref="H52:I52"/>
    <mergeCell ref="H53:I53"/>
    <mergeCell ref="H54:I54"/>
    <mergeCell ref="H125:I125"/>
    <mergeCell ref="H126:I126"/>
    <mergeCell ref="C115:E115"/>
    <mergeCell ref="F115:F116"/>
    <mergeCell ref="H115:H116"/>
    <mergeCell ref="H123:I123"/>
    <mergeCell ref="C82:E82"/>
    <mergeCell ref="H56:I56"/>
    <mergeCell ref="C42:E42"/>
    <mergeCell ref="C43:E43"/>
    <mergeCell ref="H78:I78"/>
    <mergeCell ref="H42:I42"/>
    <mergeCell ref="G61:I61"/>
    <mergeCell ref="F43:F44"/>
    <mergeCell ref="H43:H44"/>
    <mergeCell ref="H50:I50"/>
    <mergeCell ref="H51:I51"/>
  </mergeCells>
  <phoneticPr fontId="0" type="noConversion"/>
  <pageMargins left="0.39370078740157483" right="0.23622047244094491" top="0.59055118110236227" bottom="1" header="3.937007874015748E-2" footer="0"/>
  <pageSetup paperSize="9" scale="56" orientation="portrait" horizont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1E53-EBDE-4C8D-9A17-36E72E619B8E}">
  <dimension ref="A1:U73"/>
  <sheetViews>
    <sheetView topLeftCell="G43" zoomScaleNormal="100" workbookViewId="0">
      <selection activeCell="M47" sqref="M47"/>
    </sheetView>
  </sheetViews>
  <sheetFormatPr baseColWidth="10" defaultRowHeight="12.75" x14ac:dyDescent="0.2"/>
  <cols>
    <col min="1" max="1" width="14.85546875" customWidth="1"/>
    <col min="3" max="3" width="8.140625" customWidth="1"/>
    <col min="4" max="4" width="21.42578125" customWidth="1"/>
    <col min="5" max="5" width="12.28515625" customWidth="1"/>
    <col min="6" max="6" width="15.28515625" customWidth="1"/>
    <col min="7" max="7" width="15.7109375" customWidth="1"/>
    <col min="9" max="9" width="12.85546875" customWidth="1"/>
    <col min="12" max="13" width="12.85546875" bestFit="1" customWidth="1"/>
    <col min="18" max="21" width="11.42578125" style="80"/>
  </cols>
  <sheetData>
    <row r="1" spans="1:15" x14ac:dyDescent="0.2">
      <c r="A1" s="16"/>
      <c r="B1" s="12"/>
      <c r="C1" s="12"/>
      <c r="D1" s="12"/>
      <c r="E1" s="12"/>
      <c r="F1" s="12"/>
      <c r="G1" s="17"/>
    </row>
    <row r="2" spans="1:15" ht="14.25" x14ac:dyDescent="0.2">
      <c r="A2" s="41" t="s">
        <v>46</v>
      </c>
      <c r="B2" s="18"/>
      <c r="C2" s="18"/>
      <c r="D2" s="18"/>
      <c r="E2" s="19"/>
      <c r="F2" s="18" t="s">
        <v>47</v>
      </c>
      <c r="G2" s="42"/>
    </row>
    <row r="3" spans="1:15" x14ac:dyDescent="0.2">
      <c r="A3" s="43" t="s">
        <v>62</v>
      </c>
      <c r="E3" s="6"/>
      <c r="F3" t="s">
        <v>7</v>
      </c>
      <c r="G3" s="13"/>
    </row>
    <row r="4" spans="1:15" ht="14.25" x14ac:dyDescent="0.2">
      <c r="A4" s="43"/>
      <c r="B4" s="436" t="s">
        <v>52</v>
      </c>
      <c r="C4" s="436"/>
      <c r="D4" s="436"/>
      <c r="E4" s="6"/>
      <c r="F4" s="20" t="s">
        <v>48</v>
      </c>
      <c r="G4" s="13"/>
    </row>
    <row r="5" spans="1:15" x14ac:dyDescent="0.2">
      <c r="A5" s="44" t="s">
        <v>8</v>
      </c>
      <c r="B5" s="437" t="s">
        <v>9</v>
      </c>
      <c r="C5" s="438"/>
      <c r="D5" s="438"/>
      <c r="E5" s="9"/>
      <c r="F5" s="9" t="s">
        <v>10</v>
      </c>
      <c r="G5" s="45" t="s">
        <v>11</v>
      </c>
    </row>
    <row r="6" spans="1:15" ht="14.25" x14ac:dyDescent="0.2">
      <c r="A6" s="46">
        <v>37653</v>
      </c>
      <c r="B6" s="439" t="s">
        <v>49</v>
      </c>
      <c r="C6" s="440"/>
      <c r="D6" s="440"/>
      <c r="E6" s="19"/>
      <c r="F6" s="22" t="s">
        <v>12</v>
      </c>
      <c r="G6" s="47">
        <v>1</v>
      </c>
    </row>
    <row r="7" spans="1:15" x14ac:dyDescent="0.2">
      <c r="A7" s="48" t="s">
        <v>13</v>
      </c>
      <c r="B7" s="437" t="s">
        <v>14</v>
      </c>
      <c r="C7" s="438"/>
      <c r="D7" s="441"/>
      <c r="E7" s="23" t="s">
        <v>15</v>
      </c>
      <c r="F7" s="23" t="s">
        <v>16</v>
      </c>
      <c r="G7" s="13" t="s">
        <v>17</v>
      </c>
    </row>
    <row r="8" spans="1:15" ht="14.25" x14ac:dyDescent="0.2">
      <c r="A8" s="49" t="s">
        <v>60</v>
      </c>
      <c r="B8" s="445" t="s">
        <v>66</v>
      </c>
      <c r="C8" s="446"/>
      <c r="D8" s="447"/>
      <c r="E8" s="25">
        <v>37687</v>
      </c>
      <c r="F8" s="24" t="s">
        <v>18</v>
      </c>
      <c r="G8" s="50">
        <v>37518</v>
      </c>
    </row>
    <row r="9" spans="1:15" x14ac:dyDescent="0.2">
      <c r="A9" s="448" t="s">
        <v>19</v>
      </c>
      <c r="B9" s="449"/>
      <c r="C9" s="449"/>
      <c r="D9" s="449"/>
      <c r="E9" s="9" t="s">
        <v>20</v>
      </c>
      <c r="F9" s="23" t="s">
        <v>21</v>
      </c>
      <c r="G9" s="51" t="s">
        <v>22</v>
      </c>
    </row>
    <row r="10" spans="1:15" x14ac:dyDescent="0.2">
      <c r="A10" s="43"/>
      <c r="E10" s="6"/>
      <c r="F10" s="26"/>
      <c r="G10" s="52"/>
    </row>
    <row r="11" spans="1:15" x14ac:dyDescent="0.2">
      <c r="A11" s="43" t="s">
        <v>23</v>
      </c>
      <c r="E11" s="6"/>
      <c r="F11" s="27">
        <f>374.4</f>
        <v>374.4</v>
      </c>
      <c r="G11" s="52"/>
      <c r="I11" t="s">
        <v>24</v>
      </c>
    </row>
    <row r="12" spans="1:15" ht="15" x14ac:dyDescent="0.25">
      <c r="A12" s="43" t="s">
        <v>25</v>
      </c>
      <c r="E12" s="6">
        <v>15</v>
      </c>
      <c r="F12" s="28">
        <f>+E12*1.26</f>
        <v>18.899999999999999</v>
      </c>
      <c r="G12" s="52"/>
      <c r="I12" s="30">
        <v>6</v>
      </c>
    </row>
    <row r="13" spans="1:15" ht="15" x14ac:dyDescent="0.25">
      <c r="A13" s="43" t="s">
        <v>50</v>
      </c>
      <c r="E13" s="6"/>
      <c r="F13" s="28">
        <f>16.98</f>
        <v>16.98</v>
      </c>
      <c r="G13" s="52"/>
      <c r="I13" s="30">
        <v>5</v>
      </c>
      <c r="J13" t="s">
        <v>26</v>
      </c>
    </row>
    <row r="14" spans="1:15" ht="15" x14ac:dyDescent="0.25">
      <c r="A14" s="43" t="s">
        <v>51</v>
      </c>
      <c r="E14" s="6"/>
      <c r="F14" s="28">
        <f>16.98</f>
        <v>16.98</v>
      </c>
      <c r="G14" s="52"/>
      <c r="I14" s="30">
        <f>+I12*I13</f>
        <v>30</v>
      </c>
    </row>
    <row r="15" spans="1:15" ht="15" x14ac:dyDescent="0.25">
      <c r="A15" s="43" t="s">
        <v>61</v>
      </c>
      <c r="E15" s="6"/>
      <c r="F15" s="28">
        <v>150</v>
      </c>
      <c r="G15" s="52"/>
      <c r="I15" s="76" t="s">
        <v>53</v>
      </c>
      <c r="J15" s="69"/>
      <c r="K15" s="4"/>
      <c r="L15" s="9"/>
      <c r="O15" s="3">
        <f>+H17+109.74</f>
        <v>1832.43</v>
      </c>
    </row>
    <row r="16" spans="1:15" ht="15" x14ac:dyDescent="0.25">
      <c r="A16" s="43" t="s">
        <v>27</v>
      </c>
      <c r="C16" s="3">
        <v>7</v>
      </c>
      <c r="D16" t="s">
        <v>6</v>
      </c>
      <c r="E16" s="6"/>
      <c r="F16" s="29" t="s">
        <v>28</v>
      </c>
      <c r="G16" s="53" t="e">
        <f>#N/A</f>
        <v>#N/A</v>
      </c>
      <c r="H16" s="3"/>
      <c r="I16" s="70" t="s">
        <v>54</v>
      </c>
      <c r="J16" s="71"/>
      <c r="K16">
        <v>1</v>
      </c>
      <c r="L16" s="74">
        <f>427.26/30*1</f>
        <v>14.241999999999999</v>
      </c>
    </row>
    <row r="17" spans="1:12" ht="15" x14ac:dyDescent="0.25">
      <c r="A17" s="43" t="s">
        <v>29</v>
      </c>
      <c r="C17" s="3">
        <v>3</v>
      </c>
      <c r="D17" t="s">
        <v>6</v>
      </c>
      <c r="E17" s="6"/>
      <c r="F17" s="29" t="s">
        <v>28</v>
      </c>
      <c r="G17" s="53" t="e">
        <f>#N/A</f>
        <v>#N/A</v>
      </c>
      <c r="H17" s="3">
        <f>895.36+727.33+100</f>
        <v>1722.69</v>
      </c>
      <c r="I17" s="70" t="s">
        <v>55</v>
      </c>
      <c r="J17" s="71"/>
      <c r="K17">
        <v>24</v>
      </c>
      <c r="L17" s="75">
        <f>427.26/200*2*24</f>
        <v>102.54239999999999</v>
      </c>
    </row>
    <row r="18" spans="1:12" x14ac:dyDescent="0.2">
      <c r="A18" s="43" t="s">
        <v>30</v>
      </c>
      <c r="C18" s="3">
        <v>2.7</v>
      </c>
      <c r="D18" t="s">
        <v>6</v>
      </c>
      <c r="E18" s="6"/>
      <c r="F18" s="29" t="s">
        <v>28</v>
      </c>
      <c r="G18" s="53" t="e">
        <f>#N/A</f>
        <v>#N/A</v>
      </c>
      <c r="H18" s="3"/>
      <c r="I18" s="72"/>
      <c r="J18" s="71"/>
      <c r="L18" s="74">
        <f>+L16+L17</f>
        <v>116.78439999999999</v>
      </c>
    </row>
    <row r="19" spans="1:12" x14ac:dyDescent="0.2">
      <c r="A19" s="43" t="s">
        <v>31</v>
      </c>
      <c r="C19" s="3">
        <v>0.3</v>
      </c>
      <c r="D19" t="s">
        <v>6</v>
      </c>
      <c r="E19" s="6"/>
      <c r="F19" s="29" t="s">
        <v>28</v>
      </c>
      <c r="G19" s="53" t="e">
        <f>#N/A</f>
        <v>#N/A</v>
      </c>
      <c r="H19" s="3" t="e">
        <f>SUM(G16:G19)</f>
        <v>#N/A</v>
      </c>
      <c r="I19" s="72"/>
      <c r="J19" s="71"/>
      <c r="L19" s="74"/>
    </row>
    <row r="20" spans="1:12" ht="15" x14ac:dyDescent="0.25">
      <c r="A20" s="43" t="s">
        <v>32</v>
      </c>
      <c r="C20" s="3">
        <v>2</v>
      </c>
      <c r="D20" t="s">
        <v>6</v>
      </c>
      <c r="E20" s="6"/>
      <c r="F20" s="29" t="s">
        <v>28</v>
      </c>
      <c r="G20" s="53" t="e">
        <f>#N/A</f>
        <v>#N/A</v>
      </c>
      <c r="H20">
        <f>59.38+8.76+25.92+5.2+3.5+31.53</f>
        <v>134.29000000000002</v>
      </c>
      <c r="I20" s="70" t="s">
        <v>56</v>
      </c>
      <c r="J20" s="71"/>
      <c r="L20" s="74"/>
    </row>
    <row r="21" spans="1:12" ht="15" x14ac:dyDescent="0.25">
      <c r="A21" s="43" t="s">
        <v>33</v>
      </c>
      <c r="C21" s="3">
        <v>1</v>
      </c>
      <c r="D21" t="s">
        <v>6</v>
      </c>
      <c r="E21" s="6"/>
      <c r="F21" s="29" t="s">
        <v>28</v>
      </c>
      <c r="G21" s="53" t="e">
        <f>#N/A</f>
        <v>#N/A</v>
      </c>
      <c r="H21">
        <f>134.29/583.86</f>
        <v>0.23000376802658171</v>
      </c>
      <c r="I21" s="70" t="s">
        <v>54</v>
      </c>
      <c r="J21" s="71"/>
      <c r="K21">
        <v>2.5</v>
      </c>
      <c r="L21" s="74">
        <f>427.26/30*2.5</f>
        <v>35.604999999999997</v>
      </c>
    </row>
    <row r="22" spans="1:12" x14ac:dyDescent="0.2">
      <c r="A22" s="54"/>
      <c r="B22" s="2"/>
      <c r="C22" s="2"/>
      <c r="D22" s="2"/>
      <c r="E22" s="8"/>
      <c r="F22" s="31"/>
      <c r="G22" s="55"/>
      <c r="H22">
        <f>+H21*H17</f>
        <v>396.22519114171206</v>
      </c>
      <c r="I22" s="73" t="s">
        <v>55</v>
      </c>
      <c r="J22" s="71"/>
      <c r="K22">
        <v>40</v>
      </c>
      <c r="L22" s="75">
        <f>427.26/200*2*40</f>
        <v>170.904</v>
      </c>
    </row>
    <row r="23" spans="1:12" ht="14.25" x14ac:dyDescent="0.2">
      <c r="A23" s="43"/>
      <c r="D23" s="32" t="s">
        <v>34</v>
      </c>
      <c r="E23" s="4"/>
      <c r="F23" s="35">
        <f>SUM(F11:F22)</f>
        <v>577.26</v>
      </c>
      <c r="G23" s="58"/>
      <c r="H23" s="3" t="e">
        <f>+H22+H19</f>
        <v>#N/A</v>
      </c>
      <c r="I23" s="5"/>
      <c r="L23" s="6"/>
    </row>
    <row r="24" spans="1:12" ht="14.25" x14ac:dyDescent="0.2">
      <c r="A24" s="43"/>
      <c r="D24" s="33" t="s">
        <v>35</v>
      </c>
      <c r="E24" s="34"/>
      <c r="F24" s="21" t="s">
        <v>28</v>
      </c>
      <c r="G24" s="60" t="e">
        <f>SUM(G16:G22)</f>
        <v>#N/A</v>
      </c>
      <c r="I24" s="7"/>
      <c r="J24" s="2"/>
      <c r="K24" s="2"/>
      <c r="L24" s="8"/>
    </row>
    <row r="25" spans="1:12" ht="14.25" x14ac:dyDescent="0.2">
      <c r="A25" s="43"/>
      <c r="D25" s="33" t="s">
        <v>36</v>
      </c>
      <c r="E25" s="34"/>
      <c r="F25" s="21" t="s">
        <v>28</v>
      </c>
      <c r="G25" s="60" t="e">
        <f>+F23-G24</f>
        <v>#N/A</v>
      </c>
      <c r="I25" s="3"/>
    </row>
    <row r="26" spans="1:12" ht="14.25" x14ac:dyDescent="0.2">
      <c r="A26" s="43"/>
      <c r="D26" s="33" t="s">
        <v>37</v>
      </c>
      <c r="E26" s="34"/>
      <c r="F26" s="21" t="s">
        <v>28</v>
      </c>
      <c r="G26" s="60" t="e">
        <f>ROUND(G25,0)</f>
        <v>#N/A</v>
      </c>
      <c r="H26" s="3"/>
    </row>
    <row r="27" spans="1:12" ht="14.25" x14ac:dyDescent="0.2">
      <c r="A27" s="54"/>
      <c r="B27" s="2"/>
      <c r="C27" s="8"/>
      <c r="D27" s="36" t="s">
        <v>38</v>
      </c>
      <c r="E27" s="37"/>
      <c r="F27" s="37"/>
      <c r="G27" s="61"/>
    </row>
    <row r="28" spans="1:12" ht="14.25" x14ac:dyDescent="0.2">
      <c r="A28" s="442" t="s">
        <v>39</v>
      </c>
      <c r="B28" s="443"/>
      <c r="C28" s="444"/>
      <c r="D28" s="38" t="s">
        <v>65</v>
      </c>
      <c r="E28" s="39"/>
      <c r="F28" s="40"/>
      <c r="G28" s="63"/>
    </row>
    <row r="29" spans="1:12" x14ac:dyDescent="0.2">
      <c r="A29" s="44" t="s">
        <v>40</v>
      </c>
      <c r="B29" s="4"/>
      <c r="C29" s="4"/>
      <c r="D29" s="4"/>
      <c r="E29" s="4"/>
      <c r="F29" s="4"/>
      <c r="G29" s="45"/>
    </row>
    <row r="30" spans="1:12" ht="13.5" thickBot="1" x14ac:dyDescent="0.25">
      <c r="A30" s="66" t="s">
        <v>41</v>
      </c>
      <c r="B30" s="14"/>
      <c r="C30" s="14"/>
      <c r="D30" s="14"/>
      <c r="E30" s="14"/>
      <c r="F30" s="14"/>
      <c r="G30" s="15"/>
    </row>
    <row r="33" spans="1:7" ht="13.5" thickBot="1" x14ac:dyDescent="0.25"/>
    <row r="34" spans="1:7" x14ac:dyDescent="0.2">
      <c r="A34" s="16"/>
      <c r="B34" s="12"/>
      <c r="C34" s="12"/>
      <c r="D34" s="12"/>
      <c r="E34" s="12"/>
      <c r="F34" s="12"/>
      <c r="G34" s="17"/>
    </row>
    <row r="35" spans="1:7" ht="14.25" x14ac:dyDescent="0.2">
      <c r="A35" s="41" t="s">
        <v>46</v>
      </c>
      <c r="B35" s="18"/>
      <c r="C35" s="18"/>
      <c r="D35" s="18"/>
      <c r="E35" s="19"/>
      <c r="F35" s="18" t="s">
        <v>47</v>
      </c>
      <c r="G35" s="42"/>
    </row>
    <row r="36" spans="1:7" x14ac:dyDescent="0.2">
      <c r="A36" s="43" t="s">
        <v>62</v>
      </c>
      <c r="E36" s="6"/>
      <c r="F36" t="s">
        <v>64</v>
      </c>
      <c r="G36" s="13"/>
    </row>
    <row r="37" spans="1:7" ht="14.25" x14ac:dyDescent="0.2">
      <c r="A37" s="43"/>
      <c r="B37" s="450" t="s">
        <v>52</v>
      </c>
      <c r="C37" s="450"/>
      <c r="D37" s="450"/>
      <c r="E37" s="6"/>
      <c r="F37" s="20" t="s">
        <v>48</v>
      </c>
      <c r="G37" s="13"/>
    </row>
    <row r="38" spans="1:7" x14ac:dyDescent="0.2">
      <c r="A38" s="44" t="s">
        <v>8</v>
      </c>
      <c r="B38" s="437" t="s">
        <v>9</v>
      </c>
      <c r="C38" s="438"/>
      <c r="D38" s="438"/>
      <c r="E38" s="9"/>
      <c r="F38" s="9" t="s">
        <v>10</v>
      </c>
      <c r="G38" s="45" t="s">
        <v>11</v>
      </c>
    </row>
    <row r="39" spans="1:7" ht="14.25" x14ac:dyDescent="0.2">
      <c r="A39" s="46">
        <f>+A6</f>
        <v>37653</v>
      </c>
      <c r="B39" s="439" t="s">
        <v>49</v>
      </c>
      <c r="C39" s="440"/>
      <c r="D39" s="440"/>
      <c r="E39" s="19"/>
      <c r="F39" s="22" t="s">
        <v>12</v>
      </c>
      <c r="G39" s="47">
        <v>1</v>
      </c>
    </row>
    <row r="40" spans="1:7" x14ac:dyDescent="0.2">
      <c r="A40" s="48" t="s">
        <v>13</v>
      </c>
      <c r="B40" s="437" t="s">
        <v>14</v>
      </c>
      <c r="C40" s="438"/>
      <c r="D40" s="441"/>
      <c r="E40" s="23" t="s">
        <v>15</v>
      </c>
      <c r="F40" s="23" t="s">
        <v>16</v>
      </c>
      <c r="G40" s="13" t="s">
        <v>17</v>
      </c>
    </row>
    <row r="41" spans="1:7" ht="14.25" x14ac:dyDescent="0.2">
      <c r="A41" s="49" t="s">
        <v>60</v>
      </c>
      <c r="B41" s="445" t="s">
        <v>66</v>
      </c>
      <c r="C41" s="446"/>
      <c r="D41" s="447"/>
      <c r="E41" s="25">
        <f>+E8</f>
        <v>37687</v>
      </c>
      <c r="F41" s="24" t="s">
        <v>18</v>
      </c>
      <c r="G41" s="50">
        <v>37518</v>
      </c>
    </row>
    <row r="42" spans="1:7" x14ac:dyDescent="0.2">
      <c r="A42" s="448" t="s">
        <v>19</v>
      </c>
      <c r="B42" s="449"/>
      <c r="C42" s="449"/>
      <c r="D42" s="449"/>
      <c r="E42" s="9" t="s">
        <v>20</v>
      </c>
      <c r="F42" s="23" t="s">
        <v>21</v>
      </c>
      <c r="G42" s="51" t="s">
        <v>22</v>
      </c>
    </row>
    <row r="43" spans="1:7" x14ac:dyDescent="0.2">
      <c r="A43" s="43"/>
      <c r="E43" s="6"/>
      <c r="F43" s="26"/>
      <c r="G43" s="52"/>
    </row>
    <row r="44" spans="1:7" x14ac:dyDescent="0.2">
      <c r="A44" s="43" t="s">
        <v>23</v>
      </c>
      <c r="E44" s="6"/>
      <c r="F44" s="27">
        <f>374.4</f>
        <v>374.4</v>
      </c>
      <c r="G44" s="52"/>
    </row>
    <row r="45" spans="1:7" x14ac:dyDescent="0.2">
      <c r="A45" s="43" t="s">
        <v>57</v>
      </c>
      <c r="E45" s="6">
        <f>3+3+8+3+8+3+8+3+8</f>
        <v>47</v>
      </c>
      <c r="F45" s="3" t="e">
        <f>+#REF!</f>
        <v>#REF!</v>
      </c>
      <c r="G45" s="52"/>
    </row>
    <row r="46" spans="1:7" x14ac:dyDescent="0.2">
      <c r="A46" s="43" t="e">
        <f>+#REF!</f>
        <v>#REF!</v>
      </c>
      <c r="E46" s="6" t="e">
        <f>+#REF!</f>
        <v>#REF!</v>
      </c>
      <c r="F46" s="3" t="e">
        <f>+#REF!</f>
        <v>#REF!</v>
      </c>
      <c r="G46" s="52"/>
    </row>
    <row r="47" spans="1:7" x14ac:dyDescent="0.2">
      <c r="A47" s="43" t="s">
        <v>25</v>
      </c>
      <c r="E47" s="6">
        <v>15</v>
      </c>
      <c r="F47" s="28">
        <f>+E47*1.26</f>
        <v>18.899999999999999</v>
      </c>
      <c r="G47" s="52"/>
    </row>
    <row r="48" spans="1:7" x14ac:dyDescent="0.2">
      <c r="A48" s="43" t="s">
        <v>50</v>
      </c>
      <c r="E48" s="6"/>
      <c r="F48" s="28">
        <f>16.98</f>
        <v>16.98</v>
      </c>
      <c r="G48" s="52"/>
    </row>
    <row r="49" spans="1:21" x14ac:dyDescent="0.2">
      <c r="A49" s="43" t="s">
        <v>51</v>
      </c>
      <c r="E49" s="6"/>
      <c r="F49" s="28">
        <f>16.98</f>
        <v>16.98</v>
      </c>
      <c r="G49" s="52"/>
    </row>
    <row r="50" spans="1:21" x14ac:dyDescent="0.2">
      <c r="A50" s="43" t="s">
        <v>61</v>
      </c>
      <c r="E50" s="6"/>
      <c r="F50" s="28">
        <f>+F15</f>
        <v>150</v>
      </c>
      <c r="G50" s="52"/>
      <c r="K50" s="79" t="s">
        <v>334</v>
      </c>
      <c r="L50" s="200">
        <v>0</v>
      </c>
    </row>
    <row r="51" spans="1:21" x14ac:dyDescent="0.2">
      <c r="A51" s="43" t="s">
        <v>27</v>
      </c>
      <c r="C51" s="3">
        <v>7</v>
      </c>
      <c r="D51" t="s">
        <v>6</v>
      </c>
      <c r="E51" s="6"/>
      <c r="F51" s="29" t="s">
        <v>28</v>
      </c>
      <c r="G51" s="53" t="e">
        <f>#N/A</f>
        <v>#N/A</v>
      </c>
      <c r="K51" s="79" t="s">
        <v>318</v>
      </c>
      <c r="L51" s="200">
        <v>0</v>
      </c>
    </row>
    <row r="52" spans="1:21" x14ac:dyDescent="0.2">
      <c r="A52" s="43" t="s">
        <v>63</v>
      </c>
      <c r="C52" s="3">
        <v>3</v>
      </c>
      <c r="D52" t="s">
        <v>6</v>
      </c>
      <c r="E52" s="6"/>
      <c r="F52" s="29" t="s">
        <v>28</v>
      </c>
      <c r="G52" s="53" t="e">
        <f>#N/A</f>
        <v>#N/A</v>
      </c>
      <c r="H52" s="3" t="e">
        <f>+G52+G51</f>
        <v>#N/A</v>
      </c>
      <c r="I52" s="3" t="e">
        <f>+G51+G52</f>
        <v>#N/A</v>
      </c>
      <c r="K52" s="79" t="s">
        <v>319</v>
      </c>
      <c r="L52" s="200" t="e">
        <f>+LIQ!#REF!</f>
        <v>#REF!</v>
      </c>
      <c r="N52">
        <f>315-250</f>
        <v>65</v>
      </c>
      <c r="O52">
        <f>950-1235</f>
        <v>-285</v>
      </c>
    </row>
    <row r="53" spans="1:21" x14ac:dyDescent="0.2">
      <c r="A53" s="43" t="s">
        <v>30</v>
      </c>
      <c r="C53" s="3">
        <v>2.7</v>
      </c>
      <c r="D53" t="s">
        <v>6</v>
      </c>
      <c r="E53" s="6"/>
      <c r="F53" s="29" t="s">
        <v>28</v>
      </c>
      <c r="G53" s="53" t="e">
        <f>#N/A</f>
        <v>#N/A</v>
      </c>
      <c r="H53" s="3" t="e">
        <f>+H52+G54</f>
        <v>#N/A</v>
      </c>
      <c r="L53" s="200" t="e">
        <f>SUM(L50:L52)</f>
        <v>#REF!</v>
      </c>
      <c r="M53" s="200"/>
    </row>
    <row r="54" spans="1:21" x14ac:dyDescent="0.2">
      <c r="A54" s="43" t="s">
        <v>31</v>
      </c>
      <c r="C54" s="3">
        <v>0.3</v>
      </c>
      <c r="D54" t="s">
        <v>6</v>
      </c>
      <c r="E54" s="6"/>
      <c r="F54" s="29" t="s">
        <v>28</v>
      </c>
      <c r="G54" s="53" t="e">
        <f>#N/A</f>
        <v>#N/A</v>
      </c>
    </row>
    <row r="55" spans="1:21" x14ac:dyDescent="0.2">
      <c r="A55" s="43" t="s">
        <v>32</v>
      </c>
      <c r="C55" s="3">
        <v>2</v>
      </c>
      <c r="D55" t="s">
        <v>6</v>
      </c>
      <c r="E55" s="6"/>
      <c r="F55" s="29" t="s">
        <v>28</v>
      </c>
      <c r="G55" s="53" t="e">
        <f>#N/A</f>
        <v>#N/A</v>
      </c>
    </row>
    <row r="56" spans="1:21" x14ac:dyDescent="0.2">
      <c r="A56" s="43" t="s">
        <v>33</v>
      </c>
      <c r="C56" s="3">
        <v>1</v>
      </c>
      <c r="D56" t="s">
        <v>6</v>
      </c>
      <c r="E56" s="6"/>
      <c r="F56" s="29" t="s">
        <v>28</v>
      </c>
      <c r="G56" s="53" t="e">
        <f>#N/A</f>
        <v>#N/A</v>
      </c>
      <c r="H56" s="3"/>
      <c r="I56" s="218" t="s">
        <v>305</v>
      </c>
      <c r="J56" s="9"/>
      <c r="M56" s="215" t="s">
        <v>306</v>
      </c>
      <c r="N56" s="9"/>
      <c r="O56" s="215" t="s">
        <v>306</v>
      </c>
      <c r="P56" s="9"/>
    </row>
    <row r="57" spans="1:21" x14ac:dyDescent="0.2">
      <c r="A57" s="54"/>
      <c r="B57" s="2"/>
      <c r="C57" s="2"/>
      <c r="D57" s="2"/>
      <c r="E57" s="8"/>
      <c r="F57" s="31"/>
      <c r="G57" s="55"/>
      <c r="I57" s="225">
        <f>+L51</f>
        <v>0</v>
      </c>
      <c r="J57" s="75" t="e">
        <f>+L53</f>
        <v>#REF!</v>
      </c>
      <c r="M57" s="225">
        <f>+SUELDO!I57</f>
        <v>0</v>
      </c>
      <c r="N57" s="226" t="e">
        <f>+J57</f>
        <v>#REF!</v>
      </c>
      <c r="O57" s="223" t="e">
        <f>+L53</f>
        <v>#REF!</v>
      </c>
      <c r="P57" s="8"/>
    </row>
    <row r="58" spans="1:21" ht="15" x14ac:dyDescent="0.25">
      <c r="A58" s="43"/>
      <c r="D58" s="32" t="s">
        <v>34</v>
      </c>
      <c r="E58" s="4"/>
      <c r="F58" s="35" t="e">
        <f>SUM(F44:F57)</f>
        <v>#REF!</v>
      </c>
      <c r="G58" s="58"/>
      <c r="I58" s="224"/>
      <c r="J58" s="216"/>
      <c r="M58" s="5">
        <v>1.4999999999999999E-2</v>
      </c>
      <c r="N58" s="249" t="e">
        <f>+N57*M58</f>
        <v>#REF!</v>
      </c>
      <c r="O58" s="5"/>
      <c r="P58" s="6"/>
    </row>
    <row r="59" spans="1:21" ht="15" x14ac:dyDescent="0.25">
      <c r="A59" s="43"/>
      <c r="D59" s="33" t="s">
        <v>35</v>
      </c>
      <c r="E59" s="34"/>
      <c r="F59" s="21" t="s">
        <v>28</v>
      </c>
      <c r="G59" s="60" t="e">
        <f>SUM(G51:G57)</f>
        <v>#N/A</v>
      </c>
      <c r="I59" s="220" t="e">
        <f>+L51*0.03+L52*0.01</f>
        <v>#REF!</v>
      </c>
      <c r="J59" s="221">
        <f>0.03+0.01</f>
        <v>0.04</v>
      </c>
      <c r="K59" s="119"/>
      <c r="L59" s="3"/>
      <c r="M59" s="5">
        <v>0.04</v>
      </c>
      <c r="N59" s="27" t="e">
        <f>+N57*M59</f>
        <v>#REF!</v>
      </c>
      <c r="O59" s="274">
        <v>5.0000000000000001E-3</v>
      </c>
      <c r="P59" s="27" t="e">
        <f>+O57*O59</f>
        <v>#REF!</v>
      </c>
      <c r="Q59">
        <v>0.02</v>
      </c>
      <c r="R59" s="80">
        <f>+O59*Q59</f>
        <v>1E-4</v>
      </c>
      <c r="S59" s="80">
        <v>0.01</v>
      </c>
      <c r="T59" s="80">
        <f>+O59*S59</f>
        <v>5.0000000000000002E-5</v>
      </c>
      <c r="U59" s="80">
        <f>+T59+R59</f>
        <v>1.5000000000000001E-4</v>
      </c>
    </row>
    <row r="60" spans="1:21" ht="15.75" thickBot="1" x14ac:dyDescent="0.3">
      <c r="A60" s="43"/>
      <c r="D60" s="33" t="s">
        <v>36</v>
      </c>
      <c r="E60" s="34"/>
      <c r="F60" s="21" t="s">
        <v>28</v>
      </c>
      <c r="G60" s="60" t="e">
        <f>+F58-G59</f>
        <v>#REF!</v>
      </c>
      <c r="I60" s="248" t="e">
        <f>+J57*J60</f>
        <v>#REF!</v>
      </c>
      <c r="J60" s="222">
        <v>1.4999999999999999E-2</v>
      </c>
      <c r="M60" s="5">
        <v>0.01</v>
      </c>
      <c r="N60" s="27">
        <f>+M57*0.01</f>
        <v>0</v>
      </c>
      <c r="O60" s="219"/>
      <c r="P60" s="6"/>
      <c r="Q60">
        <v>0.02</v>
      </c>
      <c r="R60" s="80">
        <f>+O60*Q60</f>
        <v>0</v>
      </c>
      <c r="S60" s="80">
        <v>0.01</v>
      </c>
      <c r="T60" s="80">
        <f>+O60*S60</f>
        <v>0</v>
      </c>
      <c r="U60" s="80">
        <f>+R60+T60</f>
        <v>0</v>
      </c>
    </row>
    <row r="61" spans="1:21" ht="14.25" x14ac:dyDescent="0.2">
      <c r="A61" s="43"/>
      <c r="D61" s="33" t="s">
        <v>37</v>
      </c>
      <c r="E61" s="34"/>
      <c r="F61" s="21" t="s">
        <v>28</v>
      </c>
      <c r="G61" s="60" t="e">
        <f>ROUND(G60,0)</f>
        <v>#REF!</v>
      </c>
      <c r="I61" s="217" t="e">
        <f>+I59+I60</f>
        <v>#REF!</v>
      </c>
      <c r="J61" s="8"/>
      <c r="K61" s="3">
        <f>+K59-K60</f>
        <v>0</v>
      </c>
      <c r="M61" s="7"/>
      <c r="N61" s="226" t="e">
        <f>SUM(N58:N60)</f>
        <v>#REF!</v>
      </c>
      <c r="O61" s="7"/>
      <c r="P61" s="8"/>
      <c r="U61" s="80">
        <f>+U60+U59</f>
        <v>1.5000000000000001E-4</v>
      </c>
    </row>
    <row r="62" spans="1:21" ht="15" thickBot="1" x14ac:dyDescent="0.25">
      <c r="A62" s="54"/>
      <c r="B62" s="2"/>
      <c r="C62" s="8"/>
      <c r="D62" s="36" t="s">
        <v>38</v>
      </c>
      <c r="E62" s="37"/>
      <c r="F62" s="37"/>
      <c r="G62" s="61"/>
      <c r="N62" s="3"/>
    </row>
    <row r="63" spans="1:21" ht="15" x14ac:dyDescent="0.25">
      <c r="A63" s="442" t="s">
        <v>58</v>
      </c>
      <c r="B63" s="443"/>
      <c r="C63" s="444"/>
      <c r="D63" s="38" t="str">
        <f>+D28</f>
        <v>SEICIENTOS OCHENTA Y OCHO</v>
      </c>
      <c r="E63" s="39"/>
      <c r="F63" s="40"/>
      <c r="G63" s="63"/>
      <c r="I63" s="56" t="s">
        <v>42</v>
      </c>
      <c r="J63" s="62"/>
      <c r="K63" s="57"/>
      <c r="P63">
        <f>247/2</f>
        <v>123.5</v>
      </c>
    </row>
    <row r="64" spans="1:21" ht="15" x14ac:dyDescent="0.25">
      <c r="A64" s="78" t="s">
        <v>40</v>
      </c>
      <c r="B64" s="4"/>
      <c r="C64" s="4"/>
      <c r="D64" s="4"/>
      <c r="E64" s="4"/>
      <c r="F64" s="4"/>
      <c r="G64" s="45"/>
      <c r="I64" s="64" t="s">
        <v>43</v>
      </c>
      <c r="J64" s="30">
        <v>0.6</v>
      </c>
      <c r="K64" s="59">
        <f>+J64*2</f>
        <v>1.2</v>
      </c>
      <c r="M64">
        <f>48.15-72.21</f>
        <v>-24.059999999999995</v>
      </c>
    </row>
    <row r="65" spans="1:11" ht="15.75" thickBot="1" x14ac:dyDescent="0.3">
      <c r="A65" s="66" t="s">
        <v>41</v>
      </c>
      <c r="B65" s="14"/>
      <c r="C65" s="14"/>
      <c r="D65" s="14"/>
      <c r="E65" s="14"/>
      <c r="F65" s="14"/>
      <c r="G65" s="15"/>
      <c r="I65" s="64"/>
      <c r="J65" s="30"/>
      <c r="K65" s="59"/>
    </row>
    <row r="66" spans="1:11" ht="15" x14ac:dyDescent="0.25">
      <c r="I66" s="64" t="s">
        <v>44</v>
      </c>
      <c r="J66" s="151">
        <v>0.03</v>
      </c>
      <c r="K66" s="65">
        <f>+K59*J66</f>
        <v>0</v>
      </c>
    </row>
    <row r="67" spans="1:11" ht="15.75" thickBot="1" x14ac:dyDescent="0.3">
      <c r="I67" s="67" t="s">
        <v>45</v>
      </c>
      <c r="J67" s="68"/>
      <c r="K67" s="77">
        <f>+K66+K64</f>
        <v>1.2</v>
      </c>
    </row>
    <row r="68" spans="1:11" x14ac:dyDescent="0.2">
      <c r="I68" s="3"/>
      <c r="K68" s="3"/>
    </row>
    <row r="71" spans="1:11" x14ac:dyDescent="0.2">
      <c r="D71" s="79" t="s">
        <v>291</v>
      </c>
      <c r="E71" s="199" t="e">
        <f>+LIQ!#REF!/2</f>
        <v>#REF!</v>
      </c>
      <c r="F71" t="e">
        <f>+LIQ!#REF!/2</f>
        <v>#REF!</v>
      </c>
    </row>
    <row r="72" spans="1:11" x14ac:dyDescent="0.2">
      <c r="D72" s="79" t="s">
        <v>292</v>
      </c>
      <c r="E72" s="199" t="e">
        <f>+LIQ!#REF!*0.2</f>
        <v>#REF!</v>
      </c>
      <c r="F72">
        <v>0</v>
      </c>
    </row>
    <row r="73" spans="1:11" x14ac:dyDescent="0.2">
      <c r="E73" s="199" t="e">
        <f>+E71+E72</f>
        <v>#REF!</v>
      </c>
      <c r="F73" t="e">
        <f>SUM(F71:F72)</f>
        <v>#REF!</v>
      </c>
      <c r="G73" s="200" t="e">
        <f>+E73+F73</f>
        <v>#REF!</v>
      </c>
    </row>
  </sheetData>
  <mergeCells count="14">
    <mergeCell ref="B4:D4"/>
    <mergeCell ref="B5:D5"/>
    <mergeCell ref="B6:D6"/>
    <mergeCell ref="B7:D7"/>
    <mergeCell ref="A63:C63"/>
    <mergeCell ref="B8:D8"/>
    <mergeCell ref="A9:D9"/>
    <mergeCell ref="A28:C28"/>
    <mergeCell ref="B37:D37"/>
    <mergeCell ref="A42:D42"/>
    <mergeCell ref="B38:D38"/>
    <mergeCell ref="B39:D39"/>
    <mergeCell ref="B40:D40"/>
    <mergeCell ref="B41:D41"/>
  </mergeCells>
  <phoneticPr fontId="0" type="noConversion"/>
  <pageMargins left="0.26" right="0.24" top="1" bottom="1" header="0" footer="0"/>
  <pageSetup paperSize="9" scale="95" orientation="portrait" horizontalDpi="4294967292" verticalDpi="0" r:id="rId1"/>
  <headerFooter alignWithMargins="0"/>
  <rowBreaks count="1" manualBreakCount="1">
    <brk id="3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3A2F-33BD-4E1A-BA43-B7D7DC9BF569}">
  <dimension ref="A1"/>
  <sheetViews>
    <sheetView topLeftCell="A13" workbookViewId="0"/>
  </sheetViews>
  <sheetFormatPr baseColWidth="10" defaultRowHeight="12.75" x14ac:dyDescent="0.2"/>
  <sheetData/>
  <phoneticPr fontId="0" type="noConversion"/>
  <pageMargins left="0.75" right="0.75" top="1" bottom="1" header="0" footer="0"/>
  <pageSetup paperSize="0" orientation="portrait" horizontalDpi="0" verticalDpi="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586B-2B99-4DBD-AD64-6A476350D1E4}">
  <dimension ref="A1"/>
  <sheetViews>
    <sheetView workbookViewId="0"/>
  </sheetViews>
  <sheetFormatPr baseColWidth="10" defaultRowHeight="12.75" x14ac:dyDescent="0.2"/>
  <sheetData/>
  <phoneticPr fontId="23" type="noConversion"/>
  <pageMargins left="0.75" right="0.75" top="1" bottom="1" header="0" footer="0"/>
  <pageSetup paperSize="0" orientation="portrait" horizontalDpi="0" verticalDpi="0" copies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1574-E65A-4D64-B90B-A4FBBC331000}">
  <dimension ref="A1:D15"/>
  <sheetViews>
    <sheetView workbookViewId="0">
      <selection activeCell="C5" sqref="C5"/>
    </sheetView>
  </sheetViews>
  <sheetFormatPr baseColWidth="10" defaultRowHeight="12.75" x14ac:dyDescent="0.2"/>
  <sheetData>
    <row r="1" spans="1:4" x14ac:dyDescent="0.2">
      <c r="A1" t="s">
        <v>175</v>
      </c>
    </row>
    <row r="2" spans="1:4" x14ac:dyDescent="0.2">
      <c r="A2" t="s">
        <v>168</v>
      </c>
      <c r="B2">
        <v>2002</v>
      </c>
      <c r="C2">
        <v>593</v>
      </c>
      <c r="D2">
        <v>2950</v>
      </c>
    </row>
    <row r="3" spans="1:4" x14ac:dyDescent="0.2">
      <c r="A3" t="s">
        <v>169</v>
      </c>
      <c r="C3">
        <v>720</v>
      </c>
      <c r="D3">
        <v>3589</v>
      </c>
    </row>
    <row r="4" spans="1:4" x14ac:dyDescent="0.2">
      <c r="A4" t="s">
        <v>170</v>
      </c>
      <c r="B4">
        <v>2002</v>
      </c>
      <c r="C4">
        <v>622</v>
      </c>
      <c r="D4">
        <v>3100</v>
      </c>
    </row>
    <row r="6" spans="1:4" x14ac:dyDescent="0.2">
      <c r="A6" t="s">
        <v>171</v>
      </c>
      <c r="C6">
        <v>697</v>
      </c>
      <c r="D6">
        <v>3472</v>
      </c>
    </row>
    <row r="7" spans="1:4" x14ac:dyDescent="0.2">
      <c r="A7" t="s">
        <v>172</v>
      </c>
      <c r="B7">
        <v>2002</v>
      </c>
      <c r="C7">
        <v>677</v>
      </c>
      <c r="D7">
        <v>3379</v>
      </c>
    </row>
    <row r="8" spans="1:4" x14ac:dyDescent="0.2">
      <c r="A8" t="s">
        <v>173</v>
      </c>
      <c r="C8">
        <v>689</v>
      </c>
      <c r="D8">
        <v>3430</v>
      </c>
    </row>
    <row r="9" spans="1:4" x14ac:dyDescent="0.2">
      <c r="A9" t="s">
        <v>174</v>
      </c>
      <c r="C9">
        <v>687</v>
      </c>
      <c r="D9">
        <v>3427</v>
      </c>
    </row>
    <row r="10" spans="1:4" x14ac:dyDescent="0.2">
      <c r="A10" t="s">
        <v>167</v>
      </c>
      <c r="B10">
        <v>2002</v>
      </c>
      <c r="C10">
        <v>667</v>
      </c>
      <c r="D10">
        <v>3327</v>
      </c>
    </row>
    <row r="11" spans="1:4" x14ac:dyDescent="0.2">
      <c r="A11" t="s">
        <v>168</v>
      </c>
      <c r="B11">
        <v>2003</v>
      </c>
      <c r="C11">
        <v>646</v>
      </c>
      <c r="D11">
        <v>3219</v>
      </c>
    </row>
    <row r="12" spans="1:4" x14ac:dyDescent="0.2">
      <c r="A12" t="s">
        <v>169</v>
      </c>
      <c r="C12">
        <v>881</v>
      </c>
      <c r="D12">
        <v>4391</v>
      </c>
    </row>
    <row r="13" spans="1:4" x14ac:dyDescent="0.2">
      <c r="A13" t="s">
        <v>176</v>
      </c>
      <c r="C13">
        <v>689</v>
      </c>
      <c r="D13">
        <v>3436</v>
      </c>
    </row>
    <row r="14" spans="1:4" x14ac:dyDescent="0.2">
      <c r="A14" t="s">
        <v>177</v>
      </c>
      <c r="C14">
        <v>680</v>
      </c>
    </row>
    <row r="15" spans="1:4" x14ac:dyDescent="0.2">
      <c r="A15" t="s">
        <v>171</v>
      </c>
      <c r="C15">
        <v>780</v>
      </c>
    </row>
  </sheetData>
  <phoneticPr fontId="0" type="noConversion"/>
  <pageMargins left="0.75" right="0.75" top="1" bottom="1" header="0" footer="0"/>
  <pageSetup paperSize="0" orientation="portrait" horizontalDpi="0" verticalDpi="0" copies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21F7-93F2-49F4-AED7-F286455878C9}">
  <dimension ref="D1"/>
  <sheetViews>
    <sheetView workbookViewId="0">
      <selection activeCell="B10" sqref="B10"/>
    </sheetView>
  </sheetViews>
  <sheetFormatPr baseColWidth="10" defaultRowHeight="12.75" x14ac:dyDescent="0.2"/>
  <cols>
    <col min="4" max="4" width="11.42578125" style="80"/>
  </cols>
  <sheetData/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1FDB-5118-4780-89A4-B58A528FA6E3}">
  <dimension ref="A2:G12"/>
  <sheetViews>
    <sheetView workbookViewId="0">
      <selection activeCell="D15" sqref="D15"/>
    </sheetView>
  </sheetViews>
  <sheetFormatPr baseColWidth="10" defaultRowHeight="12.75" x14ac:dyDescent="0.2"/>
  <cols>
    <col min="4" max="4" width="39.7109375" style="80" customWidth="1"/>
  </cols>
  <sheetData>
    <row r="2" spans="1:7" x14ac:dyDescent="0.2">
      <c r="A2" s="451" t="s">
        <v>155</v>
      </c>
      <c r="B2" s="451"/>
      <c r="C2" s="451"/>
      <c r="D2" s="451"/>
      <c r="E2" s="451"/>
      <c r="F2" s="451"/>
      <c r="G2" s="451"/>
    </row>
    <row r="4" spans="1:7" x14ac:dyDescent="0.2">
      <c r="A4" s="106" t="s">
        <v>159</v>
      </c>
    </row>
    <row r="7" spans="1:7" x14ac:dyDescent="0.2">
      <c r="A7" t="s">
        <v>156</v>
      </c>
      <c r="E7" s="80">
        <v>60393.599999999999</v>
      </c>
    </row>
    <row r="8" spans="1:7" x14ac:dyDescent="0.2">
      <c r="A8" t="s">
        <v>157</v>
      </c>
      <c r="E8" s="80">
        <f>-8052.31</f>
        <v>-8052.31</v>
      </c>
    </row>
    <row r="9" spans="1:7" x14ac:dyDescent="0.2">
      <c r="A9" t="s">
        <v>160</v>
      </c>
      <c r="E9" s="80">
        <v>-50960.07</v>
      </c>
    </row>
    <row r="10" spans="1:7" x14ac:dyDescent="0.2">
      <c r="A10" t="s">
        <v>161</v>
      </c>
      <c r="E10" s="80" t="e">
        <f>-'RES CUENTA'!#REF!+0.9</f>
        <v>#REF!</v>
      </c>
    </row>
    <row r="11" spans="1:7" x14ac:dyDescent="0.2">
      <c r="A11" t="s">
        <v>162</v>
      </c>
      <c r="E11" s="81">
        <v>100</v>
      </c>
    </row>
    <row r="12" spans="1:7" x14ac:dyDescent="0.2">
      <c r="A12" t="s">
        <v>158</v>
      </c>
      <c r="E12" s="80" t="e">
        <f>SUM(E7:E11)</f>
        <v>#REF!</v>
      </c>
    </row>
  </sheetData>
  <mergeCells count="1">
    <mergeCell ref="A2:G2"/>
  </mergeCells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00B1-AA7A-4B45-962F-A27707EA1E32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</vt:i4>
      </vt:variant>
    </vt:vector>
  </HeadingPairs>
  <TitlesOfParts>
    <vt:vector size="15" baseType="lpstr">
      <vt:lpstr>LIQ</vt:lpstr>
      <vt:lpstr>RES CUENTA</vt:lpstr>
      <vt:lpstr>INTERESES</vt:lpstr>
      <vt:lpstr>RECIBOS</vt:lpstr>
      <vt:lpstr>SUELDO</vt:lpstr>
      <vt:lpstr>Hoja3</vt:lpstr>
      <vt:lpstr>Hoja4</vt:lpstr>
      <vt:lpstr>Hoja2</vt:lpstr>
      <vt:lpstr>Hoja 3</vt:lpstr>
      <vt:lpstr>Hoja1</vt:lpstr>
      <vt:lpstr>Hoja5</vt:lpstr>
      <vt:lpstr>LIQ!Área_de_impresión</vt:lpstr>
      <vt:lpstr>RECIBOS!Área_de_impresión</vt:lpstr>
      <vt:lpstr>'RES CUENTA'!Área_de_impresión</vt:lpstr>
      <vt:lpstr>SUELDO!Área_de_impresión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Karina Malito</cp:lastModifiedBy>
  <cp:lastPrinted>2026-05-29T17:19:26Z</cp:lastPrinted>
  <dcterms:created xsi:type="dcterms:W3CDTF">2002-09-08T00:47:01Z</dcterms:created>
  <dcterms:modified xsi:type="dcterms:W3CDTF">2026-05-29T17:29:34Z</dcterms:modified>
</cp:coreProperties>
</file>