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C KARINA 2026\LIMA 2026\"/>
    </mc:Choice>
  </mc:AlternateContent>
  <xr:revisionPtr revIDLastSave="0" documentId="13_ncr:1_{7BEB6FE2-FB12-4EFB-8965-72450D08A53F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LIQ" sheetId="1" r:id="rId1"/>
    <sheet name="RES CUENTA" sheetId="2" r:id="rId2"/>
    <sheet name="INTERESES" sheetId="8" r:id="rId3"/>
    <sheet name="SUELDO" sheetId="5" r:id="rId4"/>
    <sheet name="RECIBOS (2)" sheetId="10" r:id="rId5"/>
    <sheet name="RECIBOS" sheetId="4" r:id="rId6"/>
    <sheet name="Gráfico1" sheetId="9" r:id="rId7"/>
    <sheet name="Hoja 3" sheetId="3" r:id="rId8"/>
    <sheet name="Hoja2" sheetId="7" r:id="rId9"/>
    <sheet name="Hoja1" sheetId="6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</externalReferences>
  <definedNames>
    <definedName name="_xlnm.Print_Area" localSheetId="7">'Hoja 3'!#REF!</definedName>
    <definedName name="_xlnm.Print_Area" localSheetId="0">LIQ!$A$1:$I$87</definedName>
    <definedName name="_xlnm.Print_Area" localSheetId="5">RECIBOS!$A$340:$H$412</definedName>
    <definedName name="_xlnm.Print_Area" localSheetId="4">'RECIBOS (2)'!$A$340:$H$412</definedName>
    <definedName name="_xlnm.Print_Area" localSheetId="1">'RES CUENTA'!$A$3:$S$77</definedName>
    <definedName name="_xlnm.Print_Area" localSheetId="3">SUELDO!$A$1:$G$65</definedName>
  </definedNames>
  <calcPr calcId="191029"/>
</workbook>
</file>

<file path=xl/calcChain.xml><?xml version="1.0" encoding="utf-8"?>
<calcChain xmlns="http://schemas.openxmlformats.org/spreadsheetml/2006/main">
  <c r="G108" i="1" l="1"/>
  <c r="G104" i="1"/>
  <c r="L92" i="1"/>
  <c r="Q24" i="2"/>
  <c r="DB144" i="8"/>
  <c r="CY144" i="8"/>
  <c r="DC108" i="8"/>
  <c r="DC107" i="8"/>
  <c r="DC106" i="8"/>
  <c r="DC105" i="8"/>
  <c r="CY108" i="8"/>
  <c r="DB108" i="8" s="1"/>
  <c r="G76" i="1"/>
  <c r="Z17" i="2"/>
  <c r="L86" i="1"/>
  <c r="L88" i="1"/>
  <c r="L87" i="1"/>
  <c r="G82" i="1"/>
  <c r="L46" i="1"/>
  <c r="CV141" i="8"/>
  <c r="CX143" i="8"/>
  <c r="DB143" i="8" s="1"/>
  <c r="CX107" i="8"/>
  <c r="H46" i="1"/>
  <c r="CW142" i="8"/>
  <c r="DB142" i="8" s="1"/>
  <c r="CW106" i="8"/>
  <c r="DB106" i="8" s="1"/>
  <c r="H60" i="1"/>
  <c r="L33" i="1"/>
  <c r="DC104" i="8"/>
  <c r="CV105" i="8"/>
  <c r="DB105" i="8" s="1"/>
  <c r="DB141" i="8" l="1"/>
  <c r="DB145" i="8" s="1"/>
  <c r="DB107" i="8"/>
  <c r="L12" i="1"/>
  <c r="M12" i="1" l="1"/>
  <c r="DB140" i="8"/>
  <c r="DB121" i="8" l="1"/>
  <c r="E21" i="1" l="1"/>
  <c r="L54" i="5" s="1"/>
  <c r="CU104" i="8"/>
  <c r="DB111" i="8" l="1"/>
  <c r="DC103" i="8"/>
  <c r="DC102" i="8"/>
  <c r="DC101" i="8"/>
  <c r="DB104" i="8"/>
  <c r="E2994" i="10" l="1"/>
  <c r="D2994" i="10"/>
  <c r="B2994" i="10"/>
  <c r="H2993" i="10"/>
  <c r="B2992" i="10"/>
  <c r="E2985" i="10"/>
  <c r="D2985" i="10"/>
  <c r="F2985" i="10" s="1"/>
  <c r="F3002" i="10" s="1"/>
  <c r="E2984" i="10"/>
  <c r="D2984" i="10"/>
  <c r="F2984" i="10" s="1"/>
  <c r="F3001" i="10" s="1"/>
  <c r="E2983" i="10"/>
  <c r="D2983" i="10"/>
  <c r="F2983" i="10" s="1"/>
  <c r="F3000" i="10" s="1"/>
  <c r="E2982" i="10"/>
  <c r="E2978" i="10"/>
  <c r="B2977" i="10"/>
  <c r="E2992" i="10" s="1"/>
  <c r="G2975" i="10"/>
  <c r="H2956" i="10"/>
  <c r="E2956" i="10"/>
  <c r="D2956" i="10"/>
  <c r="B2956" i="10"/>
  <c r="D2947" i="10"/>
  <c r="F2947" i="10" s="1"/>
  <c r="F2964" i="10" s="1"/>
  <c r="D2946" i="10"/>
  <c r="F2946" i="10" s="1"/>
  <c r="F2963" i="10" s="1"/>
  <c r="E2945" i="10"/>
  <c r="D2945" i="10"/>
  <c r="E2944" i="10"/>
  <c r="B2939" i="10"/>
  <c r="B2954" i="10" s="1"/>
  <c r="E2954" i="10" s="1"/>
  <c r="G2936" i="10"/>
  <c r="E2920" i="10"/>
  <c r="B2920" i="10"/>
  <c r="H2919" i="10"/>
  <c r="D2920" i="10" s="1"/>
  <c r="E2912" i="10"/>
  <c r="D2912" i="10"/>
  <c r="F2912" i="10" s="1"/>
  <c r="F2928" i="10" s="1"/>
  <c r="E2911" i="10"/>
  <c r="D2911" i="10"/>
  <c r="F2911" i="10" s="1"/>
  <c r="F2927" i="10" s="1"/>
  <c r="E2910" i="10"/>
  <c r="D2910" i="10"/>
  <c r="F2910" i="10" s="1"/>
  <c r="F2926" i="10" s="1"/>
  <c r="E2909" i="10"/>
  <c r="E2905" i="10"/>
  <c r="B2904" i="10"/>
  <c r="E2918" i="10" s="1"/>
  <c r="G2902" i="10"/>
  <c r="E2883" i="10"/>
  <c r="D2883" i="10"/>
  <c r="H2883" i="10" s="1"/>
  <c r="B2883" i="10"/>
  <c r="D2874" i="10"/>
  <c r="F2874" i="10" s="1"/>
  <c r="F2891" i="10" s="1"/>
  <c r="D2873" i="10"/>
  <c r="F2873" i="10" s="1"/>
  <c r="F2890" i="10" s="1"/>
  <c r="E2872" i="10"/>
  <c r="D2872" i="10"/>
  <c r="F2872" i="10" s="1"/>
  <c r="F2889" i="10" s="1"/>
  <c r="E2871" i="10"/>
  <c r="B2866" i="10"/>
  <c r="B2881" i="10" s="1"/>
  <c r="E2881" i="10" s="1"/>
  <c r="G2863" i="10"/>
  <c r="E2847" i="10"/>
  <c r="B2847" i="10"/>
  <c r="H2846" i="10"/>
  <c r="D2847" i="10" s="1"/>
  <c r="E2838" i="10"/>
  <c r="D2838" i="10"/>
  <c r="F2838" i="10" s="1"/>
  <c r="F2855" i="10" s="1"/>
  <c r="E2837" i="10"/>
  <c r="D2837" i="10"/>
  <c r="F2837" i="10" s="1"/>
  <c r="F2854" i="10" s="1"/>
  <c r="E2836" i="10"/>
  <c r="D2836" i="10"/>
  <c r="F2836" i="10" s="1"/>
  <c r="F2853" i="10" s="1"/>
  <c r="E2835" i="10"/>
  <c r="E2831" i="10"/>
  <c r="B2830" i="10"/>
  <c r="E2845" i="10" s="1"/>
  <c r="G2828" i="10"/>
  <c r="E2809" i="10"/>
  <c r="D2809" i="10"/>
  <c r="H2809" i="10" s="1"/>
  <c r="B2809" i="10"/>
  <c r="D2800" i="10"/>
  <c r="F2800" i="10" s="1"/>
  <c r="F2817" i="10" s="1"/>
  <c r="D2799" i="10"/>
  <c r="F2799" i="10" s="1"/>
  <c r="F2816" i="10" s="1"/>
  <c r="E2798" i="10"/>
  <c r="D2798" i="10"/>
  <c r="F2798" i="10" s="1"/>
  <c r="F2815" i="10" s="1"/>
  <c r="E2797" i="10"/>
  <c r="B2792" i="10"/>
  <c r="B2807" i="10" s="1"/>
  <c r="E2807" i="10" s="1"/>
  <c r="G2789" i="10"/>
  <c r="E2773" i="10"/>
  <c r="D2773" i="10"/>
  <c r="B2773" i="10"/>
  <c r="H2772" i="10"/>
  <c r="E2764" i="10"/>
  <c r="D2764" i="10"/>
  <c r="F2764" i="10" s="1"/>
  <c r="F2781" i="10" s="1"/>
  <c r="E2763" i="10"/>
  <c r="D2763" i="10"/>
  <c r="F2763" i="10" s="1"/>
  <c r="F2780" i="10" s="1"/>
  <c r="E2762" i="10"/>
  <c r="D2762" i="10"/>
  <c r="F2762" i="10" s="1"/>
  <c r="F2779" i="10" s="1"/>
  <c r="E2761" i="10"/>
  <c r="E2757" i="10"/>
  <c r="B2756" i="10"/>
  <c r="B2771" i="10" s="1"/>
  <c r="G2754" i="10"/>
  <c r="H2735" i="10"/>
  <c r="E2735" i="10"/>
  <c r="D2735" i="10"/>
  <c r="B2735" i="10"/>
  <c r="D2726" i="10"/>
  <c r="F2726" i="10" s="1"/>
  <c r="F2743" i="10" s="1"/>
  <c r="D2725" i="10"/>
  <c r="F2725" i="10" s="1"/>
  <c r="F2742" i="10" s="1"/>
  <c r="E2724" i="10"/>
  <c r="D2724" i="10"/>
  <c r="F2724" i="10" s="1"/>
  <c r="F2741" i="10" s="1"/>
  <c r="E2723" i="10"/>
  <c r="B2718" i="10"/>
  <c r="B2733" i="10" s="1"/>
  <c r="E2733" i="10" s="1"/>
  <c r="G2715" i="10"/>
  <c r="E2699" i="10"/>
  <c r="D2699" i="10"/>
  <c r="B2699" i="10"/>
  <c r="H2698" i="10"/>
  <c r="B2697" i="10"/>
  <c r="E2690" i="10"/>
  <c r="D2690" i="10"/>
  <c r="F2690" i="10" s="1"/>
  <c r="F2707" i="10" s="1"/>
  <c r="E2689" i="10"/>
  <c r="D2689" i="10"/>
  <c r="F2689" i="10" s="1"/>
  <c r="F2706" i="10" s="1"/>
  <c r="E2688" i="10"/>
  <c r="D2688" i="10"/>
  <c r="F2688" i="10" s="1"/>
  <c r="F2705" i="10" s="1"/>
  <c r="E2687" i="10"/>
  <c r="E2683" i="10"/>
  <c r="B2682" i="10"/>
  <c r="E2697" i="10" s="1"/>
  <c r="G2680" i="10"/>
  <c r="H2661" i="10"/>
  <c r="E2661" i="10"/>
  <c r="D2661" i="10"/>
  <c r="B2661" i="10"/>
  <c r="D2652" i="10"/>
  <c r="F2652" i="10" s="1"/>
  <c r="F2669" i="10" s="1"/>
  <c r="D2651" i="10"/>
  <c r="F2651" i="10" s="1"/>
  <c r="F2668" i="10" s="1"/>
  <c r="E2650" i="10"/>
  <c r="D2650" i="10"/>
  <c r="F2650" i="10" s="1"/>
  <c r="F2667" i="10" s="1"/>
  <c r="E2649" i="10"/>
  <c r="B2644" i="10"/>
  <c r="B2659" i="10" s="1"/>
  <c r="E2659" i="10" s="1"/>
  <c r="G2641" i="10"/>
  <c r="E2625" i="10"/>
  <c r="B2625" i="10"/>
  <c r="H2624" i="10"/>
  <c r="D2625" i="10" s="1"/>
  <c r="E2616" i="10"/>
  <c r="D2616" i="10"/>
  <c r="F2616" i="10" s="1"/>
  <c r="F2633" i="10" s="1"/>
  <c r="E2615" i="10"/>
  <c r="D2615" i="10"/>
  <c r="F2615" i="10" s="1"/>
  <c r="F2632" i="10" s="1"/>
  <c r="E2614" i="10"/>
  <c r="D2614" i="10"/>
  <c r="E2613" i="10"/>
  <c r="E2609" i="10"/>
  <c r="B2608" i="10"/>
  <c r="E2623" i="10" s="1"/>
  <c r="G2606" i="10"/>
  <c r="E2587" i="10"/>
  <c r="D2587" i="10"/>
  <c r="H2587" i="10" s="1"/>
  <c r="B2587" i="10"/>
  <c r="D2578" i="10"/>
  <c r="F2578" i="10" s="1"/>
  <c r="F2595" i="10" s="1"/>
  <c r="D2577" i="10"/>
  <c r="F2577" i="10" s="1"/>
  <c r="F2594" i="10" s="1"/>
  <c r="E2576" i="10"/>
  <c r="D2576" i="10"/>
  <c r="F2576" i="10" s="1"/>
  <c r="F2593" i="10" s="1"/>
  <c r="E2575" i="10"/>
  <c r="B2570" i="10"/>
  <c r="B2585" i="10" s="1"/>
  <c r="E2585" i="10" s="1"/>
  <c r="G2567" i="10"/>
  <c r="E2551" i="10"/>
  <c r="B2551" i="10"/>
  <c r="H2550" i="10"/>
  <c r="D2551" i="10" s="1"/>
  <c r="E2542" i="10"/>
  <c r="D2542" i="10"/>
  <c r="F2542" i="10" s="1"/>
  <c r="F2559" i="10" s="1"/>
  <c r="E2541" i="10"/>
  <c r="D2541" i="10"/>
  <c r="F2541" i="10" s="1"/>
  <c r="F2558" i="10" s="1"/>
  <c r="E2540" i="10"/>
  <c r="D2540" i="10"/>
  <c r="F2540" i="10" s="1"/>
  <c r="F2557" i="10" s="1"/>
  <c r="E2539" i="10"/>
  <c r="E2535" i="10"/>
  <c r="B2534" i="10"/>
  <c r="E2549" i="10" s="1"/>
  <c r="G2532" i="10"/>
  <c r="E2513" i="10"/>
  <c r="D2513" i="10"/>
  <c r="H2513" i="10" s="1"/>
  <c r="B2513" i="10"/>
  <c r="D2504" i="10"/>
  <c r="F2504" i="10" s="1"/>
  <c r="F2521" i="10" s="1"/>
  <c r="D2503" i="10"/>
  <c r="F2503" i="10" s="1"/>
  <c r="F2520" i="10" s="1"/>
  <c r="E2502" i="10"/>
  <c r="D2502" i="10"/>
  <c r="F2502" i="10" s="1"/>
  <c r="F2519" i="10" s="1"/>
  <c r="E2501" i="10"/>
  <c r="B2496" i="10"/>
  <c r="B2511" i="10" s="1"/>
  <c r="E2511" i="10" s="1"/>
  <c r="G2493" i="10"/>
  <c r="E2477" i="10"/>
  <c r="D2477" i="10"/>
  <c r="B2477" i="10"/>
  <c r="H2476" i="10"/>
  <c r="E2468" i="10"/>
  <c r="D2468" i="10"/>
  <c r="F2468" i="10" s="1"/>
  <c r="F2485" i="10" s="1"/>
  <c r="E2467" i="10"/>
  <c r="D2467" i="10"/>
  <c r="F2467" i="10" s="1"/>
  <c r="F2484" i="10" s="1"/>
  <c r="E2466" i="10"/>
  <c r="D2466" i="10"/>
  <c r="F2466" i="10" s="1"/>
  <c r="F2483" i="10" s="1"/>
  <c r="E2465" i="10"/>
  <c r="E2461" i="10"/>
  <c r="B2460" i="10"/>
  <c r="B2475" i="10" s="1"/>
  <c r="G2458" i="10"/>
  <c r="H2439" i="10"/>
  <c r="E2439" i="10"/>
  <c r="D2439" i="10"/>
  <c r="B2439" i="10"/>
  <c r="D2430" i="10"/>
  <c r="F2430" i="10" s="1"/>
  <c r="F2447" i="10" s="1"/>
  <c r="D2429" i="10"/>
  <c r="F2429" i="10" s="1"/>
  <c r="F2446" i="10" s="1"/>
  <c r="E2428" i="10"/>
  <c r="D2428" i="10"/>
  <c r="F2428" i="10" s="1"/>
  <c r="F2445" i="10" s="1"/>
  <c r="E2427" i="10"/>
  <c r="B2422" i="10"/>
  <c r="B2437" i="10" s="1"/>
  <c r="E2437" i="10" s="1"/>
  <c r="G2419" i="10"/>
  <c r="E2403" i="10"/>
  <c r="D2403" i="10"/>
  <c r="B2403" i="10"/>
  <c r="H2402" i="10"/>
  <c r="B2401" i="10"/>
  <c r="E2394" i="10"/>
  <c r="D2394" i="10"/>
  <c r="F2394" i="10" s="1"/>
  <c r="F2411" i="10" s="1"/>
  <c r="E2393" i="10"/>
  <c r="D2393" i="10"/>
  <c r="F2393" i="10" s="1"/>
  <c r="F2410" i="10" s="1"/>
  <c r="E2392" i="10"/>
  <c r="D2392" i="10"/>
  <c r="F2392" i="10" s="1"/>
  <c r="F2409" i="10" s="1"/>
  <c r="E2391" i="10"/>
  <c r="E2387" i="10"/>
  <c r="B2386" i="10"/>
  <c r="E2401" i="10" s="1"/>
  <c r="G2384" i="10"/>
  <c r="H2365" i="10"/>
  <c r="E2365" i="10"/>
  <c r="D2365" i="10"/>
  <c r="B2365" i="10"/>
  <c r="D2356" i="10"/>
  <c r="F2356" i="10" s="1"/>
  <c r="F2373" i="10" s="1"/>
  <c r="D2355" i="10"/>
  <c r="F2355" i="10" s="1"/>
  <c r="F2372" i="10" s="1"/>
  <c r="E2354" i="10"/>
  <c r="D2354" i="10"/>
  <c r="E2353" i="10"/>
  <c r="B2348" i="10"/>
  <c r="B2363" i="10" s="1"/>
  <c r="E2363" i="10" s="1"/>
  <c r="G2345" i="10"/>
  <c r="E2329" i="10"/>
  <c r="D2329" i="10"/>
  <c r="B2329" i="10"/>
  <c r="H2328" i="10"/>
  <c r="B2327" i="10"/>
  <c r="E2320" i="10"/>
  <c r="D2320" i="10"/>
  <c r="F2320" i="10" s="1"/>
  <c r="F2337" i="10" s="1"/>
  <c r="E2319" i="10"/>
  <c r="D2319" i="10"/>
  <c r="F2319" i="10" s="1"/>
  <c r="F2336" i="10" s="1"/>
  <c r="E2318" i="10"/>
  <c r="D2318" i="10"/>
  <c r="F2318" i="10" s="1"/>
  <c r="F2335" i="10" s="1"/>
  <c r="E2317" i="10"/>
  <c r="E2313" i="10"/>
  <c r="B2312" i="10"/>
  <c r="E2327" i="10" s="1"/>
  <c r="G2310" i="10"/>
  <c r="H2291" i="10"/>
  <c r="E2291" i="10"/>
  <c r="D2291" i="10"/>
  <c r="B2291" i="10"/>
  <c r="D2282" i="10"/>
  <c r="F2282" i="10" s="1"/>
  <c r="F2299" i="10" s="1"/>
  <c r="D2281" i="10"/>
  <c r="F2281" i="10" s="1"/>
  <c r="F2298" i="10" s="1"/>
  <c r="E2280" i="10"/>
  <c r="D2280" i="10"/>
  <c r="E2279" i="10"/>
  <c r="B2274" i="10"/>
  <c r="B2289" i="10" s="1"/>
  <c r="E2289" i="10" s="1"/>
  <c r="G2271" i="10"/>
  <c r="E2255" i="10"/>
  <c r="D2255" i="10"/>
  <c r="B2255" i="10"/>
  <c r="H2254" i="10"/>
  <c r="E2246" i="10"/>
  <c r="D2246" i="10"/>
  <c r="F2246" i="10" s="1"/>
  <c r="F2263" i="10" s="1"/>
  <c r="E2245" i="10"/>
  <c r="D2245" i="10"/>
  <c r="F2245" i="10" s="1"/>
  <c r="F2262" i="10" s="1"/>
  <c r="E2244" i="10"/>
  <c r="D2244" i="10"/>
  <c r="E2243" i="10"/>
  <c r="E2239" i="10"/>
  <c r="B2238" i="10"/>
  <c r="E2253" i="10" s="1"/>
  <c r="G2236" i="10"/>
  <c r="H2217" i="10"/>
  <c r="E2217" i="10"/>
  <c r="D2217" i="10"/>
  <c r="B2217" i="10"/>
  <c r="D2208" i="10"/>
  <c r="F2208" i="10" s="1"/>
  <c r="F2225" i="10" s="1"/>
  <c r="D2207" i="10"/>
  <c r="F2207" i="10" s="1"/>
  <c r="F2224" i="10" s="1"/>
  <c r="E2206" i="10"/>
  <c r="D2206" i="10"/>
  <c r="F2206" i="10" s="1"/>
  <c r="F2223" i="10" s="1"/>
  <c r="E2205" i="10"/>
  <c r="B2200" i="10"/>
  <c r="B2215" i="10" s="1"/>
  <c r="E2215" i="10" s="1"/>
  <c r="G2197" i="10"/>
  <c r="E2181" i="10"/>
  <c r="B2181" i="10"/>
  <c r="H2180" i="10"/>
  <c r="D2181" i="10" s="1"/>
  <c r="B2179" i="10"/>
  <c r="E2172" i="10"/>
  <c r="D2172" i="10"/>
  <c r="F2172" i="10" s="1"/>
  <c r="F2189" i="10" s="1"/>
  <c r="E2171" i="10"/>
  <c r="D2171" i="10"/>
  <c r="F2171" i="10" s="1"/>
  <c r="F2188" i="10" s="1"/>
  <c r="E2170" i="10"/>
  <c r="D2170" i="10"/>
  <c r="F2170" i="10" s="1"/>
  <c r="F2187" i="10" s="1"/>
  <c r="E2169" i="10"/>
  <c r="E2165" i="10"/>
  <c r="B2164" i="10"/>
  <c r="E2179" i="10" s="1"/>
  <c r="G2162" i="10"/>
  <c r="E2143" i="10"/>
  <c r="D2143" i="10"/>
  <c r="H2143" i="10" s="1"/>
  <c r="B2143" i="10"/>
  <c r="D2134" i="10"/>
  <c r="F2134" i="10" s="1"/>
  <c r="F2151" i="10" s="1"/>
  <c r="D2133" i="10"/>
  <c r="F2133" i="10" s="1"/>
  <c r="F2150" i="10" s="1"/>
  <c r="E2132" i="10"/>
  <c r="D2132" i="10"/>
  <c r="F2132" i="10" s="1"/>
  <c r="F2149" i="10" s="1"/>
  <c r="E2131" i="10"/>
  <c r="B2126" i="10"/>
  <c r="B2141" i="10" s="1"/>
  <c r="E2141" i="10" s="1"/>
  <c r="G2123" i="10"/>
  <c r="E2107" i="10"/>
  <c r="B2107" i="10"/>
  <c r="H2106" i="10"/>
  <c r="D2107" i="10" s="1"/>
  <c r="E2098" i="10"/>
  <c r="D2098" i="10"/>
  <c r="F2098" i="10" s="1"/>
  <c r="F2115" i="10" s="1"/>
  <c r="E2097" i="10"/>
  <c r="D2097" i="10"/>
  <c r="F2097" i="10" s="1"/>
  <c r="F2114" i="10" s="1"/>
  <c r="E2096" i="10"/>
  <c r="D2096" i="10"/>
  <c r="F2096" i="10" s="1"/>
  <c r="F2113" i="10" s="1"/>
  <c r="E2095" i="10"/>
  <c r="E2091" i="10"/>
  <c r="B2090" i="10"/>
  <c r="E2105" i="10" s="1"/>
  <c r="G2088" i="10"/>
  <c r="E2069" i="10"/>
  <c r="D2069" i="10"/>
  <c r="H2069" i="10" s="1"/>
  <c r="B2069" i="10"/>
  <c r="D2060" i="10"/>
  <c r="F2060" i="10" s="1"/>
  <c r="F2077" i="10" s="1"/>
  <c r="D2059" i="10"/>
  <c r="F2059" i="10" s="1"/>
  <c r="F2076" i="10" s="1"/>
  <c r="E2058" i="10"/>
  <c r="D2058" i="10"/>
  <c r="F2058" i="10" s="1"/>
  <c r="F2075" i="10" s="1"/>
  <c r="E2057" i="10"/>
  <c r="B2052" i="10"/>
  <c r="B2067" i="10" s="1"/>
  <c r="E2067" i="10" s="1"/>
  <c r="G2049" i="10"/>
  <c r="E2033" i="10"/>
  <c r="D2033" i="10"/>
  <c r="B2033" i="10"/>
  <c r="H2032" i="10"/>
  <c r="B2031" i="10"/>
  <c r="E2024" i="10"/>
  <c r="D2024" i="10"/>
  <c r="F2024" i="10" s="1"/>
  <c r="F2041" i="10" s="1"/>
  <c r="E2023" i="10"/>
  <c r="D2023" i="10"/>
  <c r="F2023" i="10" s="1"/>
  <c r="F2040" i="10" s="1"/>
  <c r="E2022" i="10"/>
  <c r="D2022" i="10"/>
  <c r="F2022" i="10" s="1"/>
  <c r="F2039" i="10" s="1"/>
  <c r="E2021" i="10"/>
  <c r="E2017" i="10"/>
  <c r="B2016" i="10"/>
  <c r="E2031" i="10" s="1"/>
  <c r="G2014" i="10"/>
  <c r="H1995" i="10"/>
  <c r="E1995" i="10"/>
  <c r="D1995" i="10"/>
  <c r="B1995" i="10"/>
  <c r="E1993" i="10"/>
  <c r="D1986" i="10"/>
  <c r="F1986" i="10" s="1"/>
  <c r="F2003" i="10" s="1"/>
  <c r="D1985" i="10"/>
  <c r="F1985" i="10" s="1"/>
  <c r="F2002" i="10" s="1"/>
  <c r="E1984" i="10"/>
  <c r="F1984" i="10" s="1"/>
  <c r="F2001" i="10" s="1"/>
  <c r="D1984" i="10"/>
  <c r="E1983" i="10"/>
  <c r="B1978" i="10"/>
  <c r="B1993" i="10" s="1"/>
  <c r="G1975" i="10"/>
  <c r="E1959" i="10"/>
  <c r="D1959" i="10"/>
  <c r="B1959" i="10"/>
  <c r="H1958" i="10"/>
  <c r="E1950" i="10"/>
  <c r="D1950" i="10"/>
  <c r="F1950" i="10" s="1"/>
  <c r="F1967" i="10" s="1"/>
  <c r="E1949" i="10"/>
  <c r="D1949" i="10"/>
  <c r="F1949" i="10" s="1"/>
  <c r="F1966" i="10" s="1"/>
  <c r="E1948" i="10"/>
  <c r="F1948" i="10" s="1"/>
  <c r="F1965" i="10" s="1"/>
  <c r="D1948" i="10"/>
  <c r="E1947" i="10"/>
  <c r="E1943" i="10"/>
  <c r="B1942" i="10"/>
  <c r="E1957" i="10" s="1"/>
  <c r="G1940" i="10"/>
  <c r="H1921" i="10"/>
  <c r="E1921" i="10"/>
  <c r="D1921" i="10"/>
  <c r="B1921" i="10"/>
  <c r="D1912" i="10"/>
  <c r="F1912" i="10" s="1"/>
  <c r="F1929" i="10" s="1"/>
  <c r="D1911" i="10"/>
  <c r="F1911" i="10" s="1"/>
  <c r="F1928" i="10" s="1"/>
  <c r="E1910" i="10"/>
  <c r="D1910" i="10"/>
  <c r="F1910" i="10" s="1"/>
  <c r="F1927" i="10" s="1"/>
  <c r="E1909" i="10"/>
  <c r="B1904" i="10"/>
  <c r="B1919" i="10" s="1"/>
  <c r="E1919" i="10" s="1"/>
  <c r="G1901" i="10"/>
  <c r="E1885" i="10"/>
  <c r="B1885" i="10"/>
  <c r="H1884" i="10"/>
  <c r="D1885" i="10" s="1"/>
  <c r="B1883" i="10"/>
  <c r="E1876" i="10"/>
  <c r="D1876" i="10"/>
  <c r="F1876" i="10" s="1"/>
  <c r="E1875" i="10"/>
  <c r="D1875" i="10"/>
  <c r="F1875" i="10" s="1"/>
  <c r="F1892" i="10" s="1"/>
  <c r="E1874" i="10"/>
  <c r="D1874" i="10"/>
  <c r="F1874" i="10" s="1"/>
  <c r="F1891" i="10" s="1"/>
  <c r="E1873" i="10"/>
  <c r="E1869" i="10"/>
  <c r="B1868" i="10"/>
  <c r="E1883" i="10" s="1"/>
  <c r="G1866" i="10"/>
  <c r="H1847" i="10"/>
  <c r="E1847" i="10"/>
  <c r="D1847" i="10"/>
  <c r="B1847" i="10"/>
  <c r="B1845" i="10"/>
  <c r="E1845" i="10" s="1"/>
  <c r="D1838" i="10"/>
  <c r="F1838" i="10" s="1"/>
  <c r="F1855" i="10" s="1"/>
  <c r="D1837" i="10"/>
  <c r="F1837" i="10" s="1"/>
  <c r="F1854" i="10" s="1"/>
  <c r="E1836" i="10"/>
  <c r="D1836" i="10"/>
  <c r="F1836" i="10" s="1"/>
  <c r="F1853" i="10" s="1"/>
  <c r="E1835" i="10"/>
  <c r="B1830" i="10"/>
  <c r="G1827" i="10"/>
  <c r="E1811" i="10"/>
  <c r="B1811" i="10"/>
  <c r="H1810" i="10"/>
  <c r="D1811" i="10" s="1"/>
  <c r="E1802" i="10"/>
  <c r="D1802" i="10"/>
  <c r="F1802" i="10" s="1"/>
  <c r="F1819" i="10" s="1"/>
  <c r="E1801" i="10"/>
  <c r="D1801" i="10"/>
  <c r="F1801" i="10" s="1"/>
  <c r="F1818" i="10" s="1"/>
  <c r="E1800" i="10"/>
  <c r="D1800" i="10"/>
  <c r="F1800" i="10" s="1"/>
  <c r="F1817" i="10" s="1"/>
  <c r="E1799" i="10"/>
  <c r="E1795" i="10"/>
  <c r="B1794" i="10"/>
  <c r="B1809" i="10" s="1"/>
  <c r="G1792" i="10"/>
  <c r="E1773" i="10"/>
  <c r="D1773" i="10"/>
  <c r="H1773" i="10" s="1"/>
  <c r="B1773" i="10"/>
  <c r="D1764" i="10"/>
  <c r="F1764" i="10" s="1"/>
  <c r="F1781" i="10" s="1"/>
  <c r="D1763" i="10"/>
  <c r="F1763" i="10" s="1"/>
  <c r="F1780" i="10" s="1"/>
  <c r="E1762" i="10"/>
  <c r="D1762" i="10"/>
  <c r="F1762" i="10" s="1"/>
  <c r="F1779" i="10" s="1"/>
  <c r="E1761" i="10"/>
  <c r="B1756" i="10"/>
  <c r="B1771" i="10" s="1"/>
  <c r="E1771" i="10" s="1"/>
  <c r="G1753" i="10"/>
  <c r="E1737" i="10"/>
  <c r="D1737" i="10"/>
  <c r="B1737" i="10"/>
  <c r="H1736" i="10"/>
  <c r="E1728" i="10"/>
  <c r="D1728" i="10"/>
  <c r="F1728" i="10" s="1"/>
  <c r="F1745" i="10" s="1"/>
  <c r="E1727" i="10"/>
  <c r="D1727" i="10"/>
  <c r="F1727" i="10" s="1"/>
  <c r="F1744" i="10" s="1"/>
  <c r="E1726" i="10"/>
  <c r="D1726" i="10"/>
  <c r="F1726" i="10" s="1"/>
  <c r="F1743" i="10" s="1"/>
  <c r="E1725" i="10"/>
  <c r="E1721" i="10"/>
  <c r="B1720" i="10"/>
  <c r="E1735" i="10" s="1"/>
  <c r="G1718" i="10"/>
  <c r="H1699" i="10"/>
  <c r="E1699" i="10"/>
  <c r="D1699" i="10"/>
  <c r="B1699" i="10"/>
  <c r="D1690" i="10"/>
  <c r="F1690" i="10" s="1"/>
  <c r="F1707" i="10" s="1"/>
  <c r="D1689" i="10"/>
  <c r="F1689" i="10" s="1"/>
  <c r="F1706" i="10" s="1"/>
  <c r="E1688" i="10"/>
  <c r="F1688" i="10" s="1"/>
  <c r="F1705" i="10" s="1"/>
  <c r="D1688" i="10"/>
  <c r="E1687" i="10"/>
  <c r="B1682" i="10"/>
  <c r="B1697" i="10" s="1"/>
  <c r="E1697" i="10" s="1"/>
  <c r="G1679" i="10"/>
  <c r="E1663" i="10"/>
  <c r="D1663" i="10"/>
  <c r="B1663" i="10"/>
  <c r="H1662" i="10"/>
  <c r="B1661" i="10"/>
  <c r="E1654" i="10"/>
  <c r="D1654" i="10"/>
  <c r="F1654" i="10" s="1"/>
  <c r="F1671" i="10" s="1"/>
  <c r="E1653" i="10"/>
  <c r="D1653" i="10"/>
  <c r="F1653" i="10" s="1"/>
  <c r="F1670" i="10" s="1"/>
  <c r="E1652" i="10"/>
  <c r="F1652" i="10" s="1"/>
  <c r="F1669" i="10" s="1"/>
  <c r="D1652" i="10"/>
  <c r="E1651" i="10"/>
  <c r="E1647" i="10"/>
  <c r="B1646" i="10"/>
  <c r="E1661" i="10" s="1"/>
  <c r="G1644" i="10"/>
  <c r="H1625" i="10"/>
  <c r="E1625" i="10"/>
  <c r="D1625" i="10"/>
  <c r="B1625" i="10"/>
  <c r="D1616" i="10"/>
  <c r="F1616" i="10" s="1"/>
  <c r="F1633" i="10" s="1"/>
  <c r="D1615" i="10"/>
  <c r="F1615" i="10" s="1"/>
  <c r="F1632" i="10" s="1"/>
  <c r="E1614" i="10"/>
  <c r="D1614" i="10"/>
  <c r="F1614" i="10" s="1"/>
  <c r="F1631" i="10" s="1"/>
  <c r="E1613" i="10"/>
  <c r="B1608" i="10"/>
  <c r="B1623" i="10" s="1"/>
  <c r="E1623" i="10" s="1"/>
  <c r="G1605" i="10"/>
  <c r="E1588" i="10"/>
  <c r="B1588" i="10"/>
  <c r="H1587" i="10"/>
  <c r="D1588" i="10" s="1"/>
  <c r="B1586" i="10"/>
  <c r="E1579" i="10"/>
  <c r="D1579" i="10"/>
  <c r="F1579" i="10" s="1"/>
  <c r="F1596" i="10" s="1"/>
  <c r="E1578" i="10"/>
  <c r="D1578" i="10"/>
  <c r="F1578" i="10" s="1"/>
  <c r="F1595" i="10" s="1"/>
  <c r="E1577" i="10"/>
  <c r="D1577" i="10"/>
  <c r="F1577" i="10" s="1"/>
  <c r="F1594" i="10" s="1"/>
  <c r="E1576" i="10"/>
  <c r="E1572" i="10"/>
  <c r="B1571" i="10"/>
  <c r="E1586" i="10" s="1"/>
  <c r="G1569" i="10"/>
  <c r="E1550" i="10"/>
  <c r="D1550" i="10"/>
  <c r="H1550" i="10" s="1"/>
  <c r="B1550" i="10"/>
  <c r="D1541" i="10"/>
  <c r="F1541" i="10" s="1"/>
  <c r="F1558" i="10" s="1"/>
  <c r="D1540" i="10"/>
  <c r="F1540" i="10" s="1"/>
  <c r="F1557" i="10" s="1"/>
  <c r="E1539" i="10"/>
  <c r="D1539" i="10"/>
  <c r="F1539" i="10" s="1"/>
  <c r="F1556" i="10" s="1"/>
  <c r="E1538" i="10"/>
  <c r="B1533" i="10"/>
  <c r="B1548" i="10" s="1"/>
  <c r="E1548" i="10" s="1"/>
  <c r="G1530" i="10"/>
  <c r="E1514" i="10"/>
  <c r="B1514" i="10"/>
  <c r="H1513" i="10"/>
  <c r="D1514" i="10" s="1"/>
  <c r="E1505" i="10"/>
  <c r="D1505" i="10"/>
  <c r="F1505" i="10" s="1"/>
  <c r="F1522" i="10" s="1"/>
  <c r="E1504" i="10"/>
  <c r="D1504" i="10"/>
  <c r="F1504" i="10" s="1"/>
  <c r="F1521" i="10" s="1"/>
  <c r="E1503" i="10"/>
  <c r="D1503" i="10"/>
  <c r="F1503" i="10" s="1"/>
  <c r="F1520" i="10" s="1"/>
  <c r="E1502" i="10"/>
  <c r="E1498" i="10"/>
  <c r="B1497" i="10"/>
  <c r="B1512" i="10" s="1"/>
  <c r="G1495" i="10"/>
  <c r="E1476" i="10"/>
  <c r="D1476" i="10"/>
  <c r="H1476" i="10" s="1"/>
  <c r="B1476" i="10"/>
  <c r="D1467" i="10"/>
  <c r="F1467" i="10" s="1"/>
  <c r="F1484" i="10" s="1"/>
  <c r="D1466" i="10"/>
  <c r="F1466" i="10" s="1"/>
  <c r="F1483" i="10" s="1"/>
  <c r="E1465" i="10"/>
  <c r="D1465" i="10"/>
  <c r="F1465" i="10" s="1"/>
  <c r="F1482" i="10" s="1"/>
  <c r="E1464" i="10"/>
  <c r="B1459" i="10"/>
  <c r="B1474" i="10" s="1"/>
  <c r="E1474" i="10" s="1"/>
  <c r="G1456" i="10"/>
  <c r="E1440" i="10"/>
  <c r="D1440" i="10"/>
  <c r="B1440" i="10"/>
  <c r="H1439" i="10"/>
  <c r="E1431" i="10"/>
  <c r="D1431" i="10"/>
  <c r="F1431" i="10" s="1"/>
  <c r="F1448" i="10" s="1"/>
  <c r="E1430" i="10"/>
  <c r="D1430" i="10"/>
  <c r="F1430" i="10" s="1"/>
  <c r="F1447" i="10" s="1"/>
  <c r="E1429" i="10"/>
  <c r="D1429" i="10"/>
  <c r="F1429" i="10" s="1"/>
  <c r="F1446" i="10" s="1"/>
  <c r="E1428" i="10"/>
  <c r="E1424" i="10"/>
  <c r="B1423" i="10"/>
  <c r="E1438" i="10" s="1"/>
  <c r="G1421" i="10"/>
  <c r="H1402" i="10"/>
  <c r="E1402" i="10"/>
  <c r="D1402" i="10"/>
  <c r="B1402" i="10"/>
  <c r="D1393" i="10"/>
  <c r="F1393" i="10" s="1"/>
  <c r="F1410" i="10" s="1"/>
  <c r="D1392" i="10"/>
  <c r="F1392" i="10" s="1"/>
  <c r="F1409" i="10" s="1"/>
  <c r="E1391" i="10"/>
  <c r="F1391" i="10" s="1"/>
  <c r="F1408" i="10" s="1"/>
  <c r="D1391" i="10"/>
  <c r="E1390" i="10"/>
  <c r="B1385" i="10"/>
  <c r="B1400" i="10" s="1"/>
  <c r="E1400" i="10" s="1"/>
  <c r="G1382" i="10"/>
  <c r="E1366" i="10"/>
  <c r="D1366" i="10"/>
  <c r="B1366" i="10"/>
  <c r="H1365" i="10"/>
  <c r="B1364" i="10"/>
  <c r="E1357" i="10"/>
  <c r="D1357" i="10"/>
  <c r="F1357" i="10" s="1"/>
  <c r="F1374" i="10" s="1"/>
  <c r="E1356" i="10"/>
  <c r="D1356" i="10"/>
  <c r="F1356" i="10" s="1"/>
  <c r="F1373" i="10" s="1"/>
  <c r="E1355" i="10"/>
  <c r="F1355" i="10" s="1"/>
  <c r="F1372" i="10" s="1"/>
  <c r="D1355" i="10"/>
  <c r="E1354" i="10"/>
  <c r="E1350" i="10"/>
  <c r="B1349" i="10"/>
  <c r="E1364" i="10" s="1"/>
  <c r="G1347" i="10"/>
  <c r="H1328" i="10"/>
  <c r="E1328" i="10"/>
  <c r="D1328" i="10"/>
  <c r="B1328" i="10"/>
  <c r="D1319" i="10"/>
  <c r="F1319" i="10" s="1"/>
  <c r="F1336" i="10" s="1"/>
  <c r="D1318" i="10"/>
  <c r="F1318" i="10" s="1"/>
  <c r="F1335" i="10" s="1"/>
  <c r="E1317" i="10"/>
  <c r="D1317" i="10"/>
  <c r="E1316" i="10"/>
  <c r="B1311" i="10"/>
  <c r="B1326" i="10" s="1"/>
  <c r="E1326" i="10" s="1"/>
  <c r="G1308" i="10"/>
  <c r="E1292" i="10"/>
  <c r="D1292" i="10"/>
  <c r="B1292" i="10"/>
  <c r="H1291" i="10"/>
  <c r="B1290" i="10"/>
  <c r="E1283" i="10"/>
  <c r="D1283" i="10"/>
  <c r="F1283" i="10" s="1"/>
  <c r="F1300" i="10" s="1"/>
  <c r="E1282" i="10"/>
  <c r="D1282" i="10"/>
  <c r="F1282" i="10" s="1"/>
  <c r="F1299" i="10" s="1"/>
  <c r="E1281" i="10"/>
  <c r="D1281" i="10"/>
  <c r="F1281" i="10" s="1"/>
  <c r="F1298" i="10" s="1"/>
  <c r="E1280" i="10"/>
  <c r="E1276" i="10"/>
  <c r="B1275" i="10"/>
  <c r="E1290" i="10" s="1"/>
  <c r="G1273" i="10"/>
  <c r="H1254" i="10"/>
  <c r="E1254" i="10"/>
  <c r="D1254" i="10"/>
  <c r="B1254" i="10"/>
  <c r="D1245" i="10"/>
  <c r="F1245" i="10" s="1"/>
  <c r="F1262" i="10" s="1"/>
  <c r="D1244" i="10"/>
  <c r="F1244" i="10" s="1"/>
  <c r="F1261" i="10" s="1"/>
  <c r="E1243" i="10"/>
  <c r="D1243" i="10"/>
  <c r="F1243" i="10" s="1"/>
  <c r="F1260" i="10" s="1"/>
  <c r="E1242" i="10"/>
  <c r="B1237" i="10"/>
  <c r="B1252" i="10" s="1"/>
  <c r="E1252" i="10" s="1"/>
  <c r="G1234" i="10"/>
  <c r="E1218" i="10"/>
  <c r="D1218" i="10"/>
  <c r="B1218" i="10"/>
  <c r="H1217" i="10"/>
  <c r="B1216" i="10"/>
  <c r="E1209" i="10"/>
  <c r="D1209" i="10"/>
  <c r="F1209" i="10" s="1"/>
  <c r="F1226" i="10" s="1"/>
  <c r="E1208" i="10"/>
  <c r="D1208" i="10"/>
  <c r="F1208" i="10" s="1"/>
  <c r="F1225" i="10" s="1"/>
  <c r="E1207" i="10"/>
  <c r="D1207" i="10"/>
  <c r="F1207" i="10" s="1"/>
  <c r="F1224" i="10" s="1"/>
  <c r="E1206" i="10"/>
  <c r="E1202" i="10"/>
  <c r="B1201" i="10"/>
  <c r="E1216" i="10" s="1"/>
  <c r="G1199" i="10"/>
  <c r="H1180" i="10"/>
  <c r="E1180" i="10"/>
  <c r="D1180" i="10"/>
  <c r="B1180" i="10"/>
  <c r="D1171" i="10"/>
  <c r="F1171" i="10" s="1"/>
  <c r="F1188" i="10" s="1"/>
  <c r="D1170" i="10"/>
  <c r="F1170" i="10" s="1"/>
  <c r="F1187" i="10" s="1"/>
  <c r="E1169" i="10"/>
  <c r="D1169" i="10"/>
  <c r="F1169" i="10" s="1"/>
  <c r="F1186" i="10" s="1"/>
  <c r="E1168" i="10"/>
  <c r="B1163" i="10"/>
  <c r="B1178" i="10" s="1"/>
  <c r="E1178" i="10" s="1"/>
  <c r="G1160" i="10"/>
  <c r="F1152" i="10"/>
  <c r="E1144" i="10"/>
  <c r="B1144" i="10"/>
  <c r="H1143" i="10"/>
  <c r="D1144" i="10" s="1"/>
  <c r="F1135" i="10"/>
  <c r="E1135" i="10"/>
  <c r="D1135" i="10"/>
  <c r="E1134" i="10"/>
  <c r="D1134" i="10"/>
  <c r="F1134" i="10" s="1"/>
  <c r="F1151" i="10" s="1"/>
  <c r="E1133" i="10"/>
  <c r="D1133" i="10"/>
  <c r="F1133" i="10" s="1"/>
  <c r="F1150" i="10" s="1"/>
  <c r="E1132" i="10"/>
  <c r="E1128" i="10"/>
  <c r="B1127" i="10"/>
  <c r="E1142" i="10" s="1"/>
  <c r="G1125" i="10"/>
  <c r="E1106" i="10"/>
  <c r="D1106" i="10"/>
  <c r="H1106" i="10" s="1"/>
  <c r="B1106" i="10"/>
  <c r="D1097" i="10"/>
  <c r="F1097" i="10" s="1"/>
  <c r="F1114" i="10" s="1"/>
  <c r="D1096" i="10"/>
  <c r="F1096" i="10" s="1"/>
  <c r="F1113" i="10" s="1"/>
  <c r="E1095" i="10"/>
  <c r="D1095" i="10"/>
  <c r="F1095" i="10" s="1"/>
  <c r="F1112" i="10" s="1"/>
  <c r="E1094" i="10"/>
  <c r="B1089" i="10"/>
  <c r="B1104" i="10" s="1"/>
  <c r="E1104" i="10" s="1"/>
  <c r="G1086" i="10"/>
  <c r="F1078" i="10"/>
  <c r="E1070" i="10"/>
  <c r="B1070" i="10"/>
  <c r="H1069" i="10"/>
  <c r="D1070" i="10" s="1"/>
  <c r="B1068" i="10"/>
  <c r="F1061" i="10"/>
  <c r="E1061" i="10"/>
  <c r="D1061" i="10"/>
  <c r="E1060" i="10"/>
  <c r="D1060" i="10"/>
  <c r="F1060" i="10" s="1"/>
  <c r="F1077" i="10" s="1"/>
  <c r="E1059" i="10"/>
  <c r="D1059" i="10"/>
  <c r="F1059" i="10" s="1"/>
  <c r="F1076" i="10" s="1"/>
  <c r="E1058" i="10"/>
  <c r="E1054" i="10"/>
  <c r="B1053" i="10"/>
  <c r="E1068" i="10" s="1"/>
  <c r="G1051" i="10"/>
  <c r="E1032" i="10"/>
  <c r="D1032" i="10"/>
  <c r="H1032" i="10" s="1"/>
  <c r="B1032" i="10"/>
  <c r="B1030" i="10"/>
  <c r="D1023" i="10"/>
  <c r="F1023" i="10" s="1"/>
  <c r="F1040" i="10" s="1"/>
  <c r="D1022" i="10"/>
  <c r="F1022" i="10" s="1"/>
  <c r="F1039" i="10" s="1"/>
  <c r="F1021" i="10"/>
  <c r="F1038" i="10" s="1"/>
  <c r="E1020" i="10"/>
  <c r="B1015" i="10"/>
  <c r="G1012" i="10"/>
  <c r="F1004" i="10"/>
  <c r="E996" i="10"/>
  <c r="D996" i="10"/>
  <c r="B996" i="10"/>
  <c r="H995" i="10"/>
  <c r="E987" i="10"/>
  <c r="D987" i="10"/>
  <c r="F987" i="10" s="1"/>
  <c r="E986" i="10"/>
  <c r="D986" i="10"/>
  <c r="F986" i="10" s="1"/>
  <c r="F1003" i="10" s="1"/>
  <c r="E985" i="10"/>
  <c r="E984" i="10"/>
  <c r="E980" i="10"/>
  <c r="B979" i="10"/>
  <c r="E994" i="10" s="1"/>
  <c r="G977" i="10"/>
  <c r="E958" i="10"/>
  <c r="D958" i="10"/>
  <c r="H958" i="10" s="1"/>
  <c r="B958" i="10"/>
  <c r="B956" i="10"/>
  <c r="E956" i="10" s="1"/>
  <c r="D949" i="10"/>
  <c r="F949" i="10" s="1"/>
  <c r="F966" i="10" s="1"/>
  <c r="F948" i="10"/>
  <c r="F965" i="10" s="1"/>
  <c r="D948" i="10"/>
  <c r="E947" i="10"/>
  <c r="E946" i="10"/>
  <c r="B941" i="10"/>
  <c r="G938" i="10"/>
  <c r="F930" i="10"/>
  <c r="E922" i="10"/>
  <c r="D922" i="10"/>
  <c r="B922" i="10"/>
  <c r="H921" i="10"/>
  <c r="E920" i="10"/>
  <c r="F913" i="10"/>
  <c r="D913" i="10"/>
  <c r="D912" i="10"/>
  <c r="F912" i="10" s="1"/>
  <c r="F929" i="10" s="1"/>
  <c r="E911" i="10"/>
  <c r="E910" i="10"/>
  <c r="E906" i="10"/>
  <c r="B905" i="10"/>
  <c r="B920" i="10" s="1"/>
  <c r="G903" i="10"/>
  <c r="E884" i="10"/>
  <c r="D884" i="10"/>
  <c r="H884" i="10" s="1"/>
  <c r="B884" i="10"/>
  <c r="D875" i="10"/>
  <c r="F875" i="10" s="1"/>
  <c r="F892" i="10" s="1"/>
  <c r="D874" i="10"/>
  <c r="F874" i="10" s="1"/>
  <c r="F891" i="10" s="1"/>
  <c r="E873" i="10"/>
  <c r="D873" i="10"/>
  <c r="F873" i="10" s="1"/>
  <c r="F890" i="10" s="1"/>
  <c r="E872" i="10"/>
  <c r="H869" i="10"/>
  <c r="H885" i="10" s="1"/>
  <c r="D885" i="10" s="1"/>
  <c r="G864" i="10"/>
  <c r="E848" i="10"/>
  <c r="B848" i="10"/>
  <c r="H847" i="10"/>
  <c r="D848" i="10" s="1"/>
  <c r="D840" i="10"/>
  <c r="F840" i="10" s="1"/>
  <c r="F856" i="10" s="1"/>
  <c r="D839" i="10"/>
  <c r="F839" i="10" s="1"/>
  <c r="F855" i="10" s="1"/>
  <c r="D838" i="10"/>
  <c r="F838" i="10" s="1"/>
  <c r="F857" i="10" s="1"/>
  <c r="E837" i="10"/>
  <c r="D837" i="10"/>
  <c r="F837" i="10" s="1"/>
  <c r="F854" i="10" s="1"/>
  <c r="E836" i="10"/>
  <c r="H833" i="10"/>
  <c r="H848" i="10" s="1"/>
  <c r="D849" i="10" s="1"/>
  <c r="E832" i="10"/>
  <c r="G829" i="10"/>
  <c r="E810" i="10"/>
  <c r="D810" i="10"/>
  <c r="H810" i="10" s="1"/>
  <c r="B810" i="10"/>
  <c r="D800" i="10"/>
  <c r="F800" i="10" s="1"/>
  <c r="F818" i="10" s="1"/>
  <c r="D799" i="10"/>
  <c r="F799" i="10" s="1"/>
  <c r="F817" i="10" s="1"/>
  <c r="E798" i="10"/>
  <c r="D798" i="10"/>
  <c r="F798" i="10" s="1"/>
  <c r="F816" i="10" s="1"/>
  <c r="E797" i="10"/>
  <c r="H794" i="10"/>
  <c r="H811" i="10" s="1"/>
  <c r="D811" i="10" s="1"/>
  <c r="G789" i="10"/>
  <c r="E773" i="10"/>
  <c r="D773" i="10"/>
  <c r="B773" i="10"/>
  <c r="H772" i="10"/>
  <c r="D765" i="10"/>
  <c r="F765" i="10" s="1"/>
  <c r="F781" i="10" s="1"/>
  <c r="D764" i="10"/>
  <c r="F764" i="10" s="1"/>
  <c r="F780" i="10" s="1"/>
  <c r="F763" i="10"/>
  <c r="F782" i="10" s="1"/>
  <c r="E762" i="10"/>
  <c r="D762" i="10"/>
  <c r="E761" i="10"/>
  <c r="H758" i="10"/>
  <c r="H773" i="10" s="1"/>
  <c r="D774" i="10" s="1"/>
  <c r="E757" i="10"/>
  <c r="G754" i="10"/>
  <c r="D735" i="10"/>
  <c r="H735" i="10" s="1"/>
  <c r="B735" i="10"/>
  <c r="D727" i="10"/>
  <c r="F727" i="10" s="1"/>
  <c r="F743" i="10" s="1"/>
  <c r="D726" i="10"/>
  <c r="F726" i="10" s="1"/>
  <c r="F742" i="10" s="1"/>
  <c r="D725" i="10"/>
  <c r="F725" i="10" s="1"/>
  <c r="F744" i="10" s="1"/>
  <c r="E724" i="10"/>
  <c r="D724" i="10"/>
  <c r="F724" i="10" s="1"/>
  <c r="F741" i="10" s="1"/>
  <c r="E723" i="10"/>
  <c r="H720" i="10"/>
  <c r="H736" i="10" s="1"/>
  <c r="D736" i="10" s="1"/>
  <c r="G715" i="10"/>
  <c r="B699" i="10"/>
  <c r="H698" i="10"/>
  <c r="D699" i="10" s="1"/>
  <c r="D691" i="10"/>
  <c r="F691" i="10" s="1"/>
  <c r="F707" i="10" s="1"/>
  <c r="D690" i="10"/>
  <c r="F690" i="10" s="1"/>
  <c r="F706" i="10" s="1"/>
  <c r="D689" i="10"/>
  <c r="F689" i="10" s="1"/>
  <c r="F708" i="10" s="1"/>
  <c r="E688" i="10"/>
  <c r="D688" i="10"/>
  <c r="E687" i="10"/>
  <c r="H684" i="10"/>
  <c r="H699" i="10" s="1"/>
  <c r="D700" i="10" s="1"/>
  <c r="E683" i="10"/>
  <c r="E699" i="10" s="1"/>
  <c r="G679" i="10"/>
  <c r="E661" i="10"/>
  <c r="D661" i="10"/>
  <c r="H661" i="10" s="1"/>
  <c r="B661" i="10"/>
  <c r="D653" i="10"/>
  <c r="F653" i="10" s="1"/>
  <c r="F669" i="10" s="1"/>
  <c r="D652" i="10"/>
  <c r="F652" i="10" s="1"/>
  <c r="F668" i="10" s="1"/>
  <c r="D651" i="10"/>
  <c r="F651" i="10" s="1"/>
  <c r="F670" i="10" s="1"/>
  <c r="E650" i="10"/>
  <c r="D650" i="10"/>
  <c r="E649" i="10"/>
  <c r="H646" i="10"/>
  <c r="H662" i="10" s="1"/>
  <c r="D662" i="10" s="1"/>
  <c r="G641" i="10"/>
  <c r="E625" i="10"/>
  <c r="B625" i="10"/>
  <c r="H624" i="10"/>
  <c r="D625" i="10" s="1"/>
  <c r="D617" i="10"/>
  <c r="F617" i="10" s="1"/>
  <c r="F633" i="10" s="1"/>
  <c r="D616" i="10"/>
  <c r="F616" i="10" s="1"/>
  <c r="F632" i="10" s="1"/>
  <c r="D615" i="10"/>
  <c r="F615" i="10" s="1"/>
  <c r="F634" i="10" s="1"/>
  <c r="E614" i="10"/>
  <c r="D614" i="10"/>
  <c r="F614" i="10" s="1"/>
  <c r="F631" i="10" s="1"/>
  <c r="E613" i="10"/>
  <c r="H610" i="10"/>
  <c r="H625" i="10" s="1"/>
  <c r="D626" i="10" s="1"/>
  <c r="E609" i="10"/>
  <c r="G606" i="10"/>
  <c r="H587" i="10"/>
  <c r="E587" i="10"/>
  <c r="D587" i="10"/>
  <c r="B587" i="10"/>
  <c r="D579" i="10"/>
  <c r="F579" i="10" s="1"/>
  <c r="F595" i="10" s="1"/>
  <c r="D578" i="10"/>
  <c r="F578" i="10" s="1"/>
  <c r="F594" i="10" s="1"/>
  <c r="D577" i="10"/>
  <c r="F577" i="10" s="1"/>
  <c r="F596" i="10" s="1"/>
  <c r="E576" i="10"/>
  <c r="D576" i="10"/>
  <c r="F576" i="10" s="1"/>
  <c r="F593" i="10" s="1"/>
  <c r="E575" i="10"/>
  <c r="H572" i="10"/>
  <c r="H588" i="10" s="1"/>
  <c r="D588" i="10" s="1"/>
  <c r="G567" i="10"/>
  <c r="E552" i="10"/>
  <c r="D552" i="10"/>
  <c r="B552" i="10"/>
  <c r="H551" i="10"/>
  <c r="D543" i="10"/>
  <c r="F543" i="10" s="1"/>
  <c r="F559" i="10" s="1"/>
  <c r="D542" i="10"/>
  <c r="F542" i="10" s="1"/>
  <c r="F558" i="10" s="1"/>
  <c r="E541" i="10"/>
  <c r="D541" i="10"/>
  <c r="F541" i="10" s="1"/>
  <c r="F557" i="10" s="1"/>
  <c r="E540" i="10"/>
  <c r="H537" i="10"/>
  <c r="H552" i="10" s="1"/>
  <c r="D553" i="10" s="1"/>
  <c r="E536" i="10"/>
  <c r="G533" i="10"/>
  <c r="H514" i="10"/>
  <c r="E514" i="10"/>
  <c r="D514" i="10"/>
  <c r="B514" i="10"/>
  <c r="D506" i="10"/>
  <c r="F506" i="10" s="1"/>
  <c r="F522" i="10" s="1"/>
  <c r="D505" i="10"/>
  <c r="F505" i="10" s="1"/>
  <c r="F521" i="10" s="1"/>
  <c r="D504" i="10"/>
  <c r="F504" i="10" s="1"/>
  <c r="F523" i="10" s="1"/>
  <c r="E503" i="10"/>
  <c r="D503" i="10"/>
  <c r="F503" i="10" s="1"/>
  <c r="F520" i="10" s="1"/>
  <c r="E502" i="10"/>
  <c r="H499" i="10"/>
  <c r="H515" i="10" s="1"/>
  <c r="D515" i="10" s="1"/>
  <c r="G494" i="10"/>
  <c r="H483" i="10"/>
  <c r="E478" i="10"/>
  <c r="D478" i="10"/>
  <c r="B478" i="10"/>
  <c r="H477" i="10"/>
  <c r="D470" i="10"/>
  <c r="F470" i="10" s="1"/>
  <c r="F486" i="10" s="1"/>
  <c r="D469" i="10"/>
  <c r="F469" i="10" s="1"/>
  <c r="F485" i="10" s="1"/>
  <c r="D468" i="10"/>
  <c r="F468" i="10" s="1"/>
  <c r="F487" i="10" s="1"/>
  <c r="E467" i="10"/>
  <c r="D467" i="10"/>
  <c r="E466" i="10"/>
  <c r="H463" i="10"/>
  <c r="H478" i="10" s="1"/>
  <c r="D479" i="10" s="1"/>
  <c r="G459" i="10"/>
  <c r="H445" i="10"/>
  <c r="H441" i="10"/>
  <c r="E441" i="10"/>
  <c r="D441" i="10"/>
  <c r="B441" i="10"/>
  <c r="D431" i="10"/>
  <c r="F431" i="10" s="1"/>
  <c r="F448" i="10" s="1"/>
  <c r="D430" i="10"/>
  <c r="F430" i="10" s="1"/>
  <c r="F447" i="10" s="1"/>
  <c r="E429" i="10"/>
  <c r="D429" i="10"/>
  <c r="E428" i="10"/>
  <c r="H425" i="10"/>
  <c r="H442" i="10" s="1"/>
  <c r="D442" i="10" s="1"/>
  <c r="G419" i="10"/>
  <c r="F411" i="10"/>
  <c r="H407" i="10"/>
  <c r="B407" i="10"/>
  <c r="B406" i="10"/>
  <c r="B405" i="10"/>
  <c r="E402" i="10"/>
  <c r="B402" i="10"/>
  <c r="H401" i="10"/>
  <c r="D402" i="10" s="1"/>
  <c r="D391" i="10"/>
  <c r="F391" i="10" s="1"/>
  <c r="E390" i="10"/>
  <c r="E389" i="10"/>
  <c r="H386" i="10"/>
  <c r="H402" i="10" s="1"/>
  <c r="D403" i="10" s="1"/>
  <c r="G382" i="10"/>
  <c r="F371" i="10"/>
  <c r="H367" i="10"/>
  <c r="B367" i="10"/>
  <c r="B366" i="10"/>
  <c r="B365" i="10"/>
  <c r="H362" i="10"/>
  <c r="E362" i="10"/>
  <c r="D362" i="10"/>
  <c r="B362" i="10"/>
  <c r="D354" i="10"/>
  <c r="F354" i="10" s="1"/>
  <c r="F370" i="10" s="1"/>
  <c r="D353" i="10"/>
  <c r="F353" i="10" s="1"/>
  <c r="F369" i="10" s="1"/>
  <c r="D351" i="10"/>
  <c r="F351" i="10" s="1"/>
  <c r="E350" i="10"/>
  <c r="E349" i="10"/>
  <c r="H346" i="10"/>
  <c r="H363" i="10" s="1"/>
  <c r="D363" i="10" s="1"/>
  <c r="G341" i="10"/>
  <c r="H329" i="10"/>
  <c r="B329" i="10"/>
  <c r="B328" i="10"/>
  <c r="B327" i="10"/>
  <c r="E324" i="10"/>
  <c r="D324" i="10"/>
  <c r="B324" i="10"/>
  <c r="D316" i="10"/>
  <c r="F316" i="10" s="1"/>
  <c r="F332" i="10" s="1"/>
  <c r="D315" i="10"/>
  <c r="F315" i="10" s="1"/>
  <c r="F331" i="10" s="1"/>
  <c r="D313" i="10"/>
  <c r="F313" i="10" s="1"/>
  <c r="F333" i="10" s="1"/>
  <c r="E312" i="10"/>
  <c r="E311" i="10"/>
  <c r="H308" i="10"/>
  <c r="H324" i="10" s="1"/>
  <c r="D325" i="10" s="1"/>
  <c r="E307" i="10"/>
  <c r="G304" i="10"/>
  <c r="F293" i="10"/>
  <c r="H289" i="10"/>
  <c r="B289" i="10"/>
  <c r="B288" i="10"/>
  <c r="B287" i="10"/>
  <c r="E284" i="10"/>
  <c r="D284" i="10"/>
  <c r="H284" i="10" s="1"/>
  <c r="B284" i="10"/>
  <c r="D276" i="10"/>
  <c r="F276" i="10" s="1"/>
  <c r="F292" i="10" s="1"/>
  <c r="D275" i="10"/>
  <c r="F275" i="10" s="1"/>
  <c r="F291" i="10" s="1"/>
  <c r="D273" i="10"/>
  <c r="F273" i="10" s="1"/>
  <c r="E272" i="10"/>
  <c r="E271" i="10"/>
  <c r="H268" i="10"/>
  <c r="H285" i="10" s="1"/>
  <c r="D285" i="10" s="1"/>
  <c r="G263" i="10"/>
  <c r="B250" i="10"/>
  <c r="B249" i="10"/>
  <c r="B248" i="10"/>
  <c r="E246" i="10"/>
  <c r="B246" i="10"/>
  <c r="D238" i="10"/>
  <c r="F238" i="10" s="1"/>
  <c r="F253" i="10" s="1"/>
  <c r="D237" i="10"/>
  <c r="F237" i="10" s="1"/>
  <c r="F252" i="10" s="1"/>
  <c r="F235" i="10"/>
  <c r="F254" i="10" s="1"/>
  <c r="E234" i="10"/>
  <c r="E233" i="10"/>
  <c r="H231" i="10"/>
  <c r="H246" i="10" s="1"/>
  <c r="D247" i="10" s="1"/>
  <c r="E230" i="10"/>
  <c r="G227" i="10"/>
  <c r="H250" i="10" s="1"/>
  <c r="H212" i="10"/>
  <c r="B212" i="10"/>
  <c r="B211" i="10"/>
  <c r="B210" i="10"/>
  <c r="H207" i="10"/>
  <c r="E207" i="10"/>
  <c r="D207" i="10"/>
  <c r="B207" i="10"/>
  <c r="F198" i="10"/>
  <c r="F215" i="10" s="1"/>
  <c r="F197" i="10"/>
  <c r="F214" i="10" s="1"/>
  <c r="D197" i="10"/>
  <c r="F196" i="10"/>
  <c r="D195" i="10"/>
  <c r="F195" i="10" s="1"/>
  <c r="F216" i="10" s="1"/>
  <c r="E194" i="10"/>
  <c r="E193" i="10"/>
  <c r="H190" i="10"/>
  <c r="H208" i="10" s="1"/>
  <c r="D208" i="10" s="1"/>
  <c r="G185" i="10"/>
  <c r="F176" i="10"/>
  <c r="H173" i="10"/>
  <c r="B173" i="10"/>
  <c r="B172" i="10"/>
  <c r="B171" i="10"/>
  <c r="E169" i="10"/>
  <c r="B169" i="10"/>
  <c r="D161" i="10"/>
  <c r="F161" i="10" s="1"/>
  <c r="D160" i="10"/>
  <c r="F160" i="10" s="1"/>
  <c r="F175" i="10" s="1"/>
  <c r="D158" i="10"/>
  <c r="F158" i="10" s="1"/>
  <c r="F177" i="10" s="1"/>
  <c r="E157" i="10"/>
  <c r="E156" i="10"/>
  <c r="H153" i="10"/>
  <c r="H169" i="10" s="1"/>
  <c r="D170" i="10" s="1"/>
  <c r="E152" i="10"/>
  <c r="G149" i="10"/>
  <c r="F137" i="10"/>
  <c r="H134" i="10"/>
  <c r="B134" i="10"/>
  <c r="B133" i="10"/>
  <c r="B132" i="10"/>
  <c r="H129" i="10"/>
  <c r="E129" i="10"/>
  <c r="D129" i="10"/>
  <c r="B129" i="10"/>
  <c r="D120" i="10"/>
  <c r="F120" i="10" s="1"/>
  <c r="D119" i="10"/>
  <c r="F119" i="10" s="1"/>
  <c r="F136" i="10" s="1"/>
  <c r="D117" i="10"/>
  <c r="F117" i="10" s="1"/>
  <c r="F138" i="10" s="1"/>
  <c r="E116" i="10"/>
  <c r="E115" i="10"/>
  <c r="H112" i="10"/>
  <c r="H130" i="10" s="1"/>
  <c r="D130" i="10" s="1"/>
  <c r="G107" i="10"/>
  <c r="F99" i="10"/>
  <c r="F98" i="10"/>
  <c r="H95" i="10"/>
  <c r="B95" i="10"/>
  <c r="B94" i="10"/>
  <c r="B93" i="10"/>
  <c r="E90" i="10"/>
  <c r="B90" i="10"/>
  <c r="H89" i="10"/>
  <c r="F81" i="10"/>
  <c r="D81" i="10"/>
  <c r="D80" i="10"/>
  <c r="F80" i="10" s="1"/>
  <c r="F97" i="10" s="1"/>
  <c r="D78" i="10"/>
  <c r="F78" i="10" s="1"/>
  <c r="F96" i="10" s="1"/>
  <c r="E77" i="10"/>
  <c r="H74" i="10"/>
  <c r="E73" i="10"/>
  <c r="E385" i="10" s="1"/>
  <c r="G70" i="10"/>
  <c r="F60" i="10"/>
  <c r="H56" i="10"/>
  <c r="B56" i="10"/>
  <c r="B55" i="10"/>
  <c r="B54" i="10"/>
  <c r="E51" i="10"/>
  <c r="D51" i="10"/>
  <c r="H51" i="10" s="1"/>
  <c r="B51" i="10"/>
  <c r="F39" i="10"/>
  <c r="F57" i="10" s="1"/>
  <c r="E38" i="10"/>
  <c r="H35" i="10"/>
  <c r="H52" i="10" s="1"/>
  <c r="D52" i="10" s="1"/>
  <c r="E34" i="10"/>
  <c r="E498" i="10" s="1"/>
  <c r="G30" i="10"/>
  <c r="B61" i="10" s="1"/>
  <c r="E24" i="10"/>
  <c r="D24" i="10"/>
  <c r="C24" i="10"/>
  <c r="B24" i="10"/>
  <c r="B867" i="10" s="1"/>
  <c r="B882" i="10" s="1"/>
  <c r="E882" i="10" s="1"/>
  <c r="E23" i="10"/>
  <c r="D23" i="10"/>
  <c r="C23" i="10"/>
  <c r="B23" i="10"/>
  <c r="B831" i="10" s="1"/>
  <c r="B846" i="10" s="1"/>
  <c r="E22" i="10"/>
  <c r="D22" i="10"/>
  <c r="C22" i="10"/>
  <c r="B22" i="10"/>
  <c r="B792" i="10" s="1"/>
  <c r="B808" i="10" s="1"/>
  <c r="E808" i="10" s="1"/>
  <c r="E21" i="10"/>
  <c r="D21" i="10"/>
  <c r="C21" i="10"/>
  <c r="B21" i="10"/>
  <c r="B756" i="10" s="1"/>
  <c r="E771" i="10" s="1"/>
  <c r="E20" i="10"/>
  <c r="D20" i="10"/>
  <c r="C20" i="10"/>
  <c r="B20" i="10"/>
  <c r="B718" i="10" s="1"/>
  <c r="B733" i="10" s="1"/>
  <c r="E733" i="10" s="1"/>
  <c r="E19" i="10"/>
  <c r="D19" i="10"/>
  <c r="C19" i="10"/>
  <c r="B19" i="10"/>
  <c r="B682" i="10" s="1"/>
  <c r="B697" i="10" s="1"/>
  <c r="E18" i="10"/>
  <c r="D18" i="10"/>
  <c r="C18" i="10"/>
  <c r="B18" i="10"/>
  <c r="B644" i="10" s="1"/>
  <c r="B659" i="10" s="1"/>
  <c r="E659" i="10" s="1"/>
  <c r="E17" i="10"/>
  <c r="D17" i="10"/>
  <c r="C17" i="10"/>
  <c r="B17" i="10"/>
  <c r="B608" i="10" s="1"/>
  <c r="E16" i="10"/>
  <c r="D16" i="10"/>
  <c r="C16" i="10"/>
  <c r="B16" i="10"/>
  <c r="B570" i="10" s="1"/>
  <c r="B585" i="10" s="1"/>
  <c r="E585" i="10" s="1"/>
  <c r="E15" i="10"/>
  <c r="D15" i="10"/>
  <c r="C15" i="10"/>
  <c r="B15" i="10"/>
  <c r="B535" i="10" s="1"/>
  <c r="E14" i="10"/>
  <c r="D14" i="10"/>
  <c r="C14" i="10"/>
  <c r="B14" i="10"/>
  <c r="B497" i="10" s="1"/>
  <c r="B512" i="10" s="1"/>
  <c r="E512" i="10" s="1"/>
  <c r="E13" i="10"/>
  <c r="D13" i="10"/>
  <c r="C13" i="10"/>
  <c r="B13" i="10"/>
  <c r="B461" i="10" s="1"/>
  <c r="E12" i="10"/>
  <c r="D12" i="10"/>
  <c r="C12" i="10"/>
  <c r="B12" i="10"/>
  <c r="B423" i="10" s="1"/>
  <c r="B439" i="10" s="1"/>
  <c r="E439" i="10" s="1"/>
  <c r="E11" i="10"/>
  <c r="C11" i="10"/>
  <c r="B11" i="10"/>
  <c r="B385" i="10" s="1"/>
  <c r="E10" i="10"/>
  <c r="C10" i="10"/>
  <c r="B10" i="10"/>
  <c r="B345" i="10" s="1"/>
  <c r="B360" i="10" s="1"/>
  <c r="E360" i="10" s="1"/>
  <c r="E9" i="10"/>
  <c r="C9" i="10"/>
  <c r="B9" i="10"/>
  <c r="B307" i="10" s="1"/>
  <c r="E8" i="10"/>
  <c r="C8" i="10"/>
  <c r="B8" i="10"/>
  <c r="B266" i="10" s="1"/>
  <c r="B282" i="10" s="1"/>
  <c r="E282" i="10" s="1"/>
  <c r="E7" i="10"/>
  <c r="C7" i="10"/>
  <c r="B7" i="10"/>
  <c r="B230" i="10" s="1"/>
  <c r="E6" i="10"/>
  <c r="C6" i="10"/>
  <c r="B6" i="10"/>
  <c r="B189" i="10" s="1"/>
  <c r="B205" i="10" s="1"/>
  <c r="E205" i="10" s="1"/>
  <c r="E5" i="10"/>
  <c r="C5" i="10"/>
  <c r="B5" i="10"/>
  <c r="B152" i="10" s="1"/>
  <c r="F4" i="10"/>
  <c r="B408" i="10" s="1"/>
  <c r="E4" i="10"/>
  <c r="C4" i="10"/>
  <c r="B4" i="10"/>
  <c r="B111" i="10" s="1"/>
  <c r="B127" i="10" s="1"/>
  <c r="E127" i="10" s="1"/>
  <c r="E3" i="10"/>
  <c r="C3" i="10"/>
  <c r="B3" i="10"/>
  <c r="B73" i="10" s="1"/>
  <c r="E2" i="10"/>
  <c r="D2" i="10"/>
  <c r="C2" i="10"/>
  <c r="C25" i="10" s="1"/>
  <c r="B2" i="10"/>
  <c r="E49" i="10" s="1"/>
  <c r="B1" i="10"/>
  <c r="E715" i="10" s="1"/>
  <c r="F2280" i="10" l="1"/>
  <c r="F2297" i="10" s="1"/>
  <c r="F2244" i="10"/>
  <c r="F2261" i="10" s="1"/>
  <c r="F650" i="10"/>
  <c r="F667" i="10" s="1"/>
  <c r="F467" i="10"/>
  <c r="F484" i="10" s="1"/>
  <c r="F429" i="10"/>
  <c r="F446" i="10" s="1"/>
  <c r="F1856" i="10"/>
  <c r="F1893" i="10"/>
  <c r="H90" i="10"/>
  <c r="D91" i="10"/>
  <c r="E88" i="10"/>
  <c r="B88" i="10"/>
  <c r="E167" i="10"/>
  <c r="B167" i="10"/>
  <c r="E244" i="10"/>
  <c r="B244" i="10"/>
  <c r="E322" i="10"/>
  <c r="B322" i="10"/>
  <c r="E400" i="10"/>
  <c r="B400" i="10"/>
  <c r="E476" i="10"/>
  <c r="B476" i="10"/>
  <c r="E550" i="10"/>
  <c r="B550" i="10"/>
  <c r="E623" i="10"/>
  <c r="B623" i="10"/>
  <c r="B2923" i="10"/>
  <c r="B2812" i="10"/>
  <c r="B2628" i="10"/>
  <c r="B2516" i="10"/>
  <c r="B2997" i="10"/>
  <c r="B2886" i="10"/>
  <c r="B2702" i="10"/>
  <c r="B2590" i="10"/>
  <c r="B2406" i="10"/>
  <c r="B2959" i="10"/>
  <c r="B2776" i="10"/>
  <c r="B2664" i="10"/>
  <c r="B2480" i="10"/>
  <c r="B2368" i="10"/>
  <c r="B2850" i="10"/>
  <c r="B2332" i="10"/>
  <c r="B2220" i="10"/>
  <c r="B2036" i="10"/>
  <c r="B1924" i="10"/>
  <c r="B2738" i="10"/>
  <c r="B2554" i="10"/>
  <c r="B2294" i="10"/>
  <c r="B2110" i="10"/>
  <c r="B1998" i="10"/>
  <c r="B2442" i="10"/>
  <c r="B2184" i="10"/>
  <c r="B2072" i="10"/>
  <c r="B2258" i="10"/>
  <c r="B2146" i="10"/>
  <c r="B1962" i="10"/>
  <c r="B1850" i="10"/>
  <c r="B1666" i="10"/>
  <c r="B1553" i="10"/>
  <c r="B1369" i="10"/>
  <c r="B1740" i="10"/>
  <c r="B1628" i="10"/>
  <c r="B1443" i="10"/>
  <c r="B1331" i="10"/>
  <c r="B1814" i="10"/>
  <c r="B1702" i="10"/>
  <c r="B1517" i="10"/>
  <c r="B1405" i="10"/>
  <c r="B1888" i="10"/>
  <c r="B1776" i="10"/>
  <c r="B1591" i="10"/>
  <c r="B1479" i="10"/>
  <c r="B1257" i="10"/>
  <c r="B1073" i="10"/>
  <c r="B1147" i="10"/>
  <c r="B1035" i="10"/>
  <c r="B1221" i="10"/>
  <c r="B1109" i="10"/>
  <c r="B1295" i="10"/>
  <c r="B1183" i="10"/>
  <c r="B2856" i="10"/>
  <c r="H2852" i="10" s="1"/>
  <c r="B2745" i="10"/>
  <c r="H2740" i="10" s="1"/>
  <c r="B2560" i="10"/>
  <c r="H2556" i="10" s="1"/>
  <c r="B2449" i="10"/>
  <c r="H2444" i="10" s="1"/>
  <c r="B2929" i="10"/>
  <c r="H2925" i="10" s="1"/>
  <c r="B2819" i="10"/>
  <c r="H2814" i="10" s="1"/>
  <c r="B2634" i="10"/>
  <c r="H2630" i="10" s="1"/>
  <c r="B2523" i="10"/>
  <c r="H2518" i="10" s="1"/>
  <c r="B3003" i="10"/>
  <c r="H2999" i="10" s="1"/>
  <c r="B2893" i="10"/>
  <c r="H2888" i="10" s="1"/>
  <c r="B2708" i="10"/>
  <c r="H2704" i="10" s="1"/>
  <c r="B2597" i="10"/>
  <c r="H2592" i="10" s="1"/>
  <c r="B2412" i="10"/>
  <c r="H2408" i="10" s="1"/>
  <c r="B2966" i="10"/>
  <c r="H2961" i="10" s="1"/>
  <c r="B2486" i="10"/>
  <c r="H2482" i="10" s="1"/>
  <c r="B2264" i="10"/>
  <c r="H2260" i="10" s="1"/>
  <c r="B2153" i="10"/>
  <c r="H2148" i="10" s="1"/>
  <c r="B1968" i="10"/>
  <c r="H1964" i="10" s="1"/>
  <c r="B2671" i="10"/>
  <c r="H2666" i="10" s="1"/>
  <c r="B2338" i="10"/>
  <c r="H2334" i="10" s="1"/>
  <c r="B2227" i="10"/>
  <c r="H2222" i="10" s="1"/>
  <c r="B2042" i="10"/>
  <c r="H2038" i="10" s="1"/>
  <c r="B2301" i="10"/>
  <c r="H2296" i="10" s="1"/>
  <c r="B2116" i="10"/>
  <c r="H2112" i="10" s="1"/>
  <c r="B2005" i="10"/>
  <c r="H2000" i="10" s="1"/>
  <c r="B2782" i="10"/>
  <c r="H2778" i="10" s="1"/>
  <c r="B2375" i="10"/>
  <c r="H2370" i="10" s="1"/>
  <c r="B2190" i="10"/>
  <c r="H2186" i="10" s="1"/>
  <c r="B2079" i="10"/>
  <c r="H2074" i="10" s="1"/>
  <c r="B1894" i="10"/>
  <c r="H1890" i="10" s="1"/>
  <c r="B1820" i="10"/>
  <c r="H1816" i="10" s="1"/>
  <c r="B1783" i="10"/>
  <c r="H1778" i="10" s="1"/>
  <c r="B1597" i="10"/>
  <c r="H1593" i="10" s="1"/>
  <c r="B1486" i="10"/>
  <c r="H1481" i="10" s="1"/>
  <c r="B1301" i="10"/>
  <c r="H1297" i="10" s="1"/>
  <c r="B1672" i="10"/>
  <c r="H1668" i="10" s="1"/>
  <c r="B1560" i="10"/>
  <c r="H1555" i="10" s="1"/>
  <c r="B1375" i="10"/>
  <c r="H1371" i="10" s="1"/>
  <c r="B1857" i="10"/>
  <c r="H1852" i="10" s="1"/>
  <c r="B1746" i="10"/>
  <c r="H1742" i="10" s="1"/>
  <c r="B1635" i="10"/>
  <c r="H1630" i="10" s="1"/>
  <c r="B1449" i="10"/>
  <c r="H1445" i="10" s="1"/>
  <c r="B1338" i="10"/>
  <c r="H1333" i="10" s="1"/>
  <c r="B1931" i="10"/>
  <c r="H1926" i="10" s="1"/>
  <c r="B1709" i="10"/>
  <c r="H1704" i="10" s="1"/>
  <c r="B1523" i="10"/>
  <c r="H1519" i="10" s="1"/>
  <c r="B1412" i="10"/>
  <c r="H1407" i="10" s="1"/>
  <c r="B1190" i="10"/>
  <c r="H1185" i="10" s="1"/>
  <c r="B1079" i="10"/>
  <c r="H1075" i="10" s="1"/>
  <c r="B968" i="10"/>
  <c r="H963" i="10" s="1"/>
  <c r="B1264" i="10"/>
  <c r="H1259" i="10" s="1"/>
  <c r="B1153" i="10"/>
  <c r="H1149" i="10" s="1"/>
  <c r="B1042" i="10"/>
  <c r="H1037" i="10" s="1"/>
  <c r="B1005" i="10"/>
  <c r="H1001" i="10" s="1"/>
  <c r="B931" i="10"/>
  <c r="H927" i="10" s="1"/>
  <c r="B820" i="10"/>
  <c r="H815" i="10" s="1"/>
  <c r="B1227" i="10"/>
  <c r="H1223" i="10" s="1"/>
  <c r="B1116" i="10"/>
  <c r="H1111" i="10" s="1"/>
  <c r="B894" i="10"/>
  <c r="H889" i="10" s="1"/>
  <c r="B782" i="10"/>
  <c r="H778" i="10" s="1"/>
  <c r="E111" i="10"/>
  <c r="B135" i="10"/>
  <c r="E149" i="10"/>
  <c r="E189" i="10"/>
  <c r="B213" i="10"/>
  <c r="E227" i="10"/>
  <c r="B251" i="10"/>
  <c r="E263" i="10"/>
  <c r="B294" i="10"/>
  <c r="E345" i="10"/>
  <c r="B368" i="10"/>
  <c r="E382" i="10"/>
  <c r="B412" i="10"/>
  <c r="B450" i="10"/>
  <c r="E571" i="10"/>
  <c r="E606" i="10"/>
  <c r="E2975" i="10"/>
  <c r="E2789" i="10"/>
  <c r="E2680" i="10"/>
  <c r="E2493" i="10"/>
  <c r="E2863" i="10"/>
  <c r="E2754" i="10"/>
  <c r="E2567" i="10"/>
  <c r="E2458" i="10"/>
  <c r="E2936" i="10"/>
  <c r="E2828" i="10"/>
  <c r="E2641" i="10"/>
  <c r="E2532" i="10"/>
  <c r="E2902" i="10"/>
  <c r="E2715" i="10"/>
  <c r="E2197" i="10"/>
  <c r="E2088" i="10"/>
  <c r="E2606" i="10"/>
  <c r="E2419" i="10"/>
  <c r="E2271" i="10"/>
  <c r="E2162" i="10"/>
  <c r="E1975" i="10"/>
  <c r="E2384" i="10"/>
  <c r="E2345" i="10"/>
  <c r="E2236" i="10"/>
  <c r="E2049" i="10"/>
  <c r="E2310" i="10"/>
  <c r="E2123" i="10"/>
  <c r="E2014" i="10"/>
  <c r="E1866" i="10"/>
  <c r="E1718" i="10"/>
  <c r="E1530" i="10"/>
  <c r="E1421" i="10"/>
  <c r="E1792" i="10"/>
  <c r="E1605" i="10"/>
  <c r="E1495" i="10"/>
  <c r="E1308" i="10"/>
  <c r="E1940" i="10"/>
  <c r="E1827" i="10"/>
  <c r="E1679" i="10"/>
  <c r="E1569" i="10"/>
  <c r="E1382" i="10"/>
  <c r="E1901" i="10"/>
  <c r="E1753" i="10"/>
  <c r="E1644" i="10"/>
  <c r="E1456" i="10"/>
  <c r="E1347" i="10"/>
  <c r="E1273" i="10"/>
  <c r="E1234" i="10"/>
  <c r="E1125" i="10"/>
  <c r="E903" i="10"/>
  <c r="E864" i="10"/>
  <c r="E1199" i="10"/>
  <c r="E754" i="10"/>
  <c r="E1086" i="10"/>
  <c r="E977" i="10"/>
  <c r="E1160" i="10"/>
  <c r="E1051" i="10"/>
  <c r="E1012" i="10"/>
  <c r="E938" i="10"/>
  <c r="E829" i="10"/>
  <c r="E789" i="10"/>
  <c r="E679" i="10"/>
  <c r="B34" i="10"/>
  <c r="B49" i="10"/>
  <c r="B96" i="10"/>
  <c r="E107" i="10"/>
  <c r="B139" i="10"/>
  <c r="B174" i="10"/>
  <c r="E185" i="10"/>
  <c r="B217" i="10"/>
  <c r="B255" i="10"/>
  <c r="B330" i="10"/>
  <c r="E341" i="10"/>
  <c r="B372" i="10"/>
  <c r="E533" i="10"/>
  <c r="E567" i="10"/>
  <c r="B597" i="10"/>
  <c r="H592" i="10" s="1"/>
  <c r="B671" i="10"/>
  <c r="H666" i="10" s="1"/>
  <c r="F688" i="10"/>
  <c r="F705" i="10" s="1"/>
  <c r="E846" i="10"/>
  <c r="E25" i="10"/>
  <c r="E1016" i="10"/>
  <c r="E942" i="10"/>
  <c r="E868" i="10"/>
  <c r="E719" i="10"/>
  <c r="E735" i="10" s="1"/>
  <c r="B57" i="10"/>
  <c r="E70" i="10"/>
  <c r="B100" i="10"/>
  <c r="B178" i="10"/>
  <c r="B334" i="10"/>
  <c r="E424" i="10"/>
  <c r="E462" i="10"/>
  <c r="B487" i="10"/>
  <c r="E494" i="10"/>
  <c r="B524" i="10"/>
  <c r="H519" i="10" s="1"/>
  <c r="B560" i="10"/>
  <c r="H556" i="10" s="1"/>
  <c r="E645" i="10"/>
  <c r="B708" i="10"/>
  <c r="H704" i="10" s="1"/>
  <c r="B771" i="10"/>
  <c r="E793" i="10"/>
  <c r="B857" i="10"/>
  <c r="H853" i="10" s="1"/>
  <c r="B2998" i="10"/>
  <c r="B2887" i="10"/>
  <c r="B2703" i="10"/>
  <c r="B2591" i="10"/>
  <c r="B2407" i="10"/>
  <c r="B2960" i="10"/>
  <c r="B2777" i="10"/>
  <c r="B2665" i="10"/>
  <c r="B2481" i="10"/>
  <c r="B2369" i="10"/>
  <c r="B2851" i="10"/>
  <c r="B2739" i="10"/>
  <c r="B2555" i="10"/>
  <c r="B2443" i="10"/>
  <c r="B2517" i="10"/>
  <c r="B2295" i="10"/>
  <c r="B2111" i="10"/>
  <c r="B1999" i="10"/>
  <c r="B2185" i="10"/>
  <c r="B2073" i="10"/>
  <c r="B2924" i="10"/>
  <c r="B2259" i="10"/>
  <c r="B2147" i="10"/>
  <c r="B2813" i="10"/>
  <c r="B2629" i="10"/>
  <c r="B2333" i="10"/>
  <c r="B2221" i="10"/>
  <c r="B2037" i="10"/>
  <c r="B1925" i="10"/>
  <c r="B1851" i="10"/>
  <c r="B1963" i="10"/>
  <c r="B1741" i="10"/>
  <c r="B1629" i="10"/>
  <c r="B1444" i="10"/>
  <c r="B1332" i="10"/>
  <c r="B1815" i="10"/>
  <c r="B1703" i="10"/>
  <c r="B1518" i="10"/>
  <c r="B1406" i="10"/>
  <c r="B1889" i="10"/>
  <c r="B1777" i="10"/>
  <c r="B1592" i="10"/>
  <c r="B1480" i="10"/>
  <c r="B1667" i="10"/>
  <c r="B1554" i="10"/>
  <c r="B1370" i="10"/>
  <c r="B1148" i="10"/>
  <c r="B1036" i="10"/>
  <c r="B1222" i="10"/>
  <c r="B1110" i="10"/>
  <c r="B1296" i="10"/>
  <c r="B1184" i="10"/>
  <c r="B1258" i="10"/>
  <c r="B1074" i="10"/>
  <c r="E30" i="10"/>
  <c r="E266" i="10"/>
  <c r="B290" i="10"/>
  <c r="E304" i="10"/>
  <c r="E419" i="10"/>
  <c r="E459" i="10"/>
  <c r="B634" i="10"/>
  <c r="H630" i="10" s="1"/>
  <c r="E641" i="10"/>
  <c r="E697" i="10"/>
  <c r="B745" i="10"/>
  <c r="H740" i="10" s="1"/>
  <c r="F762" i="10"/>
  <c r="F779" i="10" s="1"/>
  <c r="B1142" i="10"/>
  <c r="F1317" i="10"/>
  <c r="F1334" i="10" s="1"/>
  <c r="B994" i="10"/>
  <c r="B1438" i="10"/>
  <c r="E1512" i="10"/>
  <c r="B1735" i="10"/>
  <c r="E1809" i="10"/>
  <c r="B2105" i="10"/>
  <c r="F2614" i="10"/>
  <c r="F2631" i="10" s="1"/>
  <c r="F2945" i="10"/>
  <c r="F2962" i="10" s="1"/>
  <c r="E2475" i="10"/>
  <c r="B1957" i="10"/>
  <c r="B2253" i="10"/>
  <c r="F2354" i="10"/>
  <c r="F2371" i="10" s="1"/>
  <c r="E2771" i="10"/>
  <c r="B2623" i="10"/>
  <c r="B2918" i="10"/>
  <c r="B2549" i="10"/>
  <c r="B2845" i="10"/>
  <c r="DB139" i="8" l="1"/>
  <c r="DB127" i="8"/>
  <c r="CT103" i="8"/>
  <c r="DB103" i="8" s="1"/>
  <c r="D393" i="10" l="1"/>
  <c r="F393" i="10" s="1"/>
  <c r="F409" i="10" s="1"/>
  <c r="L38" i="1" l="1"/>
  <c r="G106" i="2" l="1"/>
  <c r="F17" i="2"/>
  <c r="M88" i="1" l="1"/>
  <c r="G77" i="1"/>
  <c r="DD9" i="8"/>
  <c r="CS102" i="8"/>
  <c r="DB102" i="8" s="1"/>
  <c r="DB138" i="8" l="1"/>
  <c r="G72" i="1" l="1"/>
  <c r="E23" i="1"/>
  <c r="DB137" i="8" l="1"/>
  <c r="DC100" i="8"/>
  <c r="CR101" i="8"/>
  <c r="DB101" i="8" s="1"/>
  <c r="H63" i="1" l="1"/>
  <c r="M60" i="1"/>
  <c r="DC99" i="8" l="1"/>
  <c r="DC98" i="8"/>
  <c r="DB136" i="8"/>
  <c r="DB123" i="8"/>
  <c r="CQ100" i="8"/>
  <c r="DB100" i="8" s="1"/>
  <c r="CP99" i="8" l="1"/>
  <c r="DB99" i="8" s="1"/>
  <c r="DC97" i="8" l="1"/>
  <c r="DC96" i="8"/>
  <c r="DB116" i="8" l="1"/>
  <c r="CO98" i="8"/>
  <c r="DB98" i="8" s="1"/>
  <c r="DB113" i="8" l="1"/>
  <c r="DC113" i="8" l="1"/>
  <c r="DC111" i="8"/>
  <c r="DC95" i="8"/>
  <c r="CN97" i="8"/>
  <c r="DB97" i="8" s="1"/>
  <c r="H38" i="1" l="1"/>
  <c r="CM96" i="8" l="1"/>
  <c r="DB96" i="8" s="1"/>
  <c r="DB131" i="8" l="1"/>
  <c r="DC94" i="8" l="1"/>
  <c r="CL95" i="8"/>
  <c r="DB95" i="8" s="1"/>
  <c r="DC93" i="8" l="1"/>
  <c r="DC92" i="8"/>
  <c r="DC91" i="8"/>
  <c r="DC90" i="8"/>
  <c r="CK94" i="8"/>
  <c r="DB135" i="8" l="1"/>
  <c r="DB94" i="8" l="1"/>
  <c r="H12" i="1" l="1"/>
  <c r="I60" i="5" l="1"/>
  <c r="L56" i="5"/>
  <c r="K59" i="5" s="1"/>
  <c r="DB134" i="8"/>
  <c r="CJ93" i="8"/>
  <c r="DB93" i="8" s="1"/>
  <c r="R24" i="2" l="1"/>
  <c r="D394" i="10" s="1"/>
  <c r="F394" i="10" s="1"/>
  <c r="F410" i="10" s="1"/>
  <c r="H33" i="1"/>
  <c r="DD134" i="8" l="1"/>
  <c r="DC89" i="8"/>
  <c r="CI92" i="8"/>
  <c r="DB92" i="8" s="1"/>
  <c r="DC88" i="8" l="1"/>
  <c r="CH91" i="8"/>
  <c r="DB91" i="8" s="1"/>
  <c r="M25" i="2"/>
  <c r="D272" i="10" l="1"/>
  <c r="F272" i="10" s="1"/>
  <c r="F290" i="10" s="1"/>
  <c r="D390" i="10"/>
  <c r="F390" i="10" s="1"/>
  <c r="F408" i="10" s="1"/>
  <c r="D312" i="10"/>
  <c r="F312" i="10" s="1"/>
  <c r="F330" i="10" s="1"/>
  <c r="D350" i="10"/>
  <c r="F350" i="10" s="1"/>
  <c r="F368" i="10" s="1"/>
  <c r="D194" i="10"/>
  <c r="F194" i="10" s="1"/>
  <c r="F213" i="10" s="1"/>
  <c r="D234" i="10"/>
  <c r="F234" i="10" s="1"/>
  <c r="F251" i="10" s="1"/>
  <c r="D157" i="10"/>
  <c r="F157" i="10" s="1"/>
  <c r="F174" i="10" s="1"/>
  <c r="D116" i="10"/>
  <c r="F116" i="10" s="1"/>
  <c r="F135" i="10" s="1"/>
  <c r="DB117" i="8"/>
  <c r="CG90" i="8" l="1"/>
  <c r="DB90" i="8" s="1"/>
  <c r="CF89" i="8" l="1"/>
  <c r="DB89" i="8" s="1"/>
  <c r="H73" i="1" l="1"/>
  <c r="F196" i="4" l="1"/>
  <c r="DC87" i="8"/>
  <c r="DC86" i="8"/>
  <c r="CE88" i="8"/>
  <c r="DB88" i="8" s="1"/>
  <c r="O25" i="2" l="1"/>
  <c r="CD87" i="8" l="1"/>
  <c r="DB87" i="8" s="1"/>
  <c r="DC85" i="8" l="1"/>
  <c r="CC86" i="8"/>
  <c r="DB86" i="8" s="1"/>
  <c r="DC84" i="8" l="1"/>
  <c r="DC83" i="8"/>
  <c r="CB85" i="8"/>
  <c r="DB85" i="8" s="1"/>
  <c r="CA84" i="8" l="1"/>
  <c r="DB84" i="8" s="1"/>
  <c r="DC82" i="8" l="1"/>
  <c r="DC81" i="8"/>
  <c r="DC80" i="8"/>
  <c r="DC79" i="8"/>
  <c r="DC78" i="8"/>
  <c r="DC77" i="8"/>
  <c r="BZ83" i="8"/>
  <c r="DB83" i="8" s="1"/>
  <c r="BY82" i="8" l="1"/>
  <c r="DB82" i="8" s="1"/>
  <c r="BX81" i="8" l="1"/>
  <c r="DB81" i="8" s="1"/>
  <c r="BW80" i="8" l="1"/>
  <c r="DB80" i="8" s="1"/>
  <c r="BV79" i="8" l="1"/>
  <c r="DB79" i="8" s="1"/>
  <c r="G113" i="1" l="1"/>
  <c r="DC76" i="8" l="1"/>
  <c r="DC75" i="8"/>
  <c r="DC74" i="8"/>
  <c r="DC73" i="8"/>
  <c r="DC72" i="8"/>
  <c r="DC71" i="8"/>
  <c r="DC70" i="8"/>
  <c r="DC69" i="8"/>
  <c r="DC68" i="8"/>
  <c r="DC67" i="8"/>
  <c r="DC66" i="8"/>
  <c r="DC65" i="8"/>
  <c r="DC64" i="8"/>
  <c r="DC63" i="8"/>
  <c r="DC62" i="8"/>
  <c r="DC61" i="8"/>
  <c r="DC60" i="8"/>
  <c r="DC59" i="8"/>
  <c r="DC58" i="8"/>
  <c r="DC57" i="8"/>
  <c r="DC56" i="8"/>
  <c r="DC55" i="8"/>
  <c r="DC54" i="8"/>
  <c r="DC53" i="8"/>
  <c r="DC52" i="8"/>
  <c r="DC51" i="8"/>
  <c r="DC50" i="8"/>
  <c r="DC49" i="8"/>
  <c r="DC48" i="8"/>
  <c r="DC47" i="8"/>
  <c r="DC46" i="8"/>
  <c r="DC45" i="8"/>
  <c r="DC44" i="8"/>
  <c r="DC43" i="8"/>
  <c r="DC42" i="8"/>
  <c r="DC41" i="8"/>
  <c r="DC40" i="8"/>
  <c r="DC39" i="8"/>
  <c r="DC38" i="8"/>
  <c r="DC37" i="8"/>
  <c r="DC36" i="8"/>
  <c r="DC35" i="8"/>
  <c r="DC34" i="8"/>
  <c r="DC33" i="8"/>
  <c r="DC32" i="8"/>
  <c r="DC31" i="8"/>
  <c r="DC30" i="8"/>
  <c r="DC29" i="8"/>
  <c r="DC28" i="8"/>
  <c r="DC27" i="8"/>
  <c r="DC26" i="8"/>
  <c r="DC25" i="8"/>
  <c r="DC24" i="8"/>
  <c r="DC23" i="8"/>
  <c r="DC22" i="8"/>
  <c r="DC21" i="8"/>
  <c r="DC20" i="8"/>
  <c r="DC19" i="8"/>
  <c r="DC18" i="8"/>
  <c r="DC17" i="8"/>
  <c r="DC16" i="8"/>
  <c r="DC15" i="8"/>
  <c r="DC14" i="8"/>
  <c r="DC13" i="8"/>
  <c r="DC12" i="8"/>
  <c r="DC11" i="8"/>
  <c r="DC10" i="8"/>
  <c r="DC9" i="8"/>
  <c r="BU78" i="8"/>
  <c r="DB78" i="8" s="1"/>
  <c r="BT77" i="8" l="1"/>
  <c r="DB77" i="8" s="1"/>
  <c r="BS76" i="8" l="1"/>
  <c r="DB76" i="8" s="1"/>
  <c r="L63" i="1"/>
  <c r="BR75" i="8" l="1"/>
  <c r="DB75" i="8" s="1"/>
  <c r="L58" i="5" l="1"/>
  <c r="J60" i="5"/>
  <c r="BQ74" i="8" l="1"/>
  <c r="DB74" i="8" s="1"/>
  <c r="DB130" i="8" l="1"/>
  <c r="DB132" i="8" s="1"/>
  <c r="BP73" i="8"/>
  <c r="DB73" i="8" s="1"/>
  <c r="BO72" i="8" l="1"/>
  <c r="DB72" i="8" s="1"/>
  <c r="BN71" i="8" l="1"/>
  <c r="DB71" i="8" s="1"/>
  <c r="BM70" i="8" l="1"/>
  <c r="DB70" i="8" s="1"/>
  <c r="BL69" i="8" l="1"/>
  <c r="DB69" i="8" s="1"/>
  <c r="BK68" i="8" l="1"/>
  <c r="DB68" i="8" s="1"/>
  <c r="O61" i="5" l="1"/>
  <c r="G109" i="1" s="1"/>
  <c r="M57" i="5"/>
  <c r="Z25" i="2"/>
  <c r="BJ67" i="8" l="1"/>
  <c r="DB67" i="8" s="1"/>
  <c r="BI66" i="8" l="1"/>
  <c r="DB66" i="8" s="1"/>
  <c r="BH65" i="8" l="1"/>
  <c r="DB65" i="8" s="1"/>
  <c r="J95" i="1" l="1"/>
  <c r="BG64" i="8" l="1"/>
  <c r="DB64" i="8" s="1"/>
  <c r="BF63" i="8" l="1"/>
  <c r="DB63" i="8" s="1"/>
  <c r="BE62" i="8" l="1"/>
  <c r="DB62" i="8" s="1"/>
  <c r="BD61" i="8" l="1"/>
  <c r="DB61" i="8" s="1"/>
  <c r="N59" i="5" l="1"/>
  <c r="I59" i="5"/>
  <c r="M58" i="5"/>
  <c r="BC60" i="8"/>
  <c r="DB60" i="8" s="1"/>
  <c r="M59" i="5" l="1"/>
  <c r="M60" i="5"/>
  <c r="G119" i="1"/>
  <c r="M61" i="5" l="1"/>
  <c r="E71" i="2"/>
  <c r="G110" i="2" l="1"/>
  <c r="E24" i="2"/>
  <c r="E23" i="2"/>
  <c r="E22" i="2"/>
  <c r="E21" i="2"/>
  <c r="E20" i="2"/>
  <c r="E19" i="2"/>
  <c r="E18" i="2"/>
  <c r="E17" i="2"/>
  <c r="E16" i="2"/>
  <c r="E15" i="2"/>
  <c r="E25" i="2" l="1"/>
  <c r="D93" i="1"/>
  <c r="BA58" i="8"/>
  <c r="DB58" i="8" s="1"/>
  <c r="E68" i="2"/>
  <c r="X16" i="2" l="1"/>
  <c r="E76" i="2" l="1"/>
  <c r="E75" i="2"/>
  <c r="E74" i="2"/>
  <c r="E73" i="2"/>
  <c r="E72" i="2"/>
  <c r="E70" i="2"/>
  <c r="E69" i="2"/>
  <c r="E77" i="2" l="1"/>
  <c r="D101" i="1"/>
  <c r="D100" i="1"/>
  <c r="D99" i="1"/>
  <c r="D97" i="1"/>
  <c r="D96" i="1"/>
  <c r="D95" i="1"/>
  <c r="D94" i="1"/>
  <c r="P3" i="2" l="1"/>
  <c r="P4" i="2"/>
  <c r="P5" i="2"/>
  <c r="P6" i="2"/>
  <c r="F21" i="2"/>
  <c r="F20" i="2"/>
  <c r="F19" i="2"/>
  <c r="F18" i="2"/>
  <c r="F16" i="2"/>
  <c r="F15" i="2"/>
  <c r="O84" i="1" l="1"/>
  <c r="AZ57" i="8" l="1"/>
  <c r="DB57" i="8" l="1"/>
  <c r="F24" i="2"/>
  <c r="F23" i="2"/>
  <c r="D98" i="1" l="1"/>
  <c r="AY56" i="8" l="1"/>
  <c r="DB56" i="8" s="1"/>
  <c r="AX55" i="8" l="1"/>
  <c r="DB55" i="8" s="1"/>
  <c r="AW54" i="8" l="1"/>
  <c r="DB54" i="8" s="1"/>
  <c r="AV53" i="8" l="1"/>
  <c r="DB53" i="8" s="1"/>
  <c r="AU52" i="8" l="1"/>
  <c r="DB52" i="8" s="1"/>
  <c r="AT51" i="8" l="1"/>
  <c r="DB51" i="8" s="1"/>
  <c r="AS50" i="8" l="1"/>
  <c r="DB50" i="8" s="1"/>
  <c r="F102" i="1" l="1"/>
  <c r="D102" i="1" l="1"/>
  <c r="G102" i="1" s="1"/>
  <c r="AR49" i="8" l="1"/>
  <c r="DB49" i="8" s="1"/>
  <c r="X21" i="2" l="1"/>
  <c r="AQ48" i="8" l="1"/>
  <c r="DB48" i="8" l="1"/>
  <c r="AE25" i="2"/>
  <c r="AD25" i="2"/>
  <c r="AC25" i="2"/>
  <c r="X15" i="2"/>
  <c r="X23" i="2"/>
  <c r="X20" i="2"/>
  <c r="X19" i="2"/>
  <c r="X18" i="2"/>
  <c r="L83" i="1" l="1"/>
  <c r="X17" i="2"/>
  <c r="AB25" i="2"/>
  <c r="X24" i="2"/>
  <c r="AB34" i="2" l="1"/>
  <c r="AP47" i="8" l="1"/>
  <c r="DB47" i="8" s="1"/>
  <c r="AO46" i="8" l="1"/>
  <c r="DB46" i="8" s="1"/>
  <c r="AN45" i="8" l="1"/>
  <c r="DB45" i="8" s="1"/>
  <c r="AM44" i="8" l="1"/>
  <c r="DB44" i="8" s="1"/>
  <c r="AL43" i="8" l="1"/>
  <c r="DB43" i="8" s="1"/>
  <c r="AK42" i="8" l="1"/>
  <c r="DB42" i="8" s="1"/>
  <c r="AJ41" i="8" l="1"/>
  <c r="DB41" i="8" s="1"/>
  <c r="AI40" i="8" l="1"/>
  <c r="DB40" i="8" s="1"/>
  <c r="AH39" i="8" l="1"/>
  <c r="DB39" i="8" s="1"/>
  <c r="AG38" i="8" l="1"/>
  <c r="DB38" i="8" s="1"/>
  <c r="AF37" i="8" l="1"/>
  <c r="DB37" i="8" s="1"/>
  <c r="AE36" i="8" l="1"/>
  <c r="DB36" i="8" s="1"/>
  <c r="AD35" i="8" l="1"/>
  <c r="DB35" i="8" s="1"/>
  <c r="AC34" i="8" l="1"/>
  <c r="DB34" i="8" s="1"/>
  <c r="AB33" i="8" l="1"/>
  <c r="DB33" i="8" s="1"/>
  <c r="AA32" i="8" l="1"/>
  <c r="DB32" i="8" s="1"/>
  <c r="Z31" i="8" l="1"/>
  <c r="DB31" i="8" s="1"/>
  <c r="Y30" i="8" l="1"/>
  <c r="DB30" i="8" s="1"/>
  <c r="X29" i="8" l="1"/>
  <c r="DB29" i="8" s="1"/>
  <c r="W28" i="8" l="1"/>
  <c r="DB28" i="8" s="1"/>
  <c r="N38" i="1" l="1"/>
  <c r="V27" i="8" l="1"/>
  <c r="DB27" i="8" s="1"/>
  <c r="U26" i="8" l="1"/>
  <c r="DB26" i="8" s="1"/>
  <c r="T25" i="8" l="1"/>
  <c r="DB25" i="8" l="1"/>
  <c r="DC134" i="8" l="1"/>
  <c r="S24" i="8"/>
  <c r="DB24" i="8" s="1"/>
  <c r="R23" i="8" l="1"/>
  <c r="DB23" i="8" s="1"/>
  <c r="Q22" i="8" l="1"/>
  <c r="DB22" i="8" s="1"/>
  <c r="P21" i="8" l="1"/>
  <c r="DB21" i="8" s="1"/>
  <c r="O20" i="8" l="1"/>
  <c r="DB20" i="8" s="1"/>
  <c r="N19" i="8" l="1"/>
  <c r="DB19" i="8" s="1"/>
  <c r="J91" i="1" l="1"/>
  <c r="J94" i="1" s="1"/>
  <c r="M18" i="8" l="1"/>
  <c r="DB18" i="8" s="1"/>
  <c r="L17" i="8" l="1"/>
  <c r="DB17" i="8" l="1"/>
  <c r="K16" i="8" l="1"/>
  <c r="DB16" i="8" s="1"/>
  <c r="J15" i="8" l="1"/>
  <c r="DB15" i="8" l="1"/>
  <c r="I14" i="8" l="1"/>
  <c r="DB14" i="8" s="1"/>
  <c r="H13" i="8" l="1"/>
  <c r="DB13" i="8" s="1"/>
  <c r="K57" i="5" l="1"/>
  <c r="J99" i="1" l="1"/>
  <c r="J100" i="1" s="1"/>
  <c r="G12" i="8" l="1"/>
  <c r="DB12" i="8" s="1"/>
  <c r="F11" i="8" l="1"/>
  <c r="DB11" i="8" s="1"/>
  <c r="E10" i="8" l="1"/>
  <c r="DB10" i="8" s="1"/>
  <c r="DD130" i="8" l="1"/>
  <c r="DC130" i="8"/>
  <c r="D9" i="8"/>
  <c r="DB126" i="8" l="1"/>
  <c r="DB128" i="8" s="1"/>
  <c r="DB9" i="8"/>
  <c r="DE130" i="8"/>
  <c r="DE132" i="8" s="1"/>
  <c r="DB119" i="8" l="1"/>
  <c r="C119" i="8"/>
  <c r="DD125" i="8" l="1"/>
  <c r="G84" i="1" l="1"/>
  <c r="Q91" i="1" l="1"/>
  <c r="Q90" i="1"/>
  <c r="H54" i="1" l="1"/>
  <c r="N87" i="1" l="1"/>
  <c r="N52" i="1" l="1"/>
  <c r="D197" i="4" l="1"/>
  <c r="M90" i="1" l="1"/>
  <c r="N90" i="1" l="1"/>
  <c r="N46" i="1" l="1"/>
  <c r="O88" i="1"/>
  <c r="Q88" i="1" s="1"/>
  <c r="N71" i="1"/>
  <c r="L85" i="1"/>
  <c r="L89" i="1" s="1"/>
  <c r="P84" i="1"/>
  <c r="D353" i="4"/>
  <c r="F353" i="4" s="1"/>
  <c r="F369" i="4" s="1"/>
  <c r="N63" i="1"/>
  <c r="D116" i="4"/>
  <c r="G8" i="2"/>
  <c r="F411" i="4"/>
  <c r="G7" i="2"/>
  <c r="G6" i="2"/>
  <c r="A8" i="2"/>
  <c r="A7" i="2"/>
  <c r="A6" i="2"/>
  <c r="A5" i="2"/>
  <c r="A4" i="2"/>
  <c r="A3" i="2"/>
  <c r="D238" i="4"/>
  <c r="F238" i="4" s="1"/>
  <c r="F253" i="4" s="1"/>
  <c r="C123" i="8"/>
  <c r="C121" i="8"/>
  <c r="F198" i="4"/>
  <c r="F215" i="4" s="1"/>
  <c r="F197" i="4"/>
  <c r="F214" i="4" s="1"/>
  <c r="F4" i="4"/>
  <c r="B96" i="4" s="1"/>
  <c r="B407" i="4"/>
  <c r="B406" i="4"/>
  <c r="B405" i="4"/>
  <c r="B367" i="4"/>
  <c r="B366" i="4"/>
  <c r="B365" i="4"/>
  <c r="B329" i="4"/>
  <c r="B328" i="4"/>
  <c r="B327" i="4"/>
  <c r="B289" i="4"/>
  <c r="B288" i="4"/>
  <c r="B287" i="4"/>
  <c r="B250" i="4"/>
  <c r="B249" i="4"/>
  <c r="B248" i="4"/>
  <c r="B212" i="4"/>
  <c r="B211" i="4"/>
  <c r="B210" i="4"/>
  <c r="B173" i="4"/>
  <c r="B172" i="4"/>
  <c r="B171" i="4"/>
  <c r="B134" i="4"/>
  <c r="B133" i="4"/>
  <c r="B132" i="4"/>
  <c r="B94" i="4"/>
  <c r="B95" i="4"/>
  <c r="B93" i="4"/>
  <c r="B56" i="4"/>
  <c r="B55" i="4"/>
  <c r="B54" i="4"/>
  <c r="C115" i="8"/>
  <c r="C113" i="8"/>
  <c r="C111" i="8"/>
  <c r="E193" i="4"/>
  <c r="E194" i="4"/>
  <c r="D195" i="4"/>
  <c r="F195" i="4" s="1"/>
  <c r="C125" i="8"/>
  <c r="C9" i="8"/>
  <c r="C134" i="8"/>
  <c r="C130" i="8"/>
  <c r="D313" i="4"/>
  <c r="F313" i="4" s="1"/>
  <c r="F235" i="4"/>
  <c r="D158" i="4"/>
  <c r="F158" i="4" s="1"/>
  <c r="D117" i="4"/>
  <c r="F117" i="4" s="1"/>
  <c r="E8" i="6"/>
  <c r="E10" i="6"/>
  <c r="B1" i="4"/>
  <c r="E2236" i="4" s="1"/>
  <c r="B2" i="4"/>
  <c r="B49" i="4" s="1"/>
  <c r="C2" i="4"/>
  <c r="D2" i="4"/>
  <c r="E2" i="4"/>
  <c r="B1073" i="4" s="1"/>
  <c r="B3" i="4"/>
  <c r="B73" i="4" s="1"/>
  <c r="C3" i="4"/>
  <c r="E3" i="4"/>
  <c r="B2185" i="4" s="1"/>
  <c r="B4" i="4"/>
  <c r="B111" i="4" s="1"/>
  <c r="B127" i="4" s="1"/>
  <c r="E127" i="4" s="1"/>
  <c r="C4" i="4"/>
  <c r="E4" i="4"/>
  <c r="B5" i="4"/>
  <c r="B152" i="4" s="1"/>
  <c r="C5" i="4"/>
  <c r="E5" i="4"/>
  <c r="B6" i="4"/>
  <c r="B189" i="4" s="1"/>
  <c r="B205" i="4" s="1"/>
  <c r="E205" i="4" s="1"/>
  <c r="C6" i="4"/>
  <c r="E6" i="4"/>
  <c r="B7" i="4"/>
  <c r="B230" i="4" s="1"/>
  <c r="C7" i="4"/>
  <c r="E7" i="4"/>
  <c r="B8" i="4"/>
  <c r="B266" i="4" s="1"/>
  <c r="B282" i="4" s="1"/>
  <c r="E282" i="4" s="1"/>
  <c r="C8" i="4"/>
  <c r="E8" i="4"/>
  <c r="B9" i="4"/>
  <c r="B307" i="4" s="1"/>
  <c r="C9" i="4"/>
  <c r="E9" i="4"/>
  <c r="B10" i="4"/>
  <c r="B345" i="4" s="1"/>
  <c r="B360" i="4" s="1"/>
  <c r="E360" i="4" s="1"/>
  <c r="C10" i="4"/>
  <c r="E10" i="4"/>
  <c r="B11" i="4"/>
  <c r="B385" i="4" s="1"/>
  <c r="C11" i="4"/>
  <c r="E11" i="4"/>
  <c r="B12" i="4"/>
  <c r="B423" i="4" s="1"/>
  <c r="B439" i="4" s="1"/>
  <c r="E439" i="4" s="1"/>
  <c r="C12" i="4"/>
  <c r="D12" i="4"/>
  <c r="E12" i="4"/>
  <c r="B13" i="4"/>
  <c r="B461" i="4" s="1"/>
  <c r="C13" i="4"/>
  <c r="D13" i="4"/>
  <c r="E13" i="4"/>
  <c r="B14" i="4"/>
  <c r="B497" i="4" s="1"/>
  <c r="B512" i="4" s="1"/>
  <c r="E512" i="4" s="1"/>
  <c r="C14" i="4"/>
  <c r="D14" i="4"/>
  <c r="E14" i="4"/>
  <c r="B15" i="4"/>
  <c r="B535" i="4" s="1"/>
  <c r="C15" i="4"/>
  <c r="D15" i="4"/>
  <c r="E15" i="4"/>
  <c r="B16" i="4"/>
  <c r="B570" i="4" s="1"/>
  <c r="B585" i="4" s="1"/>
  <c r="E585" i="4" s="1"/>
  <c r="C16" i="4"/>
  <c r="D16" i="4"/>
  <c r="E16" i="4"/>
  <c r="B17" i="4"/>
  <c r="B608" i="4" s="1"/>
  <c r="E623" i="4" s="1"/>
  <c r="C17" i="4"/>
  <c r="D17" i="4"/>
  <c r="E17" i="4"/>
  <c r="B18" i="4"/>
  <c r="B644" i="4" s="1"/>
  <c r="B659" i="4" s="1"/>
  <c r="E659" i="4" s="1"/>
  <c r="C18" i="4"/>
  <c r="D18" i="4"/>
  <c r="E18" i="4"/>
  <c r="B19" i="4"/>
  <c r="B682" i="4" s="1"/>
  <c r="E697" i="4" s="1"/>
  <c r="C19" i="4"/>
  <c r="D19" i="4"/>
  <c r="E19" i="4"/>
  <c r="B20" i="4"/>
  <c r="B718" i="4" s="1"/>
  <c r="B733" i="4" s="1"/>
  <c r="E733" i="4" s="1"/>
  <c r="C20" i="4"/>
  <c r="D20" i="4"/>
  <c r="E20" i="4"/>
  <c r="B21" i="4"/>
  <c r="B756" i="4" s="1"/>
  <c r="E771" i="4" s="1"/>
  <c r="C21" i="4"/>
  <c r="D21" i="4"/>
  <c r="E21" i="4"/>
  <c r="B22" i="4"/>
  <c r="B792" i="4" s="1"/>
  <c r="B808" i="4" s="1"/>
  <c r="E808" i="4" s="1"/>
  <c r="C22" i="4"/>
  <c r="D22" i="4"/>
  <c r="E22" i="4"/>
  <c r="B23" i="4"/>
  <c r="B831" i="4" s="1"/>
  <c r="B846" i="4" s="1"/>
  <c r="C23" i="4"/>
  <c r="D23" i="4"/>
  <c r="E23" i="4"/>
  <c r="B24" i="4"/>
  <c r="B867" i="4" s="1"/>
  <c r="B882" i="4" s="1"/>
  <c r="E882" i="4" s="1"/>
  <c r="C24" i="4"/>
  <c r="D24" i="4"/>
  <c r="E24" i="4"/>
  <c r="G30" i="4"/>
  <c r="B255" i="4" s="1"/>
  <c r="E34" i="4"/>
  <c r="E111" i="4" s="1"/>
  <c r="H35" i="4"/>
  <c r="H52" i="4" s="1"/>
  <c r="D52" i="4" s="1"/>
  <c r="E38" i="4"/>
  <c r="B51" i="4"/>
  <c r="D51" i="4"/>
  <c r="H51" i="4" s="1"/>
  <c r="E51" i="4"/>
  <c r="H56" i="4"/>
  <c r="G70" i="4"/>
  <c r="E73" i="4"/>
  <c r="E385" i="4" s="1"/>
  <c r="H74" i="4"/>
  <c r="H90" i="4" s="1"/>
  <c r="E77" i="4"/>
  <c r="D78" i="4"/>
  <c r="F78" i="4" s="1"/>
  <c r="F96" i="4" s="1"/>
  <c r="H89" i="4"/>
  <c r="B90" i="4"/>
  <c r="E90" i="4"/>
  <c r="H95" i="4"/>
  <c r="G107" i="4"/>
  <c r="H112" i="4"/>
  <c r="H130" i="4" s="1"/>
  <c r="D130" i="4" s="1"/>
  <c r="E115" i="4"/>
  <c r="E116" i="4"/>
  <c r="D119" i="4"/>
  <c r="F119" i="4" s="1"/>
  <c r="F136" i="4" s="1"/>
  <c r="D120" i="4"/>
  <c r="F120" i="4" s="1"/>
  <c r="B129" i="4"/>
  <c r="D129" i="4"/>
  <c r="H129" i="4" s="1"/>
  <c r="E129" i="4"/>
  <c r="H134" i="4"/>
  <c r="F137" i="4"/>
  <c r="G149" i="4"/>
  <c r="E152" i="4"/>
  <c r="H153" i="4"/>
  <c r="H169" i="4" s="1"/>
  <c r="D170" i="4" s="1"/>
  <c r="E156" i="4"/>
  <c r="E157" i="4"/>
  <c r="D160" i="4"/>
  <c r="F160" i="4" s="1"/>
  <c r="F175" i="4" s="1"/>
  <c r="D161" i="4"/>
  <c r="F161" i="4" s="1"/>
  <c r="B169" i="4"/>
  <c r="E169" i="4"/>
  <c r="H173" i="4"/>
  <c r="F176" i="4"/>
  <c r="G185" i="4"/>
  <c r="H190" i="4"/>
  <c r="H208" i="4" s="1"/>
  <c r="D208" i="4" s="1"/>
  <c r="B207" i="4"/>
  <c r="D207" i="4"/>
  <c r="H207" i="4" s="1"/>
  <c r="E207" i="4"/>
  <c r="H212" i="4"/>
  <c r="G227" i="4"/>
  <c r="H250" i="4" s="1"/>
  <c r="E230" i="4"/>
  <c r="H231" i="4"/>
  <c r="H246" i="4" s="1"/>
  <c r="D247" i="4" s="1"/>
  <c r="E233" i="4"/>
  <c r="E234" i="4"/>
  <c r="D237" i="4"/>
  <c r="B246" i="4"/>
  <c r="E246" i="4"/>
  <c r="G263" i="4"/>
  <c r="H268" i="4"/>
  <c r="H285" i="4" s="1"/>
  <c r="D285" i="4" s="1"/>
  <c r="E271" i="4"/>
  <c r="E272" i="4"/>
  <c r="D273" i="4"/>
  <c r="F273" i="4" s="1"/>
  <c r="D275" i="4"/>
  <c r="F275" i="4" s="1"/>
  <c r="F291" i="4" s="1"/>
  <c r="D276" i="4"/>
  <c r="F276" i="4" s="1"/>
  <c r="F292" i="4" s="1"/>
  <c r="B284" i="4"/>
  <c r="D284" i="4"/>
  <c r="H284" i="4" s="1"/>
  <c r="E284" i="4"/>
  <c r="H289" i="4"/>
  <c r="G304" i="4"/>
  <c r="E307" i="4"/>
  <c r="H308" i="4"/>
  <c r="H324" i="4" s="1"/>
  <c r="D325" i="4" s="1"/>
  <c r="E311" i="4"/>
  <c r="E312" i="4"/>
  <c r="B324" i="4"/>
  <c r="D324" i="4"/>
  <c r="E324" i="4"/>
  <c r="H329" i="4"/>
  <c r="G341" i="4"/>
  <c r="H346" i="4"/>
  <c r="H363" i="4" s="1"/>
  <c r="D363" i="4" s="1"/>
  <c r="E349" i="4"/>
  <c r="E350" i="4"/>
  <c r="D351" i="4"/>
  <c r="F351" i="4" s="1"/>
  <c r="B362" i="4"/>
  <c r="D362" i="4"/>
  <c r="H362" i="4" s="1"/>
  <c r="E362" i="4"/>
  <c r="H367" i="4"/>
  <c r="G382" i="4"/>
  <c r="H386" i="4"/>
  <c r="H402" i="4" s="1"/>
  <c r="D403" i="4" s="1"/>
  <c r="E389" i="4"/>
  <c r="E390" i="4"/>
  <c r="D391" i="4"/>
  <c r="F391" i="4" s="1"/>
  <c r="D393" i="4"/>
  <c r="F393" i="4" s="1"/>
  <c r="F409" i="4" s="1"/>
  <c r="H401" i="4"/>
  <c r="D402" i="4" s="1"/>
  <c r="B402" i="4"/>
  <c r="E402" i="4"/>
  <c r="H407" i="4"/>
  <c r="G419" i="4"/>
  <c r="H425" i="4"/>
  <c r="H442" i="4" s="1"/>
  <c r="D442" i="4" s="1"/>
  <c r="E428" i="4"/>
  <c r="E429" i="4"/>
  <c r="D430" i="4"/>
  <c r="F430" i="4" s="1"/>
  <c r="F447" i="4" s="1"/>
  <c r="D431" i="4"/>
  <c r="F431" i="4" s="1"/>
  <c r="F448" i="4" s="1"/>
  <c r="B441" i="4"/>
  <c r="D441" i="4"/>
  <c r="H441" i="4" s="1"/>
  <c r="E441" i="4"/>
  <c r="H445" i="4"/>
  <c r="G459" i="4"/>
  <c r="H463" i="4"/>
  <c r="H478" i="4" s="1"/>
  <c r="D479" i="4" s="1"/>
  <c r="E466" i="4"/>
  <c r="E467" i="4"/>
  <c r="D468" i="4"/>
  <c r="F468" i="4" s="1"/>
  <c r="F487" i="4" s="1"/>
  <c r="D469" i="4"/>
  <c r="F469" i="4" s="1"/>
  <c r="F485" i="4" s="1"/>
  <c r="D470" i="4"/>
  <c r="F470" i="4" s="1"/>
  <c r="F486" i="4" s="1"/>
  <c r="H477" i="4"/>
  <c r="D478" i="4" s="1"/>
  <c r="B478" i="4"/>
  <c r="E478" i="4"/>
  <c r="H483" i="4"/>
  <c r="G494" i="4"/>
  <c r="H499" i="4"/>
  <c r="H515" i="4" s="1"/>
  <c r="D515" i="4" s="1"/>
  <c r="E502" i="4"/>
  <c r="E503" i="4"/>
  <c r="D504" i="4"/>
  <c r="F504" i="4" s="1"/>
  <c r="F523" i="4" s="1"/>
  <c r="D505" i="4"/>
  <c r="F505" i="4" s="1"/>
  <c r="F521" i="4" s="1"/>
  <c r="D506" i="4"/>
  <c r="F506" i="4" s="1"/>
  <c r="F522" i="4" s="1"/>
  <c r="B514" i="4"/>
  <c r="D514" i="4"/>
  <c r="H514" i="4" s="1"/>
  <c r="E514" i="4"/>
  <c r="G533" i="4"/>
  <c r="E536" i="4"/>
  <c r="H537" i="4"/>
  <c r="H552" i="4" s="1"/>
  <c r="D553" i="4" s="1"/>
  <c r="E540" i="4"/>
  <c r="E541" i="4"/>
  <c r="D542" i="4"/>
  <c r="F542" i="4" s="1"/>
  <c r="F558" i="4" s="1"/>
  <c r="D543" i="4"/>
  <c r="F543" i="4" s="1"/>
  <c r="F559" i="4" s="1"/>
  <c r="H551" i="4"/>
  <c r="D552" i="4" s="1"/>
  <c r="B552" i="4"/>
  <c r="E552" i="4"/>
  <c r="G567" i="4"/>
  <c r="H572" i="4"/>
  <c r="H588" i="4" s="1"/>
  <c r="D588" i="4" s="1"/>
  <c r="E575" i="4"/>
  <c r="E576" i="4"/>
  <c r="D577" i="4"/>
  <c r="F577" i="4" s="1"/>
  <c r="F596" i="4" s="1"/>
  <c r="D578" i="4"/>
  <c r="F578" i="4" s="1"/>
  <c r="F594" i="4" s="1"/>
  <c r="D579" i="4"/>
  <c r="F579" i="4" s="1"/>
  <c r="F595" i="4" s="1"/>
  <c r="B587" i="4"/>
  <c r="D587" i="4"/>
  <c r="H587" i="4" s="1"/>
  <c r="E587" i="4"/>
  <c r="G606" i="4"/>
  <c r="E609" i="4"/>
  <c r="H610" i="4"/>
  <c r="H625" i="4" s="1"/>
  <c r="D626" i="4" s="1"/>
  <c r="E613" i="4"/>
  <c r="E614" i="4"/>
  <c r="D615" i="4"/>
  <c r="F615" i="4" s="1"/>
  <c r="F634" i="4" s="1"/>
  <c r="D616" i="4"/>
  <c r="F616" i="4" s="1"/>
  <c r="F632" i="4" s="1"/>
  <c r="D617" i="4"/>
  <c r="F617" i="4" s="1"/>
  <c r="F633" i="4" s="1"/>
  <c r="H624" i="4"/>
  <c r="D625" i="4" s="1"/>
  <c r="B625" i="4"/>
  <c r="E625" i="4"/>
  <c r="G641" i="4"/>
  <c r="H646" i="4"/>
  <c r="H662" i="4" s="1"/>
  <c r="D662" i="4" s="1"/>
  <c r="E649" i="4"/>
  <c r="E650" i="4"/>
  <c r="D651" i="4"/>
  <c r="F651" i="4" s="1"/>
  <c r="F670" i="4" s="1"/>
  <c r="D652" i="4"/>
  <c r="F652" i="4" s="1"/>
  <c r="F668" i="4" s="1"/>
  <c r="D653" i="4"/>
  <c r="F653" i="4" s="1"/>
  <c r="F669" i="4" s="1"/>
  <c r="B661" i="4"/>
  <c r="D661" i="4"/>
  <c r="H661" i="4" s="1"/>
  <c r="E661" i="4"/>
  <c r="G679" i="4"/>
  <c r="E683" i="4"/>
  <c r="E699" i="4" s="1"/>
  <c r="H684" i="4"/>
  <c r="H699" i="4" s="1"/>
  <c r="D700" i="4" s="1"/>
  <c r="E687" i="4"/>
  <c r="E688" i="4"/>
  <c r="D689" i="4"/>
  <c r="F689" i="4" s="1"/>
  <c r="F708" i="4" s="1"/>
  <c r="D690" i="4"/>
  <c r="F690" i="4" s="1"/>
  <c r="F706" i="4" s="1"/>
  <c r="D691" i="4"/>
  <c r="F691" i="4" s="1"/>
  <c r="F707" i="4" s="1"/>
  <c r="H698" i="4"/>
  <c r="D699" i="4" s="1"/>
  <c r="B699" i="4"/>
  <c r="G715" i="4"/>
  <c r="H720" i="4"/>
  <c r="H736" i="4" s="1"/>
  <c r="D736" i="4" s="1"/>
  <c r="E723" i="4"/>
  <c r="E724" i="4"/>
  <c r="D725" i="4"/>
  <c r="F725" i="4" s="1"/>
  <c r="F744" i="4" s="1"/>
  <c r="D726" i="4"/>
  <c r="F726" i="4" s="1"/>
  <c r="F742" i="4" s="1"/>
  <c r="D727" i="4"/>
  <c r="F727" i="4" s="1"/>
  <c r="F743" i="4" s="1"/>
  <c r="B735" i="4"/>
  <c r="D735" i="4"/>
  <c r="H735" i="4" s="1"/>
  <c r="G754" i="4"/>
  <c r="E757" i="4"/>
  <c r="H758" i="4"/>
  <c r="H773" i="4" s="1"/>
  <c r="D774" i="4" s="1"/>
  <c r="E761" i="4"/>
  <c r="E762" i="4"/>
  <c r="F763" i="4"/>
  <c r="F782" i="4" s="1"/>
  <c r="D764" i="4"/>
  <c r="F764" i="4" s="1"/>
  <c r="F780" i="4" s="1"/>
  <c r="D765" i="4"/>
  <c r="F765" i="4" s="1"/>
  <c r="F781" i="4" s="1"/>
  <c r="H772" i="4"/>
  <c r="D773" i="4" s="1"/>
  <c r="B773" i="4"/>
  <c r="E773" i="4"/>
  <c r="G789" i="4"/>
  <c r="H794" i="4"/>
  <c r="H811" i="4" s="1"/>
  <c r="D811" i="4" s="1"/>
  <c r="E797" i="4"/>
  <c r="E798" i="4"/>
  <c r="D799" i="4"/>
  <c r="F799" i="4" s="1"/>
  <c r="F817" i="4" s="1"/>
  <c r="D800" i="4"/>
  <c r="F800" i="4" s="1"/>
  <c r="F818" i="4" s="1"/>
  <c r="B810" i="4"/>
  <c r="D810" i="4"/>
  <c r="H810" i="4" s="1"/>
  <c r="E810" i="4"/>
  <c r="G829" i="4"/>
  <c r="E832" i="4"/>
  <c r="H833" i="4"/>
  <c r="H848" i="4" s="1"/>
  <c r="D849" i="4" s="1"/>
  <c r="E836" i="4"/>
  <c r="E837" i="4"/>
  <c r="D838" i="4"/>
  <c r="F838" i="4" s="1"/>
  <c r="F857" i="4" s="1"/>
  <c r="D839" i="4"/>
  <c r="F839" i="4" s="1"/>
  <c r="F855" i="4" s="1"/>
  <c r="D840" i="4"/>
  <c r="F840" i="4" s="1"/>
  <c r="F856" i="4" s="1"/>
  <c r="H847" i="4"/>
  <c r="D848" i="4" s="1"/>
  <c r="B848" i="4"/>
  <c r="E848" i="4"/>
  <c r="G864" i="4"/>
  <c r="H869" i="4"/>
  <c r="H885" i="4" s="1"/>
  <c r="D885" i="4" s="1"/>
  <c r="E872" i="4"/>
  <c r="D873" i="4"/>
  <c r="E873" i="4"/>
  <c r="D874" i="4"/>
  <c r="F874" i="4" s="1"/>
  <c r="F891" i="4" s="1"/>
  <c r="D875" i="4"/>
  <c r="F875" i="4" s="1"/>
  <c r="F892" i="4" s="1"/>
  <c r="B884" i="4"/>
  <c r="D884" i="4"/>
  <c r="H884" i="4" s="1"/>
  <c r="E884" i="4"/>
  <c r="G903" i="4"/>
  <c r="B905" i="4"/>
  <c r="B920" i="4" s="1"/>
  <c r="E906" i="4"/>
  <c r="E910" i="4"/>
  <c r="E911" i="4"/>
  <c r="D912" i="4"/>
  <c r="F912" i="4" s="1"/>
  <c r="F929" i="4" s="1"/>
  <c r="D913" i="4"/>
  <c r="F913" i="4"/>
  <c r="H921" i="4"/>
  <c r="D922" i="4" s="1"/>
  <c r="B922" i="4"/>
  <c r="E922" i="4"/>
  <c r="F930" i="4"/>
  <c r="G938" i="4"/>
  <c r="B941" i="4"/>
  <c r="B956" i="4" s="1"/>
  <c r="E956" i="4" s="1"/>
  <c r="E946" i="4"/>
  <c r="E947" i="4"/>
  <c r="D948" i="4"/>
  <c r="F948" i="4" s="1"/>
  <c r="F965" i="4" s="1"/>
  <c r="D949" i="4"/>
  <c r="F949" i="4" s="1"/>
  <c r="F966" i="4" s="1"/>
  <c r="B958" i="4"/>
  <c r="D958" i="4"/>
  <c r="H958" i="4" s="1"/>
  <c r="E958" i="4"/>
  <c r="G977" i="4"/>
  <c r="B979" i="4"/>
  <c r="B994" i="4" s="1"/>
  <c r="E980" i="4"/>
  <c r="E984" i="4"/>
  <c r="E985" i="4"/>
  <c r="D986" i="4"/>
  <c r="F986" i="4" s="1"/>
  <c r="F1003" i="4" s="1"/>
  <c r="E986" i="4"/>
  <c r="D987" i="4"/>
  <c r="F987" i="4" s="1"/>
  <c r="E987" i="4"/>
  <c r="H995" i="4"/>
  <c r="D996" i="4" s="1"/>
  <c r="B996" i="4"/>
  <c r="E996" i="4"/>
  <c r="F1004" i="4"/>
  <c r="G1012" i="4"/>
  <c r="B1015" i="4"/>
  <c r="B1030" i="4" s="1"/>
  <c r="E1020" i="4"/>
  <c r="F1021" i="4"/>
  <c r="F1038" i="4" s="1"/>
  <c r="D1022" i="4"/>
  <c r="F1022" i="4" s="1"/>
  <c r="F1039" i="4" s="1"/>
  <c r="D1023" i="4"/>
  <c r="F1023" i="4" s="1"/>
  <c r="F1040" i="4" s="1"/>
  <c r="B1032" i="4"/>
  <c r="D1032" i="4"/>
  <c r="H1032" i="4" s="1"/>
  <c r="E1032" i="4"/>
  <c r="G1051" i="4"/>
  <c r="B1053" i="4"/>
  <c r="B1068" i="4" s="1"/>
  <c r="E1054" i="4"/>
  <c r="E1058" i="4"/>
  <c r="D1059" i="4"/>
  <c r="E1059" i="4"/>
  <c r="D1060" i="4"/>
  <c r="F1060" i="4" s="1"/>
  <c r="F1077" i="4" s="1"/>
  <c r="E1060" i="4"/>
  <c r="D1061" i="4"/>
  <c r="E1061" i="4"/>
  <c r="F1061" i="4"/>
  <c r="H1069" i="4"/>
  <c r="D1070" i="4" s="1"/>
  <c r="B1070" i="4"/>
  <c r="E1070" i="4"/>
  <c r="F1078" i="4"/>
  <c r="G1086" i="4"/>
  <c r="B1089" i="4"/>
  <c r="B1104" i="4" s="1"/>
  <c r="E1104" i="4" s="1"/>
  <c r="E1094" i="4"/>
  <c r="D1095" i="4"/>
  <c r="E1095" i="4"/>
  <c r="D1096" i="4"/>
  <c r="F1096" i="4" s="1"/>
  <c r="F1113" i="4" s="1"/>
  <c r="D1097" i="4"/>
  <c r="F1097" i="4" s="1"/>
  <c r="F1114" i="4" s="1"/>
  <c r="B1106" i="4"/>
  <c r="D1106" i="4"/>
  <c r="H1106" i="4" s="1"/>
  <c r="E1106" i="4"/>
  <c r="G1125" i="4"/>
  <c r="B1127" i="4"/>
  <c r="B1142" i="4" s="1"/>
  <c r="E1128" i="4"/>
  <c r="E1132" i="4"/>
  <c r="D1133" i="4"/>
  <c r="E1133" i="4"/>
  <c r="D1134" i="4"/>
  <c r="F1134" i="4" s="1"/>
  <c r="F1151" i="4" s="1"/>
  <c r="E1134" i="4"/>
  <c r="D1135" i="4"/>
  <c r="E1135" i="4"/>
  <c r="F1135" i="4"/>
  <c r="H1143" i="4"/>
  <c r="D1144" i="4" s="1"/>
  <c r="B1144" i="4"/>
  <c r="E1144" i="4"/>
  <c r="F1152" i="4"/>
  <c r="G1160" i="4"/>
  <c r="B1163" i="4"/>
  <c r="B1178" i="4" s="1"/>
  <c r="E1178" i="4" s="1"/>
  <c r="E1168" i="4"/>
  <c r="D1169" i="4"/>
  <c r="E1169" i="4"/>
  <c r="D1170" i="4"/>
  <c r="F1170" i="4" s="1"/>
  <c r="F1187" i="4" s="1"/>
  <c r="D1171" i="4"/>
  <c r="F1171" i="4" s="1"/>
  <c r="F1188" i="4" s="1"/>
  <c r="B1180" i="4"/>
  <c r="D1180" i="4"/>
  <c r="H1180" i="4" s="1"/>
  <c r="E1180" i="4"/>
  <c r="G1199" i="4"/>
  <c r="B1201" i="4"/>
  <c r="E1216" i="4" s="1"/>
  <c r="E1202" i="4"/>
  <c r="E1206" i="4"/>
  <c r="D1207" i="4"/>
  <c r="E1207" i="4"/>
  <c r="D1208" i="4"/>
  <c r="F1208" i="4" s="1"/>
  <c r="F1225" i="4" s="1"/>
  <c r="E1208" i="4"/>
  <c r="D1209" i="4"/>
  <c r="F1209" i="4" s="1"/>
  <c r="F1226" i="4" s="1"/>
  <c r="E1209" i="4"/>
  <c r="H1217" i="4"/>
  <c r="D1218" i="4" s="1"/>
  <c r="B1218" i="4"/>
  <c r="E1218" i="4"/>
  <c r="G1234" i="4"/>
  <c r="B1237" i="4"/>
  <c r="B1252" i="4" s="1"/>
  <c r="E1252" i="4" s="1"/>
  <c r="E1242" i="4"/>
  <c r="D1243" i="4"/>
  <c r="E1243" i="4"/>
  <c r="D1244" i="4"/>
  <c r="F1244" i="4" s="1"/>
  <c r="F1261" i="4" s="1"/>
  <c r="D1245" i="4"/>
  <c r="F1245" i="4" s="1"/>
  <c r="F1262" i="4" s="1"/>
  <c r="B1254" i="4"/>
  <c r="D1254" i="4"/>
  <c r="H1254" i="4" s="1"/>
  <c r="E1254" i="4"/>
  <c r="G1273" i="4"/>
  <c r="B1275" i="4"/>
  <c r="E1290" i="4" s="1"/>
  <c r="E1276" i="4"/>
  <c r="E1280" i="4"/>
  <c r="D1281" i="4"/>
  <c r="E1281" i="4"/>
  <c r="D1282" i="4"/>
  <c r="F1282" i="4" s="1"/>
  <c r="F1299" i="4" s="1"/>
  <c r="E1282" i="4"/>
  <c r="D1283" i="4"/>
  <c r="F1283" i="4" s="1"/>
  <c r="F1300" i="4" s="1"/>
  <c r="E1283" i="4"/>
  <c r="H1291" i="4"/>
  <c r="D1292" i="4" s="1"/>
  <c r="B1292" i="4"/>
  <c r="E1292" i="4"/>
  <c r="G1308" i="4"/>
  <c r="B1311" i="4"/>
  <c r="B1326" i="4" s="1"/>
  <c r="E1326" i="4" s="1"/>
  <c r="E1316" i="4"/>
  <c r="D1317" i="4"/>
  <c r="E1317" i="4"/>
  <c r="D1318" i="4"/>
  <c r="F1318" i="4" s="1"/>
  <c r="F1335" i="4" s="1"/>
  <c r="D1319" i="4"/>
  <c r="F1319" i="4" s="1"/>
  <c r="F1336" i="4" s="1"/>
  <c r="B1328" i="4"/>
  <c r="D1328" i="4"/>
  <c r="H1328" i="4" s="1"/>
  <c r="E1328" i="4"/>
  <c r="G1347" i="4"/>
  <c r="B1349" i="4"/>
  <c r="B1364" i="4" s="1"/>
  <c r="E1350" i="4"/>
  <c r="E1354" i="4"/>
  <c r="D1355" i="4"/>
  <c r="E1355" i="4"/>
  <c r="D1356" i="4"/>
  <c r="F1356" i="4" s="1"/>
  <c r="F1373" i="4" s="1"/>
  <c r="E1356" i="4"/>
  <c r="D1357" i="4"/>
  <c r="F1357" i="4" s="1"/>
  <c r="F1374" i="4" s="1"/>
  <c r="E1357" i="4"/>
  <c r="H1365" i="4"/>
  <c r="D1366" i="4" s="1"/>
  <c r="B1366" i="4"/>
  <c r="E1366" i="4"/>
  <c r="G1382" i="4"/>
  <c r="B1385" i="4"/>
  <c r="B1400" i="4" s="1"/>
  <c r="E1400" i="4" s="1"/>
  <c r="E1390" i="4"/>
  <c r="D1391" i="4"/>
  <c r="E1391" i="4"/>
  <c r="D1392" i="4"/>
  <c r="F1392" i="4" s="1"/>
  <c r="F1409" i="4" s="1"/>
  <c r="D1393" i="4"/>
  <c r="F1393" i="4" s="1"/>
  <c r="F1410" i="4" s="1"/>
  <c r="B1402" i="4"/>
  <c r="D1402" i="4"/>
  <c r="H1402" i="4" s="1"/>
  <c r="E1402" i="4"/>
  <c r="G1421" i="4"/>
  <c r="B1423" i="4"/>
  <c r="E1438" i="4" s="1"/>
  <c r="E1424" i="4"/>
  <c r="E1428" i="4"/>
  <c r="D1429" i="4"/>
  <c r="E1429" i="4"/>
  <c r="D1430" i="4"/>
  <c r="F1430" i="4" s="1"/>
  <c r="F1447" i="4" s="1"/>
  <c r="E1430" i="4"/>
  <c r="D1431" i="4"/>
  <c r="F1431" i="4" s="1"/>
  <c r="F1448" i="4" s="1"/>
  <c r="E1431" i="4"/>
  <c r="H1439" i="4"/>
  <c r="D1440" i="4" s="1"/>
  <c r="B1440" i="4"/>
  <c r="E1440" i="4"/>
  <c r="G1456" i="4"/>
  <c r="B1459" i="4"/>
  <c r="B1474" i="4" s="1"/>
  <c r="E1474" i="4" s="1"/>
  <c r="E1464" i="4"/>
  <c r="D1465" i="4"/>
  <c r="E1465" i="4"/>
  <c r="D1466" i="4"/>
  <c r="F1466" i="4" s="1"/>
  <c r="F1483" i="4" s="1"/>
  <c r="D1467" i="4"/>
  <c r="F1467" i="4" s="1"/>
  <c r="F1484" i="4" s="1"/>
  <c r="B1476" i="4"/>
  <c r="D1476" i="4"/>
  <c r="H1476" i="4" s="1"/>
  <c r="E1476" i="4"/>
  <c r="G1495" i="4"/>
  <c r="B1497" i="4"/>
  <c r="E1512" i="4" s="1"/>
  <c r="E1498" i="4"/>
  <c r="E1502" i="4"/>
  <c r="D1503" i="4"/>
  <c r="E1503" i="4"/>
  <c r="D1504" i="4"/>
  <c r="F1504" i="4" s="1"/>
  <c r="F1521" i="4" s="1"/>
  <c r="E1504" i="4"/>
  <c r="D1505" i="4"/>
  <c r="F1505" i="4" s="1"/>
  <c r="F1522" i="4" s="1"/>
  <c r="E1505" i="4"/>
  <c r="H1513" i="4"/>
  <c r="D1514" i="4" s="1"/>
  <c r="B1514" i="4"/>
  <c r="E1514" i="4"/>
  <c r="G1530" i="4"/>
  <c r="B1533" i="4"/>
  <c r="B1548" i="4" s="1"/>
  <c r="E1548" i="4" s="1"/>
  <c r="E1538" i="4"/>
  <c r="D1539" i="4"/>
  <c r="E1539" i="4"/>
  <c r="D1540" i="4"/>
  <c r="F1540" i="4" s="1"/>
  <c r="F1557" i="4" s="1"/>
  <c r="D1541" i="4"/>
  <c r="F1541" i="4" s="1"/>
  <c r="F1558" i="4" s="1"/>
  <c r="B1550" i="4"/>
  <c r="D1550" i="4"/>
  <c r="H1550" i="4" s="1"/>
  <c r="E1550" i="4"/>
  <c r="G1569" i="4"/>
  <c r="B1571" i="4"/>
  <c r="B1586" i="4" s="1"/>
  <c r="E1572" i="4"/>
  <c r="E1576" i="4"/>
  <c r="D1577" i="4"/>
  <c r="E1577" i="4"/>
  <c r="D1578" i="4"/>
  <c r="F1578" i="4" s="1"/>
  <c r="F1595" i="4" s="1"/>
  <c r="E1578" i="4"/>
  <c r="D1579" i="4"/>
  <c r="F1579" i="4" s="1"/>
  <c r="F1596" i="4" s="1"/>
  <c r="E1579" i="4"/>
  <c r="H1587" i="4"/>
  <c r="D1588" i="4" s="1"/>
  <c r="B1588" i="4"/>
  <c r="E1588" i="4"/>
  <c r="G1605" i="4"/>
  <c r="B1608" i="4"/>
  <c r="B1623" i="4" s="1"/>
  <c r="E1623" i="4" s="1"/>
  <c r="E1613" i="4"/>
  <c r="D1614" i="4"/>
  <c r="E1614" i="4"/>
  <c r="D1615" i="4"/>
  <c r="F1615" i="4" s="1"/>
  <c r="F1632" i="4" s="1"/>
  <c r="D1616" i="4"/>
  <c r="F1616" i="4" s="1"/>
  <c r="F1633" i="4" s="1"/>
  <c r="B1625" i="4"/>
  <c r="D1625" i="4"/>
  <c r="H1625" i="4" s="1"/>
  <c r="E1625" i="4"/>
  <c r="G1644" i="4"/>
  <c r="B1646" i="4"/>
  <c r="B1661" i="4" s="1"/>
  <c r="E1647" i="4"/>
  <c r="E1651" i="4"/>
  <c r="D1652" i="4"/>
  <c r="E1652" i="4"/>
  <c r="D1653" i="4"/>
  <c r="F1653" i="4" s="1"/>
  <c r="F1670" i="4" s="1"/>
  <c r="E1653" i="4"/>
  <c r="D1654" i="4"/>
  <c r="F1654" i="4" s="1"/>
  <c r="F1671" i="4" s="1"/>
  <c r="E1654" i="4"/>
  <c r="H1662" i="4"/>
  <c r="D1663" i="4" s="1"/>
  <c r="B1663" i="4"/>
  <c r="E1663" i="4"/>
  <c r="G1679" i="4"/>
  <c r="B1682" i="4"/>
  <c r="B1697" i="4" s="1"/>
  <c r="E1697" i="4" s="1"/>
  <c r="E1687" i="4"/>
  <c r="D1688" i="4"/>
  <c r="E1688" i="4"/>
  <c r="D1689" i="4"/>
  <c r="F1689" i="4" s="1"/>
  <c r="F1706" i="4" s="1"/>
  <c r="D1690" i="4"/>
  <c r="F1690" i="4" s="1"/>
  <c r="F1707" i="4" s="1"/>
  <c r="B1699" i="4"/>
  <c r="D1699" i="4"/>
  <c r="H1699" i="4" s="1"/>
  <c r="E1699" i="4"/>
  <c r="G1718" i="4"/>
  <c r="B1720" i="4"/>
  <c r="B1735" i="4" s="1"/>
  <c r="E1721" i="4"/>
  <c r="E1725" i="4"/>
  <c r="D1726" i="4"/>
  <c r="E1726" i="4"/>
  <c r="D1727" i="4"/>
  <c r="F1727" i="4" s="1"/>
  <c r="F1744" i="4" s="1"/>
  <c r="E1727" i="4"/>
  <c r="D1728" i="4"/>
  <c r="F1728" i="4" s="1"/>
  <c r="F1745" i="4" s="1"/>
  <c r="E1728" i="4"/>
  <c r="H1736" i="4"/>
  <c r="D1737" i="4" s="1"/>
  <c r="B1737" i="4"/>
  <c r="E1737" i="4"/>
  <c r="G1753" i="4"/>
  <c r="B1756" i="4"/>
  <c r="B1771" i="4" s="1"/>
  <c r="E1771" i="4" s="1"/>
  <c r="E1761" i="4"/>
  <c r="D1762" i="4"/>
  <c r="E1762" i="4"/>
  <c r="D1763" i="4"/>
  <c r="F1763" i="4" s="1"/>
  <c r="F1780" i="4" s="1"/>
  <c r="D1764" i="4"/>
  <c r="F1764" i="4" s="1"/>
  <c r="F1781" i="4" s="1"/>
  <c r="B1773" i="4"/>
  <c r="D1773" i="4"/>
  <c r="H1773" i="4" s="1"/>
  <c r="E1773" i="4"/>
  <c r="G1792" i="4"/>
  <c r="B1794" i="4"/>
  <c r="B1809" i="4" s="1"/>
  <c r="E1795" i="4"/>
  <c r="E1799" i="4"/>
  <c r="D1800" i="4"/>
  <c r="E1800" i="4"/>
  <c r="D1801" i="4"/>
  <c r="F1801" i="4" s="1"/>
  <c r="F1818" i="4" s="1"/>
  <c r="E1801" i="4"/>
  <c r="D1802" i="4"/>
  <c r="F1802" i="4" s="1"/>
  <c r="F1819" i="4" s="1"/>
  <c r="E1802" i="4"/>
  <c r="H1810" i="4"/>
  <c r="D1811" i="4" s="1"/>
  <c r="B1811" i="4"/>
  <c r="E1811" i="4"/>
  <c r="G1827" i="4"/>
  <c r="B1830" i="4"/>
  <c r="B1845" i="4" s="1"/>
  <c r="E1845" i="4" s="1"/>
  <c r="E1835" i="4"/>
  <c r="D1836" i="4"/>
  <c r="E1836" i="4"/>
  <c r="D1837" i="4"/>
  <c r="F1837" i="4" s="1"/>
  <c r="F1854" i="4" s="1"/>
  <c r="D1838" i="4"/>
  <c r="F1838" i="4" s="1"/>
  <c r="F1855" i="4" s="1"/>
  <c r="B1847" i="4"/>
  <c r="D1847" i="4"/>
  <c r="H1847" i="4" s="1"/>
  <c r="E1847" i="4"/>
  <c r="D1876" i="4"/>
  <c r="F1876" i="4" s="1"/>
  <c r="G1866" i="4"/>
  <c r="B1868" i="4"/>
  <c r="E1883" i="4" s="1"/>
  <c r="E1869" i="4"/>
  <c r="E1873" i="4"/>
  <c r="D1874" i="4"/>
  <c r="E1874" i="4"/>
  <c r="D1875" i="4"/>
  <c r="F1875" i="4" s="1"/>
  <c r="F1892" i="4" s="1"/>
  <c r="E1875" i="4"/>
  <c r="E1876" i="4"/>
  <c r="B1883" i="4"/>
  <c r="H1884" i="4"/>
  <c r="D1885" i="4" s="1"/>
  <c r="B1885" i="4"/>
  <c r="E1885" i="4"/>
  <c r="G1901" i="4"/>
  <c r="B1904" i="4"/>
  <c r="B1919" i="4" s="1"/>
  <c r="E1919" i="4" s="1"/>
  <c r="E1909" i="4"/>
  <c r="D1910" i="4"/>
  <c r="E1910" i="4"/>
  <c r="D1911" i="4"/>
  <c r="F1911" i="4" s="1"/>
  <c r="F1928" i="4" s="1"/>
  <c r="D1912" i="4"/>
  <c r="F1912" i="4" s="1"/>
  <c r="F1929" i="4" s="1"/>
  <c r="B1921" i="4"/>
  <c r="D1921" i="4"/>
  <c r="H1921" i="4" s="1"/>
  <c r="E1921" i="4"/>
  <c r="G1940" i="4"/>
  <c r="B1942" i="4"/>
  <c r="B1957" i="4" s="1"/>
  <c r="E1943" i="4"/>
  <c r="E1947" i="4"/>
  <c r="D1948" i="4"/>
  <c r="E1948" i="4"/>
  <c r="D1949" i="4"/>
  <c r="F1949" i="4" s="1"/>
  <c r="F1966" i="4" s="1"/>
  <c r="E1949" i="4"/>
  <c r="D1950" i="4"/>
  <c r="F1950" i="4" s="1"/>
  <c r="F1967" i="4" s="1"/>
  <c r="E1950" i="4"/>
  <c r="H1958" i="4"/>
  <c r="D1959" i="4" s="1"/>
  <c r="B1959" i="4"/>
  <c r="E1959" i="4"/>
  <c r="G1975" i="4"/>
  <c r="B1978" i="4"/>
  <c r="B1993" i="4" s="1"/>
  <c r="E1993" i="4" s="1"/>
  <c r="E1983" i="4"/>
  <c r="D1984" i="4"/>
  <c r="E1984" i="4"/>
  <c r="D1985" i="4"/>
  <c r="F1985" i="4" s="1"/>
  <c r="F2002" i="4" s="1"/>
  <c r="D1986" i="4"/>
  <c r="F1986" i="4" s="1"/>
  <c r="F2003" i="4" s="1"/>
  <c r="B1995" i="4"/>
  <c r="D1995" i="4"/>
  <c r="H1995" i="4" s="1"/>
  <c r="E1995" i="4"/>
  <c r="G2014" i="4"/>
  <c r="B2016" i="4"/>
  <c r="B2031" i="4" s="1"/>
  <c r="E2017" i="4"/>
  <c r="E2021" i="4"/>
  <c r="D2022" i="4"/>
  <c r="E2022" i="4"/>
  <c r="D2023" i="4"/>
  <c r="F2023" i="4" s="1"/>
  <c r="F2040" i="4" s="1"/>
  <c r="E2023" i="4"/>
  <c r="D2024" i="4"/>
  <c r="F2024" i="4" s="1"/>
  <c r="F2041" i="4" s="1"/>
  <c r="E2024" i="4"/>
  <c r="H2032" i="4"/>
  <c r="D2033" i="4" s="1"/>
  <c r="B2033" i="4"/>
  <c r="E2033" i="4"/>
  <c r="G2049" i="4"/>
  <c r="B2052" i="4"/>
  <c r="B2067" i="4" s="1"/>
  <c r="E2067" i="4" s="1"/>
  <c r="E2057" i="4"/>
  <c r="D2058" i="4"/>
  <c r="E2058" i="4"/>
  <c r="D2059" i="4"/>
  <c r="F2059" i="4" s="1"/>
  <c r="F2076" i="4" s="1"/>
  <c r="D2060" i="4"/>
  <c r="F2060" i="4" s="1"/>
  <c r="F2077" i="4" s="1"/>
  <c r="B2069" i="4"/>
  <c r="D2069" i="4"/>
  <c r="H2069" i="4" s="1"/>
  <c r="E2069" i="4"/>
  <c r="G2088" i="4"/>
  <c r="B2090" i="4"/>
  <c r="B2105" i="4" s="1"/>
  <c r="E2091" i="4"/>
  <c r="E2095" i="4"/>
  <c r="D2096" i="4"/>
  <c r="E2096" i="4"/>
  <c r="D2097" i="4"/>
  <c r="F2097" i="4" s="1"/>
  <c r="F2114" i="4" s="1"/>
  <c r="E2097" i="4"/>
  <c r="D2098" i="4"/>
  <c r="F2098" i="4" s="1"/>
  <c r="F2115" i="4" s="1"/>
  <c r="E2098" i="4"/>
  <c r="H2106" i="4"/>
  <c r="D2107" i="4" s="1"/>
  <c r="B2107" i="4"/>
  <c r="E2107" i="4"/>
  <c r="G2123" i="4"/>
  <c r="B2126" i="4"/>
  <c r="B2141" i="4" s="1"/>
  <c r="E2141" i="4" s="1"/>
  <c r="E2131" i="4"/>
  <c r="D2132" i="4"/>
  <c r="E2132" i="4"/>
  <c r="D2133" i="4"/>
  <c r="F2133" i="4" s="1"/>
  <c r="F2150" i="4" s="1"/>
  <c r="D2134" i="4"/>
  <c r="F2134" i="4" s="1"/>
  <c r="F2151" i="4" s="1"/>
  <c r="B2143" i="4"/>
  <c r="D2143" i="4"/>
  <c r="H2143" i="4" s="1"/>
  <c r="E2143" i="4"/>
  <c r="G2162" i="4"/>
  <c r="B2164" i="4"/>
  <c r="B2179" i="4" s="1"/>
  <c r="E2165" i="4"/>
  <c r="E2169" i="4"/>
  <c r="D2170" i="4"/>
  <c r="E2170" i="4"/>
  <c r="D2171" i="4"/>
  <c r="F2171" i="4" s="1"/>
  <c r="F2188" i="4" s="1"/>
  <c r="E2171" i="4"/>
  <c r="D2172" i="4"/>
  <c r="F2172" i="4" s="1"/>
  <c r="F2189" i="4" s="1"/>
  <c r="E2172" i="4"/>
  <c r="H2180" i="4"/>
  <c r="D2181" i="4" s="1"/>
  <c r="B2181" i="4"/>
  <c r="E2181" i="4"/>
  <c r="G2197" i="4"/>
  <c r="B2200" i="4"/>
  <c r="B2215" i="4" s="1"/>
  <c r="E2215" i="4" s="1"/>
  <c r="E2205" i="4"/>
  <c r="D2206" i="4"/>
  <c r="E2206" i="4"/>
  <c r="D2207" i="4"/>
  <c r="F2207" i="4" s="1"/>
  <c r="F2224" i="4" s="1"/>
  <c r="D2208" i="4"/>
  <c r="F2208" i="4" s="1"/>
  <c r="F2225" i="4" s="1"/>
  <c r="B2217" i="4"/>
  <c r="D2217" i="4"/>
  <c r="H2217" i="4" s="1"/>
  <c r="E2217" i="4"/>
  <c r="G2236" i="4"/>
  <c r="B2238" i="4"/>
  <c r="B2253" i="4" s="1"/>
  <c r="E2239" i="4"/>
  <c r="E2243" i="4"/>
  <c r="D2244" i="4"/>
  <c r="E2244" i="4"/>
  <c r="D2245" i="4"/>
  <c r="F2245" i="4" s="1"/>
  <c r="F2262" i="4" s="1"/>
  <c r="E2245" i="4"/>
  <c r="D2246" i="4"/>
  <c r="F2246" i="4" s="1"/>
  <c r="F2263" i="4" s="1"/>
  <c r="E2246" i="4"/>
  <c r="H2254" i="4"/>
  <c r="D2255" i="4" s="1"/>
  <c r="B2255" i="4"/>
  <c r="E2255" i="4"/>
  <c r="G2271" i="4"/>
  <c r="B2274" i="4"/>
  <c r="B2289" i="4" s="1"/>
  <c r="E2289" i="4" s="1"/>
  <c r="E2279" i="4"/>
  <c r="D2280" i="4"/>
  <c r="E2280" i="4"/>
  <c r="D2281" i="4"/>
  <c r="F2281" i="4" s="1"/>
  <c r="F2298" i="4" s="1"/>
  <c r="D2282" i="4"/>
  <c r="F2282" i="4" s="1"/>
  <c r="F2299" i="4" s="1"/>
  <c r="B2291" i="4"/>
  <c r="D2291" i="4"/>
  <c r="H2291" i="4" s="1"/>
  <c r="E2291" i="4"/>
  <c r="G2310" i="4"/>
  <c r="B2312" i="4"/>
  <c r="B2327" i="4" s="1"/>
  <c r="E2313" i="4"/>
  <c r="E2317" i="4"/>
  <c r="D2318" i="4"/>
  <c r="E2318" i="4"/>
  <c r="D2319" i="4"/>
  <c r="F2319" i="4" s="1"/>
  <c r="F2336" i="4" s="1"/>
  <c r="E2319" i="4"/>
  <c r="D2320" i="4"/>
  <c r="F2320" i="4" s="1"/>
  <c r="F2337" i="4" s="1"/>
  <c r="E2320" i="4"/>
  <c r="H2328" i="4"/>
  <c r="D2329" i="4" s="1"/>
  <c r="B2329" i="4"/>
  <c r="E2329" i="4"/>
  <c r="G2345" i="4"/>
  <c r="B2348" i="4"/>
  <c r="B2363" i="4" s="1"/>
  <c r="E2363" i="4" s="1"/>
  <c r="E2353" i="4"/>
  <c r="D2354" i="4"/>
  <c r="E2354" i="4"/>
  <c r="D2355" i="4"/>
  <c r="F2355" i="4" s="1"/>
  <c r="F2372" i="4" s="1"/>
  <c r="D2356" i="4"/>
  <c r="F2356" i="4" s="1"/>
  <c r="F2373" i="4" s="1"/>
  <c r="B2365" i="4"/>
  <c r="D2365" i="4"/>
  <c r="H2365" i="4" s="1"/>
  <c r="E2365" i="4"/>
  <c r="G2384" i="4"/>
  <c r="B2386" i="4"/>
  <c r="B2401" i="4" s="1"/>
  <c r="E2387" i="4"/>
  <c r="E2391" i="4"/>
  <c r="D2392" i="4"/>
  <c r="E2392" i="4"/>
  <c r="D2393" i="4"/>
  <c r="F2393" i="4" s="1"/>
  <c r="F2410" i="4" s="1"/>
  <c r="E2393" i="4"/>
  <c r="D2394" i="4"/>
  <c r="F2394" i="4" s="1"/>
  <c r="F2411" i="4" s="1"/>
  <c r="E2394" i="4"/>
  <c r="H2402" i="4"/>
  <c r="D2403" i="4" s="1"/>
  <c r="B2403" i="4"/>
  <c r="E2403" i="4"/>
  <c r="G2419" i="4"/>
  <c r="B2422" i="4"/>
  <c r="B2437" i="4" s="1"/>
  <c r="E2437" i="4" s="1"/>
  <c r="E2427" i="4"/>
  <c r="D2428" i="4"/>
  <c r="E2428" i="4"/>
  <c r="D2429" i="4"/>
  <c r="F2429" i="4" s="1"/>
  <c r="F2446" i="4" s="1"/>
  <c r="D2430" i="4"/>
  <c r="F2430" i="4" s="1"/>
  <c r="F2447" i="4" s="1"/>
  <c r="B2439" i="4"/>
  <c r="D2439" i="4"/>
  <c r="H2439" i="4" s="1"/>
  <c r="E2439" i="4"/>
  <c r="G2458" i="4"/>
  <c r="B2460" i="4"/>
  <c r="B2475" i="4" s="1"/>
  <c r="E2461" i="4"/>
  <c r="E2465" i="4"/>
  <c r="D2466" i="4"/>
  <c r="E2466" i="4"/>
  <c r="D2467" i="4"/>
  <c r="F2467" i="4" s="1"/>
  <c r="F2484" i="4" s="1"/>
  <c r="E2467" i="4"/>
  <c r="D2468" i="4"/>
  <c r="F2468" i="4" s="1"/>
  <c r="F2485" i="4" s="1"/>
  <c r="E2468" i="4"/>
  <c r="H2476" i="4"/>
  <c r="D2477" i="4" s="1"/>
  <c r="B2477" i="4"/>
  <c r="E2477" i="4"/>
  <c r="G2493" i="4"/>
  <c r="B2496" i="4"/>
  <c r="B2511" i="4" s="1"/>
  <c r="E2511" i="4" s="1"/>
  <c r="E2501" i="4"/>
  <c r="D2502" i="4"/>
  <c r="E2502" i="4"/>
  <c r="D2503" i="4"/>
  <c r="F2503" i="4" s="1"/>
  <c r="F2520" i="4" s="1"/>
  <c r="D2504" i="4"/>
  <c r="F2504" i="4" s="1"/>
  <c r="F2521" i="4" s="1"/>
  <c r="B2513" i="4"/>
  <c r="D2513" i="4"/>
  <c r="H2513" i="4" s="1"/>
  <c r="E2513" i="4"/>
  <c r="G2532" i="4"/>
  <c r="B2534" i="4"/>
  <c r="B2549" i="4" s="1"/>
  <c r="E2535" i="4"/>
  <c r="E2539" i="4"/>
  <c r="D2540" i="4"/>
  <c r="E2540" i="4"/>
  <c r="D2541" i="4"/>
  <c r="F2541" i="4" s="1"/>
  <c r="F2558" i="4" s="1"/>
  <c r="E2541" i="4"/>
  <c r="D2542" i="4"/>
  <c r="F2542" i="4" s="1"/>
  <c r="F2559" i="4" s="1"/>
  <c r="E2542" i="4"/>
  <c r="H2550" i="4"/>
  <c r="D2551" i="4" s="1"/>
  <c r="B2551" i="4"/>
  <c r="E2551" i="4"/>
  <c r="G2567" i="4"/>
  <c r="B2570" i="4"/>
  <c r="B2585" i="4" s="1"/>
  <c r="E2585" i="4" s="1"/>
  <c r="E2575" i="4"/>
  <c r="D2576" i="4"/>
  <c r="E2576" i="4"/>
  <c r="D2577" i="4"/>
  <c r="F2577" i="4" s="1"/>
  <c r="F2594" i="4" s="1"/>
  <c r="D2578" i="4"/>
  <c r="F2578" i="4" s="1"/>
  <c r="F2595" i="4" s="1"/>
  <c r="B2587" i="4"/>
  <c r="D2587" i="4"/>
  <c r="H2587" i="4" s="1"/>
  <c r="E2587" i="4"/>
  <c r="G2606" i="4"/>
  <c r="B2608" i="4"/>
  <c r="E2623" i="4" s="1"/>
  <c r="E2609" i="4"/>
  <c r="E2613" i="4"/>
  <c r="D2614" i="4"/>
  <c r="E2614" i="4"/>
  <c r="D2615" i="4"/>
  <c r="F2615" i="4" s="1"/>
  <c r="F2632" i="4" s="1"/>
  <c r="E2615" i="4"/>
  <c r="D2616" i="4"/>
  <c r="F2616" i="4" s="1"/>
  <c r="F2633" i="4" s="1"/>
  <c r="E2616" i="4"/>
  <c r="H2624" i="4"/>
  <c r="D2625" i="4" s="1"/>
  <c r="B2625" i="4"/>
  <c r="E2625" i="4"/>
  <c r="G2641" i="4"/>
  <c r="B2644" i="4"/>
  <c r="B2659" i="4" s="1"/>
  <c r="E2659" i="4" s="1"/>
  <c r="E2649" i="4"/>
  <c r="D2650" i="4"/>
  <c r="E2650" i="4"/>
  <c r="D2651" i="4"/>
  <c r="F2651" i="4" s="1"/>
  <c r="F2668" i="4" s="1"/>
  <c r="D2652" i="4"/>
  <c r="F2652" i="4" s="1"/>
  <c r="F2669" i="4" s="1"/>
  <c r="B2661" i="4"/>
  <c r="D2661" i="4"/>
  <c r="H2661" i="4" s="1"/>
  <c r="E2661" i="4"/>
  <c r="G2680" i="4"/>
  <c r="B2682" i="4"/>
  <c r="B2697" i="4" s="1"/>
  <c r="E2683" i="4"/>
  <c r="E2687" i="4"/>
  <c r="D2688" i="4"/>
  <c r="E2688" i="4"/>
  <c r="D2689" i="4"/>
  <c r="F2689" i="4" s="1"/>
  <c r="F2706" i="4" s="1"/>
  <c r="E2689" i="4"/>
  <c r="D2690" i="4"/>
  <c r="F2690" i="4" s="1"/>
  <c r="F2707" i="4" s="1"/>
  <c r="E2690" i="4"/>
  <c r="H2698" i="4"/>
  <c r="D2699" i="4" s="1"/>
  <c r="B2699" i="4"/>
  <c r="E2699" i="4"/>
  <c r="G2715" i="4"/>
  <c r="B2718" i="4"/>
  <c r="B2733" i="4" s="1"/>
  <c r="E2733" i="4" s="1"/>
  <c r="E2723" i="4"/>
  <c r="D2724" i="4"/>
  <c r="E2724" i="4"/>
  <c r="D2725" i="4"/>
  <c r="F2725" i="4" s="1"/>
  <c r="F2742" i="4" s="1"/>
  <c r="D2726" i="4"/>
  <c r="F2726" i="4" s="1"/>
  <c r="F2743" i="4" s="1"/>
  <c r="B2735" i="4"/>
  <c r="D2735" i="4"/>
  <c r="H2735" i="4" s="1"/>
  <c r="E2735" i="4"/>
  <c r="G2754" i="4"/>
  <c r="B2756" i="4"/>
  <c r="E2771" i="4" s="1"/>
  <c r="E2757" i="4"/>
  <c r="E2761" i="4"/>
  <c r="D2762" i="4"/>
  <c r="E2762" i="4"/>
  <c r="D2763" i="4"/>
  <c r="F2763" i="4" s="1"/>
  <c r="F2780" i="4" s="1"/>
  <c r="E2763" i="4"/>
  <c r="D2764" i="4"/>
  <c r="F2764" i="4" s="1"/>
  <c r="F2781" i="4" s="1"/>
  <c r="E2764" i="4"/>
  <c r="H2772" i="4"/>
  <c r="D2773" i="4" s="1"/>
  <c r="B2773" i="4"/>
  <c r="E2773" i="4"/>
  <c r="G2789" i="4"/>
  <c r="B2792" i="4"/>
  <c r="B2807" i="4" s="1"/>
  <c r="E2807" i="4" s="1"/>
  <c r="E2797" i="4"/>
  <c r="D2798" i="4"/>
  <c r="E2798" i="4"/>
  <c r="D2799" i="4"/>
  <c r="F2799" i="4" s="1"/>
  <c r="F2816" i="4" s="1"/>
  <c r="D2800" i="4"/>
  <c r="F2800" i="4" s="1"/>
  <c r="F2817" i="4" s="1"/>
  <c r="B2809" i="4"/>
  <c r="D2809" i="4"/>
  <c r="H2809" i="4" s="1"/>
  <c r="E2809" i="4"/>
  <c r="G2828" i="4"/>
  <c r="B2830" i="4"/>
  <c r="E2845" i="4" s="1"/>
  <c r="E2831" i="4"/>
  <c r="E2835" i="4"/>
  <c r="D2836" i="4"/>
  <c r="E2836" i="4"/>
  <c r="D2837" i="4"/>
  <c r="F2837" i="4" s="1"/>
  <c r="F2854" i="4" s="1"/>
  <c r="E2837" i="4"/>
  <c r="D2838" i="4"/>
  <c r="F2838" i="4" s="1"/>
  <c r="F2855" i="4" s="1"/>
  <c r="E2838" i="4"/>
  <c r="H2846" i="4"/>
  <c r="D2847" i="4" s="1"/>
  <c r="B2847" i="4"/>
  <c r="E2847" i="4"/>
  <c r="G2863" i="4"/>
  <c r="B2866" i="4"/>
  <c r="B2881" i="4" s="1"/>
  <c r="E2881" i="4" s="1"/>
  <c r="E2871" i="4"/>
  <c r="D2872" i="4"/>
  <c r="E2872" i="4"/>
  <c r="D2873" i="4"/>
  <c r="F2873" i="4" s="1"/>
  <c r="F2890" i="4" s="1"/>
  <c r="D2874" i="4"/>
  <c r="F2874" i="4" s="1"/>
  <c r="F2891" i="4" s="1"/>
  <c r="B2883" i="4"/>
  <c r="D2883" i="4"/>
  <c r="H2883" i="4" s="1"/>
  <c r="E2883" i="4"/>
  <c r="G2902" i="4"/>
  <c r="B2904" i="4"/>
  <c r="B2918" i="4" s="1"/>
  <c r="E2905" i="4"/>
  <c r="E2909" i="4"/>
  <c r="D2910" i="4"/>
  <c r="E2910" i="4"/>
  <c r="D2911" i="4"/>
  <c r="F2911" i="4" s="1"/>
  <c r="F2927" i="4" s="1"/>
  <c r="E2911" i="4"/>
  <c r="D2912" i="4"/>
  <c r="F2912" i="4" s="1"/>
  <c r="F2928" i="4" s="1"/>
  <c r="E2912" i="4"/>
  <c r="H2919" i="4"/>
  <c r="D2920" i="4" s="1"/>
  <c r="B2920" i="4"/>
  <c r="E2920" i="4"/>
  <c r="G2936" i="4"/>
  <c r="B2939" i="4"/>
  <c r="B2954" i="4" s="1"/>
  <c r="E2954" i="4" s="1"/>
  <c r="E2944" i="4"/>
  <c r="D2945" i="4"/>
  <c r="E2945" i="4"/>
  <c r="D2946" i="4"/>
  <c r="F2946" i="4" s="1"/>
  <c r="F2963" i="4" s="1"/>
  <c r="D2947" i="4"/>
  <c r="F2947" i="4" s="1"/>
  <c r="F2964" i="4" s="1"/>
  <c r="B2956" i="4"/>
  <c r="D2956" i="4"/>
  <c r="H2956" i="4" s="1"/>
  <c r="E2956" i="4"/>
  <c r="G2975" i="4"/>
  <c r="B2977" i="4"/>
  <c r="E2992" i="4" s="1"/>
  <c r="E2978" i="4"/>
  <c r="E2982" i="4"/>
  <c r="D2983" i="4"/>
  <c r="E2983" i="4"/>
  <c r="D2984" i="4"/>
  <c r="F2984" i="4" s="1"/>
  <c r="F3001" i="4" s="1"/>
  <c r="E2984" i="4"/>
  <c r="D2985" i="4"/>
  <c r="F2985" i="4" s="1"/>
  <c r="F3002" i="4" s="1"/>
  <c r="E2985" i="4"/>
  <c r="H2993" i="4"/>
  <c r="D2994" i="4" s="1"/>
  <c r="B2994" i="4"/>
  <c r="E2994" i="4"/>
  <c r="F11" i="5"/>
  <c r="F12" i="5"/>
  <c r="F23" i="5" s="1"/>
  <c r="F13" i="5"/>
  <c r="F14" i="5"/>
  <c r="I14" i="5"/>
  <c r="L16" i="5"/>
  <c r="H17" i="5"/>
  <c r="G20" i="5" s="1"/>
  <c r="L17" i="5"/>
  <c r="H20" i="5"/>
  <c r="H21" i="5"/>
  <c r="H22" i="5" s="1"/>
  <c r="L21" i="5"/>
  <c r="L22" i="5"/>
  <c r="A39" i="5"/>
  <c r="E41" i="5"/>
  <c r="F44" i="5"/>
  <c r="E45" i="5"/>
  <c r="F45" i="5"/>
  <c r="A46" i="5"/>
  <c r="E46" i="5"/>
  <c r="F46" i="5"/>
  <c r="F47" i="5"/>
  <c r="F48" i="5"/>
  <c r="F49" i="5"/>
  <c r="F50" i="5"/>
  <c r="Q59" i="5"/>
  <c r="R59" i="5"/>
  <c r="Q60" i="5"/>
  <c r="R60" i="5"/>
  <c r="D63" i="5"/>
  <c r="J69" i="5"/>
  <c r="A2" i="8"/>
  <c r="I15" i="2"/>
  <c r="J15" i="2"/>
  <c r="B16" i="2"/>
  <c r="I16" i="2"/>
  <c r="J16" i="2"/>
  <c r="W16" i="2"/>
  <c r="W17" i="2" s="1"/>
  <c r="W18" i="2" s="1"/>
  <c r="W19" i="2" s="1"/>
  <c r="W20" i="2" s="1"/>
  <c r="W21" i="2" s="1"/>
  <c r="W22" i="2" s="1"/>
  <c r="W23" i="2" s="1"/>
  <c r="W24" i="2" s="1"/>
  <c r="I17" i="2"/>
  <c r="J17" i="2"/>
  <c r="AF17" i="2"/>
  <c r="AH17" i="2" s="1"/>
  <c r="I18" i="2"/>
  <c r="J18" i="2"/>
  <c r="AF18" i="2"/>
  <c r="AH18" i="2" s="1"/>
  <c r="I19" i="2"/>
  <c r="J19" i="2"/>
  <c r="AF19" i="2"/>
  <c r="AH19" i="2" s="1"/>
  <c r="I20" i="2"/>
  <c r="J20" i="2"/>
  <c r="AF20" i="2"/>
  <c r="AH20" i="2" s="1"/>
  <c r="I21" i="2"/>
  <c r="J21" i="2"/>
  <c r="AF21" i="2"/>
  <c r="AH21" i="2" s="1"/>
  <c r="I22" i="2"/>
  <c r="J22" i="2"/>
  <c r="I23" i="2"/>
  <c r="J23" i="2"/>
  <c r="I24" i="2"/>
  <c r="J24" i="2"/>
  <c r="G25" i="2"/>
  <c r="H25" i="2"/>
  <c r="N25" i="2"/>
  <c r="U27" i="2"/>
  <c r="G56" i="5"/>
  <c r="O15" i="5"/>
  <c r="E1364" i="4"/>
  <c r="L54" i="1"/>
  <c r="D80" i="4"/>
  <c r="F80" i="4" s="1"/>
  <c r="F97" i="4" s="1"/>
  <c r="F81" i="4"/>
  <c r="D3" i="4" l="1"/>
  <c r="D3" i="10"/>
  <c r="D985" i="4"/>
  <c r="D985" i="10"/>
  <c r="F985" i="10" s="1"/>
  <c r="F1002" i="10" s="1"/>
  <c r="D947" i="10"/>
  <c r="F947" i="10" s="1"/>
  <c r="F964" i="10" s="1"/>
  <c r="D911" i="10"/>
  <c r="F911" i="10" s="1"/>
  <c r="F928" i="10" s="1"/>
  <c r="E1809" i="4"/>
  <c r="E498" i="4"/>
  <c r="E2031" i="4"/>
  <c r="E868" i="4"/>
  <c r="E424" i="4"/>
  <c r="E266" i="4"/>
  <c r="E571" i="4"/>
  <c r="E189" i="4"/>
  <c r="E942" i="4"/>
  <c r="E793" i="4"/>
  <c r="E1016" i="4"/>
  <c r="E719" i="4"/>
  <c r="E735" i="4" s="1"/>
  <c r="E1586" i="4"/>
  <c r="E345" i="4"/>
  <c r="E645" i="4"/>
  <c r="E2327" i="4"/>
  <c r="E2918" i="4"/>
  <c r="E462" i="4"/>
  <c r="B1814" i="4"/>
  <c r="B1666" i="4"/>
  <c r="B1479" i="4"/>
  <c r="O85" i="1"/>
  <c r="B2923" i="4"/>
  <c r="B2702" i="4"/>
  <c r="B2516" i="4"/>
  <c r="B2294" i="4"/>
  <c r="B2258" i="4"/>
  <c r="B2072" i="4"/>
  <c r="B1369" i="4"/>
  <c r="B1183" i="4"/>
  <c r="B1147" i="4"/>
  <c r="B2812" i="4"/>
  <c r="B2406" i="4"/>
  <c r="B1962" i="4"/>
  <c r="E1957" i="4"/>
  <c r="G54" i="5"/>
  <c r="B2628" i="4"/>
  <c r="B1998" i="4"/>
  <c r="B1850" i="4"/>
  <c r="B1591" i="4"/>
  <c r="B1295" i="4"/>
  <c r="G18" i="5"/>
  <c r="B2850" i="4"/>
  <c r="B2220" i="4"/>
  <c r="B2110" i="4"/>
  <c r="B1888" i="4"/>
  <c r="B1628" i="4"/>
  <c r="B1517" i="4"/>
  <c r="B1331" i="4"/>
  <c r="B1221" i="4"/>
  <c r="B1035" i="4"/>
  <c r="G51" i="5"/>
  <c r="B2959" i="4"/>
  <c r="B2738" i="4"/>
  <c r="B2442" i="4"/>
  <c r="B2332" i="4"/>
  <c r="B2184" i="4"/>
  <c r="B1702" i="4"/>
  <c r="B1405" i="4"/>
  <c r="E1661" i="4"/>
  <c r="G19" i="5"/>
  <c r="B2664" i="4"/>
  <c r="B2554" i="4"/>
  <c r="B2368" i="4"/>
  <c r="B17" i="2"/>
  <c r="G55" i="5"/>
  <c r="R61" i="5"/>
  <c r="S59" i="5"/>
  <c r="F58" i="5"/>
  <c r="B2997" i="4"/>
  <c r="B2886" i="4"/>
  <c r="B2776" i="4"/>
  <c r="B2590" i="4"/>
  <c r="B2480" i="4"/>
  <c r="B2146" i="4"/>
  <c r="B2036" i="4"/>
  <c r="B1924" i="4"/>
  <c r="B1776" i="4"/>
  <c r="B1740" i="4"/>
  <c r="B1553" i="4"/>
  <c r="B1443" i="4"/>
  <c r="B1257" i="4"/>
  <c r="B1109" i="4"/>
  <c r="F237" i="4"/>
  <c r="F252" i="4" s="1"/>
  <c r="B697" i="4"/>
  <c r="F1429" i="4"/>
  <c r="F1446" i="4" s="1"/>
  <c r="B2259" i="4"/>
  <c r="B1554" i="4"/>
  <c r="B2665" i="4"/>
  <c r="B1406" i="4"/>
  <c r="B1148" i="4"/>
  <c r="B1110" i="4"/>
  <c r="B2998" i="4"/>
  <c r="B1999" i="4"/>
  <c r="B1963" i="4"/>
  <c r="B1480" i="4"/>
  <c r="B1444" i="4"/>
  <c r="F985" i="4"/>
  <c r="F1002" i="4" s="1"/>
  <c r="B1815" i="4"/>
  <c r="B1777" i="4"/>
  <c r="B1438" i="4"/>
  <c r="B771" i="4"/>
  <c r="F1762" i="4"/>
  <c r="F1779" i="4" s="1"/>
  <c r="K24" i="2"/>
  <c r="F1836" i="4"/>
  <c r="F1853" i="4" s="1"/>
  <c r="K23" i="2"/>
  <c r="K16" i="2"/>
  <c r="B34" i="4"/>
  <c r="E49" i="4"/>
  <c r="F1207" i="4"/>
  <c r="F1224" i="4" s="1"/>
  <c r="F1169" i="4"/>
  <c r="F1186" i="4" s="1"/>
  <c r="D947" i="4"/>
  <c r="F947" i="4" s="1"/>
  <c r="F964" i="4" s="1"/>
  <c r="K21" i="2"/>
  <c r="F2872" i="4"/>
  <c r="F2889" i="4" s="1"/>
  <c r="E2697" i="4"/>
  <c r="B1116" i="4"/>
  <c r="H1111" i="4" s="1"/>
  <c r="B18" i="2"/>
  <c r="K15" i="2"/>
  <c r="Q61" i="5"/>
  <c r="S61" i="5" s="1"/>
  <c r="E1142" i="4"/>
  <c r="E1068" i="4"/>
  <c r="E2105" i="4"/>
  <c r="E994" i="4"/>
  <c r="K18" i="2"/>
  <c r="F2836" i="4"/>
  <c r="F2853" i="4" s="1"/>
  <c r="B2845" i="4"/>
  <c r="B2771" i="4"/>
  <c r="F1281" i="4"/>
  <c r="F1298" i="4" s="1"/>
  <c r="E12" i="6"/>
  <c r="B1449" i="4"/>
  <c r="H1445" i="4" s="1"/>
  <c r="B671" i="4"/>
  <c r="H666" i="4" s="1"/>
  <c r="B88" i="4"/>
  <c r="E88" i="4"/>
  <c r="B217" i="4"/>
  <c r="B2782" i="4"/>
  <c r="H2778" i="4" s="1"/>
  <c r="B931" i="4"/>
  <c r="H927" i="4" s="1"/>
  <c r="B1857" i="4"/>
  <c r="H1852" i="4" s="1"/>
  <c r="B294" i="4"/>
  <c r="B2412" i="4"/>
  <c r="H2408" i="4" s="1"/>
  <c r="B1523" i="4"/>
  <c r="H1519" i="4" s="1"/>
  <c r="B1820" i="4"/>
  <c r="H1816" i="4" s="1"/>
  <c r="B2079" i="4"/>
  <c r="H2074" i="4" s="1"/>
  <c r="B857" i="4"/>
  <c r="H853" i="4" s="1"/>
  <c r="B820" i="4"/>
  <c r="H815" i="4" s="1"/>
  <c r="B2819" i="4"/>
  <c r="H2814" i="4" s="1"/>
  <c r="B2116" i="4"/>
  <c r="H2112" i="4" s="1"/>
  <c r="F2688" i="4"/>
  <c r="F2705" i="4" s="1"/>
  <c r="B623" i="4"/>
  <c r="F2280" i="4"/>
  <c r="F2297" i="4" s="1"/>
  <c r="F2206" i="4"/>
  <c r="F2223" i="4" s="1"/>
  <c r="E400" i="4"/>
  <c r="B400" i="4"/>
  <c r="B167" i="4"/>
  <c r="E167" i="4"/>
  <c r="B2851" i="4"/>
  <c r="B2591" i="4"/>
  <c r="B2517" i="4"/>
  <c r="B2481" i="4"/>
  <c r="B2369" i="4"/>
  <c r="E2253" i="4"/>
  <c r="B2073" i="4"/>
  <c r="B2037" i="4"/>
  <c r="B1925" i="4"/>
  <c r="B1741" i="4"/>
  <c r="B1703" i="4"/>
  <c r="B1667" i="4"/>
  <c r="B1629" i="4"/>
  <c r="B1592" i="4"/>
  <c r="B1518" i="4"/>
  <c r="B1370" i="4"/>
  <c r="B1332" i="4"/>
  <c r="B1296" i="4"/>
  <c r="B1074" i="4"/>
  <c r="B1036" i="4"/>
  <c r="B2777" i="4"/>
  <c r="B2629" i="4"/>
  <c r="B2555" i="4"/>
  <c r="E2475" i="4"/>
  <c r="B2443" i="4"/>
  <c r="B2407" i="4"/>
  <c r="F2354" i="4"/>
  <c r="F2371" i="4" s="1"/>
  <c r="B2333" i="4"/>
  <c r="F2318" i="4"/>
  <c r="F2335" i="4" s="1"/>
  <c r="B2221" i="4"/>
  <c r="B2147" i="4"/>
  <c r="B2111" i="4"/>
  <c r="B1889" i="4"/>
  <c r="B1851" i="4"/>
  <c r="B1290" i="4"/>
  <c r="B1258" i="4"/>
  <c r="B1222" i="4"/>
  <c r="B1184" i="4"/>
  <c r="B2960" i="4"/>
  <c r="B2924" i="4"/>
  <c r="B2887" i="4"/>
  <c r="B2813" i="4"/>
  <c r="B2739" i="4"/>
  <c r="B2703" i="4"/>
  <c r="B2295" i="4"/>
  <c r="F1984" i="4"/>
  <c r="F2001" i="4" s="1"/>
  <c r="B894" i="4"/>
  <c r="H889" i="4" s="1"/>
  <c r="B61" i="4"/>
  <c r="B1042" i="4"/>
  <c r="H1037" i="4" s="1"/>
  <c r="B1672" i="4"/>
  <c r="H1668" i="4" s="1"/>
  <c r="B2227" i="4"/>
  <c r="H2222" i="4" s="1"/>
  <c r="B2486" i="4"/>
  <c r="H2482" i="4" s="1"/>
  <c r="B2893" i="4"/>
  <c r="H2888" i="4" s="1"/>
  <c r="B334" i="4"/>
  <c r="B1005" i="4"/>
  <c r="H1001" i="4" s="1"/>
  <c r="B1597" i="4"/>
  <c r="H1593" i="4" s="1"/>
  <c r="B2597" i="4"/>
  <c r="H2592" i="4" s="1"/>
  <c r="B100" i="4"/>
  <c r="B1931" i="4"/>
  <c r="H1926" i="4" s="1"/>
  <c r="B1783" i="4"/>
  <c r="H1778" i="4" s="1"/>
  <c r="B2671" i="4"/>
  <c r="H2666" i="4" s="1"/>
  <c r="B450" i="4"/>
  <c r="B968" i="4"/>
  <c r="H963" i="4" s="1"/>
  <c r="B1301" i="4"/>
  <c r="H1297" i="4" s="1"/>
  <c r="B2856" i="4"/>
  <c r="H2852" i="4" s="1"/>
  <c r="B634" i="4"/>
  <c r="H630" i="4" s="1"/>
  <c r="B1338" i="4"/>
  <c r="H1333" i="4" s="1"/>
  <c r="B1894" i="4"/>
  <c r="H1890" i="4" s="1"/>
  <c r="B2301" i="4"/>
  <c r="H2296" i="4" s="1"/>
  <c r="B2523" i="4"/>
  <c r="H2518" i="4" s="1"/>
  <c r="B412" i="4"/>
  <c r="B524" i="4"/>
  <c r="H519" i="4" s="1"/>
  <c r="B1153" i="4"/>
  <c r="H1149" i="4" s="1"/>
  <c r="B1709" i="4"/>
  <c r="H1704" i="4" s="1"/>
  <c r="B2708" i="4"/>
  <c r="H2704" i="4" s="1"/>
  <c r="B139" i="4"/>
  <c r="B3003" i="4"/>
  <c r="H2999" i="4" s="1"/>
  <c r="B2745" i="4"/>
  <c r="H2740" i="4" s="1"/>
  <c r="B2634" i="4"/>
  <c r="H2630" i="4" s="1"/>
  <c r="B1227" i="4"/>
  <c r="H1223" i="4" s="1"/>
  <c r="B372" i="4"/>
  <c r="B1264" i="4"/>
  <c r="H1259" i="4" s="1"/>
  <c r="B560" i="4"/>
  <c r="H556" i="4" s="1"/>
  <c r="B1079" i="4"/>
  <c r="H1075" i="4" s="1"/>
  <c r="B1375" i="4"/>
  <c r="H1371" i="4" s="1"/>
  <c r="B2966" i="4"/>
  <c r="H2961" i="4" s="1"/>
  <c r="B782" i="4"/>
  <c r="H778" i="4" s="1"/>
  <c r="B1412" i="4"/>
  <c r="H1407" i="4" s="1"/>
  <c r="B1968" i="4"/>
  <c r="H1964" i="4" s="1"/>
  <c r="B2338" i="4"/>
  <c r="H2334" i="4" s="1"/>
  <c r="B2560" i="4"/>
  <c r="H2556" i="4" s="1"/>
  <c r="B178" i="4"/>
  <c r="B708" i="4"/>
  <c r="H704" i="4" s="1"/>
  <c r="B1486" i="4"/>
  <c r="H1481" i="4" s="1"/>
  <c r="B1746" i="4"/>
  <c r="H1742" i="4" s="1"/>
  <c r="B2929" i="4"/>
  <c r="H2925" i="4" s="1"/>
  <c r="B2449" i="4"/>
  <c r="H2444" i="4" s="1"/>
  <c r="B2375" i="4"/>
  <c r="H2370" i="4" s="1"/>
  <c r="B2264" i="4"/>
  <c r="H2260" i="4" s="1"/>
  <c r="B2190" i="4"/>
  <c r="H2186" i="4" s="1"/>
  <c r="B2153" i="4"/>
  <c r="H2148" i="4" s="1"/>
  <c r="B2042" i="4"/>
  <c r="H2038" i="4" s="1"/>
  <c r="B2005" i="4"/>
  <c r="H2000" i="4" s="1"/>
  <c r="B1635" i="4"/>
  <c r="H1630" i="4" s="1"/>
  <c r="B1560" i="4"/>
  <c r="H1555" i="4" s="1"/>
  <c r="B1190" i="4"/>
  <c r="H1185" i="4" s="1"/>
  <c r="B745" i="4"/>
  <c r="H740" i="4" s="1"/>
  <c r="B597" i="4"/>
  <c r="H592" i="4" s="1"/>
  <c r="B487" i="4"/>
  <c r="F1059" i="4"/>
  <c r="F1076" i="4" s="1"/>
  <c r="F2614" i="4"/>
  <c r="F2631" i="4" s="1"/>
  <c r="E2549" i="4"/>
  <c r="E2401" i="4"/>
  <c r="F1800" i="4"/>
  <c r="F1817" i="4" s="1"/>
  <c r="F1503" i="4"/>
  <c r="F1520" i="4" s="1"/>
  <c r="F873" i="4"/>
  <c r="F890" i="4" s="1"/>
  <c r="F2945" i="4"/>
  <c r="F2962" i="4" s="1"/>
  <c r="F2910" i="4"/>
  <c r="F2926" i="4" s="1"/>
  <c r="B2623" i="4"/>
  <c r="F2576" i="4"/>
  <c r="F2593" i="4" s="1"/>
  <c r="F2428" i="4"/>
  <c r="F2445" i="4" s="1"/>
  <c r="F2170" i="4"/>
  <c r="F2187" i="4" s="1"/>
  <c r="B1512" i="4"/>
  <c r="E920" i="4"/>
  <c r="D91" i="4"/>
  <c r="Q84" i="1"/>
  <c r="N54" i="1"/>
  <c r="L72" i="1"/>
  <c r="E1901" i="4"/>
  <c r="E550" i="4"/>
  <c r="B550" i="4"/>
  <c r="E476" i="4"/>
  <c r="B476" i="4"/>
  <c r="G21" i="5"/>
  <c r="S60" i="5"/>
  <c r="G53" i="5"/>
  <c r="K22" i="2"/>
  <c r="K19" i="2"/>
  <c r="K17" i="2"/>
  <c r="G52" i="5"/>
  <c r="H52" i="5" s="1"/>
  <c r="H53" i="5" s="1"/>
  <c r="G17" i="5"/>
  <c r="F2983" i="4"/>
  <c r="F3000" i="4" s="1"/>
  <c r="F2132" i="4"/>
  <c r="F2149" i="4" s="1"/>
  <c r="F2096" i="4"/>
  <c r="F2113" i="4" s="1"/>
  <c r="F1688" i="4"/>
  <c r="F1705" i="4" s="1"/>
  <c r="F1652" i="4"/>
  <c r="F1669" i="4" s="1"/>
  <c r="F1614" i="4"/>
  <c r="F1631" i="4" s="1"/>
  <c r="F1391" i="4"/>
  <c r="F1408" i="4" s="1"/>
  <c r="F1355" i="4"/>
  <c r="F1372" i="4" s="1"/>
  <c r="F1133" i="4"/>
  <c r="F1150" i="4" s="1"/>
  <c r="F1095" i="4"/>
  <c r="F1112" i="4" s="1"/>
  <c r="B2992" i="4"/>
  <c r="G16" i="5"/>
  <c r="K20" i="2"/>
  <c r="L18" i="5"/>
  <c r="F2502" i="4"/>
  <c r="F2519" i="4" s="1"/>
  <c r="F2058" i="4"/>
  <c r="F2075" i="4" s="1"/>
  <c r="F1874" i="4"/>
  <c r="F1891" i="4" s="1"/>
  <c r="F1726" i="4"/>
  <c r="F1743" i="4" s="1"/>
  <c r="F1317" i="4"/>
  <c r="F1334" i="4" s="1"/>
  <c r="B1216" i="4"/>
  <c r="E606" i="4"/>
  <c r="AF16" i="2"/>
  <c r="AH16" i="2" s="1"/>
  <c r="D81" i="4"/>
  <c r="F98" i="4"/>
  <c r="B244" i="4"/>
  <c r="E244" i="4"/>
  <c r="B408" i="4"/>
  <c r="N60" i="1"/>
  <c r="B57" i="4"/>
  <c r="D234" i="4"/>
  <c r="F234" i="4" s="1"/>
  <c r="F251" i="4" s="1"/>
  <c r="E2384" i="4"/>
  <c r="M17" i="2"/>
  <c r="E2680" i="4"/>
  <c r="E1975" i="4"/>
  <c r="E1421" i="4"/>
  <c r="D194" i="4"/>
  <c r="F194" i="4" s="1"/>
  <c r="F213" i="4" s="1"/>
  <c r="B174" i="4"/>
  <c r="B290" i="4"/>
  <c r="B135" i="4"/>
  <c r="B330" i="4"/>
  <c r="B368" i="4"/>
  <c r="B213" i="4"/>
  <c r="B251" i="4"/>
  <c r="E2458" i="4"/>
  <c r="E829" i="4"/>
  <c r="E1569" i="4"/>
  <c r="E2902" i="4"/>
  <c r="E567" i="4"/>
  <c r="E1644" i="4"/>
  <c r="E2049" i="4"/>
  <c r="E1940" i="4"/>
  <c r="E2975" i="4"/>
  <c r="E2754" i="4"/>
  <c r="E977" i="4"/>
  <c r="E2828" i="4"/>
  <c r="E2936" i="4"/>
  <c r="E1347" i="4"/>
  <c r="M18" i="2"/>
  <c r="M21" i="2"/>
  <c r="D272" i="4"/>
  <c r="F272" i="4" s="1"/>
  <c r="F290" i="4" s="1"/>
  <c r="K66" i="5"/>
  <c r="K67" i="5" s="1"/>
  <c r="M19" i="2"/>
  <c r="D390" i="4"/>
  <c r="F390" i="4" s="1"/>
  <c r="F408" i="4" s="1"/>
  <c r="D157" i="4"/>
  <c r="F157" i="4" s="1"/>
  <c r="F174" i="4" s="1"/>
  <c r="M24" i="2"/>
  <c r="M22" i="2"/>
  <c r="D312" i="4"/>
  <c r="F312" i="4" s="1"/>
  <c r="F330" i="4" s="1"/>
  <c r="G85" i="1"/>
  <c r="M20" i="2"/>
  <c r="M23" i="2"/>
  <c r="D350" i="4"/>
  <c r="F350" i="4" s="1"/>
  <c r="F368" i="4" s="1"/>
  <c r="O82" i="1"/>
  <c r="D6" i="4"/>
  <c r="D354" i="4"/>
  <c r="F354" i="4" s="1"/>
  <c r="F370" i="4" s="1"/>
  <c r="AF23" i="2"/>
  <c r="AH23" i="2" s="1"/>
  <c r="I25" i="2"/>
  <c r="J25" i="2"/>
  <c r="D911" i="4"/>
  <c r="F911" i="4" s="1"/>
  <c r="F928" i="4" s="1"/>
  <c r="F2540" i="4"/>
  <c r="F2557" i="4" s="1"/>
  <c r="F2798" i="4"/>
  <c r="F2815" i="4" s="1"/>
  <c r="F2762" i="4"/>
  <c r="F2779" i="4" s="1"/>
  <c r="F2724" i="4"/>
  <c r="F2741" i="4" s="1"/>
  <c r="F2650" i="4"/>
  <c r="F2667" i="4" s="1"/>
  <c r="C25" i="4"/>
  <c r="F116" i="4"/>
  <c r="F135" i="4" s="1"/>
  <c r="F2466" i="4"/>
  <c r="F2483" i="4" s="1"/>
  <c r="F2392" i="4"/>
  <c r="F2409" i="4" s="1"/>
  <c r="F2244" i="4"/>
  <c r="F2261" i="4" s="1"/>
  <c r="F1948" i="4"/>
  <c r="F1965" i="4" s="1"/>
  <c r="F1910" i="4"/>
  <c r="F1927" i="4" s="1"/>
  <c r="F1465" i="4"/>
  <c r="F1482" i="4" s="1"/>
  <c r="E846" i="4"/>
  <c r="E2179" i="4"/>
  <c r="E25" i="4"/>
  <c r="O87" i="1"/>
  <c r="Q87" i="1" s="1"/>
  <c r="F2022" i="4"/>
  <c r="F2039" i="4" s="1"/>
  <c r="E1735" i="4"/>
  <c r="F1577" i="4"/>
  <c r="F1594" i="4" s="1"/>
  <c r="F1539" i="4"/>
  <c r="F1556" i="4" s="1"/>
  <c r="F1243" i="4"/>
  <c r="F1260" i="4" s="1"/>
  <c r="E1792" i="4"/>
  <c r="E2493" i="4"/>
  <c r="E2789" i="4"/>
  <c r="E2162" i="4"/>
  <c r="E1718" i="4"/>
  <c r="E2345" i="4"/>
  <c r="E1382" i="4"/>
  <c r="E1495" i="4"/>
  <c r="E2197" i="4"/>
  <c r="E341" i="4"/>
  <c r="E1827" i="4"/>
  <c r="E533" i="4"/>
  <c r="E2088" i="4"/>
  <c r="E2641" i="4"/>
  <c r="E754" i="4"/>
  <c r="E938" i="4"/>
  <c r="E1866" i="4"/>
  <c r="E864" i="4"/>
  <c r="E2532" i="4"/>
  <c r="E227" i="4"/>
  <c r="E1679" i="4"/>
  <c r="E1199" i="4"/>
  <c r="E1753" i="4"/>
  <c r="E2419" i="4"/>
  <c r="E1273" i="4"/>
  <c r="E107" i="4"/>
  <c r="E1605" i="4"/>
  <c r="E185" i="4"/>
  <c r="E459" i="4"/>
  <c r="E70" i="4"/>
  <c r="E2271" i="4"/>
  <c r="E1160" i="4"/>
  <c r="E715" i="4"/>
  <c r="E2715" i="4"/>
  <c r="E1086" i="4"/>
  <c r="E1308" i="4"/>
  <c r="E2123" i="4"/>
  <c r="E1530" i="4"/>
  <c r="E641" i="4"/>
  <c r="E1051" i="4"/>
  <c r="E149" i="4"/>
  <c r="E382" i="4"/>
  <c r="E679" i="4"/>
  <c r="E789" i="4"/>
  <c r="E2310" i="4"/>
  <c r="E1125" i="4"/>
  <c r="E263" i="4"/>
  <c r="E2014" i="4"/>
  <c r="E903" i="4"/>
  <c r="E1234" i="4"/>
  <c r="E494" i="4"/>
  <c r="E1456" i="4"/>
  <c r="E1012" i="4"/>
  <c r="E2863" i="4"/>
  <c r="E304" i="4"/>
  <c r="E30" i="4"/>
  <c r="E2606" i="4"/>
  <c r="E419" i="4"/>
  <c r="E2567" i="4"/>
  <c r="F1893" i="4"/>
  <c r="F1856" i="4"/>
  <c r="E322" i="4"/>
  <c r="B322" i="4"/>
  <c r="N33" i="1"/>
  <c r="D4" i="4" l="1"/>
  <c r="D4" i="10"/>
  <c r="B19" i="2"/>
  <c r="D5" i="10"/>
  <c r="D5" i="4"/>
  <c r="K25" i="2"/>
  <c r="G59" i="5"/>
  <c r="G60" i="5" s="1"/>
  <c r="G61" i="5" s="1"/>
  <c r="P85" i="1"/>
  <c r="Q85" i="1" s="1"/>
  <c r="G24" i="5"/>
  <c r="G25" i="5" s="1"/>
  <c r="G26" i="5" s="1"/>
  <c r="H19" i="5"/>
  <c r="H23" i="5" s="1"/>
  <c r="I52" i="5"/>
  <c r="I61" i="5"/>
  <c r="G107" i="1" s="1"/>
  <c r="B21" i="2"/>
  <c r="D8" i="10" s="1"/>
  <c r="D7" i="4"/>
  <c r="D6" i="10" l="1"/>
  <c r="B20" i="2"/>
  <c r="D7" i="10" s="1"/>
  <c r="G109" i="2"/>
  <c r="H77" i="1"/>
  <c r="D8" i="4"/>
  <c r="B22" i="2"/>
  <c r="D9" i="10" s="1"/>
  <c r="G112" i="1" l="1"/>
  <c r="G120" i="1" s="1"/>
  <c r="B23" i="2"/>
  <c r="D10" i="10" s="1"/>
  <c r="D9" i="4"/>
  <c r="G114" i="1" l="1"/>
  <c r="M72" i="1"/>
  <c r="N86" i="1" s="1"/>
  <c r="D316" i="4"/>
  <c r="F316" i="4" s="1"/>
  <c r="F332" i="4" s="1"/>
  <c r="AF22" i="2"/>
  <c r="AH22" i="2" s="1"/>
  <c r="D315" i="4"/>
  <c r="F315" i="4" s="1"/>
  <c r="F331" i="4" s="1"/>
  <c r="D10" i="4"/>
  <c r="A130" i="8"/>
  <c r="B24" i="2"/>
  <c r="D11" i="4" l="1"/>
  <c r="D11" i="10"/>
  <c r="N89" i="1"/>
  <c r="N12" i="1"/>
  <c r="N91" i="1" l="1"/>
  <c r="F60" i="4" l="1"/>
  <c r="F99" i="4" l="1"/>
  <c r="F138" i="4"/>
  <c r="F177" i="4" l="1"/>
  <c r="F216" i="4" l="1"/>
  <c r="F254" i="4" l="1"/>
  <c r="F293" i="4"/>
  <c r="F333" i="4" l="1"/>
  <c r="F371" i="4" l="1"/>
  <c r="D798" i="4"/>
  <c r="F798" i="4" s="1"/>
  <c r="F816" i="4" s="1"/>
  <c r="D541" i="4" l="1"/>
  <c r="F541" i="4" s="1"/>
  <c r="F557" i="4" s="1"/>
  <c r="D837" i="4"/>
  <c r="F837" i="4" s="1"/>
  <c r="F854" i="4" s="1"/>
  <c r="D467" i="4"/>
  <c r="F467" i="4" s="1"/>
  <c r="F484" i="4" s="1"/>
  <c r="D762" i="4"/>
  <c r="F762" i="4" s="1"/>
  <c r="F779" i="4" s="1"/>
  <c r="D614" i="4"/>
  <c r="F614" i="4" s="1"/>
  <c r="F631" i="4" s="1"/>
  <c r="F39" i="4"/>
  <c r="F57" i="4" s="1"/>
  <c r="D688" i="4"/>
  <c r="F688" i="4" s="1"/>
  <c r="F705" i="4" s="1"/>
  <c r="D724" i="4"/>
  <c r="F724" i="4" s="1"/>
  <c r="F741" i="4" s="1"/>
  <c r="D429" i="4"/>
  <c r="F429" i="4" s="1"/>
  <c r="F446" i="4" s="1"/>
  <c r="D650" i="4"/>
  <c r="F650" i="4" s="1"/>
  <c r="F667" i="4" s="1"/>
  <c r="D576" i="4"/>
  <c r="F576" i="4" s="1"/>
  <c r="F593" i="4" s="1"/>
  <c r="D503" i="4"/>
  <c r="F503" i="4" s="1"/>
  <c r="F520" i="4" s="1"/>
  <c r="DE134" i="8" l="1"/>
  <c r="DE136" i="8" s="1"/>
  <c r="DD110" i="8" l="1"/>
  <c r="DE110" i="8" s="1"/>
  <c r="D394" i="4" l="1"/>
  <c r="F394" i="4" s="1"/>
  <c r="AF24" i="2"/>
  <c r="AH24" i="2" s="1"/>
  <c r="F410" i="4" l="1"/>
  <c r="BB59" i="8" l="1"/>
  <c r="Q15" i="2" s="1"/>
  <c r="D41" i="10" l="1"/>
  <c r="F41" i="10" s="1"/>
  <c r="F58" i="10" s="1"/>
  <c r="DB59" i="8"/>
  <c r="DB109" i="8" s="1"/>
  <c r="D41" i="4" l="1"/>
  <c r="F41" i="4" s="1"/>
  <c r="Q25" i="2"/>
  <c r="R15" i="2"/>
  <c r="D42" i="10" s="1"/>
  <c r="F42" i="10" s="1"/>
  <c r="F59" i="10" s="1"/>
  <c r="DD109" i="8"/>
  <c r="D42" i="4" l="1"/>
  <c r="F42" i="4" s="1"/>
  <c r="F59" i="4" s="1"/>
  <c r="AF15" i="2"/>
  <c r="AH15" i="2" s="1"/>
  <c r="R25" i="2"/>
  <c r="F58" i="4"/>
  <c r="AF25" i="2" l="1"/>
  <c r="AH25" i="2" s="1"/>
  <c r="L94" i="1" l="1"/>
  <c r="L100" i="1" s="1"/>
  <c r="L91" i="1"/>
  <c r="G78" i="1" l="1"/>
  <c r="L25" i="2" s="1"/>
  <c r="H57" i="1"/>
  <c r="K57" i="1" s="1"/>
  <c r="K72" i="1" s="1"/>
  <c r="M86" i="1" s="1"/>
  <c r="O86" i="1" s="1"/>
  <c r="AA22" i="2"/>
  <c r="F22" i="2" s="1"/>
  <c r="F25" i="2" s="1"/>
  <c r="D2944" i="10" l="1"/>
  <c r="F2944" i="10" s="1"/>
  <c r="D2871" i="10"/>
  <c r="F2871" i="10" s="1"/>
  <c r="D2057" i="10"/>
  <c r="F2057" i="10" s="1"/>
  <c r="D2021" i="10"/>
  <c r="F2021" i="10" s="1"/>
  <c r="D1909" i="10"/>
  <c r="F1909" i="10" s="1"/>
  <c r="D1761" i="10"/>
  <c r="F1761" i="10" s="1"/>
  <c r="D1687" i="10"/>
  <c r="F1687" i="10" s="1"/>
  <c r="D1651" i="10"/>
  <c r="F1651" i="10" s="1"/>
  <c r="D1464" i="10"/>
  <c r="F1464" i="10" s="1"/>
  <c r="D1390" i="10"/>
  <c r="F1390" i="10" s="1"/>
  <c r="D1354" i="10"/>
  <c r="F1354" i="10" s="1"/>
  <c r="D1280" i="10"/>
  <c r="F1280" i="10" s="1"/>
  <c r="D946" i="10"/>
  <c r="F946" i="10" s="1"/>
  <c r="D349" i="10"/>
  <c r="F349" i="10" s="1"/>
  <c r="D311" i="10"/>
  <c r="F311" i="10" s="1"/>
  <c r="D271" i="10"/>
  <c r="F271" i="10" s="1"/>
  <c r="D233" i="10"/>
  <c r="F233" i="10" s="1"/>
  <c r="D115" i="10"/>
  <c r="F115" i="10" s="1"/>
  <c r="D2501" i="10"/>
  <c r="F2501" i="10" s="1"/>
  <c r="D1947" i="10"/>
  <c r="F1947" i="10" s="1"/>
  <c r="D1206" i="10"/>
  <c r="F1206" i="10" s="1"/>
  <c r="D1835" i="10"/>
  <c r="F1835" i="10" s="1"/>
  <c r="D1132" i="10"/>
  <c r="F1132" i="10" s="1"/>
  <c r="D687" i="10"/>
  <c r="F687" i="10" s="1"/>
  <c r="D156" i="10"/>
  <c r="F156" i="10" s="1"/>
  <c r="D2649" i="10"/>
  <c r="F2649" i="10" s="1"/>
  <c r="D2613" i="10"/>
  <c r="F2613" i="10" s="1"/>
  <c r="D2427" i="10"/>
  <c r="F2427" i="10" s="1"/>
  <c r="D2353" i="10"/>
  <c r="F2353" i="10" s="1"/>
  <c r="D2317" i="10"/>
  <c r="F2317" i="10" s="1"/>
  <c r="D2243" i="10"/>
  <c r="F2243" i="10" s="1"/>
  <c r="D2205" i="10"/>
  <c r="F2205" i="10" s="1"/>
  <c r="D2169" i="10"/>
  <c r="F2169" i="10" s="1"/>
  <c r="D2095" i="10"/>
  <c r="F2095" i="10" s="1"/>
  <c r="D1873" i="10"/>
  <c r="F1873" i="10" s="1"/>
  <c r="D1242" i="10"/>
  <c r="F1242" i="10" s="1"/>
  <c r="D1020" i="10"/>
  <c r="F1020" i="10" s="1"/>
  <c r="D984" i="10"/>
  <c r="F984" i="10" s="1"/>
  <c r="D649" i="10"/>
  <c r="F649" i="10" s="1"/>
  <c r="D466" i="10"/>
  <c r="F466" i="10" s="1"/>
  <c r="D389" i="10"/>
  <c r="F389" i="10" s="1"/>
  <c r="D193" i="10"/>
  <c r="F193" i="10" s="1"/>
  <c r="D38" i="10"/>
  <c r="F38" i="10" s="1"/>
  <c r="D2982" i="10"/>
  <c r="F2982" i="10" s="1"/>
  <c r="D2797" i="10"/>
  <c r="F2797" i="10" s="1"/>
  <c r="D2761" i="10"/>
  <c r="F2761" i="10" s="1"/>
  <c r="D2723" i="10"/>
  <c r="F2723" i="10" s="1"/>
  <c r="D2575" i="10"/>
  <c r="F2575" i="10" s="1"/>
  <c r="D2539" i="10"/>
  <c r="F2539" i="10" s="1"/>
  <c r="D2465" i="10"/>
  <c r="F2465" i="10" s="1"/>
  <c r="D2391" i="10"/>
  <c r="F2391" i="10" s="1"/>
  <c r="D2279" i="10"/>
  <c r="F2279" i="10" s="1"/>
  <c r="D2131" i="10"/>
  <c r="F2131" i="10" s="1"/>
  <c r="D1983" i="10"/>
  <c r="F1983" i="10" s="1"/>
  <c r="D1799" i="10"/>
  <c r="F1799" i="10" s="1"/>
  <c r="D1613" i="10"/>
  <c r="F1613" i="10" s="1"/>
  <c r="D1576" i="10"/>
  <c r="F1576" i="10" s="1"/>
  <c r="D1502" i="10"/>
  <c r="F1502" i="10" s="1"/>
  <c r="D1094" i="10"/>
  <c r="F1094" i="10" s="1"/>
  <c r="D1058" i="10"/>
  <c r="F1058" i="10" s="1"/>
  <c r="D872" i="10"/>
  <c r="F872" i="10" s="1"/>
  <c r="D797" i="10"/>
  <c r="F797" i="10" s="1"/>
  <c r="D575" i="10"/>
  <c r="F575" i="10" s="1"/>
  <c r="D428" i="10"/>
  <c r="F428" i="10" s="1"/>
  <c r="D2909" i="10"/>
  <c r="F2909" i="10" s="1"/>
  <c r="D2835" i="10"/>
  <c r="F2835" i="10" s="1"/>
  <c r="D2687" i="10"/>
  <c r="F2687" i="10" s="1"/>
  <c r="D1725" i="10"/>
  <c r="F1725" i="10" s="1"/>
  <c r="D1538" i="10"/>
  <c r="F1538" i="10" s="1"/>
  <c r="D1428" i="10"/>
  <c r="F1428" i="10" s="1"/>
  <c r="D1316" i="10"/>
  <c r="F1316" i="10" s="1"/>
  <c r="D1168" i="10"/>
  <c r="F1168" i="10" s="1"/>
  <c r="D910" i="10"/>
  <c r="F910" i="10" s="1"/>
  <c r="D836" i="10"/>
  <c r="F836" i="10" s="1"/>
  <c r="D761" i="10"/>
  <c r="F761" i="10" s="1"/>
  <c r="D723" i="10"/>
  <c r="F723" i="10" s="1"/>
  <c r="D613" i="10"/>
  <c r="F613" i="10" s="1"/>
  <c r="D540" i="10"/>
  <c r="F540" i="10" s="1"/>
  <c r="D502" i="10"/>
  <c r="F502" i="10" s="1"/>
  <c r="D77" i="10"/>
  <c r="F77" i="10" s="1"/>
  <c r="H72" i="1"/>
  <c r="I60" i="1" s="1"/>
  <c r="X22" i="2"/>
  <c r="DC125" i="8"/>
  <c r="DE125" i="8" s="1"/>
  <c r="L24" i="2"/>
  <c r="P24" i="2" s="1"/>
  <c r="S24" i="2" s="1"/>
  <c r="AJ24" i="2" s="1"/>
  <c r="AK24" i="2" s="1"/>
  <c r="L23" i="2"/>
  <c r="P23" i="2" s="1"/>
  <c r="S23" i="2" s="1"/>
  <c r="AJ23" i="2" s="1"/>
  <c r="AK23" i="2" s="1"/>
  <c r="L21" i="2"/>
  <c r="P21" i="2" s="1"/>
  <c r="S21" i="2" s="1"/>
  <c r="AJ21" i="2" s="1"/>
  <c r="AK21" i="2" s="1"/>
  <c r="L20" i="2"/>
  <c r="P20" i="2" s="1"/>
  <c r="S20" i="2" s="1"/>
  <c r="AJ20" i="2" s="1"/>
  <c r="AK20" i="2" s="1"/>
  <c r="L16" i="2"/>
  <c r="D349" i="4"/>
  <c r="F349" i="4" s="1"/>
  <c r="D2205" i="4"/>
  <c r="F2205" i="4" s="1"/>
  <c r="L15" i="2"/>
  <c r="L19" i="2"/>
  <c r="P19" i="2" s="1"/>
  <c r="S19" i="2" s="1"/>
  <c r="AJ19" i="2" s="1"/>
  <c r="AK19" i="2" s="1"/>
  <c r="D1428" i="4"/>
  <c r="F1428" i="4" s="1"/>
  <c r="D193" i="4"/>
  <c r="F193" i="4" s="1"/>
  <c r="D2169" i="4"/>
  <c r="F2169" i="4" s="1"/>
  <c r="D872" i="4"/>
  <c r="F872" i="4" s="1"/>
  <c r="D540" i="4"/>
  <c r="F540" i="4" s="1"/>
  <c r="D1390" i="4"/>
  <c r="F1390" i="4" s="1"/>
  <c r="D1464" i="4"/>
  <c r="F1464" i="4" s="1"/>
  <c r="D1761" i="4"/>
  <c r="F1761" i="4" s="1"/>
  <c r="D77" i="4"/>
  <c r="F77" i="4" s="1"/>
  <c r="D1206" i="4"/>
  <c r="F1206" i="4" s="1"/>
  <c r="D1058" i="4"/>
  <c r="F1058" i="4" s="1"/>
  <c r="D2021" i="4"/>
  <c r="F2021" i="4" s="1"/>
  <c r="D2317" i="4"/>
  <c r="F2317" i="4" s="1"/>
  <c r="D2944" i="4"/>
  <c r="F2944" i="4" s="1"/>
  <c r="D2575" i="4"/>
  <c r="F2575" i="4" s="1"/>
  <c r="D1094" i="4"/>
  <c r="F1094" i="4" s="1"/>
  <c r="D1020" i="4"/>
  <c r="F1020" i="4" s="1"/>
  <c r="D466" i="4"/>
  <c r="F466" i="4" s="1"/>
  <c r="D1502" i="4"/>
  <c r="F1502" i="4" s="1"/>
  <c r="D2982" i="4"/>
  <c r="F2982" i="4" s="1"/>
  <c r="D271" i="4"/>
  <c r="F271" i="4" s="1"/>
  <c r="D2131" i="4"/>
  <c r="F2131" i="4" s="1"/>
  <c r="M15" i="2"/>
  <c r="D1947" i="4"/>
  <c r="F1947" i="4" s="1"/>
  <c r="D1651" i="4"/>
  <c r="F1651" i="4" s="1"/>
  <c r="D613" i="4"/>
  <c r="F613" i="4" s="1"/>
  <c r="D156" i="4"/>
  <c r="F156" i="4" s="1"/>
  <c r="D2501" i="4"/>
  <c r="F2501" i="4" s="1"/>
  <c r="D2797" i="4"/>
  <c r="F2797" i="4" s="1"/>
  <c r="D2243" i="4"/>
  <c r="F2243" i="4" s="1"/>
  <c r="D2465" i="4"/>
  <c r="F2465" i="4" s="1"/>
  <c r="D233" i="4"/>
  <c r="F233" i="4" s="1"/>
  <c r="D1873" i="4"/>
  <c r="F1873" i="4" s="1"/>
  <c r="D2613" i="4"/>
  <c r="F2613" i="4" s="1"/>
  <c r="D502" i="4"/>
  <c r="F502" i="4" s="1"/>
  <c r="D2761" i="4"/>
  <c r="F2761" i="4" s="1"/>
  <c r="D836" i="4"/>
  <c r="F836" i="4" s="1"/>
  <c r="L22" i="2"/>
  <c r="P22" i="2" s="1"/>
  <c r="S22" i="2" s="1"/>
  <c r="AJ22" i="2" s="1"/>
  <c r="AK22" i="2" s="1"/>
  <c r="L18" i="2"/>
  <c r="P18" i="2" s="1"/>
  <c r="S18" i="2" s="1"/>
  <c r="AJ18" i="2" s="1"/>
  <c r="AK18" i="2" s="1"/>
  <c r="D2871" i="4"/>
  <c r="F2871" i="4" s="1"/>
  <c r="D115" i="4"/>
  <c r="F115" i="4" s="1"/>
  <c r="D1280" i="4"/>
  <c r="F1280" i="4" s="1"/>
  <c r="D2095" i="4"/>
  <c r="F2095" i="4" s="1"/>
  <c r="D1538" i="4"/>
  <c r="F1538" i="4" s="1"/>
  <c r="D1725" i="4"/>
  <c r="F1725" i="4" s="1"/>
  <c r="D1983" i="4"/>
  <c r="F1983" i="4" s="1"/>
  <c r="D575" i="4"/>
  <c r="F575" i="4" s="1"/>
  <c r="D2723" i="4"/>
  <c r="F2723" i="4" s="1"/>
  <c r="D2649" i="4"/>
  <c r="F2649" i="4" s="1"/>
  <c r="D687" i="4"/>
  <c r="F687" i="4" s="1"/>
  <c r="D1835" i="4"/>
  <c r="F1835" i="4" s="1"/>
  <c r="D1687" i="4"/>
  <c r="F1687" i="4" s="1"/>
  <c r="D946" i="4"/>
  <c r="F946" i="4" s="1"/>
  <c r="D2427" i="4"/>
  <c r="F2427" i="4" s="1"/>
  <c r="D2353" i="4"/>
  <c r="F2353" i="4" s="1"/>
  <c r="D1316" i="4"/>
  <c r="F1316" i="4" s="1"/>
  <c r="D1613" i="4"/>
  <c r="F1613" i="4" s="1"/>
  <c r="D2909" i="4"/>
  <c r="F2909" i="4" s="1"/>
  <c r="D2539" i="4"/>
  <c r="F2539" i="4" s="1"/>
  <c r="D1909" i="4"/>
  <c r="F1909" i="4" s="1"/>
  <c r="D1576" i="4"/>
  <c r="F1576" i="4" s="1"/>
  <c r="D2835" i="4"/>
  <c r="F2835" i="4" s="1"/>
  <c r="D2391" i="4"/>
  <c r="F2391" i="4" s="1"/>
  <c r="D797" i="4"/>
  <c r="F797" i="4" s="1"/>
  <c r="D984" i="4"/>
  <c r="F984" i="4" s="1"/>
  <c r="D723" i="4"/>
  <c r="F723" i="4" s="1"/>
  <c r="D1242" i="4"/>
  <c r="F1242" i="4" s="1"/>
  <c r="D2057" i="4"/>
  <c r="F2057" i="4" s="1"/>
  <c r="D389" i="4"/>
  <c r="F389" i="4" s="1"/>
  <c r="D761" i="4"/>
  <c r="F761" i="4" s="1"/>
  <c r="D1354" i="4"/>
  <c r="F1354" i="4" s="1"/>
  <c r="D2687" i="4"/>
  <c r="F2687" i="4" s="1"/>
  <c r="D428" i="4"/>
  <c r="F428" i="4" s="1"/>
  <c r="L17" i="2"/>
  <c r="P17" i="2" s="1"/>
  <c r="S17" i="2" s="1"/>
  <c r="AJ17" i="2" s="1"/>
  <c r="AK17" i="2" s="1"/>
  <c r="D38" i="4"/>
  <c r="F38" i="4" s="1"/>
  <c r="D649" i="4"/>
  <c r="F649" i="4" s="1"/>
  <c r="D1799" i="4"/>
  <c r="F1799" i="4" s="1"/>
  <c r="D910" i="4"/>
  <c r="F910" i="4" s="1"/>
  <c r="D1132" i="4"/>
  <c r="F1132" i="4" s="1"/>
  <c r="D2279" i="4"/>
  <c r="F2279" i="4" s="1"/>
  <c r="D1168" i="4"/>
  <c r="F1168" i="4" s="1"/>
  <c r="M16" i="2"/>
  <c r="D311" i="4"/>
  <c r="F311" i="4" s="1"/>
  <c r="N57" i="1"/>
  <c r="N72" i="1" s="1"/>
  <c r="G86" i="1"/>
  <c r="AA25" i="2"/>
  <c r="Z34" i="2" s="1"/>
  <c r="F728" i="10" l="1"/>
  <c r="F740" i="10"/>
  <c r="F1729" i="10"/>
  <c r="F1742" i="10"/>
  <c r="F445" i="10"/>
  <c r="F432" i="10"/>
  <c r="F1062" i="10"/>
  <c r="F1075" i="10"/>
  <c r="F1630" i="10"/>
  <c r="F1617" i="10"/>
  <c r="F2283" i="10"/>
  <c r="F2296" i="10"/>
  <c r="F2579" i="10"/>
  <c r="F2592" i="10"/>
  <c r="F2986" i="10"/>
  <c r="F2999" i="10"/>
  <c r="F3004" i="10" s="1"/>
  <c r="C3003" i="10" s="1"/>
  <c r="F471" i="10"/>
  <c r="F483" i="10"/>
  <c r="F1246" i="10"/>
  <c r="F1259" i="10"/>
  <c r="F2222" i="10"/>
  <c r="F2209" i="10"/>
  <c r="F2431" i="10"/>
  <c r="F2444" i="10"/>
  <c r="F704" i="10"/>
  <c r="F692" i="10"/>
  <c r="F1964" i="10"/>
  <c r="F1951" i="10"/>
  <c r="F277" i="10"/>
  <c r="F289" i="10"/>
  <c r="F1297" i="10"/>
  <c r="F1284" i="10"/>
  <c r="F1668" i="10"/>
  <c r="F1655" i="10"/>
  <c r="F2038" i="10"/>
  <c r="F2025" i="10"/>
  <c r="F519" i="10"/>
  <c r="F507" i="10"/>
  <c r="F778" i="10"/>
  <c r="F766" i="10"/>
  <c r="F1320" i="10"/>
  <c r="F1333" i="10"/>
  <c r="F2691" i="10"/>
  <c r="F2704" i="10"/>
  <c r="F592" i="10"/>
  <c r="F580" i="10"/>
  <c r="F1111" i="10"/>
  <c r="F1098" i="10"/>
  <c r="F1816" i="10"/>
  <c r="F1803" i="10"/>
  <c r="F2395" i="10"/>
  <c r="F2408" i="10"/>
  <c r="F2740" i="10"/>
  <c r="F2727" i="10"/>
  <c r="F43" i="10"/>
  <c r="F56" i="10"/>
  <c r="F666" i="10"/>
  <c r="F654" i="10"/>
  <c r="F1890" i="10"/>
  <c r="F1877" i="10"/>
  <c r="F2247" i="10"/>
  <c r="F2260" i="10"/>
  <c r="F2630" i="10"/>
  <c r="F2617" i="10"/>
  <c r="F1149" i="10"/>
  <c r="F1136" i="10"/>
  <c r="F2518" i="10"/>
  <c r="F2505" i="10"/>
  <c r="F329" i="10"/>
  <c r="F317" i="10"/>
  <c r="F1358" i="10"/>
  <c r="F1371" i="10"/>
  <c r="F1704" i="10"/>
  <c r="F1691" i="10"/>
  <c r="F2074" i="10"/>
  <c r="F2061" i="10"/>
  <c r="F95" i="10"/>
  <c r="F82" i="10"/>
  <c r="F556" i="10"/>
  <c r="F544" i="10"/>
  <c r="F841" i="10"/>
  <c r="F853" i="10"/>
  <c r="F1432" i="10"/>
  <c r="F1445" i="10"/>
  <c r="F2852" i="10"/>
  <c r="F2839" i="10"/>
  <c r="F815" i="10"/>
  <c r="F801" i="10"/>
  <c r="F1519" i="10"/>
  <c r="F1506" i="10"/>
  <c r="F1987" i="10"/>
  <c r="F2000" i="10"/>
  <c r="F2469" i="10"/>
  <c r="F2482" i="10"/>
  <c r="F2765" i="10"/>
  <c r="F2778" i="10"/>
  <c r="F212" i="10"/>
  <c r="F217" i="10" s="1"/>
  <c r="F199" i="10"/>
  <c r="C217" i="10" s="1"/>
  <c r="F988" i="10"/>
  <c r="F1001" i="10"/>
  <c r="F2099" i="10"/>
  <c r="F2112" i="10"/>
  <c r="F2334" i="10"/>
  <c r="F2321" i="10"/>
  <c r="F2653" i="10"/>
  <c r="F2666" i="10"/>
  <c r="F1839" i="10"/>
  <c r="F1852" i="10"/>
  <c r="F134" i="10"/>
  <c r="F121" i="10"/>
  <c r="F367" i="10"/>
  <c r="F355" i="10"/>
  <c r="F1407" i="10"/>
  <c r="F1394" i="10"/>
  <c r="F1778" i="10"/>
  <c r="F1765" i="10"/>
  <c r="F2875" i="10"/>
  <c r="F2888" i="10"/>
  <c r="F1185" i="10"/>
  <c r="F1172" i="10"/>
  <c r="F630" i="10"/>
  <c r="F618" i="10"/>
  <c r="F914" i="10"/>
  <c r="F927" i="10"/>
  <c r="F1555" i="10"/>
  <c r="F1542" i="10"/>
  <c r="F2925" i="10"/>
  <c r="F2913" i="10"/>
  <c r="F889" i="10"/>
  <c r="F876" i="10"/>
  <c r="F1593" i="10"/>
  <c r="F1580" i="10"/>
  <c r="F2148" i="10"/>
  <c r="F2135" i="10"/>
  <c r="F2556" i="10"/>
  <c r="F2543" i="10"/>
  <c r="F2814" i="10"/>
  <c r="F2801" i="10"/>
  <c r="F407" i="10"/>
  <c r="F395" i="10"/>
  <c r="F1037" i="10"/>
  <c r="F1024" i="10"/>
  <c r="F2186" i="10"/>
  <c r="F2173" i="10"/>
  <c r="F2357" i="10"/>
  <c r="F2370" i="10"/>
  <c r="F173" i="10"/>
  <c r="F162" i="10"/>
  <c r="F1223" i="10"/>
  <c r="F1210" i="10"/>
  <c r="F250" i="10"/>
  <c r="F239" i="10"/>
  <c r="F950" i="10"/>
  <c r="F963" i="10"/>
  <c r="F1468" i="10"/>
  <c r="F1481" i="10"/>
  <c r="F1913" i="10"/>
  <c r="F1926" i="10"/>
  <c r="F2961" i="10"/>
  <c r="F2948" i="10"/>
  <c r="I38" i="1"/>
  <c r="I52" i="1"/>
  <c r="G118" i="1"/>
  <c r="I57" i="1"/>
  <c r="I54" i="1"/>
  <c r="I72" i="1"/>
  <c r="O72" i="1"/>
  <c r="P72" i="1" s="1"/>
  <c r="I63" i="1"/>
  <c r="I12" i="1"/>
  <c r="I33" i="1"/>
  <c r="I71" i="1"/>
  <c r="H78" i="1"/>
  <c r="I46" i="1"/>
  <c r="P86" i="1"/>
  <c r="Q86" i="1" s="1"/>
  <c r="F914" i="4"/>
  <c r="F927" i="4"/>
  <c r="F728" i="4"/>
  <c r="F740" i="4"/>
  <c r="F2431" i="4"/>
  <c r="F2444" i="4"/>
  <c r="F1987" i="4"/>
  <c r="F2000" i="4"/>
  <c r="F2617" i="4"/>
  <c r="F2630" i="4"/>
  <c r="F2135" i="4"/>
  <c r="F2148" i="4"/>
  <c r="F471" i="4"/>
  <c r="F483" i="4"/>
  <c r="F1394" i="4"/>
  <c r="F1407" i="4"/>
  <c r="F212" i="4"/>
  <c r="F217" i="4" s="1"/>
  <c r="F199" i="4"/>
  <c r="C217" i="4" s="1"/>
  <c r="F2222" i="4"/>
  <c r="F2209" i="4"/>
  <c r="F1172" i="4"/>
  <c r="F1185" i="4"/>
  <c r="F1803" i="4"/>
  <c r="F1816" i="4"/>
  <c r="F445" i="4"/>
  <c r="F432" i="4"/>
  <c r="F395" i="4"/>
  <c r="F407" i="4"/>
  <c r="F988" i="4"/>
  <c r="F1001" i="4"/>
  <c r="F1593" i="4"/>
  <c r="F1580" i="4"/>
  <c r="F1617" i="4"/>
  <c r="F1630" i="4"/>
  <c r="F950" i="4"/>
  <c r="F963" i="4"/>
  <c r="F2653" i="4"/>
  <c r="F2666" i="4"/>
  <c r="F1742" i="4"/>
  <c r="F1729" i="4"/>
  <c r="F121" i="4"/>
  <c r="F134" i="4"/>
  <c r="F841" i="4"/>
  <c r="F853" i="4"/>
  <c r="F1877" i="4"/>
  <c r="F1890" i="4"/>
  <c r="F2801" i="4"/>
  <c r="F2814" i="4"/>
  <c r="F1655" i="4"/>
  <c r="F1668" i="4"/>
  <c r="F277" i="4"/>
  <c r="F289" i="4"/>
  <c r="F1024" i="4"/>
  <c r="F1037" i="4"/>
  <c r="F2321" i="4"/>
  <c r="F2334" i="4"/>
  <c r="F82" i="4"/>
  <c r="F95" i="4"/>
  <c r="F556" i="4"/>
  <c r="F544" i="4"/>
  <c r="F1432" i="4"/>
  <c r="F1445" i="4"/>
  <c r="F355" i="4"/>
  <c r="F367" i="4"/>
  <c r="F2839" i="4"/>
  <c r="F2852" i="4"/>
  <c r="F692" i="4"/>
  <c r="F704" i="4"/>
  <c r="F1297" i="4"/>
  <c r="F1284" i="4"/>
  <c r="F2247" i="4"/>
  <c r="F2260" i="4"/>
  <c r="F1210" i="4"/>
  <c r="F1223" i="4"/>
  <c r="M83" i="1"/>
  <c r="X25" i="2"/>
  <c r="Z27" i="2"/>
  <c r="Z30" i="2" s="1"/>
  <c r="G83" i="1"/>
  <c r="F2691" i="4"/>
  <c r="F2704" i="4"/>
  <c r="F801" i="4"/>
  <c r="F815" i="4"/>
  <c r="F1913" i="4"/>
  <c r="F1926" i="4"/>
  <c r="F1320" i="4"/>
  <c r="F1333" i="4"/>
  <c r="F1691" i="4"/>
  <c r="F1704" i="4"/>
  <c r="F2727" i="4"/>
  <c r="F2740" i="4"/>
  <c r="F1542" i="4"/>
  <c r="F1555" i="4"/>
  <c r="F2875" i="4"/>
  <c r="F2888" i="4"/>
  <c r="F2765" i="4"/>
  <c r="F2778" i="4"/>
  <c r="F239" i="4"/>
  <c r="F250" i="4"/>
  <c r="F2505" i="4"/>
  <c r="F2518" i="4"/>
  <c r="F1951" i="4"/>
  <c r="F1964" i="4"/>
  <c r="F2986" i="4"/>
  <c r="F2999" i="4"/>
  <c r="F3004" i="4" s="1"/>
  <c r="C3003" i="4" s="1"/>
  <c r="F1098" i="4"/>
  <c r="F1111" i="4"/>
  <c r="F2025" i="4"/>
  <c r="F2038" i="4"/>
  <c r="F1765" i="4"/>
  <c r="F1778" i="4"/>
  <c r="F889" i="4"/>
  <c r="F876" i="4"/>
  <c r="P16" i="2"/>
  <c r="S16" i="2" s="1"/>
  <c r="AJ16" i="2" s="1"/>
  <c r="AK16" i="2" s="1"/>
  <c r="F766" i="4"/>
  <c r="F778" i="4"/>
  <c r="F2913" i="4"/>
  <c r="F2925" i="4"/>
  <c r="F618" i="4"/>
  <c r="F630" i="4"/>
  <c r="F2948" i="4"/>
  <c r="F2961" i="4"/>
  <c r="F2283" i="4"/>
  <c r="F2296" i="4"/>
  <c r="F654" i="4"/>
  <c r="F666" i="4"/>
  <c r="F2074" i="4"/>
  <c r="F2061" i="4"/>
  <c r="F317" i="4"/>
  <c r="F329" i="4"/>
  <c r="F1136" i="4"/>
  <c r="F1149" i="4"/>
  <c r="F43" i="4"/>
  <c r="F56" i="4"/>
  <c r="F1358" i="4"/>
  <c r="F1371" i="4"/>
  <c r="F1246" i="4"/>
  <c r="F1259" i="4"/>
  <c r="F2395" i="4"/>
  <c r="F2408" i="4"/>
  <c r="F2543" i="4"/>
  <c r="F2556" i="4"/>
  <c r="F2357" i="4"/>
  <c r="F2370" i="4"/>
  <c r="F1839" i="4"/>
  <c r="F1852" i="4"/>
  <c r="F580" i="4"/>
  <c r="F592" i="4"/>
  <c r="F2099" i="4"/>
  <c r="F2112" i="4"/>
  <c r="F507" i="4"/>
  <c r="F519" i="4"/>
  <c r="F2469" i="4"/>
  <c r="F2482" i="4"/>
  <c r="F162" i="4"/>
  <c r="F173" i="4"/>
  <c r="F1506" i="4"/>
  <c r="F1519" i="4"/>
  <c r="F2579" i="4"/>
  <c r="F2592" i="4"/>
  <c r="F1075" i="4"/>
  <c r="F1062" i="4"/>
  <c r="F1468" i="4"/>
  <c r="F1481" i="4"/>
  <c r="F2173" i="4"/>
  <c r="F2186" i="4"/>
  <c r="P15" i="2"/>
  <c r="G87" i="1" l="1"/>
  <c r="P82" i="1"/>
  <c r="Q82" i="1" s="1"/>
  <c r="F412" i="10"/>
  <c r="C412" i="10"/>
  <c r="F1190" i="10"/>
  <c r="C1190" i="10"/>
  <c r="C2338" i="10"/>
  <c r="F2339" i="10"/>
  <c r="C2634" i="10"/>
  <c r="F2635" i="10"/>
  <c r="F1486" i="10"/>
  <c r="C1486" i="10"/>
  <c r="F932" i="10"/>
  <c r="C931" i="10"/>
  <c r="C1857" i="10"/>
  <c r="F1857" i="10"/>
  <c r="F1006" i="10"/>
  <c r="C1005" i="10"/>
  <c r="F2783" i="10"/>
  <c r="C2782" i="10"/>
  <c r="F2005" i="10"/>
  <c r="C2005" i="10"/>
  <c r="F1450" i="10"/>
  <c r="C1449" i="10"/>
  <c r="C1375" i="10"/>
  <c r="F1376" i="10"/>
  <c r="F61" i="10"/>
  <c r="C61" i="10"/>
  <c r="F2413" i="10"/>
  <c r="C2412" i="10"/>
  <c r="F2709" i="10"/>
  <c r="C2708" i="10"/>
  <c r="F2449" i="10"/>
  <c r="C2449" i="10"/>
  <c r="C1264" i="10"/>
  <c r="F1264" i="10"/>
  <c r="F2301" i="10"/>
  <c r="C2301" i="10"/>
  <c r="C1079" i="10"/>
  <c r="F1080" i="10"/>
  <c r="F1747" i="10"/>
  <c r="C1746" i="10"/>
  <c r="F2966" i="10"/>
  <c r="C2966" i="10"/>
  <c r="C178" i="10"/>
  <c r="F178" i="10"/>
  <c r="C2560" i="10"/>
  <c r="F2561" i="10"/>
  <c r="C2929" i="10"/>
  <c r="F2930" i="10"/>
  <c r="F1783" i="10"/>
  <c r="C1783" i="10"/>
  <c r="F820" i="10"/>
  <c r="C820" i="10"/>
  <c r="F2079" i="10"/>
  <c r="C2079" i="10"/>
  <c r="C2523" i="10"/>
  <c r="F2523" i="10"/>
  <c r="C2042" i="10"/>
  <c r="F2043" i="10"/>
  <c r="C1968" i="10"/>
  <c r="F1969" i="10"/>
  <c r="F1228" i="10"/>
  <c r="C1227" i="10"/>
  <c r="F1042" i="10"/>
  <c r="C1042" i="10"/>
  <c r="F2819" i="10"/>
  <c r="C2819" i="10"/>
  <c r="F2153" i="10"/>
  <c r="C2153" i="10"/>
  <c r="F894" i="10"/>
  <c r="C894" i="10"/>
  <c r="C1560" i="10"/>
  <c r="F1560" i="10"/>
  <c r="F635" i="10"/>
  <c r="C634" i="10"/>
  <c r="F1412" i="10"/>
  <c r="C1412" i="10"/>
  <c r="F139" i="10"/>
  <c r="C139" i="10"/>
  <c r="C1523" i="10"/>
  <c r="F1524" i="10"/>
  <c r="F2857" i="10"/>
  <c r="C2856" i="10"/>
  <c r="F100" i="10"/>
  <c r="C100" i="10"/>
  <c r="F1709" i="10"/>
  <c r="C1709" i="10"/>
  <c r="F334" i="10"/>
  <c r="C334" i="10"/>
  <c r="C1153" i="10"/>
  <c r="F1154" i="10"/>
  <c r="C671" i="10"/>
  <c r="F671" i="10"/>
  <c r="F2745" i="10"/>
  <c r="C2745" i="10"/>
  <c r="F1821" i="10"/>
  <c r="C1820" i="10"/>
  <c r="F597" i="10"/>
  <c r="C597" i="10"/>
  <c r="C524" i="10"/>
  <c r="F524" i="10"/>
  <c r="C1672" i="10"/>
  <c r="F1673" i="10"/>
  <c r="F709" i="10"/>
  <c r="C708" i="10"/>
  <c r="C2227" i="10"/>
  <c r="F2227" i="10"/>
  <c r="F1635" i="10"/>
  <c r="C1635" i="10"/>
  <c r="C450" i="10"/>
  <c r="F450" i="10"/>
  <c r="F255" i="10"/>
  <c r="C255" i="10"/>
  <c r="F2191" i="10"/>
  <c r="C2190" i="10"/>
  <c r="F1598" i="10"/>
  <c r="C1597" i="10"/>
  <c r="F372" i="10"/>
  <c r="C372" i="10"/>
  <c r="C560" i="10"/>
  <c r="F561" i="10"/>
  <c r="F1895" i="10"/>
  <c r="C1894" i="10"/>
  <c r="F1116" i="10"/>
  <c r="C1116" i="10"/>
  <c r="F783" i="10"/>
  <c r="C782" i="10"/>
  <c r="F1302" i="10"/>
  <c r="C1301" i="10"/>
  <c r="C1931" i="10"/>
  <c r="F1931" i="10"/>
  <c r="C968" i="10"/>
  <c r="F968" i="10"/>
  <c r="F2375" i="10"/>
  <c r="C2375" i="10"/>
  <c r="F2893" i="10"/>
  <c r="C2893" i="10"/>
  <c r="F2671" i="10"/>
  <c r="C2671" i="10"/>
  <c r="C2116" i="10"/>
  <c r="F2117" i="10"/>
  <c r="F2487" i="10"/>
  <c r="C2486" i="10"/>
  <c r="F858" i="10"/>
  <c r="C857" i="10"/>
  <c r="F2265" i="10"/>
  <c r="C2264" i="10"/>
  <c r="F1338" i="10"/>
  <c r="C1338" i="10"/>
  <c r="F294" i="10"/>
  <c r="C294" i="10"/>
  <c r="C487" i="10"/>
  <c r="F488" i="10"/>
  <c r="F2597" i="10"/>
  <c r="C2597" i="10"/>
  <c r="C745" i="10"/>
  <c r="F745" i="10"/>
  <c r="C524" i="4"/>
  <c r="F524" i="4"/>
  <c r="C2412" i="4"/>
  <c r="F2413" i="4"/>
  <c r="F2523" i="4"/>
  <c r="C2523" i="4"/>
  <c r="F1709" i="4"/>
  <c r="C1709" i="4"/>
  <c r="C2708" i="4"/>
  <c r="F2709" i="4"/>
  <c r="F1598" i="4"/>
  <c r="C1597" i="4"/>
  <c r="F2227" i="4"/>
  <c r="C2227" i="4"/>
  <c r="C1079" i="4"/>
  <c r="F1080" i="4"/>
  <c r="F635" i="4"/>
  <c r="C634" i="4"/>
  <c r="C782" i="4"/>
  <c r="F783" i="4"/>
  <c r="P83" i="1"/>
  <c r="U34" i="2"/>
  <c r="U35" i="2" s="1"/>
  <c r="O83" i="1"/>
  <c r="M89" i="1"/>
  <c r="C2264" i="4"/>
  <c r="F2265" i="4"/>
  <c r="C708" i="4"/>
  <c r="F709" i="4"/>
  <c r="C372" i="4"/>
  <c r="F372" i="4"/>
  <c r="F2339" i="4"/>
  <c r="C2338" i="4"/>
  <c r="F294" i="4"/>
  <c r="C294" i="4"/>
  <c r="F2819" i="4"/>
  <c r="C2819" i="4"/>
  <c r="C857" i="4"/>
  <c r="F858" i="4"/>
  <c r="C968" i="4"/>
  <c r="F968" i="4"/>
  <c r="F412" i="4"/>
  <c r="C412" i="4"/>
  <c r="C1820" i="4"/>
  <c r="F1821" i="4"/>
  <c r="C1412" i="4"/>
  <c r="F1412" i="4"/>
  <c r="F2153" i="4"/>
  <c r="C2153" i="4"/>
  <c r="C2005" i="4"/>
  <c r="F2005" i="4"/>
  <c r="F745" i="4"/>
  <c r="C745" i="4"/>
  <c r="S15" i="2"/>
  <c r="P25" i="2"/>
  <c r="C2597" i="4"/>
  <c r="F2597" i="4"/>
  <c r="F597" i="4"/>
  <c r="C597" i="4"/>
  <c r="C1375" i="4"/>
  <c r="F1376" i="4"/>
  <c r="C2782" i="4"/>
  <c r="F2783" i="4"/>
  <c r="F2561" i="4"/>
  <c r="C2560" i="4"/>
  <c r="C1116" i="4"/>
  <c r="F1116" i="4"/>
  <c r="F1969" i="4"/>
  <c r="C1968" i="4"/>
  <c r="C255" i="4"/>
  <c r="F255" i="4"/>
  <c r="F2893" i="4"/>
  <c r="C2893" i="4"/>
  <c r="F2745" i="4"/>
  <c r="C2745" i="4"/>
  <c r="F1338" i="4"/>
  <c r="C1338" i="4"/>
  <c r="F820" i="4"/>
  <c r="C820" i="4"/>
  <c r="C1301" i="4"/>
  <c r="F1302" i="4"/>
  <c r="C450" i="4"/>
  <c r="F450" i="4"/>
  <c r="F1486" i="4"/>
  <c r="C1486" i="4"/>
  <c r="C178" i="4"/>
  <c r="F178" i="4"/>
  <c r="F2375" i="4"/>
  <c r="C2375" i="4"/>
  <c r="F1154" i="4"/>
  <c r="C1153" i="4"/>
  <c r="C2301" i="4"/>
  <c r="F2301" i="4"/>
  <c r="C2042" i="4"/>
  <c r="F2043" i="4"/>
  <c r="C1560" i="4"/>
  <c r="F1560" i="4"/>
  <c r="F1931" i="4"/>
  <c r="C1931" i="4"/>
  <c r="C560" i="4"/>
  <c r="F561" i="4"/>
  <c r="C1746" i="4"/>
  <c r="F1747" i="4"/>
  <c r="C2190" i="4"/>
  <c r="F2191" i="4"/>
  <c r="C1523" i="4"/>
  <c r="F1524" i="4"/>
  <c r="C2486" i="4"/>
  <c r="F2487" i="4"/>
  <c r="C2116" i="4"/>
  <c r="F2117" i="4"/>
  <c r="C1857" i="4"/>
  <c r="F1857" i="4"/>
  <c r="F1264" i="4"/>
  <c r="C1264" i="4"/>
  <c r="C61" i="4"/>
  <c r="F61" i="4"/>
  <c r="C334" i="4"/>
  <c r="F334" i="4"/>
  <c r="F671" i="4"/>
  <c r="C671" i="4"/>
  <c r="F1783" i="4"/>
  <c r="C1783" i="4"/>
  <c r="C2079" i="4"/>
  <c r="F2079" i="4"/>
  <c r="F2966" i="4"/>
  <c r="C2966" i="4"/>
  <c r="C2929" i="4"/>
  <c r="F2930" i="4"/>
  <c r="F894" i="4"/>
  <c r="C894" i="4"/>
  <c r="F1228" i="4"/>
  <c r="C1227" i="4"/>
  <c r="C2856" i="4"/>
  <c r="F2857" i="4"/>
  <c r="F1450" i="4"/>
  <c r="C1449" i="4"/>
  <c r="F100" i="4"/>
  <c r="C100" i="4"/>
  <c r="F1042" i="4"/>
  <c r="C1042" i="4"/>
  <c r="F1673" i="4"/>
  <c r="C1672" i="4"/>
  <c r="F1895" i="4"/>
  <c r="C1894" i="4"/>
  <c r="C139" i="4"/>
  <c r="F139" i="4"/>
  <c r="C2671" i="4"/>
  <c r="F2671" i="4"/>
  <c r="F1635" i="4"/>
  <c r="C1635" i="4"/>
  <c r="C1005" i="4"/>
  <c r="F1006" i="4"/>
  <c r="F1190" i="4"/>
  <c r="C1190" i="4"/>
  <c r="C487" i="4"/>
  <c r="F488" i="4"/>
  <c r="C2634" i="4"/>
  <c r="F2635" i="4"/>
  <c r="C2449" i="4"/>
  <c r="F2449" i="4"/>
  <c r="C931" i="4"/>
  <c r="F932" i="4"/>
  <c r="P89" i="1" l="1"/>
  <c r="Q83" i="1"/>
  <c r="G117" i="1"/>
  <c r="L101" i="1"/>
  <c r="L102" i="1" s="1"/>
  <c r="AJ15" i="2"/>
  <c r="AK15" i="2" s="1"/>
  <c r="S25" i="2"/>
  <c r="O89" i="1"/>
  <c r="M91" i="1"/>
  <c r="Q89" i="1" l="1"/>
  <c r="G121" i="1"/>
  <c r="G122" i="1" s="1"/>
</calcChain>
</file>

<file path=xl/sharedStrings.xml><?xml version="1.0" encoding="utf-8"?>
<sst xmlns="http://schemas.openxmlformats.org/spreadsheetml/2006/main" count="2336" uniqueCount="426">
  <si>
    <t>TOTAL</t>
  </si>
  <si>
    <t>U.F.</t>
  </si>
  <si>
    <t>DTO</t>
  </si>
  <si>
    <t>NOMBRE</t>
  </si>
  <si>
    <t>1-A</t>
  </si>
  <si>
    <t>1-B</t>
  </si>
  <si>
    <t>2-A</t>
  </si>
  <si>
    <t>2-B</t>
  </si>
  <si>
    <t>3-A</t>
  </si>
  <si>
    <t>3-B</t>
  </si>
  <si>
    <t>4-A</t>
  </si>
  <si>
    <t>4-B</t>
  </si>
  <si>
    <t>5-A</t>
  </si>
  <si>
    <t>5-B</t>
  </si>
  <si>
    <t>%</t>
  </si>
  <si>
    <t xml:space="preserve">Saldo al cierre </t>
  </si>
  <si>
    <t>Recibo: 1 ORIGINAL</t>
  </si>
  <si>
    <t>PERIODO</t>
  </si>
  <si>
    <t>APELLIDO Y NOMBRES</t>
  </si>
  <si>
    <t>Categoria</t>
  </si>
  <si>
    <t>Legajo</t>
  </si>
  <si>
    <t>0-03</t>
  </si>
  <si>
    <t xml:space="preserve">BANCO </t>
  </si>
  <si>
    <t>PERIODO DEPOSITADO</t>
  </si>
  <si>
    <t>FECHA</t>
  </si>
  <si>
    <t>TAREA</t>
  </si>
  <si>
    <t>INGRESO</t>
  </si>
  <si>
    <t>Enc.Perm c/viv</t>
  </si>
  <si>
    <t>CONCEPTOS</t>
  </si>
  <si>
    <t>UNIDADES</t>
  </si>
  <si>
    <t>REMUNERAC.</t>
  </si>
  <si>
    <t>DESCUENT.</t>
  </si>
  <si>
    <t xml:space="preserve">BASICO </t>
  </si>
  <si>
    <t>feriados,dom</t>
  </si>
  <si>
    <t>RETIRO DE RESIDUOS</t>
  </si>
  <si>
    <t>DIAS</t>
  </si>
  <si>
    <t>RET. JUBILACION</t>
  </si>
  <si>
    <t xml:space="preserve"> -</t>
  </si>
  <si>
    <t>LEY N 19032</t>
  </si>
  <si>
    <t>OBRA SOCIAL</t>
  </si>
  <si>
    <t>ANSSAL</t>
  </si>
  <si>
    <t>CUOTA SINDICAL</t>
  </si>
  <si>
    <t>CAJA PROT FAMILIA</t>
  </si>
  <si>
    <t>TOTAL BRUTO</t>
  </si>
  <si>
    <t>TOTAL DESCUENTOS</t>
  </si>
  <si>
    <t>TOTAL NETO</t>
  </si>
  <si>
    <t>REDONDEO</t>
  </si>
  <si>
    <t xml:space="preserve">SON PESOS: </t>
  </si>
  <si>
    <t>FIRMA DEL EMPLEADO</t>
  </si>
  <si>
    <t>Recibí de la firma cuyo rubro se indica arriba el importe neto de esta liquidación en pago de mi</t>
  </si>
  <si>
    <t>remuneración correspondiente al período indicado y duplicado de la misma.</t>
  </si>
  <si>
    <t>Sindicato suterh</t>
  </si>
  <si>
    <t>art</t>
  </si>
  <si>
    <t>fija</t>
  </si>
  <si>
    <t>porcenta</t>
  </si>
  <si>
    <t>por empleado</t>
  </si>
  <si>
    <t>EMPLEADOR: CONS. DE PROP. BERUTI 4575/77</t>
  </si>
  <si>
    <t>CUIT: 30-70807291-1</t>
  </si>
  <si>
    <t>Cuil: 23-11424220-9</t>
  </si>
  <si>
    <t>OSUNA CLAUDIO R.</t>
  </si>
  <si>
    <t>PLUS JARDIN</t>
  </si>
  <si>
    <t>PLUS COCHERA</t>
  </si>
  <si>
    <t>1425 - Capital Federal</t>
  </si>
  <si>
    <t>GRATIFICACION</t>
  </si>
  <si>
    <t>DS NORMALES</t>
  </si>
  <si>
    <t>HS EXTRAS</t>
  </si>
  <si>
    <t>SETIEMBRE</t>
  </si>
  <si>
    <t>HORAS EXTRAS 100%</t>
  </si>
  <si>
    <t>FIRMA DEL EMPLEADOR</t>
  </si>
  <si>
    <t>FONDO</t>
  </si>
  <si>
    <t>Nación</t>
  </si>
  <si>
    <t>DEC.2641/02</t>
  </si>
  <si>
    <t>Domicilio:                               Beruti 4575/77</t>
  </si>
  <si>
    <t>LEY Nº 19032</t>
  </si>
  <si>
    <t>Recibo: 2 DUPLICADO</t>
  </si>
  <si>
    <t>SEICIENTOS OCHENTA Y OCHO</t>
  </si>
  <si>
    <t>Febrero 2003</t>
  </si>
  <si>
    <t>OBSERVACIONES</t>
  </si>
  <si>
    <t>S.del Estero 336 Capital Federal</t>
  </si>
  <si>
    <t>Deuda Anterior</t>
  </si>
  <si>
    <t>Intereses</t>
  </si>
  <si>
    <t>D A</t>
  </si>
  <si>
    <t>INT</t>
  </si>
  <si>
    <t>TOT</t>
  </si>
  <si>
    <t>Unid. 1</t>
  </si>
  <si>
    <t>Unid. 2</t>
  </si>
  <si>
    <t>Unid. 3</t>
  </si>
  <si>
    <t>Unid. 4</t>
  </si>
  <si>
    <t>Unid. 5</t>
  </si>
  <si>
    <t>Unid. 6</t>
  </si>
  <si>
    <t>Unid. 7</t>
  </si>
  <si>
    <t>Unid. 8</t>
  </si>
  <si>
    <t>Unid. 9</t>
  </si>
  <si>
    <t>Unid. 10</t>
  </si>
  <si>
    <t>Unid. 11</t>
  </si>
  <si>
    <t>Unid. 12</t>
  </si>
  <si>
    <t>Unid. 13</t>
  </si>
  <si>
    <t>Unid. 14</t>
  </si>
  <si>
    <t>Unid. 15</t>
  </si>
  <si>
    <t>Unid. 16</t>
  </si>
  <si>
    <t>Unid. 17</t>
  </si>
  <si>
    <t>Unid. 18</t>
  </si>
  <si>
    <t>Unid. 19</t>
  </si>
  <si>
    <t>Unid. 20</t>
  </si>
  <si>
    <t>Unid. 21</t>
  </si>
  <si>
    <t>Unid. 22</t>
  </si>
  <si>
    <t>Unid. 23</t>
  </si>
  <si>
    <t>Unid. 24</t>
  </si>
  <si>
    <t>Unid. 25</t>
  </si>
  <si>
    <t>Unid. 26</t>
  </si>
  <si>
    <t>Unid. 27</t>
  </si>
  <si>
    <t>Unid. 28</t>
  </si>
  <si>
    <t>Unid. 29</t>
  </si>
  <si>
    <t>Unid. 30</t>
  </si>
  <si>
    <t>Unid. 31</t>
  </si>
  <si>
    <t>Unid. 32</t>
  </si>
  <si>
    <t>Unid. 33</t>
  </si>
  <si>
    <t>Unid. 34</t>
  </si>
  <si>
    <t>Unid. 35</t>
  </si>
  <si>
    <t>Unid. 36</t>
  </si>
  <si>
    <t>Unid. 37</t>
  </si>
  <si>
    <t>Unid. 38</t>
  </si>
  <si>
    <t>Unid. 39</t>
  </si>
  <si>
    <t>Unid. 40</t>
  </si>
  <si>
    <t>Unid. 41</t>
  </si>
  <si>
    <t>Unid. 42</t>
  </si>
  <si>
    <t>Unid. 43</t>
  </si>
  <si>
    <t>Unid. 44</t>
  </si>
  <si>
    <t>Unid. 45</t>
  </si>
  <si>
    <t>Unid. 46</t>
  </si>
  <si>
    <t>Unid. 47</t>
  </si>
  <si>
    <t>Unid. 48</t>
  </si>
  <si>
    <t>Unid. 49</t>
  </si>
  <si>
    <t>Unid. 50</t>
  </si>
  <si>
    <t>Unid. 51</t>
  </si>
  <si>
    <t>Unid. 52</t>
  </si>
  <si>
    <t>Unid. 53</t>
  </si>
  <si>
    <t>Unid. 54</t>
  </si>
  <si>
    <t>Unid. 55</t>
  </si>
  <si>
    <t>Unid. 56</t>
  </si>
  <si>
    <t>Unid. 57</t>
  </si>
  <si>
    <t>Unid. 58</t>
  </si>
  <si>
    <t>Unid. 59</t>
  </si>
  <si>
    <t>Unid. 60</t>
  </si>
  <si>
    <t>Unid. 61</t>
  </si>
  <si>
    <t>Unid. 62</t>
  </si>
  <si>
    <t>Unid. 63</t>
  </si>
  <si>
    <t>Unid. 64</t>
  </si>
  <si>
    <t>Unid. 65</t>
  </si>
  <si>
    <t>Unid. 66</t>
  </si>
  <si>
    <t>Unid. 67</t>
  </si>
  <si>
    <t>Unid. 68</t>
  </si>
  <si>
    <t>Unid. 69</t>
  </si>
  <si>
    <t>Unid. 70</t>
  </si>
  <si>
    <t>Unid. 71</t>
  </si>
  <si>
    <t>Unid. 72</t>
  </si>
  <si>
    <t>Unid. 73</t>
  </si>
  <si>
    <t>Unid. 74</t>
  </si>
  <si>
    <t>Unid. 75</t>
  </si>
  <si>
    <t>Unid. 76</t>
  </si>
  <si>
    <t>Unid. 77</t>
  </si>
  <si>
    <t>Unid. 78</t>
  </si>
  <si>
    <t>Unid. 79</t>
  </si>
  <si>
    <t>Unid. 80</t>
  </si>
  <si>
    <t>CONSORCIO SANTIAGO DEL ESTERO 338</t>
  </si>
  <si>
    <t>Deuda anterior incluye intereses</t>
  </si>
  <si>
    <t>Cobrado</t>
  </si>
  <si>
    <t>Control</t>
  </si>
  <si>
    <t>DETERMINACIÓN DE LAS COBRANZAS Y DE LOS SALDOS PENDIENTES DE COBRO AL 06/06/03</t>
  </si>
  <si>
    <t>Deuda anterior (solamente capital)</t>
  </si>
  <si>
    <t>Intereses pedientes de cobro correspondiente a deuda anterior</t>
  </si>
  <si>
    <t>Importe incluido en Cobranzas y no en resumen de cuenta por no haber sido identificado</t>
  </si>
  <si>
    <t>Cobranza</t>
  </si>
  <si>
    <t xml:space="preserve"> S/ liquid</t>
  </si>
  <si>
    <t>Dif</t>
  </si>
  <si>
    <t>dic</t>
  </si>
  <si>
    <t xml:space="preserve">enero </t>
  </si>
  <si>
    <t>feb</t>
  </si>
  <si>
    <t>abrul</t>
  </si>
  <si>
    <t>mayo</t>
  </si>
  <si>
    <t>julio</t>
  </si>
  <si>
    <t>agost</t>
  </si>
  <si>
    <t>set</t>
  </si>
  <si>
    <t>Local</t>
  </si>
  <si>
    <t>marz</t>
  </si>
  <si>
    <t>abruil</t>
  </si>
  <si>
    <t>TASA</t>
  </si>
  <si>
    <t>INTERES</t>
  </si>
  <si>
    <t>OTROS</t>
  </si>
  <si>
    <t>1A</t>
  </si>
  <si>
    <t>1B</t>
  </si>
  <si>
    <t>TOTALES</t>
  </si>
  <si>
    <t>% A</t>
  </si>
  <si>
    <t>%B</t>
  </si>
  <si>
    <t>TOTALES DEL MES</t>
  </si>
  <si>
    <t xml:space="preserve">Cobranzas del mes </t>
  </si>
  <si>
    <t>CABLE</t>
  </si>
  <si>
    <t>CAJA</t>
  </si>
  <si>
    <t>Expensas Gastos A y B</t>
  </si>
  <si>
    <t>Cuota Extraordinaria</t>
  </si>
  <si>
    <t>G A y B</t>
  </si>
  <si>
    <t>G E</t>
  </si>
  <si>
    <t>Cable</t>
  </si>
  <si>
    <t>GASTOS "A" y "B"</t>
  </si>
  <si>
    <t>CUIT: 30-53267348-4</t>
  </si>
  <si>
    <t>Casa Lopez</t>
  </si>
  <si>
    <t>Eduardo Sanchez</t>
  </si>
  <si>
    <t>Benjamin Fernandez</t>
  </si>
  <si>
    <t>Franco Lippi</t>
  </si>
  <si>
    <t>2C</t>
  </si>
  <si>
    <t>Marta Audino</t>
  </si>
  <si>
    <t>2D</t>
  </si>
  <si>
    <t>3E</t>
  </si>
  <si>
    <t xml:space="preserve">D.J. Wainer </t>
  </si>
  <si>
    <t>3F</t>
  </si>
  <si>
    <t>Jose A. Montans</t>
  </si>
  <si>
    <t>Miguel A. Machinandiarena</t>
  </si>
  <si>
    <t>4G</t>
  </si>
  <si>
    <t>4H</t>
  </si>
  <si>
    <t>EXP. A</t>
  </si>
  <si>
    <t>EXP. B</t>
  </si>
  <si>
    <t>Lima 461 C:A:B:A:</t>
  </si>
  <si>
    <t xml:space="preserve">Expensas Gastos A </t>
  </si>
  <si>
    <t xml:space="preserve">G A </t>
  </si>
  <si>
    <t>LIMA 461/67/73 C.A.B.A.</t>
  </si>
  <si>
    <t>Expensas Gastos A</t>
  </si>
  <si>
    <t>Expensas Gastos B</t>
  </si>
  <si>
    <t>G B</t>
  </si>
  <si>
    <t>CLAVE SUTERH: 5073</t>
  </si>
  <si>
    <t xml:space="preserve">Saldo inicial </t>
  </si>
  <si>
    <t>20-16975070-0</t>
  </si>
  <si>
    <t>cob y genrera</t>
  </si>
  <si>
    <t>compensa</t>
  </si>
  <si>
    <t>210-1950/3</t>
  </si>
  <si>
    <t>Cta. Cte. $ N° 210-1950/3</t>
  </si>
  <si>
    <t>CBU 0720210220000000195036</t>
  </si>
  <si>
    <t>BANCO</t>
  </si>
  <si>
    <t>EFVO</t>
  </si>
  <si>
    <t>Cobranzas sin ID</t>
  </si>
  <si>
    <t>SALDO</t>
  </si>
  <si>
    <t>SALDO S/EXTRACT</t>
  </si>
  <si>
    <t>a debitar</t>
  </si>
  <si>
    <t>PAGOS DEL PERIODO</t>
  </si>
  <si>
    <t>Total de pagos</t>
  </si>
  <si>
    <t>Total de previsiones</t>
  </si>
  <si>
    <t>Cobranzas bancarias del período sin identificar</t>
  </si>
  <si>
    <t>LAS EXPENSAS VENCEN EL DIA 15. PAGO FUERA DE TERMINO 3% DE INTERÉS MENSUAL</t>
  </si>
  <si>
    <t>SEGUROS</t>
  </si>
  <si>
    <t>Encargado no permanente sin vivienda 3°categoría:</t>
  </si>
  <si>
    <t>MES:</t>
  </si>
  <si>
    <t>ADMINISTRACION:</t>
  </si>
  <si>
    <t>MARIANO CAUVIN</t>
  </si>
  <si>
    <t>AV.BELGRANO 1270 5°A C.A.B.A.</t>
  </si>
  <si>
    <t>4381-0014</t>
  </si>
  <si>
    <t>masoca_administraciones@hotmail.com</t>
  </si>
  <si>
    <t>Responsable Monotributo</t>
  </si>
  <si>
    <t>R.P.A. N° 470</t>
  </si>
  <si>
    <t>PAGOS POR SUMINISTROS, SERVICIOS, ABONOS Y SEGUROS</t>
  </si>
  <si>
    <t>SERVICIOS PUBLICOS Y TASAS</t>
  </si>
  <si>
    <t>ABONOS DE SERVICIOS</t>
  </si>
  <si>
    <t>MANTENIMIENTO DE PARTES COMUNES</t>
  </si>
  <si>
    <t>TRABAJOS DE REPARACIONES EN UNIDADES</t>
  </si>
  <si>
    <t>GASTOS BANCARIOS</t>
  </si>
  <si>
    <t>GASTOS DE LIMPIEZA</t>
  </si>
  <si>
    <t>GASTOS DE ADMINISTRACIÓN Y LEGALES</t>
  </si>
  <si>
    <t>P/Depósito/transferencia en Bco Santander Rio</t>
  </si>
  <si>
    <t>Pagos del período Gastos A y B</t>
  </si>
  <si>
    <t>Sueldo neto</t>
  </si>
  <si>
    <t>Saldo anterior</t>
  </si>
  <si>
    <t>Cuota extra</t>
  </si>
  <si>
    <t>URGENCIAS 155248-3729</t>
  </si>
  <si>
    <t>EFECTIVO</t>
  </si>
  <si>
    <t>A DEBITAR</t>
  </si>
  <si>
    <t>REMUNERACIONES AL PERSONAL Y CARGAS SOCIALES</t>
  </si>
  <si>
    <t>DETALLE DE SUELDOS Y CARGAS SOCIALES:</t>
  </si>
  <si>
    <t>ESTADO FINANCIERO</t>
  </si>
  <si>
    <t>Cob identif este mes</t>
  </si>
  <si>
    <t>DEUDA</t>
  </si>
  <si>
    <t xml:space="preserve">INTERE-SES </t>
  </si>
  <si>
    <t>Total bruto</t>
  </si>
  <si>
    <t xml:space="preserve">MIS EXPENSAS- Liquidación de  </t>
  </si>
  <si>
    <t>Conf. Art. 10 inc.d Ley N°941</t>
  </si>
  <si>
    <t>Conf. Art. 10 inc. e y f  Ley N°941</t>
  </si>
  <si>
    <t>Conf. Art. 10 inc. c Ley N°941</t>
  </si>
  <si>
    <t>Ana Isabel Pirro</t>
  </si>
  <si>
    <t>Gastos del mes</t>
  </si>
  <si>
    <t>Sueldo básico</t>
  </si>
  <si>
    <t>Olivier Liem</t>
  </si>
  <si>
    <t>CONSORCIO DE PROPIETARIOS:</t>
  </si>
  <si>
    <t>,</t>
  </si>
  <si>
    <t>DATOS DE JUICIOS</t>
  </si>
  <si>
    <t>Conf. Art. 10 inc. h Ley N°941</t>
  </si>
  <si>
    <t>CARATULA: Cons. de Prop. Lima 461/67/73 c/Lopez Jose y otro s /Ejecución de Expensas</t>
  </si>
  <si>
    <t>N° EXPEDIENTE: 68063/2018</t>
  </si>
  <si>
    <t xml:space="preserve">MONTO RECLAMADO: </t>
  </si>
  <si>
    <t>ESTADO: embargo trabado</t>
  </si>
  <si>
    <t>Otros</t>
  </si>
  <si>
    <t>Dtos legales</t>
  </si>
  <si>
    <t>Retiro/deposito</t>
  </si>
  <si>
    <t>SALDO EN BANCO</t>
  </si>
  <si>
    <t>YA PAGADO</t>
  </si>
  <si>
    <t>LE DEBEN</t>
  </si>
  <si>
    <t>TOTAL ARQUEO</t>
  </si>
  <si>
    <t>TOTAL LIQUIDACION</t>
  </si>
  <si>
    <t>SOBRANTE</t>
  </si>
  <si>
    <t>SERACARH- Capacitación</t>
  </si>
  <si>
    <t xml:space="preserve">Transferencia Recibida  - De Renki/ Marcia Aleja / Enero 2021 - Exp / 27242954128 </t>
  </si>
  <si>
    <t xml:space="preserve">se genera saldo a favor por ch de seguro era por $ 3616 y se debito $ 3238 </t>
  </si>
  <si>
    <t>Cobranzas por expensas del período</t>
  </si>
  <si>
    <t>EFECTIVO ANTICIPO</t>
  </si>
  <si>
    <t>EFECTIVO ANT UF 1</t>
  </si>
  <si>
    <t>UF 7</t>
  </si>
  <si>
    <t>UF 3</t>
  </si>
  <si>
    <t>UF 4</t>
  </si>
  <si>
    <t>UF 5</t>
  </si>
  <si>
    <t>UF 6</t>
  </si>
  <si>
    <t>UF 8</t>
  </si>
  <si>
    <t>UF 9</t>
  </si>
  <si>
    <t>UF 10</t>
  </si>
  <si>
    <t>UF 2</t>
  </si>
  <si>
    <t>lomas/acero</t>
  </si>
  <si>
    <t>escribaniaacero@hotmail.com.ar</t>
  </si>
  <si>
    <t>machifumigaciones@hotmail.com</t>
  </si>
  <si>
    <t>susanabveiga@hotmail.com</t>
  </si>
  <si>
    <t>soporte@casasanchez.com.ar</t>
  </si>
  <si>
    <t>lippifranco0@gmail.com</t>
  </si>
  <si>
    <t>audinomarta@yahoo.com.ar</t>
  </si>
  <si>
    <t>olivier.liem@yahoo.fr</t>
  </si>
  <si>
    <t>anabel.pirro@gmail.com</t>
  </si>
  <si>
    <t>2° aguinaldo y bonificación anual</t>
  </si>
  <si>
    <t>ASAMBLEA ORDINARIA 07/04/21</t>
  </si>
  <si>
    <t>2 LIMP TANQUE Y FUMIG MENSUAL</t>
  </si>
  <si>
    <t>Saldo Obra</t>
  </si>
  <si>
    <t>UF1 Saldo</t>
  </si>
  <si>
    <t>Aporte comprometido en Asamblea Extraordinaria 12/04/21 por UF1 Anticipo y saldo de obra</t>
  </si>
  <si>
    <t>APORTE COMPROMETIDO EN ASAMBLEA EXTRAORDINARIA DEL 12/04/21 PARA LA OBRA POR UF. 1</t>
  </si>
  <si>
    <t>APORTE</t>
  </si>
  <si>
    <t>Gastos comunes f</t>
  </si>
  <si>
    <t>Cuidado reparación y gastos por ascensores quedando excluido por esta contribucion los locales de PB</t>
  </si>
  <si>
    <t>SALDO ANTERIOR</t>
  </si>
  <si>
    <t xml:space="preserve">SU PAGO </t>
  </si>
  <si>
    <t xml:space="preserve"> </t>
  </si>
  <si>
    <t>Total prorrateo</t>
  </si>
  <si>
    <t>Cobranzas bancarias de meses anteriores aplicadas este período</t>
  </si>
  <si>
    <t>Leandro Acero</t>
  </si>
  <si>
    <t>SI</t>
  </si>
  <si>
    <t>GASTOS</t>
  </si>
  <si>
    <t>PERSONAL 1</t>
  </si>
  <si>
    <t>FORMAS DE PAGO:</t>
  </si>
  <si>
    <t>Depósito o transferencia:</t>
  </si>
  <si>
    <t>Titular:</t>
  </si>
  <si>
    <t>Banco:</t>
  </si>
  <si>
    <t>N°Cuenta:</t>
  </si>
  <si>
    <t>CBU:</t>
  </si>
  <si>
    <t>Cta. Cte. $ N°210-001950/3</t>
  </si>
  <si>
    <t>CONSORCIO DE PROP. LIMA 461</t>
  </si>
  <si>
    <t>COBRANZA ESPERADA</t>
  </si>
  <si>
    <t xml:space="preserve">PERSONAL </t>
  </si>
  <si>
    <t>JUZGADO/SECRETARÍA: Juzgado Civil N° 75</t>
  </si>
  <si>
    <t>Antonella Denegri</t>
  </si>
  <si>
    <t>PREVISIONES/PROVISIONES</t>
  </si>
  <si>
    <t>Alias:</t>
  </si>
  <si>
    <t>BOCHA.CARDO.COPA</t>
  </si>
  <si>
    <t>Gastos del mes anterior</t>
  </si>
  <si>
    <t>SUPLENTE</t>
  </si>
  <si>
    <t>ENCARGADO</t>
  </si>
  <si>
    <t>MANUAL DE BUENAS PRÁCTICAS CONSORCIALES</t>
  </si>
  <si>
    <t>https://buenosaires.gob.ar/sites/default/files/2025-02/Manual%20buenas%20pr%C3%A1cticas%20consorciales_0.pdf</t>
  </si>
  <si>
    <t>REGLAMENTO DE COPROPIEDAD</t>
  </si>
  <si>
    <t>https://drive.google.com/file/d/1eKPMIGdXOZSUk3VRB9ujPuaYYa1R6ep-/view?usp=drive_link</t>
  </si>
  <si>
    <t xml:space="preserve">Retiro de residuos </t>
  </si>
  <si>
    <t>Clasif.de residuos Res 243/13 SSRT CABA</t>
  </si>
  <si>
    <t xml:space="preserve">Transferencia Recibida  - De Martin/morales Manuel / 2 D - Exp / 23252272879 </t>
  </si>
  <si>
    <t>Allianz (30-50003721-7): seguro integral de consorcio. Póliza N° 250230768175</t>
  </si>
  <si>
    <t>APORTES Y CONTRIBUCIONES</t>
  </si>
  <si>
    <t>https://www.afip.gob.ar/aportesenlinea</t>
  </si>
  <si>
    <t>Permite el acceso directo a los aportes, sin clave fiscal y con el CUIL del Encargado.</t>
  </si>
  <si>
    <t>Disposición Nro: DI-2024-1146-GCABA-DGDYPC</t>
  </si>
  <si>
    <t xml:space="preserve">ACCESO A LA DOCUMENTACIÓN </t>
  </si>
  <si>
    <t>SANTANDER</t>
  </si>
  <si>
    <t>ch 863 $ 6200 esde 05/2023 v destap presentado al bco en 07/2023 y rechazado por vencido plazo legal, se retira efectivo en 11/2025</t>
  </si>
  <si>
    <t>Adicional viáticos</t>
  </si>
  <si>
    <t>Adicional remuneratorio</t>
  </si>
  <si>
    <t>Plus por Antigüedad- 12 años</t>
  </si>
  <si>
    <t>Berkley: seguro de vida colectivo. Póliza 37526 vigencia 01/10/25 al 01/10/26.</t>
  </si>
  <si>
    <t>SUTERH 04/26</t>
  </si>
  <si>
    <t>FATERYH 04/26</t>
  </si>
  <si>
    <t>CAMB 10/26</t>
  </si>
  <si>
    <t>Giacomo Sebastian (20-36064777-4): sueldo neto 05/26</t>
  </si>
  <si>
    <t>Banco Santander, Cta. Cte. N° 210-001950/3: gastos bancarios e imptos. 05/26</t>
  </si>
  <si>
    <t>Honorarios Administración 05/26</t>
  </si>
  <si>
    <t>ARCA AFIP, FATERYH, SUTERH 05/26</t>
  </si>
  <si>
    <t>AFIP F 931: Cargas sociales: SIJP y Obra social 05/26</t>
  </si>
  <si>
    <t xml:space="preserve">AFIP 931 : ART 05/26 </t>
  </si>
  <si>
    <t>AFIP 931: Seguro colectivo de vida obligatorio SCVO 05/26</t>
  </si>
  <si>
    <t>SUTERH 05/26</t>
  </si>
  <si>
    <t>FATERYH 05/26</t>
  </si>
  <si>
    <t>SERACARH 05/26</t>
  </si>
  <si>
    <t>ARCA AFIP F 931: Cargas sociales: SIJP y Obra social 04/26</t>
  </si>
  <si>
    <t xml:space="preserve">ARCA AFIP 931 : ART 04/26 </t>
  </si>
  <si>
    <t>ARCA AFIP 931: Seguro colectivo de vida obligatorio SCVO 04/26</t>
  </si>
  <si>
    <t>FATERYH-SERACARH 04/26</t>
  </si>
  <si>
    <t xml:space="preserve">ARCA AFIP, FATERYH, SUTERH 04/26 </t>
  </si>
  <si>
    <t>Edesur Portería cliente 324475. Periodo 5. Vto. 29/05</t>
  </si>
  <si>
    <t xml:space="preserve">vigencia 31/08/2025 al 31/08/2026. Cuota 9/10 </t>
  </si>
  <si>
    <t>vigencia 03/03/2026 al 31/08/2026. Endoso Cuota 2/3</t>
  </si>
  <si>
    <t>Cuota 8/10</t>
  </si>
  <si>
    <t>ESTADO DE CUENTAS Y PRORRATEO DE GASTOS AL 31/05/2026</t>
  </si>
  <si>
    <t>AVISO DE PAGO : FECHA DE VENCIMIENTO 15/06/2026</t>
  </si>
  <si>
    <t>https://drive.google.com/drive/folders/1TEfXRVCuzgFZmodf-56PzZsZ2iMMKnYy?usp=drive_link</t>
  </si>
  <si>
    <t>Telecom Arg. S.A. (30-63945373-8): servicio de internet p/cámaras. Débito 5/05</t>
  </si>
  <si>
    <t>EMEGA SRL (30-71582332-9): abono mantenimiento ascensor 04/26 FC 49247</t>
  </si>
  <si>
    <t>Machinandiarena (20-06144196-5): limpieza tanques de agua potable. Cuota 1/6 FC 1505</t>
  </si>
  <si>
    <t>MAFRAP (30-64714402-7): serv. de desinsectación 04/26 FC 180556</t>
  </si>
  <si>
    <t xml:space="preserve">MAFRAP (30-64714402-7): desratización, colocación de cebos, monitoreo y control 2 semanas </t>
  </si>
  <si>
    <t>FC 181104</t>
  </si>
  <si>
    <t>Metrogas Medidor 16219365 28/02 al 31/03 liq. 1/2</t>
  </si>
  <si>
    <t>Tesla (20-38668041-9): instalación de contactor y llave de 3 posiciones en tablero de bomba de agua,</t>
  </si>
  <si>
    <t>calibrado con rele térmico y puesta en funcionamiento. Reconexión de contactores para ambas bombas</t>
  </si>
  <si>
    <t>FC 2344</t>
  </si>
  <si>
    <t>Materiales para trabajo en tablero de bomba FCs 116531/3685/3285</t>
  </si>
  <si>
    <t>Edesur Edificio cliente 324471. Periodo 5. Débito 21/05</t>
  </si>
  <si>
    <t>Susana y Tonino (27-10984965-6): arts de limpieza FC 7713 compensa UF 8</t>
  </si>
  <si>
    <t>S/lo resuelto en Asamblea 20/04/26</t>
  </si>
  <si>
    <t>recaudar en mayo s/Asmblea 20/04/26 $ 15,800,000</t>
  </si>
  <si>
    <t>0720210220000000195036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</si>
</sst>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&quot;$&quot;\ #,##0;&quot;$&quot;\ \-#,##0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_-* #,##0.00\ _€_-;\-* #,##0.00\ _€_-;_-* &quot;-&quot;??\ _€_-;_-@_-"/>
    <numFmt numFmtId="168" formatCode="0.0000"/>
    <numFmt numFmtId="169" formatCode="#,##0.0000"/>
    <numFmt numFmtId="170" formatCode="_ * #,##0_ ;_ * \-#,##0_ ;_ * &quot;-&quot;??_ ;_ @_ "/>
    <numFmt numFmtId="171" formatCode="#,##0.00000"/>
  </numFmts>
  <fonts count="2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u/>
      <sz val="11"/>
      <name val="Times New Roman"/>
      <family val="1"/>
    </font>
    <font>
      <b/>
      <sz val="11"/>
      <name val="Times New Roman"/>
      <family val="1"/>
    </font>
    <font>
      <sz val="11"/>
      <color indexed="10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0"/>
      <color indexed="12"/>
      <name val="Arial"/>
      <family val="2"/>
    </font>
    <font>
      <u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6"/>
      <name val="Arial"/>
      <family val="2"/>
    </font>
    <font>
      <u/>
      <sz val="10"/>
      <name val="Arial"/>
      <family val="2"/>
    </font>
    <font>
      <sz val="10"/>
      <color indexed="63"/>
      <name val="Tahoma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347">
    <xf numFmtId="0" fontId="0" fillId="0" borderId="0" xfId="0"/>
    <xf numFmtId="0" fontId="0" fillId="0" borderId="1" xfId="0" applyBorder="1"/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3" fontId="0" fillId="0" borderId="0" xfId="0" applyNumberFormat="1"/>
    <xf numFmtId="1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2" borderId="14" xfId="0" applyFont="1" applyFill="1" applyBorder="1"/>
    <xf numFmtId="0" fontId="7" fillId="2" borderId="15" xfId="0" applyFont="1" applyFill="1" applyBorder="1"/>
    <xf numFmtId="0" fontId="7" fillId="0" borderId="0" xfId="0" applyFont="1"/>
    <xf numFmtId="0" fontId="0" fillId="0" borderId="14" xfId="0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0" fillId="0" borderId="16" xfId="0" applyBorder="1"/>
    <xf numFmtId="0" fontId="7" fillId="2" borderId="17" xfId="0" applyFont="1" applyFill="1" applyBorder="1"/>
    <xf numFmtId="14" fontId="7" fillId="2" borderId="17" xfId="0" applyNumberFormat="1" applyFont="1" applyFill="1" applyBorder="1" applyAlignment="1">
      <alignment horizontal="center"/>
    </xf>
    <xf numFmtId="0" fontId="0" fillId="0" borderId="18" xfId="0" applyBorder="1"/>
    <xf numFmtId="2" fontId="0" fillId="0" borderId="4" xfId="0" applyNumberFormat="1" applyBorder="1"/>
    <xf numFmtId="2" fontId="0" fillId="0" borderId="18" xfId="0" applyNumberFormat="1" applyBorder="1"/>
    <xf numFmtId="0" fontId="0" fillId="0" borderId="18" xfId="0" applyBorder="1" applyAlignment="1">
      <alignment horizontal="center"/>
    </xf>
    <xf numFmtId="0" fontId="8" fillId="0" borderId="0" xfId="0" applyFont="1"/>
    <xf numFmtId="0" fontId="0" fillId="0" borderId="19" xfId="0" applyBorder="1" applyAlignment="1">
      <alignment horizontal="center"/>
    </xf>
    <xf numFmtId="0" fontId="7" fillId="0" borderId="20" xfId="0" applyFont="1" applyBorder="1"/>
    <xf numFmtId="0" fontId="7" fillId="0" borderId="21" xfId="0" applyFont="1" applyBorder="1"/>
    <xf numFmtId="0" fontId="0" fillId="0" borderId="14" xfId="0" applyBorder="1"/>
    <xf numFmtId="2" fontId="0" fillId="0" borderId="15" xfId="0" applyNumberFormat="1" applyBorder="1"/>
    <xf numFmtId="0" fontId="7" fillId="2" borderId="20" xfId="0" applyFont="1" applyFill="1" applyBorder="1"/>
    <xf numFmtId="0" fontId="0" fillId="2" borderId="2" xfId="0" applyFill="1" applyBorder="1"/>
    <xf numFmtId="0" fontId="7" fillId="2" borderId="5" xfId="0" applyFont="1" applyFill="1" applyBorder="1"/>
    <xf numFmtId="0" fontId="7" fillId="2" borderId="1" xfId="0" applyFont="1" applyFill="1" applyBorder="1"/>
    <xf numFmtId="0" fontId="0" fillId="2" borderId="1" xfId="0" applyFill="1" applyBorder="1"/>
    <xf numFmtId="0" fontId="7" fillId="2" borderId="22" xfId="0" applyFont="1" applyFill="1" applyBorder="1"/>
    <xf numFmtId="0" fontId="7" fillId="2" borderId="23" xfId="0" applyFont="1" applyFill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17" fontId="7" fillId="2" borderId="22" xfId="0" applyNumberFormat="1" applyFont="1" applyFill="1" applyBorder="1"/>
    <xf numFmtId="0" fontId="7" fillId="2" borderId="23" xfId="0" applyFont="1" applyFill="1" applyBorder="1" applyAlignment="1">
      <alignment horizontal="center"/>
    </xf>
    <xf numFmtId="0" fontId="0" fillId="0" borderId="27" xfId="0" applyBorder="1"/>
    <xf numFmtId="0" fontId="7" fillId="2" borderId="28" xfId="0" applyFont="1" applyFill="1" applyBorder="1"/>
    <xf numFmtId="14" fontId="7" fillId="2" borderId="23" xfId="0" applyNumberFormat="1" applyFont="1" applyFill="1" applyBorder="1"/>
    <xf numFmtId="0" fontId="0" fillId="0" borderId="29" xfId="0" applyBorder="1"/>
    <xf numFmtId="0" fontId="0" fillId="0" borderId="30" xfId="0" applyBorder="1"/>
    <xf numFmtId="2" fontId="0" fillId="0" borderId="30" xfId="0" applyNumberFormat="1" applyBorder="1"/>
    <xf numFmtId="0" fontId="0" fillId="0" borderId="31" xfId="0" applyBorder="1"/>
    <xf numFmtId="2" fontId="0" fillId="0" borderId="32" xfId="0" applyNumberFormat="1" applyBorder="1"/>
    <xf numFmtId="0" fontId="8" fillId="0" borderId="12" xfId="0" applyFont="1" applyBorder="1"/>
    <xf numFmtId="0" fontId="8" fillId="0" borderId="13" xfId="0" applyFont="1" applyBorder="1"/>
    <xf numFmtId="0" fontId="0" fillId="0" borderId="9" xfId="0" applyBorder="1" applyAlignment="1">
      <alignment horizontal="center"/>
    </xf>
    <xf numFmtId="2" fontId="8" fillId="0" borderId="24" xfId="0" applyNumberFormat="1" applyFont="1" applyBorder="1"/>
    <xf numFmtId="0" fontId="8" fillId="0" borderId="9" xfId="0" applyFont="1" applyBorder="1"/>
    <xf numFmtId="2" fontId="0" fillId="0" borderId="23" xfId="0" applyNumberFormat="1" applyBorder="1"/>
    <xf numFmtId="2" fontId="8" fillId="0" borderId="33" xfId="0" applyNumberFormat="1" applyFont="1" applyBorder="1"/>
    <xf numFmtId="0" fontId="8" fillId="0" borderId="11" xfId="0" applyFont="1" applyBorder="1"/>
    <xf numFmtId="0" fontId="0" fillId="2" borderId="26" xfId="0" applyFill="1" applyBorder="1"/>
    <xf numFmtId="0" fontId="8" fillId="0" borderId="8" xfId="0" applyFont="1" applyBorder="1"/>
    <xf numFmtId="0" fontId="0" fillId="2" borderId="34" xfId="0" applyFill="1" applyBorder="1"/>
    <xf numFmtId="0" fontId="8" fillId="0" borderId="24" xfId="0" applyFont="1" applyBorder="1"/>
    <xf numFmtId="2" fontId="8" fillId="0" borderId="9" xfId="0" applyNumberFormat="1" applyFont="1" applyBorder="1"/>
    <xf numFmtId="0" fontId="0" fillId="0" borderId="33" xfId="0" applyBorder="1"/>
    <xf numFmtId="0" fontId="8" fillId="0" borderId="33" xfId="0" applyFont="1" applyBorder="1"/>
    <xf numFmtId="0" fontId="8" fillId="0" borderId="10" xfId="0" applyFont="1" applyBorder="1"/>
    <xf numFmtId="0" fontId="9" fillId="0" borderId="2" xfId="0" applyFont="1" applyBorder="1"/>
    <xf numFmtId="0" fontId="5" fillId="0" borderId="3" xfId="0" applyFont="1" applyBorder="1"/>
    <xf numFmtId="0" fontId="9" fillId="0" borderId="0" xfId="0" applyFont="1"/>
    <xf numFmtId="0" fontId="9" fillId="0" borderId="3" xfId="0" applyFont="1" applyBorder="1"/>
    <xf numFmtId="2" fontId="9" fillId="0" borderId="3" xfId="0" applyNumberFormat="1" applyFont="1" applyBorder="1"/>
    <xf numFmtId="4" fontId="0" fillId="0" borderId="4" xfId="0" applyNumberFormat="1" applyBorder="1"/>
    <xf numFmtId="4" fontId="0" fillId="0" borderId="6" xfId="0" applyNumberFormat="1" applyBorder="1"/>
    <xf numFmtId="0" fontId="6" fillId="0" borderId="20" xfId="0" applyFont="1" applyBorder="1"/>
    <xf numFmtId="2" fontId="8" fillId="0" borderId="11" xfId="0" applyNumberFormat="1" applyFont="1" applyBorder="1"/>
    <xf numFmtId="49" fontId="0" fillId="0" borderId="25" xfId="0" applyNumberFormat="1" applyBorder="1"/>
    <xf numFmtId="0" fontId="4" fillId="0" borderId="0" xfId="0" applyFont="1"/>
    <xf numFmtId="4" fontId="0" fillId="0" borderId="0" xfId="0" applyNumberFormat="1"/>
    <xf numFmtId="4" fontId="0" fillId="0" borderId="1" xfId="0" applyNumberFormat="1" applyBorder="1"/>
    <xf numFmtId="165" fontId="10" fillId="0" borderId="0" xfId="0" applyNumberFormat="1" applyFont="1" applyAlignment="1">
      <alignment horizontal="center" vertical="center" wrapText="1"/>
    </xf>
    <xf numFmtId="0" fontId="11" fillId="0" borderId="0" xfId="0" applyFont="1"/>
    <xf numFmtId="0" fontId="10" fillId="0" borderId="0" xfId="0" applyFont="1"/>
    <xf numFmtId="165" fontId="11" fillId="0" borderId="0" xfId="3" applyFont="1" applyBorder="1"/>
    <xf numFmtId="4" fontId="11" fillId="0" borderId="0" xfId="0" applyNumberFormat="1" applyFont="1"/>
    <xf numFmtId="165" fontId="11" fillId="0" borderId="0" xfId="3" applyFont="1" applyBorder="1" applyAlignment="1">
      <alignment horizontal="center"/>
    </xf>
    <xf numFmtId="0" fontId="11" fillId="0" borderId="0" xfId="0" applyFont="1" applyAlignment="1">
      <alignment horizontal="center"/>
    </xf>
    <xf numFmtId="165" fontId="10" fillId="0" borderId="0" xfId="3" applyFont="1" applyBorder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165" fontId="11" fillId="0" borderId="0" xfId="0" applyNumberFormat="1" applyFont="1"/>
    <xf numFmtId="17" fontId="11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17" fontId="11" fillId="0" borderId="0" xfId="0" applyNumberFormat="1" applyFont="1" applyAlignment="1">
      <alignment horizontal="left"/>
    </xf>
    <xf numFmtId="0" fontId="10" fillId="0" borderId="0" xfId="0" applyFont="1" applyAlignment="1">
      <alignment horizontal="right"/>
    </xf>
    <xf numFmtId="17" fontId="11" fillId="0" borderId="0" xfId="0" applyNumberFormat="1" applyFont="1"/>
    <xf numFmtId="164" fontId="11" fillId="0" borderId="0" xfId="3" applyNumberFormat="1" applyFont="1" applyBorder="1"/>
    <xf numFmtId="164" fontId="10" fillId="0" borderId="0" xfId="3" applyNumberFormat="1" applyFont="1" applyBorder="1"/>
    <xf numFmtId="164" fontId="11" fillId="0" borderId="0" xfId="0" applyNumberFormat="1" applyFont="1" applyAlignment="1">
      <alignment horizontal="left"/>
    </xf>
    <xf numFmtId="164" fontId="11" fillId="0" borderId="0" xfId="0" applyNumberFormat="1" applyFont="1"/>
    <xf numFmtId="164" fontId="11" fillId="0" borderId="0" xfId="3" applyNumberFormat="1" applyFont="1" applyBorder="1" applyAlignment="1">
      <alignment horizontal="center"/>
    </xf>
    <xf numFmtId="4" fontId="11" fillId="0" borderId="0" xfId="0" applyNumberFormat="1" applyFont="1" applyAlignment="1">
      <alignment horizontal="center"/>
    </xf>
    <xf numFmtId="17" fontId="11" fillId="0" borderId="0" xfId="0" applyNumberFormat="1" applyFont="1" applyAlignment="1">
      <alignment horizontal="center" vertical="center"/>
    </xf>
    <xf numFmtId="166" fontId="0" fillId="0" borderId="4" xfId="0" applyNumberFormat="1" applyBorder="1"/>
    <xf numFmtId="166" fontId="0" fillId="0" borderId="0" xfId="0" applyNumberFormat="1"/>
    <xf numFmtId="164" fontId="10" fillId="0" borderId="0" xfId="0" applyNumberFormat="1" applyFont="1"/>
    <xf numFmtId="0" fontId="3" fillId="0" borderId="0" xfId="0" applyFont="1"/>
    <xf numFmtId="166" fontId="0" fillId="0" borderId="0" xfId="2" applyFont="1" applyFill="1" applyBorder="1"/>
    <xf numFmtId="0" fontId="13" fillId="0" borderId="0" xfId="0" applyFont="1"/>
    <xf numFmtId="0" fontId="14" fillId="0" borderId="0" xfId="0" applyFont="1"/>
    <xf numFmtId="166" fontId="0" fillId="0" borderId="0" xfId="2" applyFont="1" applyFill="1"/>
    <xf numFmtId="166" fontId="0" fillId="0" borderId="1" xfId="2" applyFont="1" applyFill="1" applyBorder="1"/>
    <xf numFmtId="4" fontId="14" fillId="0" borderId="0" xfId="0" applyNumberFormat="1" applyFont="1"/>
    <xf numFmtId="3" fontId="14" fillId="0" borderId="0" xfId="0" applyNumberFormat="1" applyFont="1"/>
    <xf numFmtId="0" fontId="14" fillId="0" borderId="1" xfId="0" applyFont="1" applyBorder="1"/>
    <xf numFmtId="4" fontId="14" fillId="0" borderId="1" xfId="0" applyNumberFormat="1" applyFont="1" applyBorder="1"/>
    <xf numFmtId="3" fontId="14" fillId="0" borderId="1" xfId="0" applyNumberFormat="1" applyFont="1" applyBorder="1"/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3" fontId="13" fillId="0" borderId="0" xfId="0" applyNumberFormat="1" applyFont="1"/>
    <xf numFmtId="166" fontId="14" fillId="0" borderId="0" xfId="0" applyNumberFormat="1" applyFont="1"/>
    <xf numFmtId="4" fontId="13" fillId="0" borderId="36" xfId="0" applyNumberFormat="1" applyFont="1" applyBorder="1" applyAlignment="1">
      <alignment horizontal="center"/>
    </xf>
    <xf numFmtId="2" fontId="0" fillId="3" borderId="0" xfId="0" applyNumberFormat="1" applyFill="1"/>
    <xf numFmtId="0" fontId="13" fillId="0" borderId="12" xfId="0" applyFont="1" applyBorder="1" applyAlignment="1">
      <alignment horizontal="center"/>
    </xf>
    <xf numFmtId="3" fontId="14" fillId="0" borderId="24" xfId="0" applyNumberFormat="1" applyFont="1" applyBorder="1"/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3" fillId="0" borderId="37" xfId="0" applyFont="1" applyBorder="1" applyAlignment="1">
      <alignment horizontal="center" vertical="top"/>
    </xf>
    <xf numFmtId="4" fontId="13" fillId="0" borderId="37" xfId="0" applyNumberFormat="1" applyFont="1" applyBorder="1" applyAlignment="1">
      <alignment horizontal="center" vertical="top"/>
    </xf>
    <xf numFmtId="3" fontId="13" fillId="0" borderId="37" xfId="0" applyNumberFormat="1" applyFont="1" applyBorder="1" applyAlignment="1">
      <alignment horizontal="center" vertical="top" wrapText="1"/>
    </xf>
    <xf numFmtId="3" fontId="13" fillId="0" borderId="38" xfId="0" applyNumberFormat="1" applyFont="1" applyBorder="1" applyAlignment="1">
      <alignment horizontal="center" vertical="top" wrapText="1"/>
    </xf>
    <xf numFmtId="0" fontId="13" fillId="0" borderId="39" xfId="0" applyFont="1" applyBorder="1" applyAlignment="1">
      <alignment horizontal="center"/>
    </xf>
    <xf numFmtId="0" fontId="13" fillId="0" borderId="39" xfId="0" applyFont="1" applyBorder="1"/>
    <xf numFmtId="3" fontId="13" fillId="0" borderId="39" xfId="0" applyNumberFormat="1" applyFont="1" applyBorder="1"/>
    <xf numFmtId="166" fontId="0" fillId="0" borderId="4" xfId="2" applyFont="1" applyFill="1" applyBorder="1"/>
    <xf numFmtId="0" fontId="3" fillId="0" borderId="3" xfId="0" applyFont="1" applyBorder="1"/>
    <xf numFmtId="165" fontId="11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7" fillId="0" borderId="0" xfId="0" applyFont="1"/>
    <xf numFmtId="0" fontId="18" fillId="0" borderId="0" xfId="0" applyFont="1"/>
    <xf numFmtId="166" fontId="17" fillId="0" borderId="0" xfId="2" applyFont="1" applyFill="1"/>
    <xf numFmtId="18" fontId="14" fillId="0" borderId="0" xfId="0" applyNumberFormat="1" applyFont="1" applyAlignment="1">
      <alignment horizontal="center"/>
    </xf>
    <xf numFmtId="1" fontId="14" fillId="0" borderId="0" xfId="0" applyNumberFormat="1" applyFont="1"/>
    <xf numFmtId="1" fontId="13" fillId="0" borderId="8" xfId="0" applyNumberFormat="1" applyFont="1" applyBorder="1"/>
    <xf numFmtId="4" fontId="13" fillId="0" borderId="0" xfId="0" applyNumberFormat="1" applyFont="1"/>
    <xf numFmtId="17" fontId="11" fillId="0" borderId="1" xfId="0" applyNumberFormat="1" applyFont="1" applyBorder="1"/>
    <xf numFmtId="166" fontId="0" fillId="0" borderId="18" xfId="2" applyFont="1" applyFill="1" applyBorder="1"/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top"/>
    </xf>
    <xf numFmtId="18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top"/>
    </xf>
    <xf numFmtId="17" fontId="0" fillId="4" borderId="0" xfId="0" applyNumberFormat="1" applyFill="1"/>
    <xf numFmtId="167" fontId="0" fillId="0" borderId="0" xfId="0" applyNumberFormat="1"/>
    <xf numFmtId="164" fontId="11" fillId="0" borderId="1" xfId="3" applyNumberFormat="1" applyFont="1" applyBorder="1"/>
    <xf numFmtId="164" fontId="11" fillId="0" borderId="1" xfId="0" applyNumberFormat="1" applyFont="1" applyBorder="1"/>
    <xf numFmtId="0" fontId="4" fillId="0" borderId="3" xfId="0" applyFont="1" applyBorder="1"/>
    <xf numFmtId="3" fontId="14" fillId="5" borderId="33" xfId="0" applyNumberFormat="1" applyFont="1" applyFill="1" applyBorder="1"/>
    <xf numFmtId="168" fontId="8" fillId="0" borderId="0" xfId="0" applyNumberFormat="1" applyFont="1"/>
    <xf numFmtId="0" fontId="14" fillId="0" borderId="0" xfId="0" applyFont="1" applyAlignment="1">
      <alignment horizontal="left"/>
    </xf>
    <xf numFmtId="0" fontId="0" fillId="0" borderId="0" xfId="0" applyAlignment="1">
      <alignment horizontal="right"/>
    </xf>
    <xf numFmtId="0" fontId="13" fillId="0" borderId="0" xfId="0" applyFont="1" applyAlignment="1">
      <alignment horizontal="right"/>
    </xf>
    <xf numFmtId="4" fontId="13" fillId="0" borderId="39" xfId="0" applyNumberFormat="1" applyFont="1" applyBorder="1"/>
    <xf numFmtId="3" fontId="13" fillId="0" borderId="35" xfId="0" applyNumberFormat="1" applyFont="1" applyBorder="1" applyAlignment="1">
      <alignment horizontal="center" vertical="top" wrapText="1"/>
    </xf>
    <xf numFmtId="0" fontId="17" fillId="0" borderId="0" xfId="0" applyFont="1" applyAlignment="1">
      <alignment horizontal="left"/>
    </xf>
    <xf numFmtId="166" fontId="14" fillId="0" borderId="0" xfId="2" applyFont="1" applyFill="1" applyBorder="1"/>
    <xf numFmtId="14" fontId="21" fillId="6" borderId="0" xfId="0" applyNumberFormat="1" applyFont="1" applyFill="1"/>
    <xf numFmtId="14" fontId="13" fillId="0" borderId="36" xfId="0" applyNumberFormat="1" applyFont="1" applyBorder="1" applyAlignment="1">
      <alignment horizontal="center"/>
    </xf>
    <xf numFmtId="9" fontId="0" fillId="0" borderId="18" xfId="4" applyFont="1" applyFill="1" applyBorder="1"/>
    <xf numFmtId="0" fontId="22" fillId="0" borderId="3" xfId="0" applyFont="1" applyBorder="1"/>
    <xf numFmtId="9" fontId="14" fillId="0" borderId="0" xfId="4" applyFont="1"/>
    <xf numFmtId="0" fontId="13" fillId="0" borderId="36" xfId="0" applyFont="1" applyBorder="1" applyAlignment="1">
      <alignment horizontal="center" vertical="top"/>
    </xf>
    <xf numFmtId="0" fontId="0" fillId="3" borderId="0" xfId="0" applyFill="1"/>
    <xf numFmtId="0" fontId="0" fillId="7" borderId="0" xfId="0" applyFill="1"/>
    <xf numFmtId="3" fontId="13" fillId="0" borderId="37" xfId="0" applyNumberFormat="1" applyFont="1" applyBorder="1" applyAlignment="1">
      <alignment horizontal="center" vertical="top"/>
    </xf>
    <xf numFmtId="9" fontId="14" fillId="0" borderId="0" xfId="4" applyFont="1" applyFill="1"/>
    <xf numFmtId="0" fontId="23" fillId="0" borderId="0" xfId="0" applyFont="1"/>
    <xf numFmtId="0" fontId="0" fillId="8" borderId="0" xfId="0" applyFill="1"/>
    <xf numFmtId="166" fontId="19" fillId="0" borderId="18" xfId="2" applyFont="1" applyFill="1" applyBorder="1" applyAlignment="1">
      <alignment horizontal="center"/>
    </xf>
    <xf numFmtId="0" fontId="0" fillId="0" borderId="21" xfId="0" applyBorder="1"/>
    <xf numFmtId="166" fontId="0" fillId="0" borderId="14" xfId="2" applyFont="1" applyFill="1" applyBorder="1"/>
    <xf numFmtId="166" fontId="0" fillId="0" borderId="15" xfId="0" applyNumberFormat="1" applyBorder="1"/>
    <xf numFmtId="0" fontId="0" fillId="0" borderId="17" xfId="0" applyBorder="1"/>
    <xf numFmtId="0" fontId="1" fillId="0" borderId="0" xfId="0" applyFont="1"/>
    <xf numFmtId="0" fontId="18" fillId="0" borderId="1" xfId="0" applyFont="1" applyBorder="1"/>
    <xf numFmtId="0" fontId="24" fillId="0" borderId="0" xfId="1" applyFont="1" applyBorder="1" applyAlignment="1" applyProtection="1"/>
    <xf numFmtId="0" fontId="17" fillId="0" borderId="1" xfId="0" applyFont="1" applyBorder="1"/>
    <xf numFmtId="0" fontId="14" fillId="0" borderId="20" xfId="0" applyFont="1" applyBorder="1" applyAlignment="1">
      <alignment horizontal="center"/>
    </xf>
    <xf numFmtId="0" fontId="14" fillId="0" borderId="2" xfId="0" applyFont="1" applyBorder="1"/>
    <xf numFmtId="4" fontId="14" fillId="0" borderId="2" xfId="0" applyNumberFormat="1" applyFont="1" applyBorder="1"/>
    <xf numFmtId="3" fontId="14" fillId="0" borderId="2" xfId="0" applyNumberFormat="1" applyFont="1" applyBorder="1"/>
    <xf numFmtId="3" fontId="14" fillId="0" borderId="7" xfId="0" applyNumberFormat="1" applyFont="1" applyBorder="1"/>
    <xf numFmtId="0" fontId="14" fillId="9" borderId="0" xfId="0" applyFont="1" applyFill="1"/>
    <xf numFmtId="166" fontId="0" fillId="0" borderId="17" xfId="2" applyFont="1" applyFill="1" applyBorder="1"/>
    <xf numFmtId="166" fontId="0" fillId="0" borderId="15" xfId="2" applyFont="1" applyFill="1" applyBorder="1"/>
    <xf numFmtId="9" fontId="0" fillId="0" borderId="17" xfId="4" applyFont="1" applyFill="1" applyBorder="1"/>
    <xf numFmtId="0" fontId="1" fillId="0" borderId="3" xfId="0" applyFont="1" applyBorder="1"/>
    <xf numFmtId="166" fontId="0" fillId="0" borderId="16" xfId="2" applyFont="1" applyFill="1" applyBorder="1"/>
    <xf numFmtId="0" fontId="2" fillId="2" borderId="21" xfId="0" applyFont="1" applyFill="1" applyBorder="1"/>
    <xf numFmtId="0" fontId="1" fillId="2" borderId="14" xfId="0" applyFont="1" applyFill="1" applyBorder="1"/>
    <xf numFmtId="166" fontId="2" fillId="2" borderId="17" xfId="2" applyFont="1" applyFill="1" applyBorder="1" applyAlignment="1">
      <alignment horizontal="center"/>
    </xf>
    <xf numFmtId="166" fontId="0" fillId="0" borderId="0" xfId="0" applyNumberFormat="1" applyAlignment="1">
      <alignment horizontal="left"/>
    </xf>
    <xf numFmtId="166" fontId="1" fillId="0" borderId="0" xfId="0" applyNumberFormat="1" applyFont="1"/>
    <xf numFmtId="166" fontId="1" fillId="0" borderId="0" xfId="2" applyFont="1" applyFill="1" applyBorder="1"/>
    <xf numFmtId="0" fontId="14" fillId="0" borderId="1" xfId="0" applyFont="1" applyBorder="1" applyAlignment="1">
      <alignment horizontal="left"/>
    </xf>
    <xf numFmtId="0" fontId="25" fillId="0" borderId="3" xfId="0" applyFont="1" applyBorder="1"/>
    <xf numFmtId="0" fontId="25" fillId="0" borderId="0" xfId="0" applyFont="1"/>
    <xf numFmtId="166" fontId="25" fillId="0" borderId="0" xfId="2" applyFont="1" applyFill="1" applyBorder="1"/>
    <xf numFmtId="166" fontId="25" fillId="0" borderId="4" xfId="0" applyNumberFormat="1" applyFont="1" applyBorder="1"/>
    <xf numFmtId="0" fontId="25" fillId="0" borderId="18" xfId="0" applyFont="1" applyBorder="1"/>
    <xf numFmtId="166" fontId="25" fillId="0" borderId="1" xfId="2" applyFont="1" applyFill="1" applyBorder="1"/>
    <xf numFmtId="13" fontId="2" fillId="0" borderId="0" xfId="2" applyNumberFormat="1" applyFont="1" applyFill="1" applyBorder="1" applyAlignment="1">
      <alignment horizontal="center"/>
    </xf>
    <xf numFmtId="13" fontId="0" fillId="0" borderId="0" xfId="2" applyNumberFormat="1" applyFont="1" applyFill="1" applyBorder="1"/>
    <xf numFmtId="0" fontId="0" fillId="10" borderId="0" xfId="0" applyFill="1"/>
    <xf numFmtId="3" fontId="14" fillId="0" borderId="40" xfId="0" applyNumberFormat="1" applyFont="1" applyBorder="1"/>
    <xf numFmtId="12" fontId="0" fillId="0" borderId="0" xfId="0" applyNumberFormat="1"/>
    <xf numFmtId="0" fontId="1" fillId="0" borderId="5" xfId="0" applyFont="1" applyBorder="1"/>
    <xf numFmtId="0" fontId="13" fillId="0" borderId="36" xfId="0" applyFont="1" applyBorder="1"/>
    <xf numFmtId="4" fontId="13" fillId="0" borderId="35" xfId="0" applyNumberFormat="1" applyFont="1" applyBorder="1"/>
    <xf numFmtId="0" fontId="13" fillId="0" borderId="37" xfId="0" applyFont="1" applyBorder="1"/>
    <xf numFmtId="3" fontId="13" fillId="0" borderId="33" xfId="0" applyNumberFormat="1" applyFont="1" applyBorder="1"/>
    <xf numFmtId="3" fontId="14" fillId="11" borderId="0" xfId="0" applyNumberFormat="1" applyFont="1" applyFill="1"/>
    <xf numFmtId="170" fontId="0" fillId="0" borderId="0" xfId="2" applyNumberFormat="1" applyFont="1" applyFill="1" applyBorder="1"/>
    <xf numFmtId="170" fontId="14" fillId="0" borderId="12" xfId="2" applyNumberFormat="1" applyFont="1" applyFill="1" applyBorder="1"/>
    <xf numFmtId="170" fontId="14" fillId="0" borderId="13" xfId="2" applyNumberFormat="1" applyFont="1" applyFill="1" applyBorder="1"/>
    <xf numFmtId="170" fontId="14" fillId="0" borderId="24" xfId="2" applyNumberFormat="1" applyFont="1" applyFill="1" applyBorder="1"/>
    <xf numFmtId="170" fontId="14" fillId="0" borderId="9" xfId="2" applyNumberFormat="1" applyFont="1" applyFill="1" applyBorder="1"/>
    <xf numFmtId="170" fontId="0" fillId="10" borderId="0" xfId="2" applyNumberFormat="1" applyFont="1" applyFill="1"/>
    <xf numFmtId="170" fontId="14" fillId="0" borderId="31" xfId="2" applyNumberFormat="1" applyFont="1" applyFill="1" applyBorder="1"/>
    <xf numFmtId="170" fontId="14" fillId="0" borderId="34" xfId="2" applyNumberFormat="1" applyFont="1" applyFill="1" applyBorder="1"/>
    <xf numFmtId="170" fontId="0" fillId="0" borderId="1" xfId="2" applyNumberFormat="1" applyFont="1" applyFill="1" applyBorder="1"/>
    <xf numFmtId="167" fontId="0" fillId="0" borderId="1" xfId="0" applyNumberFormat="1" applyBorder="1"/>
    <xf numFmtId="170" fontId="14" fillId="12" borderId="24" xfId="2" applyNumberFormat="1" applyFont="1" applyFill="1" applyBorder="1"/>
    <xf numFmtId="12" fontId="0" fillId="0" borderId="0" xfId="2" applyNumberFormat="1" applyFont="1" applyFill="1"/>
    <xf numFmtId="170" fontId="14" fillId="0" borderId="0" xfId="0" applyNumberFormat="1" applyFont="1"/>
    <xf numFmtId="170" fontId="14" fillId="13" borderId="24" xfId="2" applyNumberFormat="1" applyFont="1" applyFill="1" applyBorder="1"/>
    <xf numFmtId="0" fontId="15" fillId="0" borderId="0" xfId="1" applyFill="1" applyAlignment="1" applyProtection="1"/>
    <xf numFmtId="3" fontId="14" fillId="14" borderId="40" xfId="0" applyNumberFormat="1" applyFont="1" applyFill="1" applyBorder="1"/>
    <xf numFmtId="0" fontId="2" fillId="0" borderId="0" xfId="0" applyFont="1"/>
    <xf numFmtId="4" fontId="14" fillId="0" borderId="14" xfId="0" applyNumberFormat="1" applyFont="1" applyBorder="1"/>
    <xf numFmtId="166" fontId="25" fillId="0" borderId="0" xfId="0" applyNumberFormat="1" applyFont="1"/>
    <xf numFmtId="0" fontId="0" fillId="15" borderId="0" xfId="0" applyFill="1"/>
    <xf numFmtId="166" fontId="1" fillId="15" borderId="0" xfId="2" applyFont="1" applyFill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 vertical="top"/>
    </xf>
    <xf numFmtId="166" fontId="1" fillId="0" borderId="0" xfId="2" applyFont="1" applyFill="1"/>
    <xf numFmtId="43" fontId="0" fillId="0" borderId="0" xfId="0" applyNumberFormat="1"/>
    <xf numFmtId="43" fontId="25" fillId="0" borderId="0" xfId="0" applyNumberFormat="1" applyFont="1"/>
    <xf numFmtId="171" fontId="14" fillId="0" borderId="0" xfId="0" applyNumberFormat="1" applyFont="1"/>
    <xf numFmtId="9" fontId="14" fillId="0" borderId="0" xfId="5" applyFont="1" applyFill="1" applyBorder="1"/>
    <xf numFmtId="0" fontId="14" fillId="0" borderId="42" xfId="0" applyFont="1" applyBorder="1" applyAlignment="1">
      <alignment horizontal="center"/>
    </xf>
    <xf numFmtId="0" fontId="14" fillId="0" borderId="42" xfId="0" applyFont="1" applyBorder="1"/>
    <xf numFmtId="3" fontId="14" fillId="0" borderId="42" xfId="0" applyNumberFormat="1" applyFont="1" applyBorder="1"/>
    <xf numFmtId="170" fontId="14" fillId="0" borderId="42" xfId="2" applyNumberFormat="1" applyFont="1" applyFill="1" applyBorder="1"/>
    <xf numFmtId="4" fontId="14" fillId="0" borderId="42" xfId="0" applyNumberFormat="1" applyFont="1" applyBorder="1"/>
    <xf numFmtId="169" fontId="14" fillId="0" borderId="42" xfId="0" applyNumberFormat="1" applyFont="1" applyBorder="1"/>
    <xf numFmtId="0" fontId="14" fillId="0" borderId="14" xfId="0" applyFont="1" applyBorder="1" applyAlignment="1">
      <alignment horizontal="center"/>
    </xf>
    <xf numFmtId="0" fontId="14" fillId="0" borderId="14" xfId="0" applyFont="1" applyBorder="1"/>
    <xf numFmtId="3" fontId="14" fillId="0" borderId="14" xfId="0" applyNumberFormat="1" applyFont="1" applyBorder="1"/>
    <xf numFmtId="169" fontId="14" fillId="0" borderId="14" xfId="0" applyNumberFormat="1" applyFont="1" applyBorder="1"/>
    <xf numFmtId="18" fontId="14" fillId="0" borderId="14" xfId="0" applyNumberFormat="1" applyFont="1" applyBorder="1" applyAlignment="1">
      <alignment horizontal="center"/>
    </xf>
    <xf numFmtId="2" fontId="0" fillId="16" borderId="0" xfId="0" applyNumberFormat="1" applyFill="1"/>
    <xf numFmtId="4" fontId="0" fillId="16" borderId="0" xfId="0" applyNumberFormat="1" applyFill="1"/>
    <xf numFmtId="0" fontId="0" fillId="16" borderId="0" xfId="0" applyFill="1"/>
    <xf numFmtId="3" fontId="14" fillId="14" borderId="0" xfId="0" applyNumberFormat="1" applyFont="1" applyFill="1"/>
    <xf numFmtId="0" fontId="14" fillId="0" borderId="3" xfId="0" applyFont="1" applyBorder="1"/>
    <xf numFmtId="166" fontId="14" fillId="0" borderId="4" xfId="0" applyNumberFormat="1" applyFont="1" applyBorder="1"/>
    <xf numFmtId="0" fontId="14" fillId="0" borderId="18" xfId="0" applyFont="1" applyBorder="1"/>
    <xf numFmtId="0" fontId="19" fillId="0" borderId="0" xfId="0" applyFont="1" applyAlignment="1">
      <alignment vertical="center"/>
    </xf>
    <xf numFmtId="166" fontId="19" fillId="2" borderId="17" xfId="2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vertical="center"/>
    </xf>
    <xf numFmtId="0" fontId="19" fillId="2" borderId="14" xfId="0" applyFont="1" applyFill="1" applyBorder="1" applyAlignment="1">
      <alignment vertical="center"/>
    </xf>
    <xf numFmtId="166" fontId="19" fillId="2" borderId="14" xfId="2" applyFont="1" applyFill="1" applyBorder="1" applyAlignment="1">
      <alignment horizontal="center" vertical="center"/>
    </xf>
    <xf numFmtId="166" fontId="19" fillId="2" borderId="15" xfId="2" applyFont="1" applyFill="1" applyBorder="1" applyAlignment="1">
      <alignment horizontal="center" vertical="center"/>
    </xf>
    <xf numFmtId="0" fontId="26" fillId="0" borderId="0" xfId="0" applyFont="1"/>
    <xf numFmtId="0" fontId="15" fillId="0" borderId="0" xfId="1" applyAlignment="1" applyProtection="1">
      <alignment horizontal="left"/>
    </xf>
    <xf numFmtId="4" fontId="18" fillId="0" borderId="0" xfId="0" applyNumberFormat="1" applyFont="1"/>
    <xf numFmtId="3" fontId="18" fillId="0" borderId="0" xfId="0" applyNumberFormat="1" applyFont="1"/>
    <xf numFmtId="3" fontId="14" fillId="0" borderId="0" xfId="0" applyNumberFormat="1" applyFont="1" applyAlignment="1">
      <alignment horizontal="left"/>
    </xf>
    <xf numFmtId="1" fontId="14" fillId="0" borderId="0" xfId="0" applyNumberFormat="1" applyFont="1" applyAlignment="1">
      <alignment horizontal="left"/>
    </xf>
    <xf numFmtId="4" fontId="14" fillId="0" borderId="0" xfId="0" applyNumberFormat="1" applyFont="1" applyAlignment="1">
      <alignment horizontal="left"/>
    </xf>
    <xf numFmtId="166" fontId="0" fillId="15" borderId="0" xfId="2" applyFont="1" applyFill="1"/>
    <xf numFmtId="3" fontId="14" fillId="14" borderId="41" xfId="0" applyNumberFormat="1" applyFont="1" applyFill="1" applyBorder="1"/>
    <xf numFmtId="10" fontId="14" fillId="0" borderId="0" xfId="4" applyNumberFormat="1" applyFont="1" applyFill="1"/>
    <xf numFmtId="0" fontId="25" fillId="0" borderId="0" xfId="0" applyFont="1" applyAlignment="1">
      <alignment horizontal="left"/>
    </xf>
    <xf numFmtId="170" fontId="14" fillId="17" borderId="24" xfId="2" applyNumberFormat="1" applyFont="1" applyFill="1" applyBorder="1"/>
    <xf numFmtId="166" fontId="25" fillId="0" borderId="0" xfId="2" applyFont="1"/>
    <xf numFmtId="166" fontId="1" fillId="15" borderId="0" xfId="0" applyNumberFormat="1" applyFont="1" applyFill="1"/>
    <xf numFmtId="0" fontId="1" fillId="15" borderId="0" xfId="0" applyFont="1" applyFill="1"/>
    <xf numFmtId="49" fontId="14" fillId="0" borderId="0" xfId="0" applyNumberFormat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4" fillId="0" borderId="36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3" fillId="2" borderId="21" xfId="0" applyFont="1" applyFill="1" applyBorder="1" applyAlignment="1">
      <alignment horizontal="left"/>
    </xf>
    <xf numFmtId="0" fontId="13" fillId="2" borderId="14" xfId="0" applyFont="1" applyFill="1" applyBorder="1" applyAlignment="1">
      <alignment horizontal="left"/>
    </xf>
    <xf numFmtId="0" fontId="13" fillId="2" borderId="15" xfId="0" applyFont="1" applyFill="1" applyBorder="1" applyAlignment="1">
      <alignment horizontal="left"/>
    </xf>
    <xf numFmtId="0" fontId="13" fillId="2" borderId="20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21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49" fontId="7" fillId="2" borderId="21" xfId="0" applyNumberFormat="1" applyFont="1" applyFill="1" applyBorder="1" applyAlignment="1">
      <alignment horizontal="center"/>
    </xf>
    <xf numFmtId="49" fontId="7" fillId="2" borderId="14" xfId="0" applyNumberFormat="1" applyFont="1" applyFill="1" applyBorder="1" applyAlignment="1">
      <alignment horizontal="center"/>
    </xf>
    <xf numFmtId="49" fontId="7" fillId="2" borderId="15" xfId="0" applyNumberFormat="1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165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right" vertical="top"/>
    </xf>
    <xf numFmtId="17" fontId="11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17" fontId="11" fillId="0" borderId="0" xfId="0" applyNumberFormat="1" applyFont="1" applyAlignment="1">
      <alignment horizontal="left"/>
    </xf>
    <xf numFmtId="165" fontId="11" fillId="0" borderId="0" xfId="3" applyFont="1" applyBorder="1" applyAlignment="1">
      <alignment horizontal="center"/>
    </xf>
    <xf numFmtId="17" fontId="11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7">
    <cellStyle name="Hipervínculo" xfId="1" builtinId="8"/>
    <cellStyle name="Millares" xfId="2" builtinId="3"/>
    <cellStyle name="Millares 2" xfId="6" xr:uid="{EA6615BF-A358-4DDD-9E64-EF958ECD7710}"/>
    <cellStyle name="Moneda" xfId="3" builtinId="4"/>
    <cellStyle name="Normal" xfId="0" builtinId="0"/>
    <cellStyle name="Porcentaje" xfId="4" builtinId="5"/>
    <cellStyle name="Porcentaje 2" xfId="5" xr:uid="{8C0EDE09-5C68-4498-878C-79C3EE50735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3.xml"/><Relationship Id="rId68" Type="http://schemas.openxmlformats.org/officeDocument/2006/relationships/externalLink" Target="externalLinks/externalLink58.xml"/><Relationship Id="rId84" Type="http://schemas.openxmlformats.org/officeDocument/2006/relationships/externalLink" Target="externalLinks/externalLink74.xml"/><Relationship Id="rId89" Type="http://schemas.openxmlformats.org/officeDocument/2006/relationships/externalLink" Target="externalLinks/externalLink79.xml"/><Relationship Id="rId112" Type="http://schemas.openxmlformats.org/officeDocument/2006/relationships/theme" Target="theme/theme1.xml"/><Relationship Id="rId16" Type="http://schemas.openxmlformats.org/officeDocument/2006/relationships/externalLink" Target="externalLinks/externalLink6.xml"/><Relationship Id="rId107" Type="http://schemas.openxmlformats.org/officeDocument/2006/relationships/externalLink" Target="externalLinks/externalLink97.xml"/><Relationship Id="rId11" Type="http://schemas.openxmlformats.org/officeDocument/2006/relationships/externalLink" Target="externalLinks/externalLink1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74" Type="http://schemas.openxmlformats.org/officeDocument/2006/relationships/externalLink" Target="externalLinks/externalLink64.xml"/><Relationship Id="rId79" Type="http://schemas.openxmlformats.org/officeDocument/2006/relationships/externalLink" Target="externalLinks/externalLink69.xml"/><Relationship Id="rId102" Type="http://schemas.openxmlformats.org/officeDocument/2006/relationships/externalLink" Target="externalLinks/externalLink92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0.xml"/><Relationship Id="rId95" Type="http://schemas.openxmlformats.org/officeDocument/2006/relationships/externalLink" Target="externalLinks/externalLink85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64" Type="http://schemas.openxmlformats.org/officeDocument/2006/relationships/externalLink" Target="externalLinks/externalLink54.xml"/><Relationship Id="rId69" Type="http://schemas.openxmlformats.org/officeDocument/2006/relationships/externalLink" Target="externalLinks/externalLink59.xml"/><Relationship Id="rId113" Type="http://schemas.openxmlformats.org/officeDocument/2006/relationships/styles" Target="styles.xml"/><Relationship Id="rId80" Type="http://schemas.openxmlformats.org/officeDocument/2006/relationships/externalLink" Target="externalLinks/externalLink70.xml"/><Relationship Id="rId85" Type="http://schemas.openxmlformats.org/officeDocument/2006/relationships/externalLink" Target="externalLinks/externalLink75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59" Type="http://schemas.openxmlformats.org/officeDocument/2006/relationships/externalLink" Target="externalLinks/externalLink49.xml"/><Relationship Id="rId103" Type="http://schemas.openxmlformats.org/officeDocument/2006/relationships/externalLink" Target="externalLinks/externalLink93.xml"/><Relationship Id="rId108" Type="http://schemas.openxmlformats.org/officeDocument/2006/relationships/externalLink" Target="externalLinks/externalLink98.xml"/><Relationship Id="rId54" Type="http://schemas.openxmlformats.org/officeDocument/2006/relationships/externalLink" Target="externalLinks/externalLink44.xml"/><Relationship Id="rId70" Type="http://schemas.openxmlformats.org/officeDocument/2006/relationships/externalLink" Target="externalLinks/externalLink60.xml"/><Relationship Id="rId75" Type="http://schemas.openxmlformats.org/officeDocument/2006/relationships/externalLink" Target="externalLinks/externalLink65.xml"/><Relationship Id="rId91" Type="http://schemas.openxmlformats.org/officeDocument/2006/relationships/externalLink" Target="externalLinks/externalLink81.xml"/><Relationship Id="rId96" Type="http://schemas.openxmlformats.org/officeDocument/2006/relationships/externalLink" Target="externalLinks/externalLink8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Relationship Id="rId57" Type="http://schemas.openxmlformats.org/officeDocument/2006/relationships/externalLink" Target="externalLinks/externalLink47.xml"/><Relationship Id="rId106" Type="http://schemas.openxmlformats.org/officeDocument/2006/relationships/externalLink" Target="externalLinks/externalLink96.xml"/><Relationship Id="rId114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73" Type="http://schemas.openxmlformats.org/officeDocument/2006/relationships/externalLink" Target="externalLinks/externalLink63.xml"/><Relationship Id="rId78" Type="http://schemas.openxmlformats.org/officeDocument/2006/relationships/externalLink" Target="externalLinks/externalLink68.xml"/><Relationship Id="rId81" Type="http://schemas.openxmlformats.org/officeDocument/2006/relationships/externalLink" Target="externalLinks/externalLink71.xml"/><Relationship Id="rId86" Type="http://schemas.openxmlformats.org/officeDocument/2006/relationships/externalLink" Target="externalLinks/externalLink76.xml"/><Relationship Id="rId94" Type="http://schemas.openxmlformats.org/officeDocument/2006/relationships/externalLink" Target="externalLinks/externalLink84.xml"/><Relationship Id="rId99" Type="http://schemas.openxmlformats.org/officeDocument/2006/relationships/externalLink" Target="externalLinks/externalLink89.xml"/><Relationship Id="rId101" Type="http://schemas.openxmlformats.org/officeDocument/2006/relationships/externalLink" Target="externalLinks/externalLink9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109" Type="http://schemas.openxmlformats.org/officeDocument/2006/relationships/externalLink" Target="externalLinks/externalLink9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Relationship Id="rId76" Type="http://schemas.openxmlformats.org/officeDocument/2006/relationships/externalLink" Target="externalLinks/externalLink66.xml"/><Relationship Id="rId97" Type="http://schemas.openxmlformats.org/officeDocument/2006/relationships/externalLink" Target="externalLinks/externalLink87.xml"/><Relationship Id="rId104" Type="http://schemas.openxmlformats.org/officeDocument/2006/relationships/externalLink" Target="externalLinks/externalLink94.xml"/><Relationship Id="rId7" Type="http://schemas.openxmlformats.org/officeDocument/2006/relationships/chartsheet" Target="chartsheets/sheet1.xml"/><Relationship Id="rId71" Type="http://schemas.openxmlformats.org/officeDocument/2006/relationships/externalLink" Target="externalLinks/externalLink61.xml"/><Relationship Id="rId92" Type="http://schemas.openxmlformats.org/officeDocument/2006/relationships/externalLink" Target="externalLinks/externalLink8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66" Type="http://schemas.openxmlformats.org/officeDocument/2006/relationships/externalLink" Target="externalLinks/externalLink56.xml"/><Relationship Id="rId87" Type="http://schemas.openxmlformats.org/officeDocument/2006/relationships/externalLink" Target="externalLinks/externalLink77.xml"/><Relationship Id="rId110" Type="http://schemas.openxmlformats.org/officeDocument/2006/relationships/externalLink" Target="externalLinks/externalLink100.xml"/><Relationship Id="rId115" Type="http://schemas.openxmlformats.org/officeDocument/2006/relationships/calcChain" Target="calcChain.xml"/><Relationship Id="rId61" Type="http://schemas.openxmlformats.org/officeDocument/2006/relationships/externalLink" Target="externalLinks/externalLink51.xml"/><Relationship Id="rId82" Type="http://schemas.openxmlformats.org/officeDocument/2006/relationships/externalLink" Target="externalLinks/externalLink72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56" Type="http://schemas.openxmlformats.org/officeDocument/2006/relationships/externalLink" Target="externalLinks/externalLink46.xml"/><Relationship Id="rId77" Type="http://schemas.openxmlformats.org/officeDocument/2006/relationships/externalLink" Target="externalLinks/externalLink67.xml"/><Relationship Id="rId100" Type="http://schemas.openxmlformats.org/officeDocument/2006/relationships/externalLink" Target="externalLinks/externalLink90.xml"/><Relationship Id="rId105" Type="http://schemas.openxmlformats.org/officeDocument/2006/relationships/externalLink" Target="externalLinks/externalLink95.xml"/><Relationship Id="rId8" Type="http://schemas.openxmlformats.org/officeDocument/2006/relationships/worksheet" Target="worksheets/sheet7.xml"/><Relationship Id="rId51" Type="http://schemas.openxmlformats.org/officeDocument/2006/relationships/externalLink" Target="externalLinks/externalLink41.xml"/><Relationship Id="rId72" Type="http://schemas.openxmlformats.org/officeDocument/2006/relationships/externalLink" Target="externalLinks/externalLink62.xml"/><Relationship Id="rId93" Type="http://schemas.openxmlformats.org/officeDocument/2006/relationships/externalLink" Target="externalLinks/externalLink83.xml"/><Relationship Id="rId98" Type="http://schemas.openxmlformats.org/officeDocument/2006/relationships/externalLink" Target="externalLinks/externalLink88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36.xml"/><Relationship Id="rId67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52.xml"/><Relationship Id="rId83" Type="http://schemas.openxmlformats.org/officeDocument/2006/relationships/externalLink" Target="externalLinks/externalLink73.xml"/><Relationship Id="rId88" Type="http://schemas.openxmlformats.org/officeDocument/2006/relationships/externalLink" Target="externalLinks/externalLink78.xml"/><Relationship Id="rId111" Type="http://schemas.openxmlformats.org/officeDocument/2006/relationships/externalLink" Target="externalLinks/externalLink10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009988901220862E-2"/>
          <c:y val="3.2626427406199032E-2"/>
          <c:w val="0.87236403995560463"/>
          <c:h val="0.931484502446982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RECIBOS!$B$714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RECIBOS!$B$715:$B$786</c:f>
              <c:numCache>
                <c:formatCode>_ "$"\ * #,##0.00_ ;_ "$"\ * \-#,##0.00_ ;_ "$"\ * "-"??_ ;_ @_ </c:formatCode>
                <c:ptCount val="72"/>
                <c:pt idx="3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8" formatCode="General">
                  <c:v>0</c:v>
                </c:pt>
                <c:pt idx="20" formatCode="General">
                  <c:v>0</c:v>
                </c:pt>
                <c:pt idx="30" formatCode="m/d/yyyy">
                  <c:v>46037</c:v>
                </c:pt>
                <c:pt idx="41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6" formatCode="General">
                  <c:v>0</c:v>
                </c:pt>
                <c:pt idx="58" formatCode="General">
                  <c:v>0</c:v>
                </c:pt>
                <c:pt idx="67" formatCode="m/d/yyyy">
                  <c:v>46037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RECIBOS!#REF!</c15:sqref>
                        </c15:formulaRef>
                      </c:ext>
                    </c:extLst>
                    <c:numCache>
                      <c:formatCode>General</c:formatCode>
                      <c:ptCount val="72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6BA3-4306-9791-53026AA4404D}"/>
            </c:ext>
          </c:extLst>
        </c:ser>
        <c:ser>
          <c:idx val="1"/>
          <c:order val="1"/>
          <c:tx>
            <c:strRef>
              <c:f>RECIBOS!$C$714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RECIBOS!$C$715:$C$786</c:f>
              <c:numCache>
                <c:formatCode>_ "$"\ * #,##0.00_ ;_ "$"\ * \-#,##0.00_ ;_ "$"\ * "-"??_ ;_ @_ </c:formatCode>
                <c:ptCount val="72"/>
                <c:pt idx="30" formatCode="&quot;$&quot;\ #,##0;&quot;$&quot;\ \-#,##0">
                  <c:v>0</c:v>
                </c:pt>
                <c:pt idx="67" formatCode="&quot;$&quot;\ #,##0;&quot;$&quot;\ \-#,##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RECIBOS!#REF!</c15:sqref>
                        </c15:formulaRef>
                      </c:ext>
                    </c:extLst>
                    <c:numCache>
                      <c:formatCode>General</c:formatCode>
                      <c:ptCount val="72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6BA3-4306-9791-53026AA4404D}"/>
            </c:ext>
          </c:extLst>
        </c:ser>
        <c:ser>
          <c:idx val="2"/>
          <c:order val="2"/>
          <c:tx>
            <c:strRef>
              <c:f>RECIBOS!$D$714</c:f>
              <c:strCache>
                <c:ptCount val="1"/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RECIBOS!$D$715:$D$786</c:f>
              <c:numCache>
                <c:formatCode>mmm\-yy</c:formatCode>
                <c:ptCount val="72"/>
                <c:pt idx="8" formatCode="&quot;$&quot;\ #,##0;&quot;$&quot;\ \-#,##0">
                  <c:v>10859801.41</c:v>
                </c:pt>
                <c:pt idx="9" formatCode="&quot;$&quot;\ #,##0;&quot;$&quot;\ \-#,##0">
                  <c:v>0</c:v>
                </c:pt>
                <c:pt idx="10" formatCode="&quot;$&quot;\ #,##0;&quot;$&quot;\ \-#,##0">
                  <c:v>0</c:v>
                </c:pt>
                <c:pt idx="11" formatCode="&quot;$&quot;\ #,##0;&quot;$&quot;\ \-#,##0">
                  <c:v>0</c:v>
                </c:pt>
                <c:pt idx="12" formatCode="&quot;$&quot;\ #,##0;&quot;$&quot;\ \-#,##0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46" formatCode="&quot;$&quot;\ #,##0;&quot;$&quot;\ \-#,##0">
                  <c:v>10859801.41</c:v>
                </c:pt>
                <c:pt idx="47" formatCode="&quot;$&quot;\ #,##0;&quot;$&quot;\ \-#,##0">
                  <c:v>0</c:v>
                </c:pt>
                <c:pt idx="48" formatCode="&quot;$&quot;\ #,##0;&quot;$&quot;\ \-#,##0">
                  <c:v>0</c:v>
                </c:pt>
                <c:pt idx="49" formatCode="&quot;$&quot;\ #,##0;&quot;$&quot;\ \-#,##0">
                  <c:v>0</c:v>
                </c:pt>
                <c:pt idx="50" formatCode="&quot;$&quot;\ #,##0;&quot;$&quot;\ \-#,##0">
                  <c:v>0</c:v>
                </c:pt>
                <c:pt idx="58" formatCode="General">
                  <c:v>0</c:v>
                </c:pt>
                <c:pt idx="59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RECIBOS!#REF!</c15:sqref>
                        </c15:formulaRef>
                      </c:ext>
                    </c:extLst>
                    <c:numCache>
                      <c:formatCode>General</c:formatCode>
                      <c:ptCount val="72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6BA3-4306-9791-53026AA4404D}"/>
            </c:ext>
          </c:extLst>
        </c:ser>
        <c:ser>
          <c:idx val="3"/>
          <c:order val="3"/>
          <c:tx>
            <c:strRef>
              <c:f>RECIBOS!$E$714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RECIBOS!$E$715:$E$786</c:f>
              <c:numCache>
                <c:formatCode>mmm\-yy</c:formatCode>
                <c:ptCount val="72"/>
                <c:pt idx="0">
                  <c:v>46143</c:v>
                </c:pt>
                <c:pt idx="4" formatCode="General">
                  <c:v>0</c:v>
                </c:pt>
                <c:pt idx="8" formatCode="#,##0.00">
                  <c:v>0</c:v>
                </c:pt>
                <c:pt idx="9" formatCode="#,##0.00">
                  <c:v>0</c:v>
                </c:pt>
                <c:pt idx="10" formatCode="#,##0.00">
                  <c:v>0</c:v>
                </c:pt>
                <c:pt idx="11" formatCode="#,##0.00">
                  <c:v>0</c:v>
                </c:pt>
                <c:pt idx="12" formatCode="#,##0.00">
                  <c:v>0</c:v>
                </c:pt>
                <c:pt idx="18" formatCode="General">
                  <c:v>0</c:v>
                </c:pt>
                <c:pt idx="20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9">
                  <c:v>46143</c:v>
                </c:pt>
                <c:pt idx="42" formatCode="General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6" formatCode="General">
                  <c:v>0</c:v>
                </c:pt>
                <c:pt idx="58" formatCode="General">
                  <c:v>0</c:v>
                </c:pt>
                <c:pt idx="63" formatCode="General">
                  <c:v>0</c:v>
                </c:pt>
                <c:pt idx="64" formatCode="General">
                  <c:v>0</c:v>
                </c:pt>
                <c:pt idx="65" formatCode="General">
                  <c:v>0</c:v>
                </c:pt>
                <c:pt idx="66" formatCode="General">
                  <c:v>0</c:v>
                </c:pt>
                <c:pt idx="67" formatCode="General">
                  <c:v>0</c:v>
                </c:pt>
                <c:pt idx="68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RECIBOS!#REF!</c15:sqref>
                        </c15:formulaRef>
                      </c:ext>
                    </c:extLst>
                    <c:numCache>
                      <c:formatCode>General</c:formatCode>
                      <c:ptCount val="72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6BA3-4306-9791-53026AA4404D}"/>
            </c:ext>
          </c:extLst>
        </c:ser>
        <c:ser>
          <c:idx val="4"/>
          <c:order val="4"/>
          <c:tx>
            <c:strRef>
              <c:f>RECIBOS!$F$714</c:f>
              <c:strCache>
                <c:ptCount val="1"/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RECIBOS!$F$715:$F$786</c:f>
              <c:numCache>
                <c:formatCode>General</c:formatCode>
                <c:ptCount val="72"/>
                <c:pt idx="8" formatCode="&quot;$&quot;\ #,##0;&quot;$&quot;\ \-#,##0">
                  <c:v>0</c:v>
                </c:pt>
                <c:pt idx="9" formatCode="&quot;$&quot;\ #,##0;&quot;$&quot;\ \-#,##0">
                  <c:v>0</c:v>
                </c:pt>
                <c:pt idx="10" formatCode="&quot;$&quot;\ #,##0;&quot;$&quot;\ \-#,##0">
                  <c:v>0</c:v>
                </c:pt>
                <c:pt idx="11" formatCode="&quot;$&quot;\ #,##0;&quot;$&quot;\ \-#,##0">
                  <c:v>0</c:v>
                </c:pt>
                <c:pt idx="12" formatCode="&quot;$&quot;\ #,##0;&quot;$&quot;\ \-#,##0">
                  <c:v>0</c:v>
                </c:pt>
                <c:pt idx="13" formatCode="&quot;$&quot;\ #,##0;&quot;$&quot;\ \-#,##0">
                  <c:v>0</c:v>
                </c:pt>
                <c:pt idx="25" formatCode="&quot;$&quot;\ #,##0;&quot;$&quot;\ \-#,##0">
                  <c:v>0</c:v>
                </c:pt>
                <c:pt idx="26" formatCode="&quot;$&quot;\ #,##0;&quot;$&quot;\ \-#,##0">
                  <c:v>0</c:v>
                </c:pt>
                <c:pt idx="27" formatCode="&quot;$&quot;\ #,##0;&quot;$&quot;\ \-#,##0">
                  <c:v>0</c:v>
                </c:pt>
                <c:pt idx="28" formatCode="&quot;$&quot;\ #,##0;&quot;$&quot;\ \-#,##0">
                  <c:v>0</c:v>
                </c:pt>
                <c:pt idx="29" formatCode="&quot;$&quot;\ #,##0;&quot;$&quot;\ \-#,##0">
                  <c:v>0</c:v>
                </c:pt>
                <c:pt idx="30" formatCode="&quot;$&quot;\ #,##0;&quot;$&quot;\ \-#,##0">
                  <c:v>0</c:v>
                </c:pt>
                <c:pt idx="46" formatCode="&quot;$&quot;\ #,##0;&quot;$&quot;\ \-#,##0">
                  <c:v>0</c:v>
                </c:pt>
                <c:pt idx="47" formatCode="&quot;$&quot;\ #,##0;&quot;$&quot;\ \-#,##0">
                  <c:v>0</c:v>
                </c:pt>
                <c:pt idx="48" formatCode="&quot;$&quot;\ #,##0;&quot;$&quot;\ \-#,##0">
                  <c:v>0</c:v>
                </c:pt>
                <c:pt idx="49" formatCode="&quot;$&quot;\ #,##0;&quot;$&quot;\ \-#,##0">
                  <c:v>0</c:v>
                </c:pt>
                <c:pt idx="50" formatCode="&quot;$&quot;\ #,##0;&quot;$&quot;\ \-#,##0">
                  <c:v>0</c:v>
                </c:pt>
                <c:pt idx="51" formatCode="&quot;$&quot;\ #,##0;&quot;$&quot;\ \-#,##0">
                  <c:v>0</c:v>
                </c:pt>
                <c:pt idx="63" formatCode="&quot;$&quot;\ #,##0;&quot;$&quot;\ \-#,##0">
                  <c:v>0</c:v>
                </c:pt>
                <c:pt idx="64" formatCode="&quot;$&quot;\ #,##0;&quot;$&quot;\ \-#,##0">
                  <c:v>0</c:v>
                </c:pt>
                <c:pt idx="65" formatCode="&quot;$&quot;\ #,##0;&quot;$&quot;\ \-#,##0">
                  <c:v>0</c:v>
                </c:pt>
                <c:pt idx="66" formatCode="&quot;$&quot;\ #,##0;&quot;$&quot;\ \-#,##0">
                  <c:v>0</c:v>
                </c:pt>
                <c:pt idx="67" formatCode="&quot;$&quot;\ #,##0;&quot;$&quot;\ \-#,##0">
                  <c:v>0</c:v>
                </c:pt>
                <c:pt idx="68" formatCode="&quot;$&quot;\ #,##0;&quot;$&quot;\ \-#,##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RECIBOS!#REF!</c15:sqref>
                        </c15:formulaRef>
                      </c:ext>
                    </c:extLst>
                    <c:numCache>
                      <c:formatCode>General</c:formatCode>
                      <c:ptCount val="72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6BA3-4306-9791-53026AA4404D}"/>
            </c:ext>
          </c:extLst>
        </c:ser>
        <c:ser>
          <c:idx val="5"/>
          <c:order val="5"/>
          <c:tx>
            <c:strRef>
              <c:f>RECIBOS!$G$714</c:f>
              <c:strCache>
                <c:ptCount val="1"/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RECIBOS!$G$715:$G$786</c:f>
              <c:numCache>
                <c:formatCode>m/d/yyyy</c:formatCode>
                <c:ptCount val="72"/>
                <c:pt idx="0">
                  <c:v>46037</c:v>
                </c:pt>
                <c:pt idx="39">
                  <c:v>46037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RECIBOS!#REF!</c15:sqref>
                        </c15:formulaRef>
                      </c:ext>
                    </c:extLst>
                    <c:numCache>
                      <c:formatCode>General</c:formatCode>
                      <c:ptCount val="72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6BA3-4306-9791-53026AA4404D}"/>
            </c:ext>
          </c:extLst>
        </c:ser>
        <c:ser>
          <c:idx val="6"/>
          <c:order val="6"/>
          <c:tx>
            <c:strRef>
              <c:f>RECIBOS!$H$714</c:f>
              <c:strCache>
                <c:ptCount val="1"/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RECIBOS!$H$715:$H$786</c:f>
              <c:numCache>
                <c:formatCode>General</c:formatCode>
                <c:ptCount val="72"/>
                <c:pt idx="4">
                  <c:v>0</c:v>
                </c:pt>
                <c:pt idx="5">
                  <c:v>0</c:v>
                </c:pt>
                <c:pt idx="20">
                  <c:v>0</c:v>
                </c:pt>
                <c:pt idx="21">
                  <c:v>0</c:v>
                </c:pt>
                <c:pt idx="25" formatCode="m/d/yyyy">
                  <c:v>46037</c:v>
                </c:pt>
                <c:pt idx="42">
                  <c:v>0</c:v>
                </c:pt>
                <c:pt idx="43">
                  <c:v>0</c:v>
                </c:pt>
                <c:pt idx="57">
                  <c:v>0</c:v>
                </c:pt>
                <c:pt idx="58">
                  <c:v>0</c:v>
                </c:pt>
                <c:pt idx="63" formatCode="m/d/yyyy">
                  <c:v>46037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RECIBOS!#REF!</c15:sqref>
                        </c15:formulaRef>
                      </c:ext>
                    </c:extLst>
                    <c:numCache>
                      <c:formatCode>General</c:formatCode>
                      <c:ptCount val="72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6-6BA3-4306-9791-53026AA44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557056"/>
        <c:axId val="234117312"/>
      </c:barChart>
      <c:catAx>
        <c:axId val="24055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2341173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41173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_ &quot;$&quot;\ * #,##0.00_ ;_ &quot;$&quot;\ * \-#,##0.00_ ;_ &quot;$&quot;\ * &quot;-&quot;??_ ;_ @_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2405570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7558268590455033"/>
          <c:y val="0.38813559322033897"/>
          <c:w val="2.1087680355161287E-2"/>
          <c:h val="0.2169491525423726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45" workbookViewId="0"/>
  </sheetViews>
  <pageMargins left="0.75" right="0.75" top="1" bottom="1" header="0" footer="0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96000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C%20KARINA%202026\LIMA%202026\LIMA%200426.xlsx" TargetMode="External"/><Relationship Id="rId1" Type="http://schemas.openxmlformats.org/officeDocument/2006/relationships/externalLinkPath" Target="LIMA%2004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8\LIMA%2001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8\LIMA%20021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8\LIMA%200318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8\LIMA%20041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8\LIMA%20051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8\LIMA%200618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8\LIMA%200718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8\LIMA%200818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8\LIMA%200918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8\LIMA%201018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8\LIMA%201118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8\LIMA%201218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9\LIMA%200119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9\LIMA%200219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9\LIMA%200319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9\LIMA%200419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9\LIMA%200519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9\LIMA%200619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9\LIMA%200719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9\LIMA%200819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9\LIMA%200919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9\LIMA%201019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9\LIMA%201119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9\LIMA%201219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0\LIMA%20012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0\LIMA%20022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0\LIMA%20032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0\LIMA%20042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0\LIMA%20052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0\LIMA%20062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0\LIMA%20072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0\LIMA%200820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0\LIMA%200920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0\LIMA%201020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0\LIMA%201120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0\LIMA%201220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AppData\Local\Packages\microsoft.windowscommunicationsapps_8wekyb3d8bbwe\LocalState\Files\S0\13012\Attachments\LIMA%200121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AppData\Local\Packages\microsoft.windowscommunicationsapps_8wekyb3d8bbwe\LocalState\Files\S0\13012\Attachments\LIMA%200221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1\LIMA%200321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1\LIMA%200421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1\LIMA%200521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1\LIMA%200621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1\LIMA%200721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1\LIMA%20082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1\LIMA%200921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1\LIMA%201021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1\LIMA%201121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21\LIMA%201221.xlsx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2\LIMA%200122.xlsx" TargetMode="External"/><Relationship Id="rId1" Type="http://schemas.openxmlformats.org/officeDocument/2006/relationships/externalLinkPath" Target="file:///C:\Users\kpmal\OneDrive\Escritorio\PC%20KARINA\LIMA%202022\LIMA%200122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pmal\OneDrive\Escritorio\PC%20KARINA\LIMA%202022\LIMA%200222%20CON%20APORTE%20EN%20PRORRATEO.xlsx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2\LIMA%200322%20xlsx.xlsx" TargetMode="External"/><Relationship Id="rId1" Type="http://schemas.openxmlformats.org/officeDocument/2006/relationships/externalLinkPath" Target="file:///C:\Users\kpmal\OneDrive\Escritorio\PC%20KARINA\LIMA%202022\LIMA%200322%20xlsx.xlsx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2\LIMA%200422%20xlsx.xlsx" TargetMode="External"/><Relationship Id="rId1" Type="http://schemas.openxmlformats.org/officeDocument/2006/relationships/externalLinkPath" Target="file:///C:\Users\kpmal\OneDrive\Escritorio\PC%20KARINA\LIMA%202022\LIMA%200422%20xlsx.xlsx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2\LIMA%200522%20xlsx.xlsx" TargetMode="External"/><Relationship Id="rId1" Type="http://schemas.openxmlformats.org/officeDocument/2006/relationships/externalLinkPath" Target="file:///C:\Users\kpmal\OneDrive\Escritorio\PC%20KARINA\LIMA%202022\LIMA%200522%20xlsx.xlsx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2\LIMA%200622%20xlsx.xlsx" TargetMode="External"/><Relationship Id="rId1" Type="http://schemas.openxmlformats.org/officeDocument/2006/relationships/externalLinkPath" Target="file:///C:\Users\kpmal\OneDrive\Escritorio\PC%20KARINA\LIMA%202022\LIMA%200622%20xlsx.xlsx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2\LIMA%200722%20xlsx.xlsx" TargetMode="External"/><Relationship Id="rId1" Type="http://schemas.openxmlformats.org/officeDocument/2006/relationships/externalLinkPath" Target="file:///C:\Users\kpmal\OneDrive\Escritorio\PC%20KARINA\LIMA%202022\LIMA%200722%20xlsx.xlsx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2\LIMA%200822%20xlsx.xlsx" TargetMode="External"/><Relationship Id="rId1" Type="http://schemas.openxmlformats.org/officeDocument/2006/relationships/externalLinkPath" Target="file:///C:\Users\kpmal\OneDrive\Escritorio\PC%20KARINA\LIMA%202022\LIMA%200822%20xlsx.xlsx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2\LIMA%200922%20xlsx.xlsx" TargetMode="External"/><Relationship Id="rId1" Type="http://schemas.openxmlformats.org/officeDocument/2006/relationships/externalLinkPath" Target="file:///C:\Users\kpmal\OneDrive\Escritorio\PC%20KARINA\LIMA%202022\LIMA%200922%20xlsx.xlsx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2\LIMA%201022%20xlsx.xlsx" TargetMode="External"/><Relationship Id="rId1" Type="http://schemas.openxmlformats.org/officeDocument/2006/relationships/externalLinkPath" Target="file:///C:\Users\kpmal\OneDrive\Escritorio\PC%20KARINA\LIMA%202022\LIMA%201022%20xlsx.xlsx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2\LIMA%201122%20xlsx.xlsx" TargetMode="External"/><Relationship Id="rId1" Type="http://schemas.openxmlformats.org/officeDocument/2006/relationships/externalLinkPath" Target="file:///C:\Users\kpmal\OneDrive\Escritorio\PC%20KARINA\LIMA%202022\LIMA%201122%20xlsx.xlsx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2\LIMA%201222%20xlsx.xlsx" TargetMode="External"/><Relationship Id="rId1" Type="http://schemas.openxmlformats.org/officeDocument/2006/relationships/externalLinkPath" Target="file:///C:\Users\kpmal\OneDrive\Escritorio\PC%20KARINA\LIMA%202022\LIMA%201222%20xlsx.xlsx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3\LIMA%200123.xlsx" TargetMode="External"/><Relationship Id="rId1" Type="http://schemas.openxmlformats.org/officeDocument/2006/relationships/externalLinkPath" Target="file:///C:\Users\kpmal\OneDrive\Escritorio\PC%20KARINA\LIMA%202023\LIMA%200123.xlsx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3\LIMA%200223.xlsx" TargetMode="External"/><Relationship Id="rId1" Type="http://schemas.openxmlformats.org/officeDocument/2006/relationships/externalLinkPath" Target="file:///C:\Users\kpmal\OneDrive\Escritorio\PC%20KARINA\LIMA%202023\LIMA%200223.xlsx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3\LIMA%200323.xlsx" TargetMode="External"/><Relationship Id="rId1" Type="http://schemas.openxmlformats.org/officeDocument/2006/relationships/externalLinkPath" Target="file:///C:\Users\kpmal\OneDrive\Escritorio\PC%20KARINA\LIMA%202023\LIMA%200323.xlsx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3\LIMA%200423.xlsx" TargetMode="External"/><Relationship Id="rId1" Type="http://schemas.openxmlformats.org/officeDocument/2006/relationships/externalLinkPath" Target="file:///C:\Users\kpmal\OneDrive\Escritorio\PC%20KARINA\LIMA%202023\LIMA%200423.xlsx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3\LIMA%200523.xlsx" TargetMode="External"/><Relationship Id="rId1" Type="http://schemas.openxmlformats.org/officeDocument/2006/relationships/externalLinkPath" Target="file:///C:\Users\kpmal\OneDrive\Escritorio\PC%20KARINA\LIMA%202023\LIMA%200523.xlsx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3\LIMA%200623.xlsx" TargetMode="External"/><Relationship Id="rId1" Type="http://schemas.openxmlformats.org/officeDocument/2006/relationships/externalLinkPath" Target="file:///C:\Users\kpmal\OneDrive\Escritorio\PC%20KARINA\LIMA%202023\LIMA%200623.xlsx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3\LIMA%200723.xlsx" TargetMode="External"/><Relationship Id="rId1" Type="http://schemas.openxmlformats.org/officeDocument/2006/relationships/externalLinkPath" Target="file:///C:\Users\kpmal\OneDrive\Escritorio\PC%20KARINA\LIMA%202023\LIMA%200723.xlsx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3\LIMA%200823.xlsx" TargetMode="External"/><Relationship Id="rId1" Type="http://schemas.openxmlformats.org/officeDocument/2006/relationships/externalLinkPath" Target="file:///C:\Users\kpmal\OneDrive\Escritorio\PC%20KARINA\LIMA%202023\LIMA%200823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3\LIMA%200923.xlsx" TargetMode="External"/><Relationship Id="rId1" Type="http://schemas.openxmlformats.org/officeDocument/2006/relationships/externalLinkPath" Target="file:///C:\Users\kpmal\OneDrive\Escritorio\PC%20KARINA\LIMA%202023\LIMA%200923.xlsx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3\LIMA%201023.xlsx" TargetMode="External"/><Relationship Id="rId1" Type="http://schemas.openxmlformats.org/officeDocument/2006/relationships/externalLinkPath" Target="file:///C:\Users\kpmal\OneDrive\Escritorio\PC%20KARINA\LIMA%202023\LIMA%201023.xlsx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3\LIMA%201123.xlsx" TargetMode="External"/><Relationship Id="rId1" Type="http://schemas.openxmlformats.org/officeDocument/2006/relationships/externalLinkPath" Target="file:///C:\Users\kpmal\OneDrive\Escritorio\PC%20KARINA\LIMA%202023\LIMA%201123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3\LIMA%201223.xlsx" TargetMode="External"/><Relationship Id="rId1" Type="http://schemas.openxmlformats.org/officeDocument/2006/relationships/externalLinkPath" Target="file:///C:\Users\kpmal\OneDrive\Escritorio\PC%20KARINA\LIMA%202023\LIMA%201223.xlsx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4\LIMA%200124.xlsx" TargetMode="External"/><Relationship Id="rId1" Type="http://schemas.openxmlformats.org/officeDocument/2006/relationships/externalLinkPath" Target="file:///C:\Users\kpmal\OneDrive\Escritorio\PC%20KARINA\LIMA%202024\LIMA%200124.xlsx" TargetMode="External"/></Relationships>
</file>

<file path=xl/externalLinks/_rels/externalLink7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4\LIMA%200224.xlsx" TargetMode="External"/><Relationship Id="rId1" Type="http://schemas.openxmlformats.org/officeDocument/2006/relationships/externalLinkPath" Target="file:///C:\Users\kpmal\OneDrive\Escritorio\PC%20KARINA\LIMA%202024\LIMA%200224.xlsx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4\LIMA%200324.xlsx" TargetMode="External"/><Relationship Id="rId1" Type="http://schemas.openxmlformats.org/officeDocument/2006/relationships/externalLinkPath" Target="file:///C:\Users\kpmal\OneDrive\Escritorio\PC%20KARINA\LIMA%202024\LIMA%200324.xlsx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4\LIMA%200424.xlsx" TargetMode="External"/><Relationship Id="rId1" Type="http://schemas.openxmlformats.org/officeDocument/2006/relationships/externalLinkPath" Target="file:///C:\Users\kpmal\OneDrive\Escritorio\PC%20KARINA\LIMA%202024\LIMA%200424.xlsx" TargetMode="External"/></Relationships>
</file>

<file path=xl/externalLinks/_rels/externalLink7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4\LIMA%200524.xlsx" TargetMode="External"/><Relationship Id="rId1" Type="http://schemas.openxmlformats.org/officeDocument/2006/relationships/externalLinkPath" Target="file:///C:\Users\kpmal\OneDrive\Escritorio\PC%20KARINA\LIMA%202024\LIMA%200524.xlsx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4\LIMA%200624.xlsx" TargetMode="External"/><Relationship Id="rId1" Type="http://schemas.openxmlformats.org/officeDocument/2006/relationships/externalLinkPath" Target="file:///C:\Users\kpmal\OneDrive\Escritorio\PC%20KARINA\LIMA%202024\LIMA%200624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4\LIMA%200724.xlsx" TargetMode="External"/><Relationship Id="rId1" Type="http://schemas.openxmlformats.org/officeDocument/2006/relationships/externalLinkPath" Target="file:///C:\Users\kpmal\OneDrive\Escritorio\PC%20KARINA\LIMA%202024\LIMA%200724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4\LIMA%200824.xlsx" TargetMode="External"/><Relationship Id="rId1" Type="http://schemas.openxmlformats.org/officeDocument/2006/relationships/externalLinkPath" Target="file:///C:\Users\kpmal\OneDrive\Escritorio\PC%20KARINA\LIMA%202024\LIMA%200824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4\LIMA%200924.xlsx" TargetMode="External"/><Relationship Id="rId1" Type="http://schemas.openxmlformats.org/officeDocument/2006/relationships/externalLinkPath" Target="file:///C:\Users\kpmal\OneDrive\Escritorio\PC%20KARINA\LIMA%202024\LIMA%200924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4\LIMA%201024.xlsx" TargetMode="External"/><Relationship Id="rId1" Type="http://schemas.openxmlformats.org/officeDocument/2006/relationships/externalLinkPath" Target="file:///C:\Users\kpmal\OneDrive\Escritorio\PC%20KARINA\LIMA%202024\LIMA%201024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4\LIMA%201124.xlsx" TargetMode="External"/><Relationship Id="rId1" Type="http://schemas.openxmlformats.org/officeDocument/2006/relationships/externalLinkPath" Target="file:///C:\Users\kpmal\OneDrive\Escritorio\PC%20KARINA\LIMA%202024\LIMA%201124.xlsx" TargetMode="External"/></Relationships>
</file>

<file path=xl/externalLinks/_rels/externalLink8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4\LIMA%201224.xlsx" TargetMode="External"/><Relationship Id="rId1" Type="http://schemas.openxmlformats.org/officeDocument/2006/relationships/externalLinkPath" Target="file:///C:\Users\kpmal\OneDrive\Escritorio\PC%20KARINA\LIMA%202024\LIMA%201224.xlsx" TargetMode="External"/></Relationships>
</file>

<file path=xl/externalLinks/_rels/externalLink8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5\LIMA%200125.xlsx" TargetMode="External"/><Relationship Id="rId1" Type="http://schemas.openxmlformats.org/officeDocument/2006/relationships/externalLinkPath" Target="file:///C:\Users\kpmal\OneDrive\Escritorio\PC%20KARINA\LIMA%202025\LIMA%200125.xlsx" TargetMode="External"/></Relationships>
</file>

<file path=xl/externalLinks/_rels/externalLink8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5\LIMA%200225.xlsx" TargetMode="External"/><Relationship Id="rId1" Type="http://schemas.openxmlformats.org/officeDocument/2006/relationships/externalLinkPath" Target="file:///C:\Users\kpmal\OneDrive\Escritorio\PC%20KARINA\LIMA%202025\LIMA%200225.xlsx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5\LIMA%200325.xlsx" TargetMode="External"/><Relationship Id="rId1" Type="http://schemas.openxmlformats.org/officeDocument/2006/relationships/externalLinkPath" Target="file:///C:\Users\kpmal\OneDrive\Escritorio\PC%20KARINA\LIMA%202025\LIMA%200325.xlsx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5\LIMA%200425.xlsx" TargetMode="External"/><Relationship Id="rId1" Type="http://schemas.openxmlformats.org/officeDocument/2006/relationships/externalLinkPath" Target="file:///C:\Users\kpmal\OneDrive\Escritorio\PC%20KARINA\LIMA%202025\LIMA%200425.xlsx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5\LIMA%200525.xlsx" TargetMode="External"/><Relationship Id="rId1" Type="http://schemas.openxmlformats.org/officeDocument/2006/relationships/externalLinkPath" Target="file:///C:\Users\kpmal\OneDrive\Escritorio\PC%20KARINA\LIMA%202025\LIMA%200525.xlsx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5\LIMA%200625.xlsx" TargetMode="External"/><Relationship Id="rId1" Type="http://schemas.openxmlformats.org/officeDocument/2006/relationships/externalLinkPath" Target="file:///C:\Users\kpmal\OneDrive\Escritorio\PC%20KARINA\LIMA%202025\LIMA%200625.xlsx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5\LIMA%200725.xlsx" TargetMode="External"/><Relationship Id="rId1" Type="http://schemas.openxmlformats.org/officeDocument/2006/relationships/externalLinkPath" Target="file:///C:\Users\kpmal\OneDrive\Escritorio\PC%20KARINA\LIMA%202025\LIMA%200725.xlsx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5\LIMA%200825.xlsx" TargetMode="External"/><Relationship Id="rId1" Type="http://schemas.openxmlformats.org/officeDocument/2006/relationships/externalLinkPath" Target="file:///C:\Users\kpmal\OneDrive\Escritorio\PC%20KARINA\LIMA%202025\LIMA%200825.xlsx" TargetMode="External"/></Relationships>
</file>

<file path=xl/externalLinks/_rels/externalLink9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5\LIMA%200925.xlsx" TargetMode="External"/><Relationship Id="rId1" Type="http://schemas.openxmlformats.org/officeDocument/2006/relationships/externalLinkPath" Target="file:///C:\Users\kpmal\OneDrive\Escritorio\PC%20KARINA\LIMA%202025\LIMA%200925.xlsx" TargetMode="External"/></Relationships>
</file>

<file path=xl/externalLinks/_rels/externalLink9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5\LIMA%201025.xlsx" TargetMode="External"/><Relationship Id="rId1" Type="http://schemas.openxmlformats.org/officeDocument/2006/relationships/externalLinkPath" Target="file:///C:\Users\kpmal\OneDrive\Escritorio\PC%20KARINA\LIMA%202025\LIMA%201025.xlsx" TargetMode="External"/></Relationships>
</file>

<file path=xl/externalLinks/_rels/externalLink9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5\LIMA%201125DEF.xlsx" TargetMode="External"/><Relationship Id="rId1" Type="http://schemas.openxmlformats.org/officeDocument/2006/relationships/externalLinkPath" Target="file:///C:\Users\kpmal\OneDrive\Escritorio\PC%20KARINA\LIMA%202025\LIMA%201125DEF.xlsx" TargetMode="External"/></Relationships>
</file>

<file path=xl/externalLinks/_rels/externalLink9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LIMA%202025\LIMA%201225.xlsx" TargetMode="External"/><Relationship Id="rId1" Type="http://schemas.openxmlformats.org/officeDocument/2006/relationships/externalLinkPath" Target="file:///C:\Users\kpmal\OneDrive\Escritorio\PC%20KARINA\LIMA%202025\LIMA%201225.xlsx" TargetMode="External"/></Relationships>
</file>

<file path=xl/externalLinks/_rels/externalLink9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C%20KARINA%202026\LIMA%202026\LIMA%200126.xlsx" TargetMode="External"/><Relationship Id="rId1" Type="http://schemas.openxmlformats.org/officeDocument/2006/relationships/externalLinkPath" Target="LIMA%200126.xlsx" TargetMode="External"/></Relationships>
</file>

<file path=xl/externalLinks/_rels/externalLink9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C%20KARINA%202026\LIMA%202026\LIMA%200226.xlsx" TargetMode="External"/><Relationship Id="rId1" Type="http://schemas.openxmlformats.org/officeDocument/2006/relationships/externalLinkPath" Target="LIMA%200226.xlsx" TargetMode="External"/></Relationships>
</file>

<file path=xl/externalLinks/_rels/externalLink10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C%20KARINA%202026\LIMA%202026\LIMA%200326.xlsx" TargetMode="External"/><Relationship Id="rId1" Type="http://schemas.openxmlformats.org/officeDocument/2006/relationships/externalLinkPath" Target="LIMA%200326.xlsx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LIMA%202018\LIMA%202017\LIMA%2001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 (2)"/>
      <sheetName val="RECIBOS"/>
      <sheetName val="Gráfico1"/>
      <sheetName val="Hoja 3"/>
      <sheetName val="Hoja2"/>
      <sheetName val="Hoja1"/>
    </sheetNames>
    <sheetDataSet>
      <sheetData sheetId="0">
        <row r="86">
          <cell r="G86">
            <v>7515886.0723940022</v>
          </cell>
        </row>
      </sheetData>
      <sheetData sheetId="1">
        <row r="18">
          <cell r="P18">
            <v>736215.85884</v>
          </cell>
        </row>
        <row r="27">
          <cell r="P27">
            <v>363741.22103000002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/>
      <sheetData sheetId="1">
        <row r="18">
          <cell r="O18">
            <v>6423.3473359999989</v>
          </cell>
        </row>
        <row r="26">
          <cell r="Q26">
            <v>324.77712128999997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4">
          <cell r="F84">
            <v>25197.746163999996</v>
          </cell>
        </row>
      </sheetData>
      <sheetData sheetId="1">
        <row r="18">
          <cell r="O18">
            <v>6906.0213039999999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4">
          <cell r="F84">
            <v>19956.096163999995</v>
          </cell>
        </row>
      </sheetData>
      <sheetData sheetId="1">
        <row r="18">
          <cell r="O18">
            <v>9084.4506199999996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90">
          <cell r="F90">
            <v>6642.6061639999898</v>
          </cell>
        </row>
      </sheetData>
      <sheetData sheetId="1">
        <row r="18">
          <cell r="O18">
            <v>10009.988491999999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7">
          <cell r="F87">
            <v>11553.266163999986</v>
          </cell>
        </row>
      </sheetData>
      <sheetData sheetId="1">
        <row r="18">
          <cell r="O18">
            <v>9524.0368719999988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79">
          <cell r="F79">
            <v>10976.816163999989</v>
          </cell>
        </row>
      </sheetData>
      <sheetData sheetId="1">
        <row r="18">
          <cell r="O18">
            <v>9455.2232599999988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73">
          <cell r="F73">
            <v>19732.946163999986</v>
          </cell>
        </row>
      </sheetData>
      <sheetData sheetId="1">
        <row r="18">
          <cell r="O18">
            <v>7258.1237959999999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1">
          <cell r="F81">
            <v>13901.306163999987</v>
          </cell>
        </row>
      </sheetData>
      <sheetData sheetId="1">
        <row r="18">
          <cell r="O18">
            <v>10081.522378666667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3">
          <cell r="F3" t="str">
            <v>LIMA 461/67/73 C.A.B.A.</v>
          </cell>
        </row>
      </sheetData>
      <sheetData sheetId="1">
        <row r="18">
          <cell r="D18" t="str">
            <v>Casa Lopez</v>
          </cell>
          <cell r="O18">
            <v>9702.7528826666676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94">
          <cell r="F94">
            <v>-14415.143836000021</v>
          </cell>
        </row>
      </sheetData>
      <sheetData sheetId="1">
        <row r="18">
          <cell r="O18">
            <v>14227.098336266667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/>
      <sheetData sheetId="1">
        <row r="18">
          <cell r="O18">
            <v>14621.914150666664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97">
          <cell r="F97">
            <v>5101.811163999977</v>
          </cell>
        </row>
      </sheetData>
      <sheetData sheetId="1">
        <row r="18">
          <cell r="O18">
            <v>15154.505272666665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5">
          <cell r="F85">
            <v>58806.841163999983</v>
          </cell>
        </row>
      </sheetData>
      <sheetData sheetId="1">
        <row r="18">
          <cell r="O18">
            <v>14019.753626666665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5">
          <cell r="F85">
            <v>66048.691163999989</v>
          </cell>
        </row>
      </sheetData>
      <sheetData sheetId="1">
        <row r="18">
          <cell r="O18">
            <v>13731.776286666665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3">
          <cell r="F83">
            <v>69441.561163999984</v>
          </cell>
        </row>
      </sheetData>
      <sheetData sheetId="1">
        <row r="18">
          <cell r="O18">
            <v>14197.886070666666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1">
          <cell r="F81">
            <v>80266.223163999995</v>
          </cell>
        </row>
      </sheetData>
      <sheetData sheetId="1">
        <row r="18">
          <cell r="O18">
            <v>13290.119597066665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93">
          <cell r="F93">
            <v>65168.130513999989</v>
          </cell>
        </row>
      </sheetData>
      <sheetData sheetId="1">
        <row r="18">
          <cell r="O18">
            <v>14125.289691286667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93">
          <cell r="F93">
            <v>85730.522263999999</v>
          </cell>
        </row>
      </sheetData>
      <sheetData sheetId="1">
        <row r="18">
          <cell r="O18">
            <v>17870.850955766662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2">
          <cell r="F82">
            <v>147045.96626400002</v>
          </cell>
        </row>
      </sheetData>
      <sheetData sheetId="1">
        <row r="18">
          <cell r="O18">
            <v>12458.019231466662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5">
          <cell r="F85">
            <v>116474.16769400002</v>
          </cell>
        </row>
      </sheetData>
      <sheetData sheetId="1">
        <row r="18">
          <cell r="O18">
            <v>12797.667995755999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4">
          <cell r="F84">
            <v>112291.45089400001</v>
          </cell>
        </row>
      </sheetData>
      <sheetData sheetId="1">
        <row r="18">
          <cell r="O18">
            <v>12868.023629439997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3">
          <cell r="F83">
            <v>106712.14839400002</v>
          </cell>
        </row>
      </sheetData>
      <sheetData sheetId="1">
        <row r="18">
          <cell r="O18">
            <v>15642.940466999997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8">
          <cell r="F88">
            <v>88004.861894000031</v>
          </cell>
        </row>
      </sheetData>
      <sheetData sheetId="1">
        <row r="18">
          <cell r="O18">
            <v>16047.562934199996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4">
          <cell r="F84">
            <v>88771.063144000043</v>
          </cell>
        </row>
      </sheetData>
      <sheetData sheetId="1">
        <row r="18">
          <cell r="O18">
            <v>16392.666426499996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0">
          <cell r="F80">
            <v>95922.706644000064</v>
          </cell>
        </row>
      </sheetData>
      <sheetData sheetId="1">
        <row r="18">
          <cell r="O18">
            <v>14379.200490199995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78">
          <cell r="F78">
            <v>82613.630144000083</v>
          </cell>
        </row>
      </sheetData>
      <sheetData sheetId="1">
        <row r="18">
          <cell r="O18">
            <v>14729.463466199997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4">
          <cell r="F84">
            <v>149212.82014400008</v>
          </cell>
        </row>
      </sheetData>
      <sheetData sheetId="1">
        <row r="18">
          <cell r="O18">
            <v>15688.459947999998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7">
          <cell r="F87">
            <v>140036.26014400012</v>
          </cell>
        </row>
      </sheetData>
      <sheetData sheetId="1">
        <row r="18">
          <cell r="O18">
            <v>15477.465583999998</v>
          </cell>
          <cell r="P18">
            <v>340688.66551781591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2">
          <cell r="F82">
            <v>158397.65239400012</v>
          </cell>
        </row>
      </sheetData>
      <sheetData sheetId="1">
        <row r="18">
          <cell r="O18">
            <v>14246.361003699998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4">
          <cell r="F84">
            <v>155610.55239400011</v>
          </cell>
        </row>
      </sheetData>
      <sheetData sheetId="1">
        <row r="18">
          <cell r="O18">
            <v>14145.84388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5">
          <cell r="F85">
            <v>157079.15239400015</v>
          </cell>
        </row>
      </sheetData>
      <sheetData sheetId="1">
        <row r="18">
          <cell r="O18">
            <v>14164.853919999996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9">
          <cell r="F89">
            <v>135316.50239400016</v>
          </cell>
        </row>
      </sheetData>
      <sheetData sheetId="1">
        <row r="18">
          <cell r="O18">
            <v>18922.872219999997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2">
          <cell r="F82">
            <v>132154.63239400013</v>
          </cell>
        </row>
      </sheetData>
      <sheetData sheetId="1">
        <row r="18">
          <cell r="O18">
            <v>17793.580195999999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4">
          <cell r="F84">
            <v>121397.97239400014</v>
          </cell>
        </row>
      </sheetData>
      <sheetData sheetId="1">
        <row r="18">
          <cell r="O18">
            <v>17624.281527999996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1">
          <cell r="F81">
            <v>110716.86239400017</v>
          </cell>
        </row>
      </sheetData>
      <sheetData sheetId="1">
        <row r="18">
          <cell r="O18">
            <v>17478.324387999997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4">
          <cell r="F84">
            <v>95364.012394000179</v>
          </cell>
        </row>
      </sheetData>
      <sheetData sheetId="1">
        <row r="18">
          <cell r="O18">
            <v>20447.125579999996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78">
          <cell r="F78">
            <v>100343.82239400019</v>
          </cell>
        </row>
      </sheetData>
      <sheetData sheetId="1">
        <row r="18">
          <cell r="O18">
            <v>19619.486851999998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2">
          <cell r="F82">
            <v>122146.73239400021</v>
          </cell>
        </row>
      </sheetData>
      <sheetData sheetId="1">
        <row r="18">
          <cell r="O18">
            <v>20899.615771999994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  <sheetName val="Gráfico2"/>
    </sheetNames>
    <sheetDataSet>
      <sheetData sheetId="0">
        <row r="13">
          <cell r="H13">
            <v>51961.24</v>
          </cell>
        </row>
      </sheetData>
      <sheetData sheetId="1">
        <row r="18">
          <cell r="O18">
            <v>19299.687763999998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53087.959999999992</v>
          </cell>
        </row>
      </sheetData>
      <sheetData sheetId="1">
        <row r="18">
          <cell r="O18">
            <v>132770.98545199999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 refreshError="1"/>
      <sheetData sheetId="1">
        <row r="18">
          <cell r="O18">
            <v>24426.687011999999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92332.670000000013</v>
          </cell>
        </row>
      </sheetData>
      <sheetData sheetId="1">
        <row r="18">
          <cell r="O18">
            <v>28671.104588000002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77244.41</v>
          </cell>
        </row>
      </sheetData>
      <sheetData sheetId="1">
        <row r="18">
          <cell r="O18">
            <v>22708.527827999998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63395.1</v>
          </cell>
        </row>
      </sheetData>
      <sheetData sheetId="1">
        <row r="18">
          <cell r="O18">
            <v>23218.142079999998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66563.76999999999</v>
          </cell>
        </row>
      </sheetData>
      <sheetData sheetId="1">
        <row r="18">
          <cell r="O18">
            <v>26909.136911999998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70099.079999999987</v>
          </cell>
        </row>
      </sheetData>
      <sheetData sheetId="1">
        <row r="18">
          <cell r="O18">
            <v>28440.053179999995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72677.210000000006</v>
          </cell>
        </row>
      </sheetData>
      <sheetData sheetId="1">
        <row r="18">
          <cell r="O18">
            <v>30750.135135999997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95706.21</v>
          </cell>
        </row>
      </sheetData>
      <sheetData sheetId="1">
        <row r="18">
          <cell r="P18">
            <v>28093.245487999997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89076</v>
          </cell>
        </row>
      </sheetData>
      <sheetData sheetId="1">
        <row r="18">
          <cell r="P18">
            <v>31858.024211999997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74156.23000000001</v>
          </cell>
        </row>
      </sheetData>
      <sheetData sheetId="1">
        <row r="18">
          <cell r="Q18">
            <v>35690.663483999997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77472.12</v>
          </cell>
        </row>
      </sheetData>
      <sheetData sheetId="1">
        <row r="18">
          <cell r="P18">
            <v>26424.133232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86492.349999999991</v>
          </cell>
        </row>
      </sheetData>
      <sheetData sheetId="1">
        <row r="18">
          <cell r="O18">
            <v>39293.346175999992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97671.98</v>
          </cell>
        </row>
      </sheetData>
      <sheetData sheetId="1">
        <row r="18">
          <cell r="O18">
            <v>38226.387611999999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127854.98</v>
          </cell>
        </row>
      </sheetData>
      <sheetData sheetId="1">
        <row r="18">
          <cell r="O18">
            <v>40478.834816000002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167374.5</v>
          </cell>
        </row>
      </sheetData>
      <sheetData sheetId="1">
        <row r="18">
          <cell r="O18">
            <v>52739.371216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140861.98000000001</v>
          </cell>
        </row>
      </sheetData>
      <sheetData sheetId="1">
        <row r="18">
          <cell r="O18">
            <v>51659.944251999987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113512.94000000002</v>
          </cell>
        </row>
      </sheetData>
      <sheetData sheetId="1">
        <row r="18">
          <cell r="O18">
            <v>57241.59943599999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126223.46</v>
          </cell>
        </row>
      </sheetData>
      <sheetData sheetId="1">
        <row r="18">
          <cell r="O18">
            <v>62610.59324799999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146741.21000000002</v>
          </cell>
        </row>
      </sheetData>
      <sheetData sheetId="1">
        <row r="18">
          <cell r="O18">
            <v>65096.38399599999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204165.05000000002</v>
          </cell>
        </row>
      </sheetData>
      <sheetData sheetId="1">
        <row r="18">
          <cell r="O18">
            <v>71852.145707999982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213544.25</v>
          </cell>
        </row>
      </sheetData>
      <sheetData sheetId="1">
        <row r="18">
          <cell r="O18">
            <v>68130.690403999994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239330.75</v>
          </cell>
        </row>
      </sheetData>
      <sheetData sheetId="1">
        <row r="18">
          <cell r="O18">
            <v>78309.958775999999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221483.74</v>
          </cell>
        </row>
      </sheetData>
      <sheetData sheetId="1">
        <row r="18">
          <cell r="O18">
            <v>82818.521967999986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191029.15999999997</v>
          </cell>
        </row>
      </sheetData>
      <sheetData sheetId="1">
        <row r="18">
          <cell r="O18">
            <v>88192.094927999977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208319.98999999996</v>
          </cell>
        </row>
      </sheetData>
      <sheetData sheetId="1">
        <row r="18">
          <cell r="O18">
            <v>89421.55944399997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 refreshError="1"/>
      <sheetData sheetId="1">
        <row r="18">
          <cell r="O18">
            <v>91567.417199999982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258020.80000000002</v>
          </cell>
        </row>
      </sheetData>
      <sheetData sheetId="1">
        <row r="18">
          <cell r="O18">
            <v>92771.072127999985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227238.40999999997</v>
          </cell>
        </row>
      </sheetData>
      <sheetData sheetId="1">
        <row r="18">
          <cell r="O18">
            <v>96695.439539999992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 refreshError="1"/>
      <sheetData sheetId="1">
        <row r="18">
          <cell r="O18">
            <v>146163.14187999995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348627.95999999996</v>
          </cell>
        </row>
      </sheetData>
      <sheetData sheetId="1">
        <row r="18">
          <cell r="O18">
            <v>146202.59838799995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 refreshError="1"/>
      <sheetData sheetId="1">
        <row r="18">
          <cell r="O18">
            <v>162604.16199999995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491162.77</v>
          </cell>
        </row>
      </sheetData>
      <sheetData sheetId="1">
        <row r="18">
          <cell r="O18">
            <v>156673.70247199998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561830.51000000013</v>
          </cell>
        </row>
      </sheetData>
      <sheetData sheetId="1">
        <row r="18">
          <cell r="O18">
            <v>140587.830208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439400.91</v>
          </cell>
        </row>
      </sheetData>
      <sheetData sheetId="1">
        <row r="18">
          <cell r="O18">
            <v>184712.55328399994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371826.93999999994</v>
          </cell>
        </row>
      </sheetData>
      <sheetData sheetId="1">
        <row r="18">
          <cell r="O18">
            <v>176759.69194799999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803743.04000000015</v>
          </cell>
        </row>
      </sheetData>
      <sheetData sheetId="1">
        <row r="18">
          <cell r="O18">
            <v>307674.83462799998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868652.96000000008</v>
          </cell>
        </row>
      </sheetData>
      <sheetData sheetId="1">
        <row r="18">
          <cell r="O18">
            <v>363695.15769999998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965101.29</v>
          </cell>
        </row>
      </sheetData>
      <sheetData sheetId="1">
        <row r="18">
          <cell r="O18">
            <v>321443.18147199997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3">
          <cell r="H13">
            <v>903090.06</v>
          </cell>
        </row>
      </sheetData>
      <sheetData sheetId="1">
        <row r="18">
          <cell r="O18">
            <v>297061.976792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2">
          <cell r="H12">
            <v>731885.27</v>
          </cell>
        </row>
      </sheetData>
      <sheetData sheetId="1">
        <row r="18">
          <cell r="O18">
            <v>344107.86152400001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2">
          <cell r="H12">
            <v>805558.2300000001</v>
          </cell>
        </row>
      </sheetData>
      <sheetData sheetId="1">
        <row r="18">
          <cell r="P18">
            <v>342063.46238399995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2">
          <cell r="H12">
            <v>853889.26000000013</v>
          </cell>
        </row>
      </sheetData>
      <sheetData sheetId="1">
        <row r="18">
          <cell r="P18">
            <v>399436.58294399991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2">
          <cell r="H12">
            <v>811706.17</v>
          </cell>
        </row>
      </sheetData>
      <sheetData sheetId="1">
        <row r="18">
          <cell r="P18">
            <v>417816.70571199991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2">
          <cell r="H12">
            <v>1095944.1700000002</v>
          </cell>
        </row>
      </sheetData>
      <sheetData sheetId="1">
        <row r="18">
          <cell r="P18">
            <v>439288.65008000011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2">
          <cell r="H12">
            <v>1020257.1699999999</v>
          </cell>
        </row>
      </sheetData>
      <sheetData sheetId="1">
        <row r="18">
          <cell r="P18">
            <v>468794.54479199997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2">
          <cell r="I12">
            <v>1063234.17</v>
          </cell>
        </row>
      </sheetData>
      <sheetData sheetId="1">
        <row r="18">
          <cell r="P18">
            <v>459223.61478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2">
          <cell r="I12">
            <v>1087885.9800000002</v>
          </cell>
        </row>
      </sheetData>
      <sheetData sheetId="1">
        <row r="18">
          <cell r="P18">
            <v>466032.12807199993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 refreshError="1"/>
      <sheetData sheetId="1">
        <row r="18">
          <cell r="P18">
            <v>538310.28484799992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2">
          <cell r="I12">
            <v>909055.90000000014</v>
          </cell>
        </row>
      </sheetData>
      <sheetData sheetId="1">
        <row r="18">
          <cell r="P18">
            <v>590448.812408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2">
          <cell r="I12">
            <v>1392889.9</v>
          </cell>
        </row>
      </sheetData>
      <sheetData sheetId="1">
        <row r="18">
          <cell r="P18">
            <v>645257.13697199989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2">
          <cell r="I12">
            <v>1286747.3800000001</v>
          </cell>
        </row>
      </sheetData>
      <sheetData sheetId="1">
        <row r="18">
          <cell r="P18">
            <v>676428.53493600001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2">
          <cell r="I12">
            <v>993091.86</v>
          </cell>
        </row>
      </sheetData>
      <sheetData sheetId="1">
        <row r="18">
          <cell r="P18">
            <v>578025.61462799995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2">
          <cell r="I12">
            <v>988282.24</v>
          </cell>
        </row>
      </sheetData>
      <sheetData sheetId="1">
        <row r="18">
          <cell r="P18">
            <v>690981.81196799991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2">
          <cell r="I12">
            <v>941428.40999999992</v>
          </cell>
        </row>
      </sheetData>
      <sheetData sheetId="1">
        <row r="18">
          <cell r="P18">
            <v>692243.78997199994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12">
          <cell r="H12">
            <v>1479131.41</v>
          </cell>
        </row>
      </sheetData>
      <sheetData sheetId="1">
        <row r="18">
          <cell r="P18">
            <v>795467.27724799991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 (2)"/>
      <sheetName val="RECIBOS"/>
      <sheetName val="Gráfico1"/>
      <sheetName val="Hoja 3"/>
      <sheetName val="Hoja2"/>
      <sheetName val="Hoja1"/>
    </sheetNames>
    <sheetDataSet>
      <sheetData sheetId="0">
        <row r="12">
          <cell r="H12">
            <v>1933157.4699999995</v>
          </cell>
        </row>
      </sheetData>
      <sheetData sheetId="1">
        <row r="18">
          <cell r="P18">
            <v>705283.22902799991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 (2)"/>
      <sheetName val="RECIBOS"/>
      <sheetName val="Gráfico1"/>
      <sheetName val="Hoja 3"/>
      <sheetName val="Hoja2"/>
      <sheetName val="Hoja1"/>
      <sheetName val="Gráfico2"/>
    </sheetNames>
    <sheetDataSet>
      <sheetData sheetId="0">
        <row r="12">
          <cell r="H12">
            <v>1753400.4899999998</v>
          </cell>
        </row>
      </sheetData>
      <sheetData sheetId="1">
        <row r="18">
          <cell r="P18">
            <v>705355.95737599966</v>
          </cell>
        </row>
        <row r="27">
          <cell r="P27">
            <v>347856.18819199986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 (2)"/>
      <sheetName val="RECIBOS"/>
      <sheetName val="Gráfico3"/>
      <sheetName val="Hoja 3"/>
      <sheetName val="Hoja2"/>
      <sheetName val="Hoja1"/>
    </sheetNames>
    <sheetDataSet>
      <sheetData sheetId="0">
        <row r="80">
          <cell r="G80">
            <v>7008845.4023940023</v>
          </cell>
        </row>
      </sheetData>
      <sheetData sheetId="1">
        <row r="18">
          <cell r="P18">
            <v>657036.44949599984</v>
          </cell>
        </row>
        <row r="27">
          <cell r="P27">
            <v>326144.90898199996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 (2)"/>
      <sheetName val="RECIBOS"/>
      <sheetName val="Gráfico1"/>
      <sheetName val="Hoja 3"/>
      <sheetName val="Hoja2"/>
      <sheetName val="Hoja1"/>
    </sheetNames>
    <sheetDataSet>
      <sheetData sheetId="0">
        <row r="85">
          <cell r="G85">
            <v>7907112.372394003</v>
          </cell>
        </row>
      </sheetData>
      <sheetData sheetId="1">
        <row r="18">
          <cell r="P18">
            <v>658837.6055239999</v>
          </cell>
        </row>
        <row r="27">
          <cell r="P27">
            <v>327000.14173299988</v>
          </cell>
          <cell r="R27">
            <v>22009.762565249992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 refreshError="1"/>
      <sheetData sheetId="1">
        <row r="25">
          <cell r="Q25">
            <v>116.34118417499997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soca_administraciones@ho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buenosaires.gob.ar/sites/default/files/2025-02/Manual%20buenas%20pr%C3%A1cticas%20consorciales_0.pdf" TargetMode="External"/><Relationship Id="rId1" Type="http://schemas.openxmlformats.org/officeDocument/2006/relationships/hyperlink" Target="mailto:escribaniaacero@hotmail.com.a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28"/>
  <sheetViews>
    <sheetView tabSelected="1" topLeftCell="A67" zoomScale="88" zoomScaleNormal="88" workbookViewId="0">
      <selection activeCell="G104" sqref="G104:G109"/>
    </sheetView>
  </sheetViews>
  <sheetFormatPr baseColWidth="10" defaultRowHeight="12.75" x14ac:dyDescent="0.2"/>
  <cols>
    <col min="1" max="1" width="3.42578125" customWidth="1"/>
    <col min="4" max="5" width="13" customWidth="1"/>
    <col min="6" max="6" width="41.85546875" customWidth="1"/>
    <col min="7" max="7" width="16.42578125" style="117" customWidth="1"/>
    <col min="8" max="8" width="14.5703125" style="117" customWidth="1"/>
    <col min="9" max="9" width="6.42578125" customWidth="1"/>
    <col min="10" max="10" width="14" customWidth="1"/>
    <col min="11" max="11" width="19.28515625" customWidth="1"/>
    <col min="12" max="12" width="14.42578125" bestFit="1" customWidth="1"/>
    <col min="13" max="13" width="14.140625" customWidth="1"/>
    <col min="14" max="16" width="14.42578125" bestFit="1" customWidth="1"/>
    <col min="17" max="17" width="11.5703125" bestFit="1" customWidth="1"/>
  </cols>
  <sheetData>
    <row r="1" spans="1:16" ht="18" x14ac:dyDescent="0.25">
      <c r="A1" s="303" t="s">
        <v>280</v>
      </c>
      <c r="B1" s="303"/>
      <c r="C1" s="303"/>
      <c r="D1" s="303"/>
      <c r="E1" s="303"/>
      <c r="F1" s="303"/>
      <c r="G1" s="195" t="s">
        <v>249</v>
      </c>
      <c r="H1" s="157">
        <v>46143</v>
      </c>
      <c r="I1" s="1"/>
    </row>
    <row r="2" spans="1:16" s="150" customFormat="1" ht="15" customHeight="1" x14ac:dyDescent="0.25">
      <c r="A2" s="151" t="s">
        <v>250</v>
      </c>
      <c r="G2" s="151" t="s">
        <v>288</v>
      </c>
      <c r="H2" s="152"/>
    </row>
    <row r="3" spans="1:16" s="150" customFormat="1" ht="15" customHeight="1" x14ac:dyDescent="0.2">
      <c r="A3" s="150" t="s">
        <v>251</v>
      </c>
      <c r="G3" s="150" t="s">
        <v>224</v>
      </c>
      <c r="H3" s="152"/>
    </row>
    <row r="4" spans="1:16" s="150" customFormat="1" ht="15" customHeight="1" x14ac:dyDescent="0.2">
      <c r="A4" s="150" t="s">
        <v>252</v>
      </c>
      <c r="G4" s="150" t="s">
        <v>204</v>
      </c>
      <c r="H4" s="152"/>
    </row>
    <row r="5" spans="1:16" s="150" customFormat="1" ht="15" customHeight="1" x14ac:dyDescent="0.2">
      <c r="A5" s="196" t="s">
        <v>254</v>
      </c>
      <c r="F5" s="175" t="s">
        <v>253</v>
      </c>
      <c r="G5" s="150" t="s">
        <v>228</v>
      </c>
      <c r="H5" s="152"/>
    </row>
    <row r="6" spans="1:16" s="150" customFormat="1" ht="15" customHeight="1" x14ac:dyDescent="0.2">
      <c r="A6" s="150" t="s">
        <v>230</v>
      </c>
      <c r="F6" s="150" t="s">
        <v>255</v>
      </c>
      <c r="G6" s="152"/>
      <c r="H6" s="152"/>
    </row>
    <row r="7" spans="1:16" ht="15" customHeight="1" x14ac:dyDescent="0.2">
      <c r="A7" s="197" t="s">
        <v>256</v>
      </c>
      <c r="B7" s="197"/>
      <c r="C7" s="1"/>
      <c r="D7" s="1"/>
      <c r="E7" s="1"/>
      <c r="F7" s="1" t="s">
        <v>270</v>
      </c>
      <c r="G7" s="118"/>
      <c r="H7" s="118"/>
      <c r="I7" s="1"/>
    </row>
    <row r="8" spans="1:16" ht="11.25" customHeight="1" x14ac:dyDescent="0.2">
      <c r="G8" s="114"/>
      <c r="H8" s="114"/>
    </row>
    <row r="9" spans="1:16" s="279" customFormat="1" ht="16.5" customHeight="1" x14ac:dyDescent="0.2">
      <c r="B9" s="281" t="s">
        <v>242</v>
      </c>
      <c r="C9" s="282"/>
      <c r="D9" s="282"/>
      <c r="E9" s="282"/>
      <c r="F9" s="282"/>
      <c r="G9" s="283" t="s">
        <v>203</v>
      </c>
      <c r="H9" s="284" t="s">
        <v>0</v>
      </c>
      <c r="I9" s="280" t="s">
        <v>14</v>
      </c>
    </row>
    <row r="10" spans="1:16" ht="14.1" customHeight="1" x14ac:dyDescent="0.2">
      <c r="B10" s="146" t="s">
        <v>273</v>
      </c>
      <c r="G10" s="114"/>
      <c r="H10" s="5"/>
      <c r="I10" s="189"/>
      <c r="K10" t="s">
        <v>271</v>
      </c>
      <c r="L10" t="s">
        <v>236</v>
      </c>
      <c r="M10" t="s">
        <v>272</v>
      </c>
      <c r="N10" t="s">
        <v>0</v>
      </c>
    </row>
    <row r="11" spans="1:16" ht="14.1" customHeight="1" x14ac:dyDescent="0.2">
      <c r="B11" s="167" t="s">
        <v>281</v>
      </c>
      <c r="G11" s="114"/>
      <c r="H11" s="5"/>
      <c r="I11" s="189"/>
    </row>
    <row r="12" spans="1:16" ht="14.1" customHeight="1" x14ac:dyDescent="0.2">
      <c r="A12">
        <v>1</v>
      </c>
      <c r="B12" s="146" t="s">
        <v>274</v>
      </c>
      <c r="G12" s="114"/>
      <c r="H12" s="110">
        <f>SUM(G13:G29)</f>
        <v>1444814.6900000002</v>
      </c>
      <c r="I12" s="179">
        <f>+H12/H72</f>
        <v>0.46836554382928669</v>
      </c>
      <c r="K12" s="111">
        <v>0</v>
      </c>
      <c r="L12" s="212">
        <f>+G24+G25+G26+G27+G28+G29</f>
        <v>656057.69000000006</v>
      </c>
      <c r="M12" s="111">
        <f>+G14</f>
        <v>788757</v>
      </c>
      <c r="N12" s="111">
        <f>SUM(K12:M12)</f>
        <v>1444814.69</v>
      </c>
      <c r="O12" s="111"/>
    </row>
    <row r="13" spans="1:16" s="116" customFormat="1" ht="14.1" customHeight="1" x14ac:dyDescent="0.2">
      <c r="B13" s="276" t="s">
        <v>248</v>
      </c>
      <c r="G13" s="176"/>
      <c r="H13" s="277"/>
      <c r="I13" s="278"/>
      <c r="L13" s="128"/>
    </row>
    <row r="14" spans="1:16" ht="14.1" customHeight="1" x14ac:dyDescent="0.2">
      <c r="B14" s="207" t="s">
        <v>388</v>
      </c>
      <c r="G14" s="114">
        <v>788757</v>
      </c>
      <c r="H14" s="110"/>
      <c r="I14" s="25"/>
      <c r="J14" s="194"/>
    </row>
    <row r="15" spans="1:16" s="217" customFormat="1" ht="12" customHeight="1" x14ac:dyDescent="0.2">
      <c r="B15" s="216" t="s">
        <v>286</v>
      </c>
      <c r="E15" s="218">
        <v>598586</v>
      </c>
      <c r="F15" s="297"/>
      <c r="G15" s="218"/>
      <c r="H15" s="219"/>
      <c r="I15" s="220"/>
      <c r="J15" s="251"/>
      <c r="K15" s="251"/>
      <c r="O15" s="258"/>
      <c r="P15" s="258"/>
    </row>
    <row r="16" spans="1:16" s="217" customFormat="1" ht="12" customHeight="1" x14ac:dyDescent="0.2">
      <c r="B16" s="216" t="s">
        <v>383</v>
      </c>
      <c r="E16" s="218">
        <v>252139.19999999998</v>
      </c>
      <c r="F16" s="297"/>
      <c r="G16" s="218"/>
      <c r="H16" s="219"/>
      <c r="I16" s="220"/>
      <c r="K16" s="258"/>
    </row>
    <row r="17" spans="2:9" s="217" customFormat="1" ht="12" customHeight="1" x14ac:dyDescent="0.2">
      <c r="B17" s="216" t="s">
        <v>370</v>
      </c>
      <c r="E17" s="218">
        <v>15527.2</v>
      </c>
      <c r="F17" s="297"/>
      <c r="G17" s="218"/>
      <c r="H17" s="219"/>
      <c r="I17" s="220"/>
    </row>
    <row r="18" spans="2:9" s="217" customFormat="1" ht="12" customHeight="1" x14ac:dyDescent="0.2">
      <c r="B18" s="216" t="s">
        <v>371</v>
      </c>
      <c r="E18" s="218">
        <v>33429.699999999997</v>
      </c>
      <c r="F18" s="297"/>
      <c r="G18" s="218"/>
      <c r="H18" s="219"/>
      <c r="I18" s="220"/>
    </row>
    <row r="19" spans="2:9" s="217" customFormat="1" ht="12" customHeight="1" x14ac:dyDescent="0.2">
      <c r="B19" s="216" t="s">
        <v>381</v>
      </c>
      <c r="E19" s="218">
        <v>73765.100000000006</v>
      </c>
      <c r="F19" s="297"/>
      <c r="G19" s="218"/>
      <c r="H19" s="219"/>
      <c r="I19" s="220"/>
    </row>
    <row r="20" spans="2:9" s="217" customFormat="1" ht="12" customHeight="1" x14ac:dyDescent="0.2">
      <c r="B20" s="216" t="s">
        <v>382</v>
      </c>
      <c r="E20" s="221">
        <v>40000</v>
      </c>
      <c r="G20" s="218"/>
      <c r="H20" s="219"/>
      <c r="I20" s="220"/>
    </row>
    <row r="21" spans="2:9" s="217" customFormat="1" ht="12" customHeight="1" x14ac:dyDescent="0.2">
      <c r="B21" s="216" t="s">
        <v>279</v>
      </c>
      <c r="E21" s="218">
        <f>SUM(E15:E20)</f>
        <v>1013447.1999999998</v>
      </c>
      <c r="G21" s="218"/>
      <c r="H21" s="219"/>
      <c r="I21" s="220"/>
    </row>
    <row r="22" spans="2:9" s="217" customFormat="1" ht="12" customHeight="1" x14ac:dyDescent="0.2">
      <c r="B22" s="216" t="s">
        <v>297</v>
      </c>
      <c r="E22" s="221">
        <v>-224690.52</v>
      </c>
      <c r="G22" s="218"/>
      <c r="H22" s="219"/>
      <c r="I22" s="220"/>
    </row>
    <row r="23" spans="2:9" s="217" customFormat="1" ht="12" customHeight="1" x14ac:dyDescent="0.2">
      <c r="B23" s="216" t="s">
        <v>267</v>
      </c>
      <c r="E23" s="218">
        <f>SUM(E21:E22)</f>
        <v>788756.67999999982</v>
      </c>
      <c r="G23" s="218"/>
      <c r="H23" s="219"/>
      <c r="I23" s="220"/>
    </row>
    <row r="24" spans="2:9" ht="14.1" customHeight="1" x14ac:dyDescent="0.2">
      <c r="B24" s="4" t="s">
        <v>398</v>
      </c>
      <c r="F24" s="111"/>
      <c r="G24" s="114">
        <v>410153.66999999993</v>
      </c>
      <c r="H24" s="110"/>
      <c r="I24" s="25"/>
    </row>
    <row r="25" spans="2:9" ht="14.1" customHeight="1" x14ac:dyDescent="0.2">
      <c r="B25" s="4" t="s">
        <v>399</v>
      </c>
      <c r="F25" s="111"/>
      <c r="G25" s="114">
        <v>111523.28</v>
      </c>
      <c r="H25" s="110"/>
      <c r="I25" s="25"/>
    </row>
    <row r="26" spans="2:9" ht="14.1" customHeight="1" x14ac:dyDescent="0.2">
      <c r="B26" s="4" t="s">
        <v>400</v>
      </c>
      <c r="F26" s="111"/>
      <c r="G26" s="114">
        <v>424.62</v>
      </c>
      <c r="H26" s="110"/>
      <c r="I26" s="25"/>
    </row>
    <row r="27" spans="2:9" ht="14.1" customHeight="1" x14ac:dyDescent="0.2">
      <c r="B27" s="4" t="s">
        <v>385</v>
      </c>
      <c r="F27" s="111"/>
      <c r="G27" s="114">
        <v>43958.79</v>
      </c>
      <c r="H27" s="110"/>
      <c r="I27" s="25"/>
    </row>
    <row r="28" spans="2:9" ht="14.1" customHeight="1" x14ac:dyDescent="0.2">
      <c r="B28" s="4" t="s">
        <v>386</v>
      </c>
      <c r="F28" s="111"/>
      <c r="G28" s="114">
        <v>85113.02</v>
      </c>
      <c r="H28" s="110"/>
      <c r="I28" s="25"/>
    </row>
    <row r="29" spans="2:9" ht="14.1" customHeight="1" x14ac:dyDescent="0.2">
      <c r="B29" s="207" t="s">
        <v>401</v>
      </c>
      <c r="F29" s="111"/>
      <c r="G29" s="114">
        <v>4884.3100000000004</v>
      </c>
      <c r="H29" s="110"/>
      <c r="I29" s="25"/>
    </row>
    <row r="30" spans="2:9" ht="14.1" customHeight="1" x14ac:dyDescent="0.2">
      <c r="B30" s="4"/>
      <c r="F30" s="111"/>
      <c r="G30" s="114"/>
      <c r="H30" s="110"/>
      <c r="I30" s="25"/>
    </row>
    <row r="31" spans="2:9" ht="14.1" customHeight="1" x14ac:dyDescent="0.2">
      <c r="B31" s="180" t="s">
        <v>257</v>
      </c>
      <c r="F31" s="111"/>
      <c r="G31" s="114"/>
      <c r="H31" s="110"/>
      <c r="I31" s="25"/>
    </row>
    <row r="32" spans="2:9" ht="14.1" customHeight="1" x14ac:dyDescent="0.2">
      <c r="B32" s="167" t="s">
        <v>282</v>
      </c>
      <c r="F32" s="111"/>
      <c r="G32" s="114"/>
      <c r="H32" s="110"/>
      <c r="I32" s="25"/>
    </row>
    <row r="33" spans="1:14" ht="14.1" customHeight="1" x14ac:dyDescent="0.2">
      <c r="A33">
        <v>2</v>
      </c>
      <c r="B33" s="146" t="s">
        <v>258</v>
      </c>
      <c r="G33" s="114"/>
      <c r="H33" s="110">
        <f>SUM(G34:G36)</f>
        <v>103423.53</v>
      </c>
      <c r="I33" s="179">
        <f>+H33/H72</f>
        <v>3.3526803269971275E-2</v>
      </c>
      <c r="J33" s="111"/>
      <c r="K33" s="111">
        <v>0</v>
      </c>
      <c r="L33" s="111">
        <f>+G34+G36</f>
        <v>103423.53</v>
      </c>
      <c r="M33" s="111">
        <v>0</v>
      </c>
      <c r="N33" s="111">
        <f>SUM(K33:M33)</f>
        <v>103423.53</v>
      </c>
    </row>
    <row r="34" spans="1:14" ht="14.1" customHeight="1" x14ac:dyDescent="0.2">
      <c r="B34" s="207" t="s">
        <v>421</v>
      </c>
      <c r="G34" s="114">
        <v>98497.83</v>
      </c>
      <c r="H34" s="110"/>
      <c r="I34" s="25"/>
    </row>
    <row r="35" spans="1:14" ht="14.1" customHeight="1" x14ac:dyDescent="0.2">
      <c r="B35" s="207" t="s">
        <v>403</v>
      </c>
      <c r="G35" s="114">
        <v>0</v>
      </c>
      <c r="H35" s="110"/>
      <c r="I35" s="25"/>
    </row>
    <row r="36" spans="1:14" ht="14.1" customHeight="1" x14ac:dyDescent="0.2">
      <c r="B36" s="207" t="s">
        <v>416</v>
      </c>
      <c r="G36" s="214">
        <v>4925.7</v>
      </c>
      <c r="H36" s="110"/>
      <c r="I36" s="25"/>
    </row>
    <row r="37" spans="1:14" ht="14.1" customHeight="1" x14ac:dyDescent="0.2">
      <c r="B37" s="4"/>
      <c r="G37" s="114"/>
      <c r="H37" s="110"/>
      <c r="I37" s="25"/>
      <c r="J37" s="111"/>
    </row>
    <row r="38" spans="1:14" ht="14.1" customHeight="1" x14ac:dyDescent="0.2">
      <c r="A38">
        <v>3</v>
      </c>
      <c r="B38" s="146" t="s">
        <v>259</v>
      </c>
      <c r="G38" s="114"/>
      <c r="H38" s="110">
        <f>SUM(G39:G44)</f>
        <v>446280</v>
      </c>
      <c r="I38" s="179">
        <f>+H38/H72</f>
        <v>0.14467057702751765</v>
      </c>
      <c r="K38" s="111">
        <v>0</v>
      </c>
      <c r="L38" s="111">
        <f>+G39+G40+G43+G44</f>
        <v>366280</v>
      </c>
      <c r="M38" s="111">
        <v>0</v>
      </c>
      <c r="N38" s="111">
        <f>SUM(K38:M38)</f>
        <v>366280</v>
      </c>
    </row>
    <row r="39" spans="1:14" ht="14.1" customHeight="1" x14ac:dyDescent="0.2">
      <c r="B39" s="207" t="s">
        <v>411</v>
      </c>
      <c r="G39" s="114">
        <v>125000</v>
      </c>
      <c r="H39" s="110"/>
      <c r="I39" s="25"/>
      <c r="L39" s="111"/>
      <c r="M39" t="s">
        <v>289</v>
      </c>
    </row>
    <row r="40" spans="1:14" ht="14.1" customHeight="1" x14ac:dyDescent="0.2">
      <c r="B40" s="207" t="s">
        <v>413</v>
      </c>
      <c r="G40" s="114">
        <v>81490</v>
      </c>
      <c r="H40" s="110"/>
      <c r="I40" s="25"/>
    </row>
    <row r="41" spans="1:14" ht="14.1" customHeight="1" x14ac:dyDescent="0.2">
      <c r="B41" s="207" t="s">
        <v>414</v>
      </c>
      <c r="H41" s="110"/>
      <c r="I41" s="25"/>
    </row>
    <row r="42" spans="1:14" ht="14.1" customHeight="1" x14ac:dyDescent="0.2">
      <c r="B42" s="207" t="s">
        <v>415</v>
      </c>
      <c r="G42" s="114">
        <v>80000</v>
      </c>
      <c r="H42" s="110"/>
      <c r="I42" s="25"/>
    </row>
    <row r="43" spans="1:14" ht="14.1" customHeight="1" x14ac:dyDescent="0.2">
      <c r="B43" s="207" t="s">
        <v>412</v>
      </c>
      <c r="G43" s="114">
        <v>70000</v>
      </c>
      <c r="H43" s="110"/>
      <c r="I43" s="25"/>
    </row>
    <row r="44" spans="1:14" ht="14.1" customHeight="1" x14ac:dyDescent="0.2">
      <c r="B44" s="207" t="s">
        <v>410</v>
      </c>
      <c r="G44" s="114">
        <v>89790</v>
      </c>
      <c r="H44" s="110"/>
      <c r="I44" s="25"/>
      <c r="J44" s="111"/>
    </row>
    <row r="45" spans="1:14" ht="14.1" customHeight="1" x14ac:dyDescent="0.2">
      <c r="B45" s="4"/>
      <c r="G45" s="114"/>
      <c r="H45" s="110"/>
      <c r="I45" s="25"/>
      <c r="J45" s="111"/>
    </row>
    <row r="46" spans="1:14" ht="14.1" customHeight="1" x14ac:dyDescent="0.2">
      <c r="A46">
        <v>4</v>
      </c>
      <c r="B46" s="146" t="s">
        <v>260</v>
      </c>
      <c r="G46" s="114"/>
      <c r="H46" s="110">
        <f>SUM(G47:G50)</f>
        <v>256967.09</v>
      </c>
      <c r="I46" s="179">
        <f>+H46/H72</f>
        <v>8.3301015477686785E-2</v>
      </c>
      <c r="K46" s="111">
        <v>0</v>
      </c>
      <c r="L46" s="111">
        <f>+G49+G50</f>
        <v>256967.09</v>
      </c>
      <c r="M46" s="111">
        <v>0</v>
      </c>
      <c r="N46" s="111">
        <f>SUM(K46:M46)</f>
        <v>256967.09</v>
      </c>
    </row>
    <row r="47" spans="1:14" ht="14.1" customHeight="1" x14ac:dyDescent="0.2">
      <c r="B47" s="207" t="s">
        <v>417</v>
      </c>
      <c r="F47" s="111"/>
      <c r="G47" s="214"/>
      <c r="H47" s="114"/>
      <c r="I47" s="25"/>
    </row>
    <row r="48" spans="1:14" ht="14.1" customHeight="1" x14ac:dyDescent="0.2">
      <c r="B48" s="207" t="s">
        <v>418</v>
      </c>
      <c r="F48" s="111"/>
      <c r="G48" s="214"/>
      <c r="H48" s="114"/>
      <c r="I48" s="25"/>
    </row>
    <row r="49" spans="1:17" ht="14.1" customHeight="1" x14ac:dyDescent="0.2">
      <c r="B49" s="207" t="s">
        <v>419</v>
      </c>
      <c r="G49" s="114">
        <v>150000</v>
      </c>
      <c r="H49" s="111"/>
      <c r="I49" s="179"/>
      <c r="K49" s="111"/>
      <c r="L49" s="111"/>
      <c r="M49" s="111"/>
      <c r="N49" s="111"/>
    </row>
    <row r="50" spans="1:17" ht="14.1" customHeight="1" x14ac:dyDescent="0.2">
      <c r="B50" s="207" t="s">
        <v>420</v>
      </c>
      <c r="G50" s="114">
        <v>106967.09</v>
      </c>
      <c r="H50" s="111"/>
      <c r="I50" s="179"/>
      <c r="K50" s="111"/>
      <c r="L50" s="111"/>
      <c r="M50" s="111"/>
      <c r="N50" s="111"/>
    </row>
    <row r="51" spans="1:17" ht="14.1" customHeight="1" x14ac:dyDescent="0.2">
      <c r="B51" s="146"/>
      <c r="G51" s="114"/>
      <c r="H51" s="110"/>
      <c r="I51" s="179"/>
      <c r="J51" s="111"/>
    </row>
    <row r="52" spans="1:17" ht="14.1" customHeight="1" x14ac:dyDescent="0.2">
      <c r="A52">
        <v>5</v>
      </c>
      <c r="B52" s="146" t="s">
        <v>261</v>
      </c>
      <c r="G52" s="114"/>
      <c r="H52" s="110">
        <v>0</v>
      </c>
      <c r="I52" s="179">
        <f>+H52/H72</f>
        <v>0</v>
      </c>
      <c r="K52" s="111">
        <v>0</v>
      </c>
      <c r="L52" s="111">
        <v>0</v>
      </c>
      <c r="M52" s="111">
        <v>0</v>
      </c>
      <c r="N52" s="111">
        <f>SUM(K52:M52)</f>
        <v>0</v>
      </c>
    </row>
    <row r="53" spans="1:17" ht="14.1" customHeight="1" x14ac:dyDescent="0.2">
      <c r="B53" s="180"/>
      <c r="G53" s="114"/>
      <c r="H53" s="110"/>
      <c r="I53" s="179"/>
      <c r="J53" s="111"/>
    </row>
    <row r="54" spans="1:17" ht="14.1" customHeight="1" x14ac:dyDescent="0.2">
      <c r="A54">
        <v>6</v>
      </c>
      <c r="B54" s="146" t="s">
        <v>262</v>
      </c>
      <c r="G54" s="114"/>
      <c r="H54" s="110">
        <f>SUM(G55:G55)</f>
        <v>112844.53</v>
      </c>
      <c r="I54" s="179">
        <f>+H54/H72</f>
        <v>3.6580808616785483E-2</v>
      </c>
      <c r="J54" s="111"/>
      <c r="K54" s="111">
        <v>0</v>
      </c>
      <c r="L54" s="111">
        <f>+H54</f>
        <v>112844.53</v>
      </c>
      <c r="M54" s="111">
        <v>0</v>
      </c>
      <c r="N54" s="111">
        <f>SUM(K54:M54)</f>
        <v>112844.53</v>
      </c>
    </row>
    <row r="55" spans="1:17" ht="14.1" customHeight="1" x14ac:dyDescent="0.2">
      <c r="B55" s="207" t="s">
        <v>389</v>
      </c>
      <c r="F55" s="111"/>
      <c r="G55" s="214">
        <v>112844.53</v>
      </c>
      <c r="H55" s="114"/>
      <c r="I55" s="25"/>
    </row>
    <row r="56" spans="1:17" ht="14.1" customHeight="1" x14ac:dyDescent="0.2">
      <c r="B56" s="4"/>
      <c r="F56" s="111"/>
      <c r="G56" s="114"/>
      <c r="H56" s="114"/>
      <c r="I56" s="25"/>
    </row>
    <row r="57" spans="1:17" ht="14.1" customHeight="1" x14ac:dyDescent="0.2">
      <c r="A57">
        <v>7</v>
      </c>
      <c r="B57" s="146" t="s">
        <v>263</v>
      </c>
      <c r="F57" s="111"/>
      <c r="G57" s="114"/>
      <c r="H57" s="114">
        <f>+G58</f>
        <v>42860</v>
      </c>
      <c r="I57" s="179">
        <f>+H57/H72</f>
        <v>1.3893925184636117E-2</v>
      </c>
      <c r="K57" s="111">
        <f>+H57</f>
        <v>42860</v>
      </c>
      <c r="L57" s="111">
        <v>0</v>
      </c>
      <c r="M57" s="111">
        <v>0</v>
      </c>
      <c r="N57" s="111">
        <f>SUM(K57:M57)</f>
        <v>42860</v>
      </c>
    </row>
    <row r="58" spans="1:17" ht="14.1" customHeight="1" x14ac:dyDescent="0.2">
      <c r="B58" s="207" t="s">
        <v>422</v>
      </c>
      <c r="F58" s="111"/>
      <c r="G58" s="214">
        <v>42860</v>
      </c>
      <c r="H58" s="114"/>
      <c r="I58" s="25"/>
    </row>
    <row r="59" spans="1:17" ht="14.1" customHeight="1" x14ac:dyDescent="0.2">
      <c r="B59" s="4"/>
      <c r="C59" s="111"/>
      <c r="F59" s="111"/>
      <c r="G59" s="114"/>
      <c r="H59" s="114"/>
      <c r="I59" s="25"/>
    </row>
    <row r="60" spans="1:17" ht="14.1" customHeight="1" x14ac:dyDescent="0.2">
      <c r="A60">
        <v>8</v>
      </c>
      <c r="B60" s="146" t="s">
        <v>264</v>
      </c>
      <c r="G60" s="114"/>
      <c r="H60" s="110">
        <f>SUM(G61:G61)</f>
        <v>500000</v>
      </c>
      <c r="I60" s="179">
        <f>+H60/H72</f>
        <v>0.16208498815487771</v>
      </c>
      <c r="J60" s="213" t="s">
        <v>387</v>
      </c>
      <c r="K60" s="111">
        <v>0</v>
      </c>
      <c r="L60" s="111">
        <v>0</v>
      </c>
      <c r="M60" s="111">
        <f>+G61</f>
        <v>500000</v>
      </c>
      <c r="N60" s="111">
        <f>SUM(K60:M60)</f>
        <v>500000</v>
      </c>
      <c r="Q60" t="s">
        <v>330</v>
      </c>
    </row>
    <row r="61" spans="1:17" ht="14.1" customHeight="1" x14ac:dyDescent="0.2">
      <c r="B61" s="4" t="s">
        <v>390</v>
      </c>
      <c r="G61" s="114">
        <v>500000</v>
      </c>
      <c r="H61" s="114"/>
      <c r="I61" s="25"/>
      <c r="Q61" t="s">
        <v>331</v>
      </c>
    </row>
    <row r="62" spans="1:17" ht="14.1" customHeight="1" x14ac:dyDescent="0.2">
      <c r="B62" s="4"/>
      <c r="G62" s="114"/>
      <c r="H62" s="110"/>
      <c r="I62" s="158"/>
      <c r="J62" s="111"/>
    </row>
    <row r="63" spans="1:17" ht="14.1" customHeight="1" x14ac:dyDescent="0.2">
      <c r="A63">
        <v>9</v>
      </c>
      <c r="B63" s="146" t="s">
        <v>247</v>
      </c>
      <c r="G63" s="114"/>
      <c r="H63" s="110">
        <f>SUM(G65:G69)</f>
        <v>177611.57</v>
      </c>
      <c r="I63" s="179">
        <f>+H63/H72</f>
        <v>5.757633843923847E-2</v>
      </c>
      <c r="K63" s="111"/>
      <c r="L63" s="111">
        <f>+H63</f>
        <v>177611.57</v>
      </c>
      <c r="M63" s="111">
        <v>0</v>
      </c>
      <c r="N63" s="111">
        <f>SUM(K63:M63)</f>
        <v>177611.57</v>
      </c>
    </row>
    <row r="64" spans="1:17" ht="14.1" customHeight="1" x14ac:dyDescent="0.2">
      <c r="B64" s="4" t="s">
        <v>373</v>
      </c>
      <c r="G64" s="114"/>
      <c r="H64" s="114"/>
      <c r="I64" s="25"/>
    </row>
    <row r="65" spans="1:16" ht="14.1" customHeight="1" x14ac:dyDescent="0.2">
      <c r="B65" s="207" t="s">
        <v>404</v>
      </c>
      <c r="G65" s="114">
        <v>166096.67000000001</v>
      </c>
      <c r="H65" s="114"/>
      <c r="I65" s="25"/>
    </row>
    <row r="66" spans="1:16" ht="14.1" customHeight="1" x14ac:dyDescent="0.2">
      <c r="B66" s="4" t="s">
        <v>373</v>
      </c>
      <c r="G66" s="114"/>
      <c r="H66" s="114"/>
      <c r="I66" s="25"/>
    </row>
    <row r="67" spans="1:16" ht="14.1" customHeight="1" x14ac:dyDescent="0.2">
      <c r="B67" s="207" t="s">
        <v>405</v>
      </c>
      <c r="G67" s="114">
        <v>8299</v>
      </c>
      <c r="H67" s="114"/>
      <c r="I67" s="25"/>
    </row>
    <row r="68" spans="1:16" ht="14.1" customHeight="1" x14ac:dyDescent="0.2">
      <c r="B68" s="207" t="s">
        <v>384</v>
      </c>
      <c r="G68" s="114"/>
      <c r="H68" s="114"/>
      <c r="I68" s="25"/>
    </row>
    <row r="69" spans="1:16" ht="14.1" customHeight="1" x14ac:dyDescent="0.2">
      <c r="B69" s="207" t="s">
        <v>406</v>
      </c>
      <c r="G69" s="114">
        <v>3215.9</v>
      </c>
      <c r="H69" s="114"/>
      <c r="I69" s="25"/>
    </row>
    <row r="70" spans="1:16" ht="14.1" customHeight="1" x14ac:dyDescent="0.2">
      <c r="B70" s="167"/>
      <c r="G70" s="114"/>
      <c r="H70" s="110"/>
      <c r="I70" s="25"/>
    </row>
    <row r="71" spans="1:16" ht="14.1" customHeight="1" x14ac:dyDescent="0.2">
      <c r="A71">
        <v>10</v>
      </c>
      <c r="B71" s="146" t="s">
        <v>188</v>
      </c>
      <c r="G71" s="114"/>
      <c r="H71" s="110">
        <v>0</v>
      </c>
      <c r="I71" s="179">
        <f>+H71/H72</f>
        <v>0</v>
      </c>
      <c r="K71" s="111">
        <v>0</v>
      </c>
      <c r="L71" s="111">
        <v>0</v>
      </c>
      <c r="M71" s="111">
        <v>0</v>
      </c>
      <c r="N71" s="111">
        <f>SUM(K71:M71)</f>
        <v>0</v>
      </c>
    </row>
    <row r="72" spans="1:16" ht="14.1" customHeight="1" x14ac:dyDescent="0.2">
      <c r="B72" s="190" t="s">
        <v>243</v>
      </c>
      <c r="C72" s="33"/>
      <c r="D72" s="33"/>
      <c r="E72" s="33"/>
      <c r="F72" s="33"/>
      <c r="G72" s="191">
        <f>SUM(G12:G71)</f>
        <v>3084801.4099999997</v>
      </c>
      <c r="H72" s="205">
        <f>SUM(H12:H71)</f>
        <v>3084801.4099999997</v>
      </c>
      <c r="I72" s="206">
        <f>+H72/H72</f>
        <v>1</v>
      </c>
      <c r="K72" s="145">
        <f>SUM(K12:K71)</f>
        <v>42860</v>
      </c>
      <c r="L72" s="145">
        <f>SUM(L12:L71)</f>
        <v>1673184.4100000004</v>
      </c>
      <c r="M72" s="145">
        <f>SUM(M12:M71)</f>
        <v>1288757</v>
      </c>
      <c r="N72" s="145">
        <f>SUM(N12:N71)</f>
        <v>3004801.4099999997</v>
      </c>
      <c r="O72" s="111">
        <f>+H72</f>
        <v>3084801.4099999997</v>
      </c>
      <c r="P72" s="111">
        <f>+N72-O72</f>
        <v>-80000</v>
      </c>
    </row>
    <row r="73" spans="1:16" ht="14.1" customHeight="1" x14ac:dyDescent="0.2">
      <c r="B73" s="146" t="s">
        <v>360</v>
      </c>
      <c r="G73" s="114"/>
      <c r="H73" s="110">
        <f>SUM(G74:G76)</f>
        <v>7900000</v>
      </c>
      <c r="I73" s="179"/>
      <c r="J73" s="111"/>
      <c r="L73" s="111"/>
      <c r="M73" s="111"/>
    </row>
    <row r="74" spans="1:16" ht="14.1" customHeight="1" x14ac:dyDescent="0.2">
      <c r="B74" s="207" t="s">
        <v>402</v>
      </c>
      <c r="G74" s="114">
        <v>-800000</v>
      </c>
      <c r="H74" s="111"/>
      <c r="I74" s="179"/>
      <c r="J74" s="111"/>
      <c r="L74" s="111"/>
      <c r="M74" s="111"/>
    </row>
    <row r="75" spans="1:16" ht="14.1" customHeight="1" x14ac:dyDescent="0.2">
      <c r="B75" s="207" t="s">
        <v>391</v>
      </c>
      <c r="G75" s="114">
        <v>800000</v>
      </c>
      <c r="H75" s="111"/>
      <c r="I75" s="179"/>
      <c r="J75" s="111"/>
      <c r="L75" s="111"/>
      <c r="M75" s="111"/>
    </row>
    <row r="76" spans="1:16" s="194" customFormat="1" ht="14.1" customHeight="1" x14ac:dyDescent="0.2">
      <c r="B76" s="207" t="s">
        <v>423</v>
      </c>
      <c r="D76" s="1"/>
      <c r="E76" s="1"/>
      <c r="G76" s="214">
        <f>15800000/2</f>
        <v>7900000</v>
      </c>
      <c r="H76" s="214"/>
      <c r="I76" s="25"/>
      <c r="J76" s="214"/>
      <c r="K76" s="298" t="s">
        <v>424</v>
      </c>
      <c r="L76" s="299"/>
      <c r="M76" s="299"/>
    </row>
    <row r="77" spans="1:16" ht="14.1" customHeight="1" x14ac:dyDescent="0.2">
      <c r="B77" s="190" t="s">
        <v>244</v>
      </c>
      <c r="C77" s="33"/>
      <c r="D77" s="1"/>
      <c r="E77" s="1"/>
      <c r="F77" s="33"/>
      <c r="G77" s="191">
        <f>SUM(G74:G76)</f>
        <v>7900000</v>
      </c>
      <c r="H77" s="192">
        <f>SUM(H73:H73)</f>
        <v>7900000</v>
      </c>
      <c r="I77" s="193"/>
      <c r="J77" s="111"/>
      <c r="L77" s="111"/>
      <c r="M77" s="111"/>
      <c r="N77" s="111"/>
    </row>
    <row r="78" spans="1:16" ht="14.1" customHeight="1" x14ac:dyDescent="0.2">
      <c r="B78" s="227" t="s">
        <v>342</v>
      </c>
      <c r="C78" s="1"/>
      <c r="D78" s="33"/>
      <c r="E78" s="1"/>
      <c r="F78" s="1"/>
      <c r="G78" s="118">
        <f>+G72+G77</f>
        <v>10984801.41</v>
      </c>
      <c r="H78" s="118">
        <f>+H72+H77</f>
        <v>10984801.41</v>
      </c>
      <c r="I78" s="193"/>
      <c r="J78" s="111"/>
      <c r="M78" s="194"/>
      <c r="N78" s="111"/>
    </row>
    <row r="79" spans="1:16" ht="7.5" customHeight="1" x14ac:dyDescent="0.2">
      <c r="G79" s="114"/>
      <c r="H79" s="111"/>
      <c r="J79" s="111"/>
      <c r="M79" s="111"/>
      <c r="P79" s="111"/>
    </row>
    <row r="80" spans="1:16" s="194" customFormat="1" ht="16.5" customHeight="1" x14ac:dyDescent="0.2">
      <c r="B80" s="209" t="s">
        <v>275</v>
      </c>
      <c r="C80" s="210"/>
      <c r="D80" s="210"/>
      <c r="E80" s="210"/>
      <c r="F80" s="210"/>
      <c r="G80" s="211" t="s">
        <v>197</v>
      </c>
      <c r="H80" s="222"/>
      <c r="L80" s="194" t="s">
        <v>236</v>
      </c>
      <c r="N80" s="213"/>
    </row>
    <row r="81" spans="2:17" ht="14.1" customHeight="1" x14ac:dyDescent="0.2">
      <c r="B81" s="207" t="s">
        <v>283</v>
      </c>
      <c r="G81" s="208"/>
      <c r="H81" s="114"/>
      <c r="K81" s="111"/>
      <c r="N81" s="111"/>
    </row>
    <row r="82" spans="2:17" ht="14.1" customHeight="1" x14ac:dyDescent="0.2">
      <c r="B82" s="4" t="s">
        <v>268</v>
      </c>
      <c r="G82" s="158">
        <f>+[1]LIQ!$G$86</f>
        <v>7515886.0723940022</v>
      </c>
      <c r="H82" s="114"/>
      <c r="I82" s="9"/>
      <c r="K82" t="s">
        <v>229</v>
      </c>
      <c r="L82" s="82">
        <v>8694516.9000000004</v>
      </c>
      <c r="M82" s="117">
        <v>81900</v>
      </c>
      <c r="N82" s="117">
        <v>-1260371</v>
      </c>
      <c r="O82" s="117">
        <f t="shared" ref="O82:O89" si="0">SUM(L82:N82)</f>
        <v>7516045.9000000004</v>
      </c>
      <c r="P82" s="117">
        <f>+G82</f>
        <v>7515886.0723940022</v>
      </c>
      <c r="Q82" s="117">
        <f>+O82-P82</f>
        <v>159.82760599814355</v>
      </c>
    </row>
    <row r="83" spans="2:17" ht="14.1" customHeight="1" x14ac:dyDescent="0.2">
      <c r="B83" s="207" t="s">
        <v>308</v>
      </c>
      <c r="G83" s="158">
        <f>+'RES CUENTA'!Z25+'RES CUENTA'!AA25</f>
        <v>3355141</v>
      </c>
      <c r="H83" s="114"/>
      <c r="K83" t="s">
        <v>195</v>
      </c>
      <c r="L83" s="117">
        <f>+'RES CUENTA'!Z25</f>
        <v>3312281</v>
      </c>
      <c r="M83" s="117">
        <f>+'RES CUENTA'!AA25</f>
        <v>42860</v>
      </c>
      <c r="N83" s="117">
        <v>0</v>
      </c>
      <c r="O83" s="117">
        <f t="shared" si="0"/>
        <v>3355141</v>
      </c>
      <c r="P83" s="117">
        <f>+G83</f>
        <v>3355141</v>
      </c>
      <c r="Q83" s="117">
        <f>+O83-P83</f>
        <v>0</v>
      </c>
    </row>
    <row r="84" spans="2:17" ht="14.1" customHeight="1" x14ac:dyDescent="0.2">
      <c r="B84" s="4" t="s">
        <v>245</v>
      </c>
      <c r="G84" s="158">
        <f>+L84</f>
        <v>0</v>
      </c>
      <c r="K84" t="s">
        <v>238</v>
      </c>
      <c r="L84" s="117"/>
      <c r="M84" s="117">
        <v>0</v>
      </c>
      <c r="N84" s="117">
        <v>0</v>
      </c>
      <c r="O84" s="117">
        <f t="shared" si="0"/>
        <v>0</v>
      </c>
      <c r="P84" s="117">
        <f>+G84</f>
        <v>0</v>
      </c>
      <c r="Q84" s="117">
        <f t="shared" ref="Q84:Q91" si="1">+O84-P84</f>
        <v>0</v>
      </c>
    </row>
    <row r="85" spans="2:17" ht="14.1" customHeight="1" x14ac:dyDescent="0.2">
      <c r="B85" s="4" t="s">
        <v>343</v>
      </c>
      <c r="G85" s="158">
        <f>+L85</f>
        <v>0</v>
      </c>
      <c r="K85" t="s">
        <v>276</v>
      </c>
      <c r="L85" s="117">
        <f>+'RES CUENTA'!Z26</f>
        <v>0</v>
      </c>
      <c r="M85" s="117"/>
      <c r="N85" s="117"/>
      <c r="O85" s="117">
        <f t="shared" si="0"/>
        <v>0</v>
      </c>
      <c r="P85" s="117">
        <f>+G85</f>
        <v>0</v>
      </c>
      <c r="Q85" s="117">
        <f t="shared" si="1"/>
        <v>0</v>
      </c>
    </row>
    <row r="86" spans="2:17" ht="14.1" customHeight="1" x14ac:dyDescent="0.2">
      <c r="B86" s="4" t="s">
        <v>266</v>
      </c>
      <c r="G86" s="158">
        <f>-G72</f>
        <v>-3084801.4099999997</v>
      </c>
      <c r="K86" t="s">
        <v>285</v>
      </c>
      <c r="L86" s="117">
        <f>-G55-G24-G25-G26-G27-G28-G29-G67-G36-G44-G39-G40-G42-G43-G65-G69-G34</f>
        <v>-1496217.3199999998</v>
      </c>
      <c r="M86" s="117">
        <f>-K72</f>
        <v>-42860</v>
      </c>
      <c r="N86" s="117">
        <f>-M72</f>
        <v>-1288757</v>
      </c>
      <c r="O86" s="117">
        <f t="shared" si="0"/>
        <v>-2827834.32</v>
      </c>
      <c r="P86" s="117">
        <f>+G86</f>
        <v>-3084801.4099999997</v>
      </c>
      <c r="Q86" s="117">
        <f>+O86-P86</f>
        <v>256967.08999999985</v>
      </c>
    </row>
    <row r="87" spans="2:17" ht="14.1" customHeight="1" x14ac:dyDescent="0.2">
      <c r="B87" s="6" t="s">
        <v>15</v>
      </c>
      <c r="C87" s="1"/>
      <c r="D87" s="1"/>
      <c r="E87" s="1"/>
      <c r="F87" s="1"/>
      <c r="G87" s="204">
        <f>SUM(G82:G86)</f>
        <v>7786225.6623940021</v>
      </c>
      <c r="H87" s="159"/>
      <c r="K87" s="194" t="s">
        <v>363</v>
      </c>
      <c r="L87" s="117">
        <f>-500000-760371</f>
        <v>-1260371</v>
      </c>
      <c r="M87" s="117">
        <v>0</v>
      </c>
      <c r="N87" s="117">
        <f>-L87-M87</f>
        <v>1260371</v>
      </c>
      <c r="O87" s="117">
        <f t="shared" si="0"/>
        <v>0</v>
      </c>
      <c r="P87" s="117">
        <v>0</v>
      </c>
      <c r="Q87" s="117">
        <f t="shared" si="1"/>
        <v>0</v>
      </c>
    </row>
    <row r="88" spans="2:17" x14ac:dyDescent="0.2">
      <c r="G88"/>
      <c r="H88"/>
      <c r="I88" s="111"/>
      <c r="K88" s="252" t="s">
        <v>298</v>
      </c>
      <c r="L88" s="253">
        <f>-106967.09-150000</f>
        <v>-256967.09</v>
      </c>
      <c r="M88" s="117">
        <f>-N88</f>
        <v>0</v>
      </c>
      <c r="N88" s="117">
        <v>0</v>
      </c>
      <c r="O88" s="117">
        <f t="shared" si="0"/>
        <v>-256967.09</v>
      </c>
      <c r="P88" s="117">
        <v>0</v>
      </c>
      <c r="Q88" s="117">
        <f t="shared" si="1"/>
        <v>-256967.09</v>
      </c>
    </row>
    <row r="89" spans="2:17" x14ac:dyDescent="0.2">
      <c r="H89"/>
      <c r="K89" t="s">
        <v>239</v>
      </c>
      <c r="L89" s="82">
        <f>SUM(L82:L88)</f>
        <v>8993242.4900000002</v>
      </c>
      <c r="M89" s="117">
        <f>SUM(M82:M88)</f>
        <v>81900</v>
      </c>
      <c r="N89" s="117">
        <f>SUM(N82:N88)</f>
        <v>-1288757</v>
      </c>
      <c r="O89" s="117">
        <f t="shared" si="0"/>
        <v>7786385.4900000002</v>
      </c>
      <c r="P89" s="117">
        <f>SUM(P82:P88)</f>
        <v>7786225.6623940021</v>
      </c>
      <c r="Q89" s="117">
        <f t="shared" si="1"/>
        <v>159.82760599814355</v>
      </c>
    </row>
    <row r="90" spans="2:17" x14ac:dyDescent="0.2">
      <c r="G90"/>
      <c r="H90"/>
      <c r="K90" t="s">
        <v>240</v>
      </c>
      <c r="L90" s="82">
        <v>8993242.4900000002</v>
      </c>
      <c r="M90" s="117">
        <f>+L95+L98+L99</f>
        <v>81900</v>
      </c>
      <c r="N90" s="117">
        <f>+L92</f>
        <v>-1288757</v>
      </c>
      <c r="O90" s="117"/>
      <c r="P90" s="117"/>
      <c r="Q90" s="117">
        <f t="shared" si="1"/>
        <v>0</v>
      </c>
    </row>
    <row r="91" spans="2:17" x14ac:dyDescent="0.2">
      <c r="G91"/>
      <c r="H91"/>
      <c r="J91" s="164">
        <f>+L92-L87-M87</f>
        <v>-28386</v>
      </c>
      <c r="L91" s="117">
        <f>+L89-L90</f>
        <v>0</v>
      </c>
      <c r="M91" s="117">
        <f>+M89-M90</f>
        <v>0</v>
      </c>
      <c r="N91" s="117">
        <f>+N89-N90</f>
        <v>0</v>
      </c>
      <c r="O91" s="117"/>
      <c r="P91" s="117"/>
      <c r="Q91" s="117">
        <f t="shared" si="1"/>
        <v>0</v>
      </c>
    </row>
    <row r="92" spans="2:17" x14ac:dyDescent="0.2">
      <c r="B92" s="207" t="s">
        <v>334</v>
      </c>
      <c r="G92"/>
      <c r="H92" s="111"/>
      <c r="J92" s="117">
        <v>0</v>
      </c>
      <c r="K92" s="111" t="s">
        <v>241</v>
      </c>
      <c r="L92" s="117">
        <f>-500000-788757</f>
        <v>-1288757</v>
      </c>
      <c r="M92" s="292" t="s">
        <v>380</v>
      </c>
      <c r="N92" s="117"/>
      <c r="O92" s="117"/>
      <c r="P92" s="117"/>
      <c r="Q92" s="117"/>
    </row>
    <row r="93" spans="2:17" x14ac:dyDescent="0.2">
      <c r="B93" s="207" t="s">
        <v>319</v>
      </c>
      <c r="D93" s="233">
        <f>22909+22909</f>
        <v>45818</v>
      </c>
      <c r="E93" s="233"/>
      <c r="F93" s="233">
        <v>0</v>
      </c>
      <c r="G93"/>
      <c r="H93" s="111"/>
      <c r="J93" s="117"/>
      <c r="K93" s="111"/>
      <c r="L93" s="256" t="s">
        <v>341</v>
      </c>
      <c r="M93" s="117"/>
      <c r="N93" s="117"/>
      <c r="O93" s="117"/>
      <c r="P93" s="117"/>
      <c r="Q93" s="117"/>
    </row>
    <row r="94" spans="2:17" x14ac:dyDescent="0.2">
      <c r="B94" s="207" t="s">
        <v>312</v>
      </c>
      <c r="D94" s="233">
        <f>10985*2</f>
        <v>21970</v>
      </c>
      <c r="E94" s="233"/>
      <c r="G94"/>
      <c r="H94"/>
      <c r="J94" s="164">
        <f>+J91-J92</f>
        <v>-28386</v>
      </c>
      <c r="K94" s="111" t="s">
        <v>299</v>
      </c>
      <c r="L94" s="117">
        <f>+L90+L92</f>
        <v>7704485.4900000002</v>
      </c>
      <c r="M94" s="117"/>
      <c r="N94" s="117"/>
      <c r="O94" s="117"/>
      <c r="P94" s="117"/>
      <c r="Q94" s="117"/>
    </row>
    <row r="95" spans="2:17" x14ac:dyDescent="0.2">
      <c r="B95" s="207" t="s">
        <v>313</v>
      </c>
      <c r="D95" s="233">
        <f>10985*2</f>
        <v>21970</v>
      </c>
      <c r="E95" s="233"/>
      <c r="G95" s="302"/>
      <c r="H95" s="302"/>
      <c r="I95" s="302"/>
      <c r="J95" s="111">
        <f>10937.96+31549.62</f>
        <v>42487.58</v>
      </c>
      <c r="K95" t="s">
        <v>271</v>
      </c>
      <c r="L95" s="117">
        <v>81900</v>
      </c>
      <c r="M95" s="117"/>
      <c r="N95" s="117"/>
      <c r="O95" s="117"/>
      <c r="P95" s="117"/>
      <c r="Q95" s="117"/>
    </row>
    <row r="96" spans="2:17" x14ac:dyDescent="0.2">
      <c r="B96" s="207" t="s">
        <v>314</v>
      </c>
      <c r="D96" s="233">
        <f>11092+1092</f>
        <v>12184</v>
      </c>
      <c r="E96" s="233"/>
      <c r="F96" s="233">
        <v>10000</v>
      </c>
      <c r="G96" s="301"/>
      <c r="H96" s="301"/>
      <c r="I96" s="301"/>
      <c r="J96" s="111"/>
      <c r="K96" s="111" t="s">
        <v>309</v>
      </c>
      <c r="L96" s="111">
        <v>0</v>
      </c>
    </row>
    <row r="97" spans="2:17" x14ac:dyDescent="0.2">
      <c r="B97" s="207" t="s">
        <v>315</v>
      </c>
      <c r="D97" s="233">
        <f>11092*2</f>
        <v>22184</v>
      </c>
      <c r="E97" s="233"/>
      <c r="F97" s="164"/>
      <c r="G97" s="114"/>
      <c r="H97" s="114"/>
      <c r="K97" s="111" t="s">
        <v>310</v>
      </c>
      <c r="L97" s="111">
        <v>0</v>
      </c>
    </row>
    <row r="98" spans="2:17" x14ac:dyDescent="0.2">
      <c r="B98" s="207" t="s">
        <v>311</v>
      </c>
      <c r="D98" s="233">
        <f>11200+11200</f>
        <v>22400</v>
      </c>
      <c r="E98" s="233"/>
      <c r="G98"/>
      <c r="H98" s="114"/>
      <c r="J98" s="111">
        <v>27406.11</v>
      </c>
      <c r="K98" s="213" t="s">
        <v>300</v>
      </c>
      <c r="L98" s="117">
        <v>0</v>
      </c>
      <c r="M98" s="117"/>
      <c r="N98" s="117"/>
      <c r="O98" s="117"/>
      <c r="P98" s="117"/>
      <c r="Q98" s="117"/>
    </row>
    <row r="99" spans="2:17" x14ac:dyDescent="0.2">
      <c r="B99" s="207" t="s">
        <v>316</v>
      </c>
      <c r="D99" s="233">
        <f>11200*2</f>
        <v>22400</v>
      </c>
      <c r="E99" s="233"/>
      <c r="F99" s="111"/>
      <c r="G99" s="114"/>
      <c r="H99" s="114"/>
      <c r="J99" s="111">
        <f>-1425.2-720-4300-4300</f>
        <v>-10745.2</v>
      </c>
      <c r="K99" s="194" t="s">
        <v>301</v>
      </c>
      <c r="L99" s="117">
        <v>0</v>
      </c>
      <c r="M99" s="117"/>
      <c r="N99" s="117"/>
      <c r="O99" s="117"/>
      <c r="P99" s="117"/>
      <c r="Q99" s="117"/>
    </row>
    <row r="100" spans="2:17" x14ac:dyDescent="0.2">
      <c r="B100" s="207" t="s">
        <v>317</v>
      </c>
      <c r="D100" s="233">
        <f>10878*2</f>
        <v>21756</v>
      </c>
      <c r="E100" s="233"/>
      <c r="F100" s="164"/>
      <c r="G100" s="114"/>
      <c r="H100" s="114"/>
      <c r="I100" s="111"/>
      <c r="J100" s="111">
        <f>+J98+J99</f>
        <v>16660.91</v>
      </c>
      <c r="K100" s="213" t="s">
        <v>302</v>
      </c>
      <c r="L100" s="117">
        <f>SUM(L94:L99)</f>
        <v>7786385.4900000002</v>
      </c>
      <c r="M100" s="117"/>
      <c r="N100" s="117"/>
      <c r="O100" s="117"/>
      <c r="P100" s="117"/>
      <c r="Q100" s="117"/>
    </row>
    <row r="101" spans="2:17" x14ac:dyDescent="0.2">
      <c r="B101" s="227" t="s">
        <v>318</v>
      </c>
      <c r="C101" s="1"/>
      <c r="D101" s="241">
        <f>10878*2</f>
        <v>21756</v>
      </c>
      <c r="E101" s="241"/>
      <c r="F101" s="242"/>
      <c r="G101" s="114"/>
      <c r="H101" s="114"/>
      <c r="I101" s="111"/>
      <c r="J101" s="111"/>
      <c r="K101" s="194" t="s">
        <v>303</v>
      </c>
      <c r="L101" s="117">
        <f>+G87</f>
        <v>7786225.6623940021</v>
      </c>
      <c r="M101" s="117"/>
      <c r="N101" s="117"/>
      <c r="O101" s="117"/>
      <c r="P101" s="117"/>
      <c r="Q101" s="117"/>
    </row>
    <row r="102" spans="2:17" x14ac:dyDescent="0.2">
      <c r="B102" s="207"/>
      <c r="D102" s="233">
        <f>SUM(D93:D101)</f>
        <v>212438</v>
      </c>
      <c r="E102" s="233"/>
      <c r="F102" s="233">
        <f>SUM(F93:F101)</f>
        <v>10000</v>
      </c>
      <c r="G102" s="233">
        <f>+F102+D102</f>
        <v>222438</v>
      </c>
      <c r="H102" s="110"/>
      <c r="I102" s="25"/>
      <c r="K102" s="213" t="s">
        <v>304</v>
      </c>
      <c r="L102" s="111">
        <f>+L100-L101</f>
        <v>159.82760599814355</v>
      </c>
      <c r="M102" t="s">
        <v>307</v>
      </c>
    </row>
    <row r="103" spans="2:17" x14ac:dyDescent="0.2">
      <c r="B103" s="207"/>
      <c r="D103" s="233"/>
      <c r="E103" s="233"/>
      <c r="F103" s="233"/>
      <c r="G103" s="223"/>
      <c r="H103" s="110"/>
      <c r="I103" s="25"/>
      <c r="K103" s="213"/>
      <c r="L103" s="111"/>
    </row>
    <row r="104" spans="2:17" x14ac:dyDescent="0.2">
      <c r="B104" s="4" t="s">
        <v>392</v>
      </c>
      <c r="F104" s="111"/>
      <c r="G104" s="214">
        <f>147082.99+190390.92+29468.79+58937.59</f>
        <v>425880.29000000004</v>
      </c>
      <c r="H104" s="110"/>
      <c r="I104" s="25"/>
      <c r="J104" s="257"/>
    </row>
    <row r="105" spans="2:17" x14ac:dyDescent="0.2">
      <c r="B105" s="4" t="s">
        <v>393</v>
      </c>
      <c r="F105" s="111"/>
      <c r="G105" s="214">
        <v>115676.47</v>
      </c>
      <c r="H105" s="110"/>
      <c r="I105" s="25"/>
      <c r="J105" s="257"/>
    </row>
    <row r="106" spans="2:17" x14ac:dyDescent="0.2">
      <c r="B106" s="4" t="s">
        <v>394</v>
      </c>
      <c r="F106" s="111"/>
      <c r="G106" s="114">
        <v>424.62</v>
      </c>
      <c r="H106" s="110"/>
      <c r="I106" s="25"/>
      <c r="J106" s="257"/>
    </row>
    <row r="107" spans="2:17" x14ac:dyDescent="0.2">
      <c r="B107" s="4" t="s">
        <v>395</v>
      </c>
      <c r="F107" s="111"/>
      <c r="G107" s="114">
        <f>+SUELDO!I61-0.01</f>
        <v>45605.123999999989</v>
      </c>
      <c r="H107" s="110"/>
      <c r="I107" s="25"/>
      <c r="J107" s="257"/>
    </row>
    <row r="108" spans="2:17" x14ac:dyDescent="0.2">
      <c r="B108" s="4" t="s">
        <v>396</v>
      </c>
      <c r="F108" s="111"/>
      <c r="G108" s="114">
        <f>+SUELDO!M61+44962/2-0.01</f>
        <v>88355.05799999999</v>
      </c>
      <c r="H108" s="110"/>
      <c r="I108" s="25"/>
      <c r="J108" s="257"/>
    </row>
    <row r="109" spans="2:17" x14ac:dyDescent="0.2">
      <c r="B109" s="4" t="s">
        <v>397</v>
      </c>
      <c r="F109" s="111"/>
      <c r="G109" s="114">
        <f>+SUELDO!O61</f>
        <v>5067.235999999999</v>
      </c>
      <c r="J109" s="257"/>
    </row>
    <row r="110" spans="2:17" x14ac:dyDescent="0.2">
      <c r="B110" s="207" t="s">
        <v>305</v>
      </c>
      <c r="F110" s="226"/>
    </row>
    <row r="111" spans="2:17" x14ac:dyDescent="0.2">
      <c r="B111" s="207" t="s">
        <v>329</v>
      </c>
      <c r="J111" s="2"/>
    </row>
    <row r="112" spans="2:17" x14ac:dyDescent="0.2">
      <c r="G112" s="117">
        <f>SUM(G104:G111)</f>
        <v>681008.79799999995</v>
      </c>
    </row>
    <row r="113" spans="6:8" x14ac:dyDescent="0.2">
      <c r="G113" s="117">
        <f>+G14*0.78</f>
        <v>615230.46000000008</v>
      </c>
    </row>
    <row r="114" spans="6:8" x14ac:dyDescent="0.2">
      <c r="G114" s="117">
        <f>+G112-G113</f>
        <v>65778.337999999872</v>
      </c>
    </row>
    <row r="115" spans="6:8" x14ac:dyDescent="0.2">
      <c r="H115" s="244"/>
    </row>
    <row r="117" spans="6:8" x14ac:dyDescent="0.2">
      <c r="F117" s="194" t="s">
        <v>345</v>
      </c>
      <c r="G117" s="117">
        <f>+G87</f>
        <v>7786225.6623940021</v>
      </c>
    </row>
    <row r="118" spans="6:8" x14ac:dyDescent="0.2">
      <c r="F118" s="194" t="s">
        <v>346</v>
      </c>
      <c r="G118" s="117">
        <f>-H72</f>
        <v>-3084801.4099999997</v>
      </c>
    </row>
    <row r="119" spans="6:8" x14ac:dyDescent="0.2">
      <c r="F119" s="194" t="s">
        <v>357</v>
      </c>
      <c r="G119" s="117">
        <f>+H12</f>
        <v>1444814.6900000002</v>
      </c>
    </row>
    <row r="120" spans="6:8" x14ac:dyDescent="0.2">
      <c r="F120" s="194" t="s">
        <v>347</v>
      </c>
      <c r="G120" s="117">
        <f>(-E15-E16-E17-E18)*0.78-G112</f>
        <v>-1382760.8359999999</v>
      </c>
    </row>
    <row r="121" spans="6:8" x14ac:dyDescent="0.2">
      <c r="F121" s="194" t="s">
        <v>356</v>
      </c>
      <c r="G121" s="117">
        <f>+'RES CUENTA'!S25-'RES CUENTA'!S15</f>
        <v>10198530.180074319</v>
      </c>
    </row>
    <row r="122" spans="6:8" x14ac:dyDescent="0.2">
      <c r="G122" s="117">
        <f>SUM(G117:G121)</f>
        <v>14962008.286468321</v>
      </c>
    </row>
    <row r="128" spans="6:8" x14ac:dyDescent="0.2">
      <c r="H128" s="244"/>
    </row>
  </sheetData>
  <mergeCells count="3">
    <mergeCell ref="G96:I96"/>
    <mergeCell ref="G95:I95"/>
    <mergeCell ref="A1:F1"/>
  </mergeCells>
  <phoneticPr fontId="0" type="noConversion"/>
  <hyperlinks>
    <hyperlink ref="A5" r:id="rId1" xr:uid="{00000000-0004-0000-0000-000000000000}"/>
  </hyperlinks>
  <pageMargins left="0.43307086614173229" right="0.23622047244094491" top="0.23622047244094491" bottom="0.23622047244094491" header="0.15748031496062992" footer="0.15748031496062992"/>
  <pageSetup paperSize="9" scale="6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10"/>
  <sheetViews>
    <sheetView topLeftCell="A25" zoomScaleNormal="100" workbookViewId="0">
      <selection activeCell="F74" sqref="F74"/>
    </sheetView>
  </sheetViews>
  <sheetFormatPr baseColWidth="10" defaultRowHeight="14.25" x14ac:dyDescent="0.2"/>
  <cols>
    <col min="1" max="1" width="5.5703125" style="134" customWidth="1"/>
    <col min="2" max="2" width="4" style="116" customWidth="1"/>
    <col min="3" max="3" width="7.5703125" style="116" hidden="1" customWidth="1"/>
    <col min="4" max="4" width="23" style="116" customWidth="1"/>
    <col min="5" max="5" width="12.140625" style="116" customWidth="1"/>
    <col min="6" max="6" width="11.85546875" style="116" customWidth="1"/>
    <col min="7" max="7" width="7.28515625" style="119" bestFit="1" customWidth="1"/>
    <col min="8" max="8" width="7.5703125" style="119" customWidth="1"/>
    <col min="9" max="10" width="7" style="119" hidden="1" customWidth="1"/>
    <col min="11" max="11" width="5.7109375" style="119" hidden="1" customWidth="1"/>
    <col min="12" max="12" width="11.28515625" style="120" customWidth="1"/>
    <col min="13" max="13" width="9.7109375" style="120" customWidth="1"/>
    <col min="14" max="14" width="0.7109375" style="120" hidden="1" customWidth="1"/>
    <col min="15" max="15" width="10" style="120" customWidth="1"/>
    <col min="16" max="16" width="11.85546875" style="120" customWidth="1"/>
    <col min="17" max="17" width="11.28515625" style="120" bestFit="1" customWidth="1"/>
    <col min="18" max="18" width="10" style="120" customWidth="1"/>
    <col min="19" max="19" width="11.5703125" style="120" customWidth="1"/>
    <col min="20" max="20" width="9.5703125" style="116" hidden="1" customWidth="1"/>
    <col min="21" max="21" width="0.140625" style="116" customWidth="1"/>
    <col min="22" max="22" width="19.28515625" style="116" customWidth="1"/>
    <col min="23" max="23" width="8" style="116" customWidth="1"/>
    <col min="24" max="24" width="11.85546875" style="116" customWidth="1"/>
    <col min="25" max="25" width="11.42578125" style="154"/>
    <col min="26" max="26" width="12.5703125" style="116" customWidth="1"/>
    <col min="27" max="31" width="11.42578125" style="119"/>
    <col min="32" max="38" width="11.42578125" style="116"/>
    <col min="39" max="39" width="41.140625" style="116" customWidth="1"/>
    <col min="40" max="40" width="31.85546875" style="116" customWidth="1"/>
    <col min="41" max="16384" width="11.42578125" style="116"/>
  </cols>
  <sheetData>
    <row r="1" spans="1:40" x14ac:dyDescent="0.2">
      <c r="A1" s="198"/>
      <c r="B1" s="199"/>
      <c r="C1" s="199"/>
      <c r="D1" s="199"/>
      <c r="E1" s="199"/>
      <c r="F1" s="199"/>
      <c r="G1" s="200"/>
      <c r="H1" s="200"/>
      <c r="I1" s="200"/>
      <c r="J1" s="200"/>
      <c r="K1" s="200"/>
      <c r="L1" s="201"/>
      <c r="M1" s="201"/>
      <c r="N1" s="201"/>
      <c r="O1" s="201"/>
      <c r="P1" s="201"/>
      <c r="Q1" s="201"/>
      <c r="R1" s="201"/>
      <c r="S1" s="202"/>
    </row>
    <row r="2" spans="1:40" x14ac:dyDescent="0.2">
      <c r="A2" s="135"/>
      <c r="B2" s="121"/>
      <c r="C2" s="121"/>
      <c r="D2" s="121"/>
      <c r="E2" s="121"/>
      <c r="F2" s="121"/>
      <c r="G2" s="122"/>
      <c r="H2" s="122"/>
      <c r="I2" s="122"/>
      <c r="J2" s="122"/>
      <c r="K2" s="122"/>
      <c r="L2" s="123"/>
      <c r="M2" s="123"/>
      <c r="N2" s="123"/>
      <c r="O2" s="123"/>
      <c r="P2" s="123"/>
      <c r="Q2" s="123"/>
      <c r="R2" s="123"/>
      <c r="S2" s="123"/>
    </row>
    <row r="3" spans="1:40" ht="15.75" x14ac:dyDescent="0.25">
      <c r="A3" s="115" t="str">
        <f>+LIQ!A2</f>
        <v>ADMINISTRACION:</v>
      </c>
      <c r="P3" s="151" t="str">
        <f>+LIQ!G2</f>
        <v>CONSORCIO DE PROPIETARIOS:</v>
      </c>
      <c r="X3" s="116" t="s">
        <v>337</v>
      </c>
    </row>
    <row r="4" spans="1:40" ht="15" x14ac:dyDescent="0.2">
      <c r="A4" s="116" t="str">
        <f>+LIQ!A3</f>
        <v>MARIANO CAUVIN</v>
      </c>
      <c r="L4" s="176"/>
      <c r="P4" s="175" t="str">
        <f>+LIQ!G3</f>
        <v>LIMA 461/67/73 C.A.B.A.</v>
      </c>
      <c r="X4" s="116" t="s">
        <v>338</v>
      </c>
    </row>
    <row r="5" spans="1:40" x14ac:dyDescent="0.2">
      <c r="A5" s="116" t="str">
        <f>+LIQ!A4</f>
        <v>AV.BELGRANO 1270 5°A C.A.B.A.</v>
      </c>
      <c r="G5" s="116"/>
      <c r="P5" s="170" t="str">
        <f>+LIQ!G4</f>
        <v>CUIT: 30-53267348-4</v>
      </c>
      <c r="V5" s="120"/>
    </row>
    <row r="6" spans="1:40" x14ac:dyDescent="0.2">
      <c r="A6" s="116" t="str">
        <f>+LIQ!A5</f>
        <v>masoca_administraciones@hotmail.com</v>
      </c>
      <c r="G6" s="119" t="str">
        <f>+LIQ!F5</f>
        <v>4381-0014</v>
      </c>
      <c r="P6" s="170" t="str">
        <f>+LIQ!G5</f>
        <v>CLAVE SUTERH: 5073</v>
      </c>
      <c r="Z6" s="128"/>
    </row>
    <row r="7" spans="1:40" x14ac:dyDescent="0.2">
      <c r="A7" s="116" t="str">
        <f>+LIQ!A6</f>
        <v>20-16975070-0</v>
      </c>
      <c r="G7" s="116" t="str">
        <f>+LIQ!F6</f>
        <v>Responsable Monotributo</v>
      </c>
      <c r="V7" s="120"/>
      <c r="Z7" s="245"/>
    </row>
    <row r="8" spans="1:40" x14ac:dyDescent="0.2">
      <c r="A8" s="121" t="str">
        <f>+LIQ!A7</f>
        <v>R.P.A. N° 470</v>
      </c>
      <c r="B8" s="121"/>
      <c r="C8" s="121"/>
      <c r="D8" s="121"/>
      <c r="E8" s="121"/>
      <c r="F8" s="121"/>
      <c r="G8" s="121" t="str">
        <f>+LIQ!F7</f>
        <v>URGENCIAS 155248-3729</v>
      </c>
      <c r="H8" s="122"/>
      <c r="I8" s="122"/>
      <c r="J8" s="122"/>
      <c r="K8" s="122"/>
      <c r="L8" s="123"/>
      <c r="M8" s="123"/>
      <c r="N8" s="123"/>
      <c r="O8" s="123"/>
      <c r="P8" s="123"/>
      <c r="Q8" s="123"/>
      <c r="R8" s="123"/>
      <c r="S8" s="123"/>
      <c r="Z8" s="128"/>
    </row>
    <row r="9" spans="1:40" ht="23.25" customHeight="1" x14ac:dyDescent="0.2">
      <c r="A9" s="170"/>
      <c r="V9" s="120"/>
      <c r="X9" s="120"/>
    </row>
    <row r="10" spans="1:40" customFormat="1" ht="16.5" customHeight="1" x14ac:dyDescent="0.25">
      <c r="A10" s="311" t="s">
        <v>407</v>
      </c>
      <c r="B10" s="312"/>
      <c r="C10" s="312"/>
      <c r="D10" s="312"/>
      <c r="E10" s="312"/>
      <c r="F10" s="312"/>
      <c r="G10" s="312"/>
      <c r="H10" s="312"/>
      <c r="I10" s="312"/>
      <c r="J10" s="312"/>
      <c r="K10" s="312"/>
      <c r="L10" s="312"/>
      <c r="M10" s="312"/>
      <c r="N10" s="312"/>
      <c r="O10" s="312"/>
      <c r="P10" s="312"/>
      <c r="Q10" s="312"/>
      <c r="R10" s="312"/>
      <c r="S10" s="313"/>
      <c r="T10" s="171"/>
      <c r="U10" s="9"/>
      <c r="W10" s="171"/>
      <c r="X10" s="9"/>
      <c r="Y10" s="10"/>
      <c r="Z10" s="224" t="s">
        <v>232</v>
      </c>
      <c r="AA10" s="10"/>
      <c r="AB10" s="10"/>
      <c r="AC10" s="10"/>
      <c r="AD10" s="10"/>
      <c r="AE10" s="10"/>
      <c r="AG10" s="10"/>
    </row>
    <row r="11" spans="1:40" customFormat="1" ht="16.5" customHeight="1" x14ac:dyDescent="0.25">
      <c r="A11" s="314" t="s">
        <v>408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6"/>
      <c r="T11" s="115"/>
      <c r="U11" s="115"/>
      <c r="V11" s="115"/>
      <c r="W11" s="172"/>
      <c r="X11" s="127"/>
    </row>
    <row r="12" spans="1:40" customFormat="1" ht="15.75" thickBot="1" x14ac:dyDescent="0.3">
      <c r="A12" s="136"/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15"/>
      <c r="U12" s="115"/>
      <c r="V12" s="115"/>
      <c r="W12" s="172"/>
      <c r="X12" s="115"/>
    </row>
    <row r="13" spans="1:40" ht="15.75" thickBot="1" x14ac:dyDescent="0.3">
      <c r="X13" s="306"/>
      <c r="Y13" s="307"/>
      <c r="Z13" s="304" t="s">
        <v>172</v>
      </c>
      <c r="AA13" s="305"/>
      <c r="AB13" s="304" t="s">
        <v>332</v>
      </c>
      <c r="AC13" s="305"/>
      <c r="AD13" s="304" t="s">
        <v>333</v>
      </c>
      <c r="AE13" s="305"/>
    </row>
    <row r="14" spans="1:40" s="115" customFormat="1" ht="30.75" thickBot="1" x14ac:dyDescent="0.3">
      <c r="A14" s="182" t="s">
        <v>2</v>
      </c>
      <c r="B14" s="138" t="s">
        <v>1</v>
      </c>
      <c r="C14" s="138" t="s">
        <v>2</v>
      </c>
      <c r="D14" s="138" t="s">
        <v>3</v>
      </c>
      <c r="E14" s="140" t="s">
        <v>339</v>
      </c>
      <c r="F14" s="140" t="s">
        <v>340</v>
      </c>
      <c r="G14" s="139" t="s">
        <v>192</v>
      </c>
      <c r="H14" s="140" t="s">
        <v>193</v>
      </c>
      <c r="I14" s="140"/>
      <c r="J14" s="140"/>
      <c r="K14" s="140"/>
      <c r="L14" s="140" t="s">
        <v>219</v>
      </c>
      <c r="M14" s="140" t="s">
        <v>220</v>
      </c>
      <c r="N14" s="185" t="s">
        <v>196</v>
      </c>
      <c r="O14" s="185" t="s">
        <v>188</v>
      </c>
      <c r="P14" s="140" t="s">
        <v>194</v>
      </c>
      <c r="Q14" s="140" t="s">
        <v>277</v>
      </c>
      <c r="R14" s="140" t="s">
        <v>278</v>
      </c>
      <c r="S14" s="174" t="s">
        <v>0</v>
      </c>
      <c r="T14" s="126" t="s">
        <v>69</v>
      </c>
      <c r="U14" s="124" t="s">
        <v>77</v>
      </c>
      <c r="V14" s="141" t="s">
        <v>77</v>
      </c>
      <c r="W14" s="126" t="s">
        <v>1</v>
      </c>
      <c r="X14" s="131" t="s">
        <v>174</v>
      </c>
      <c r="Y14" s="155" t="s">
        <v>173</v>
      </c>
      <c r="Z14" s="228" t="s">
        <v>236</v>
      </c>
      <c r="AA14" s="229" t="s">
        <v>237</v>
      </c>
      <c r="AB14" s="230" t="s">
        <v>236</v>
      </c>
      <c r="AC14" s="229" t="s">
        <v>237</v>
      </c>
      <c r="AD14" s="230" t="s">
        <v>236</v>
      </c>
      <c r="AE14" s="229" t="s">
        <v>237</v>
      </c>
    </row>
    <row r="15" spans="1:40" ht="15.95" customHeight="1" x14ac:dyDescent="0.2">
      <c r="A15" s="261" t="s">
        <v>183</v>
      </c>
      <c r="B15" s="262">
        <v>1</v>
      </c>
      <c r="C15" s="262" t="s">
        <v>4</v>
      </c>
      <c r="D15" s="262" t="s">
        <v>205</v>
      </c>
      <c r="E15" s="263">
        <f>+Y15</f>
        <v>25146047.0412363</v>
      </c>
      <c r="F15" s="264">
        <f>-Z15-AA15</f>
        <v>0</v>
      </c>
      <c r="G15" s="265">
        <v>17.079999999999998</v>
      </c>
      <c r="H15" s="265">
        <v>0</v>
      </c>
      <c r="I15" s="266">
        <f>+(G15+H15)/2</f>
        <v>8.5399999999999991</v>
      </c>
      <c r="J15" s="265">
        <f>+(0.0631221170186939)*100</f>
        <v>6.3122117018693897</v>
      </c>
      <c r="K15" s="265">
        <f>+I15-J15</f>
        <v>2.2277882981306094</v>
      </c>
      <c r="L15" s="263">
        <f>+$L$25*G15/100</f>
        <v>1854854.0808279996</v>
      </c>
      <c r="M15" s="263">
        <f>+$L$25*H15/100</f>
        <v>0</v>
      </c>
      <c r="N15" s="263">
        <v>0</v>
      </c>
      <c r="O15" s="263">
        <v>0</v>
      </c>
      <c r="P15" s="263">
        <f t="shared" ref="P15:P24" si="0">SUM(L15:N15)</f>
        <v>1854854.0808279996</v>
      </c>
      <c r="Q15" s="263">
        <f>+INTERESES!D9+INTERESES!E10+INTERESES!F11+INTERESES!G12+INTERESES!H13+INTERESES!I14+INTERESES!J15+INTERESES!K16+INTERESES!L17+INTERESES!M18+INTERESES!N19+INTERESES!O20+INTERESES!P21+INTERESES!Q22+INTERESES!R23+INTERESES!S24+INTERESES!T25+INTERESES!U26+INTERESES!V27+INTERESES!W28+INTERESES!X29+INTERESES!Y30+INTERESES!Z31+INTERESES!AA32+INTERESES!AB33+INTERESES!AC34+INTERESES!AD35+INTERESES!AE36+INTERESES!AF37+INTERESES!AG38+INTERESES!AH39+INTERESES!AI40+INTERESES!AJ41+INTERESES!AK42+INTERESES!AL43+INTERESES!AM44+INTERESES!AN45+INTERESES!AO46+INTERESES!AP47+INTERESES!AQ48+INTERESES!AR49+INTERESES!AS50+INTERESES!AT51+INTERESES!AU52+INTERESES!AV53+INTERESES!AW54+INTERESES!AX55+INTERESES!AY56+INTERESES!AZ57+INTERESES!BA58+INTERESES!BB59+INTERESES!BC60+INTERESES!BD61+INTERESES!BE62+INTERESES!BF63+INTERESES!BG64+INTERESES!BH65+INTERESES!BI66+INTERESES!BJ67+INTERESES!BK68+INTERESES!BL69+INTERESES!BM70+INTERESES!BN71+INTERESES!BO72+INTERESES!BP73+INTERESES!BQ74+INTERESES!BR75+INTERESES!BS76+INTERESES!BT77+INTERESES!BU78+INTERESES!BV79+INTERESES!BW80+INTERESES!BX81+INTERESES!BY82+INTERESES!BZ83+INTERESES!CA84+INTERESES!CB85+INTERESES!CC86+INTERESES!CD87+INTERESES!CE88+INTERESES!CF89+INTERESES!CG90+INTERESES!CH91+INTERESES!CI92+INTERESES!CJ93+INTERESES!CK94+INTERESES!CL95+INTERESES!CM96+INTERESES!CN97+INTERESES!CO98+INTERESES!CP99+INTERESES!CQ100+INTERESES!CR101+INTERESES!CS102+INTERESES!CT103+INTERESES!CU104+INTERESES!CV105+INTERESES!CW106+INTERESES!CX107+INTERESES!CY108</f>
        <v>16679327.107961515</v>
      </c>
      <c r="R15" s="263">
        <f>+INTERESES!DB109</f>
        <v>8967099.7465136293</v>
      </c>
      <c r="S15" s="263">
        <f>+P15+Q15+R15</f>
        <v>27501280.935303144</v>
      </c>
      <c r="T15" s="120">
        <v>0</v>
      </c>
      <c r="V15" s="154"/>
      <c r="W15" s="116">
        <v>1</v>
      </c>
      <c r="X15" s="248">
        <f t="shared" ref="X15" si="1">+Y15-Z15-AA15-AB15-AC15-AD15-AE15</f>
        <v>25146047.0412363</v>
      </c>
      <c r="Y15" s="120">
        <v>25146047.0412363</v>
      </c>
      <c r="Z15" s="234"/>
      <c r="AA15" s="235"/>
      <c r="AB15" s="234"/>
      <c r="AC15" s="235"/>
      <c r="AD15" s="234"/>
      <c r="AE15" s="235"/>
      <c r="AF15" s="120">
        <f>+R15</f>
        <v>8967099.7465136293</v>
      </c>
      <c r="AG15" s="116">
        <v>0</v>
      </c>
      <c r="AH15" s="120">
        <f>+AF15-AG15</f>
        <v>8967099.7465136293</v>
      </c>
      <c r="AJ15" s="120">
        <f t="shared" ref="AJ15:AJ21" si="2">+S15-Z15</f>
        <v>27501280.935303144</v>
      </c>
      <c r="AK15" s="186" t="e">
        <f>+AJ15/Z15</f>
        <v>#DIV/0!</v>
      </c>
    </row>
    <row r="16" spans="1:40" ht="15.95" customHeight="1" x14ac:dyDescent="0.2">
      <c r="A16" s="267" t="s">
        <v>183</v>
      </c>
      <c r="B16" s="268">
        <f>+B15+1</f>
        <v>2</v>
      </c>
      <c r="C16" s="268" t="s">
        <v>5</v>
      </c>
      <c r="D16" s="268" t="s">
        <v>206</v>
      </c>
      <c r="E16" s="269">
        <f t="shared" ref="E16:E24" si="3">+Y16</f>
        <v>736215.85884</v>
      </c>
      <c r="F16" s="269">
        <f t="shared" ref="F16:F24" si="4">-Z16-AA16</f>
        <v>-736216</v>
      </c>
      <c r="G16" s="250">
        <v>17.079999999999998</v>
      </c>
      <c r="H16" s="250">
        <v>0</v>
      </c>
      <c r="I16" s="270">
        <f>+(G16+H16)/2</f>
        <v>8.5399999999999991</v>
      </c>
      <c r="J16" s="250">
        <f>+(0.0407865986890022)*100</f>
        <v>4.0786598689002203</v>
      </c>
      <c r="K16" s="250">
        <f t="shared" ref="K16:K24" si="5">+I16-J16</f>
        <v>4.4613401310997789</v>
      </c>
      <c r="L16" s="269">
        <f t="shared" ref="L16:M24" si="6">+$L$25*G16/100</f>
        <v>1854854.0808279996</v>
      </c>
      <c r="M16" s="269">
        <f t="shared" si="6"/>
        <v>0</v>
      </c>
      <c r="N16" s="269">
        <v>0</v>
      </c>
      <c r="O16" s="269">
        <v>0</v>
      </c>
      <c r="P16" s="269">
        <f t="shared" si="0"/>
        <v>1854854.0808279996</v>
      </c>
      <c r="Q16" s="269">
        <v>0</v>
      </c>
      <c r="R16" s="269">
        <v>0</v>
      </c>
      <c r="S16" s="269">
        <f t="shared" ref="S16:S24" si="7">SUM(P16:R16)</f>
        <v>1854854.0808279996</v>
      </c>
      <c r="T16" s="120">
        <v>0</v>
      </c>
      <c r="V16" s="120"/>
      <c r="W16" s="116">
        <f>+W15+1</f>
        <v>2</v>
      </c>
      <c r="X16" s="225">
        <f>+Y16-Z16-AA16-AB16-AC16-AD16-AE16</f>
        <v>-0.14115999999921769</v>
      </c>
      <c r="Y16" s="120">
        <v>736215.85884</v>
      </c>
      <c r="Z16" s="243">
        <v>736216</v>
      </c>
      <c r="AA16" s="237"/>
      <c r="AB16" s="236"/>
      <c r="AC16" s="237"/>
      <c r="AD16" s="236"/>
      <c r="AE16" s="237"/>
      <c r="AF16" s="120">
        <f t="shared" ref="AF16:AF25" si="8">+R16</f>
        <v>0</v>
      </c>
      <c r="AG16" s="116">
        <v>0</v>
      </c>
      <c r="AH16" s="120">
        <f t="shared" ref="AH16:AH25" si="9">+AF16-AG16</f>
        <v>0</v>
      </c>
      <c r="AJ16" s="120">
        <f t="shared" si="2"/>
        <v>1118638.0808279996</v>
      </c>
      <c r="AK16" s="186">
        <f t="shared" ref="AK16:AK21" si="10">+AJ16/Z16</f>
        <v>1.5194427733545586</v>
      </c>
      <c r="AN16" s="116" t="s">
        <v>324</v>
      </c>
    </row>
    <row r="17" spans="1:41" ht="15.95" customHeight="1" x14ac:dyDescent="0.2">
      <c r="A17" s="271" t="s">
        <v>189</v>
      </c>
      <c r="B17" s="268">
        <f t="shared" ref="B17:B24" si="11">+B16+1</f>
        <v>3</v>
      </c>
      <c r="C17" s="268" t="s">
        <v>6</v>
      </c>
      <c r="D17" s="268" t="s">
        <v>207</v>
      </c>
      <c r="E17" s="269">
        <f t="shared" si="3"/>
        <v>367327.53887000005</v>
      </c>
      <c r="F17" s="269">
        <f t="shared" si="4"/>
        <v>-397028</v>
      </c>
      <c r="G17" s="250">
        <v>8.19</v>
      </c>
      <c r="H17" s="250">
        <v>12.44</v>
      </c>
      <c r="I17" s="270">
        <f t="shared" ref="I17:I24" si="12">+(G17+H17)/2</f>
        <v>10.315</v>
      </c>
      <c r="J17" s="250">
        <f>+(0.0485554746297645)*100</f>
        <v>4.8555474629764497</v>
      </c>
      <c r="K17" s="250">
        <f t="shared" si="5"/>
        <v>5.4594525370235498</v>
      </c>
      <c r="L17" s="269">
        <f t="shared" si="6"/>
        <v>889417.73547899991</v>
      </c>
      <c r="M17" s="269">
        <f>+$M$25*H17/100</f>
        <v>15550</v>
      </c>
      <c r="N17" s="269">
        <v>0</v>
      </c>
      <c r="O17" s="269">
        <v>0</v>
      </c>
      <c r="P17" s="269">
        <f t="shared" si="0"/>
        <v>904967.73547899991</v>
      </c>
      <c r="Q17" s="269">
        <v>-29700</v>
      </c>
      <c r="R17" s="269">
        <v>0</v>
      </c>
      <c r="S17" s="269">
        <f t="shared" si="7"/>
        <v>875267.73547899991</v>
      </c>
      <c r="T17" s="120">
        <v>0</v>
      </c>
      <c r="W17" s="116">
        <f t="shared" ref="W17:W24" si="13">+W16+1</f>
        <v>3</v>
      </c>
      <c r="X17" s="225">
        <f>+Y17-Z17-AA17-AB17-AC17-AD17-AE17</f>
        <v>-29700.461129999952</v>
      </c>
      <c r="Y17" s="120">
        <v>367327.53887000005</v>
      </c>
      <c r="Z17" s="246">
        <f>764356-367328</f>
        <v>397028</v>
      </c>
      <c r="AA17" s="237"/>
      <c r="AB17" s="236"/>
      <c r="AC17" s="237"/>
      <c r="AD17" s="236"/>
      <c r="AE17" s="237"/>
      <c r="AF17" s="120">
        <f t="shared" si="8"/>
        <v>0</v>
      </c>
      <c r="AG17" s="120">
        <v>0</v>
      </c>
      <c r="AH17" s="120">
        <f t="shared" si="9"/>
        <v>0</v>
      </c>
      <c r="AI17" s="120"/>
      <c r="AJ17" s="120">
        <f t="shared" si="2"/>
        <v>478239.73547899991</v>
      </c>
      <c r="AK17" s="186">
        <f t="shared" si="10"/>
        <v>1.2045491387987746</v>
      </c>
      <c r="AN17" s="116" t="s">
        <v>325</v>
      </c>
    </row>
    <row r="18" spans="1:41" ht="15.95" customHeight="1" x14ac:dyDescent="0.2">
      <c r="A18" s="267" t="s">
        <v>190</v>
      </c>
      <c r="B18" s="268">
        <f t="shared" si="11"/>
        <v>4</v>
      </c>
      <c r="C18" s="268" t="s">
        <v>7</v>
      </c>
      <c r="D18" s="268" t="s">
        <v>208</v>
      </c>
      <c r="E18" s="269">
        <f t="shared" si="3"/>
        <v>367327.53887000005</v>
      </c>
      <c r="F18" s="269">
        <f t="shared" si="4"/>
        <v>-367328</v>
      </c>
      <c r="G18" s="250">
        <v>8.19</v>
      </c>
      <c r="H18" s="250">
        <v>12.44</v>
      </c>
      <c r="I18" s="270">
        <f t="shared" si="12"/>
        <v>10.315</v>
      </c>
      <c r="J18" s="250">
        <f>+(0.0405438213158534)*100</f>
        <v>4.0543821315853403</v>
      </c>
      <c r="K18" s="250">
        <f t="shared" si="5"/>
        <v>6.2606178684146592</v>
      </c>
      <c r="L18" s="269">
        <f t="shared" si="6"/>
        <v>889417.73547899991</v>
      </c>
      <c r="M18" s="269">
        <f t="shared" ref="M18:M24" si="14">+$M$25*H18/100</f>
        <v>15550</v>
      </c>
      <c r="N18" s="269">
        <v>0</v>
      </c>
      <c r="O18" s="269">
        <v>0</v>
      </c>
      <c r="P18" s="269">
        <f t="shared" si="0"/>
        <v>904967.73547899991</v>
      </c>
      <c r="Q18" s="269">
        <v>0</v>
      </c>
      <c r="R18" s="269">
        <v>0</v>
      </c>
      <c r="S18" s="269">
        <f t="shared" si="7"/>
        <v>904967.73547899991</v>
      </c>
      <c r="T18" s="120">
        <v>0</v>
      </c>
      <c r="W18" s="116">
        <f t="shared" si="13"/>
        <v>4</v>
      </c>
      <c r="X18" s="225">
        <f t="shared" ref="X18:X24" si="15">+Y18-Z18-AA18-AB18-AC18-AD18-AE18</f>
        <v>-0.46112999995239079</v>
      </c>
      <c r="Y18" s="120">
        <v>367327.53887000005</v>
      </c>
      <c r="Z18" s="246">
        <v>367328</v>
      </c>
      <c r="AA18" s="237"/>
      <c r="AB18" s="236"/>
      <c r="AC18" s="237"/>
      <c r="AD18" s="236"/>
      <c r="AE18" s="237"/>
      <c r="AF18" s="120">
        <f t="shared" si="8"/>
        <v>0</v>
      </c>
      <c r="AG18" s="116">
        <v>0</v>
      </c>
      <c r="AH18" s="120">
        <f t="shared" si="9"/>
        <v>0</v>
      </c>
      <c r="AJ18" s="120">
        <f t="shared" si="2"/>
        <v>537639.73547899991</v>
      </c>
      <c r="AK18" s="186">
        <f t="shared" si="10"/>
        <v>1.463650294774697</v>
      </c>
      <c r="AN18" s="116" t="s">
        <v>325</v>
      </c>
    </row>
    <row r="19" spans="1:41" ht="15.95" customHeight="1" x14ac:dyDescent="0.2">
      <c r="A19" s="271" t="s">
        <v>209</v>
      </c>
      <c r="B19" s="268">
        <f t="shared" si="11"/>
        <v>5</v>
      </c>
      <c r="C19" s="268" t="s">
        <v>8</v>
      </c>
      <c r="D19" s="268" t="s">
        <v>359</v>
      </c>
      <c r="E19" s="269">
        <f t="shared" si="3"/>
        <v>370913.85671000002</v>
      </c>
      <c r="F19" s="269">
        <f t="shared" si="4"/>
        <v>-370914</v>
      </c>
      <c r="G19" s="250">
        <v>8.27</v>
      </c>
      <c r="H19" s="250">
        <v>12.56</v>
      </c>
      <c r="I19" s="270">
        <f t="shared" si="12"/>
        <v>10.414999999999999</v>
      </c>
      <c r="J19" s="250">
        <f>+(0.0490410293760622)*100</f>
        <v>4.9041029376062202</v>
      </c>
      <c r="K19" s="250">
        <f t="shared" si="5"/>
        <v>5.510897062393779</v>
      </c>
      <c r="L19" s="269">
        <f t="shared" si="6"/>
        <v>898105.57660699997</v>
      </c>
      <c r="M19" s="269">
        <f t="shared" si="14"/>
        <v>15700</v>
      </c>
      <c r="N19" s="269">
        <v>0</v>
      </c>
      <c r="O19" s="269">
        <v>0</v>
      </c>
      <c r="P19" s="269">
        <f>SUM(L19:N19)+O19</f>
        <v>913805.57660699997</v>
      </c>
      <c r="Q19" s="269">
        <v>0</v>
      </c>
      <c r="R19" s="269">
        <v>0</v>
      </c>
      <c r="S19" s="269">
        <f t="shared" si="7"/>
        <v>913805.57660699997</v>
      </c>
      <c r="T19" s="120">
        <v>0</v>
      </c>
      <c r="W19" s="116">
        <f t="shared" si="13"/>
        <v>5</v>
      </c>
      <c r="X19" s="225">
        <f t="shared" si="15"/>
        <v>-0.14328999997815117</v>
      </c>
      <c r="Y19" s="120">
        <v>370913.85671000002</v>
      </c>
      <c r="Z19" s="246">
        <v>370914</v>
      </c>
      <c r="AA19" s="237"/>
      <c r="AB19" s="236"/>
      <c r="AC19" s="237"/>
      <c r="AD19" s="236"/>
      <c r="AE19" s="237"/>
      <c r="AF19" s="120">
        <f t="shared" si="8"/>
        <v>0</v>
      </c>
      <c r="AG19" s="116">
        <v>0</v>
      </c>
      <c r="AH19" s="120">
        <f t="shared" si="9"/>
        <v>0</v>
      </c>
      <c r="AJ19" s="120">
        <f t="shared" si="2"/>
        <v>542891.57660699997</v>
      </c>
      <c r="AK19" s="186">
        <f t="shared" si="10"/>
        <v>1.4636588983079635</v>
      </c>
      <c r="AM19"/>
      <c r="AN19" s="116" t="s">
        <v>326</v>
      </c>
    </row>
    <row r="20" spans="1:41" ht="15.95" customHeight="1" x14ac:dyDescent="0.2">
      <c r="A20" s="267" t="s">
        <v>211</v>
      </c>
      <c r="B20" s="268">
        <f t="shared" si="11"/>
        <v>6</v>
      </c>
      <c r="C20" s="268" t="s">
        <v>9</v>
      </c>
      <c r="D20" s="268" t="s">
        <v>284</v>
      </c>
      <c r="E20" s="269">
        <f t="shared" si="3"/>
        <v>370913.85671000002</v>
      </c>
      <c r="F20" s="269">
        <f t="shared" si="4"/>
        <v>-370914</v>
      </c>
      <c r="G20" s="250">
        <v>8.27</v>
      </c>
      <c r="H20" s="250">
        <v>12.56</v>
      </c>
      <c r="I20" s="270">
        <f t="shared" si="12"/>
        <v>10.414999999999999</v>
      </c>
      <c r="J20" s="250">
        <f>+(0.0407865986890022)*100</f>
        <v>4.0786598689002203</v>
      </c>
      <c r="K20" s="250">
        <f t="shared" si="5"/>
        <v>6.3363401310997789</v>
      </c>
      <c r="L20" s="269">
        <f t="shared" si="6"/>
        <v>898105.57660699997</v>
      </c>
      <c r="M20" s="269">
        <f t="shared" si="14"/>
        <v>15700</v>
      </c>
      <c r="N20" s="269">
        <v>0</v>
      </c>
      <c r="O20" s="269">
        <v>0</v>
      </c>
      <c r="P20" s="269">
        <f t="shared" si="0"/>
        <v>913805.57660699997</v>
      </c>
      <c r="Q20" s="269">
        <v>0</v>
      </c>
      <c r="R20" s="269">
        <v>0</v>
      </c>
      <c r="S20" s="269">
        <f t="shared" si="7"/>
        <v>913805.57660699997</v>
      </c>
      <c r="T20" s="120">
        <v>0</v>
      </c>
      <c r="W20" s="116">
        <f t="shared" si="13"/>
        <v>6</v>
      </c>
      <c r="X20" s="225">
        <f t="shared" si="15"/>
        <v>-0.14328999997815117</v>
      </c>
      <c r="Y20" s="120">
        <v>370913.85671000002</v>
      </c>
      <c r="Z20" s="243">
        <v>370914</v>
      </c>
      <c r="AA20" s="237"/>
      <c r="AB20" s="236"/>
      <c r="AC20" s="237"/>
      <c r="AD20" s="236"/>
      <c r="AE20" s="237"/>
      <c r="AF20" s="120">
        <f t="shared" si="8"/>
        <v>0</v>
      </c>
      <c r="AG20" s="116">
        <v>0</v>
      </c>
      <c r="AH20" s="120">
        <f t="shared" si="9"/>
        <v>0</v>
      </c>
      <c r="AJ20" s="120">
        <f t="shared" si="2"/>
        <v>542891.57660699997</v>
      </c>
      <c r="AK20" s="186">
        <f t="shared" si="10"/>
        <v>1.4636588983079635</v>
      </c>
      <c r="AM20" t="s">
        <v>306</v>
      </c>
      <c r="AN20" s="116" t="s">
        <v>328</v>
      </c>
      <c r="AO20" t="s">
        <v>372</v>
      </c>
    </row>
    <row r="21" spans="1:41" ht="15.95" customHeight="1" x14ac:dyDescent="0.2">
      <c r="A21" s="271" t="s">
        <v>212</v>
      </c>
      <c r="B21" s="268">
        <f t="shared" si="11"/>
        <v>7</v>
      </c>
      <c r="C21" s="268" t="s">
        <v>10</v>
      </c>
      <c r="D21" s="268" t="s">
        <v>344</v>
      </c>
      <c r="E21" s="269">
        <f t="shared" si="3"/>
        <v>374500.17455000005</v>
      </c>
      <c r="F21" s="269">
        <f t="shared" si="4"/>
        <v>-374500</v>
      </c>
      <c r="G21" s="250">
        <v>8.35</v>
      </c>
      <c r="H21" s="250">
        <v>12.68</v>
      </c>
      <c r="I21" s="270">
        <f t="shared" si="12"/>
        <v>10.515000000000001</v>
      </c>
      <c r="J21" s="250">
        <f>+(0.0490410293760622)*100</f>
        <v>4.9041029376062202</v>
      </c>
      <c r="K21" s="250">
        <f t="shared" si="5"/>
        <v>5.6108970623937804</v>
      </c>
      <c r="L21" s="269">
        <f t="shared" si="6"/>
        <v>906793.41773499991</v>
      </c>
      <c r="M21" s="269">
        <f t="shared" si="14"/>
        <v>15850</v>
      </c>
      <c r="N21" s="269">
        <v>0</v>
      </c>
      <c r="O21" s="269">
        <v>0</v>
      </c>
      <c r="P21" s="269">
        <f t="shared" si="0"/>
        <v>922643.41773499991</v>
      </c>
      <c r="Q21" s="269">
        <v>0</v>
      </c>
      <c r="R21" s="269">
        <v>0</v>
      </c>
      <c r="S21" s="269">
        <f t="shared" si="7"/>
        <v>922643.41773499991</v>
      </c>
      <c r="T21" s="120">
        <v>0</v>
      </c>
      <c r="W21" s="116">
        <f t="shared" si="13"/>
        <v>7</v>
      </c>
      <c r="X21" s="225">
        <f>+Y21-Z21-AA21-AB21-AC21-AD21-AE21</f>
        <v>0.17455000005429611</v>
      </c>
      <c r="Y21" s="120">
        <v>374500.17455000005</v>
      </c>
      <c r="Z21" s="246">
        <v>374500</v>
      </c>
      <c r="AA21" s="237"/>
      <c r="AB21" s="236"/>
      <c r="AC21" s="237"/>
      <c r="AD21" s="236"/>
      <c r="AE21" s="237"/>
      <c r="AF21" s="120">
        <f t="shared" si="8"/>
        <v>0</v>
      </c>
      <c r="AG21" s="116">
        <v>0</v>
      </c>
      <c r="AH21" s="120">
        <f t="shared" si="9"/>
        <v>0</v>
      </c>
      <c r="AJ21" s="120">
        <f t="shared" si="2"/>
        <v>548143.41773499991</v>
      </c>
      <c r="AK21" s="186">
        <f t="shared" si="10"/>
        <v>1.4636673370761013</v>
      </c>
      <c r="AM21" s="116" t="s">
        <v>320</v>
      </c>
      <c r="AN21" s="247" t="s">
        <v>321</v>
      </c>
    </row>
    <row r="22" spans="1:41" ht="15.95" customHeight="1" x14ac:dyDescent="0.2">
      <c r="A22" s="267" t="s">
        <v>214</v>
      </c>
      <c r="B22" s="268">
        <f t="shared" si="11"/>
        <v>8</v>
      </c>
      <c r="C22" s="268" t="s">
        <v>11</v>
      </c>
      <c r="D22" s="268" t="s">
        <v>215</v>
      </c>
      <c r="E22" s="269">
        <f t="shared" si="3"/>
        <v>374500.17455000005</v>
      </c>
      <c r="F22" s="269">
        <f t="shared" si="4"/>
        <v>-374500</v>
      </c>
      <c r="G22" s="250">
        <v>8.35</v>
      </c>
      <c r="H22" s="250">
        <v>12.68</v>
      </c>
      <c r="I22" s="270">
        <f t="shared" si="12"/>
        <v>10.515000000000001</v>
      </c>
      <c r="J22" s="250">
        <f>+(0.041029376062151)*100</f>
        <v>4.1029376062151002</v>
      </c>
      <c r="K22" s="250">
        <f t="shared" si="5"/>
        <v>6.4120623937849004</v>
      </c>
      <c r="L22" s="269">
        <f t="shared" si="6"/>
        <v>906793.41773499991</v>
      </c>
      <c r="M22" s="269">
        <f t="shared" si="14"/>
        <v>15850</v>
      </c>
      <c r="N22" s="269">
        <v>0</v>
      </c>
      <c r="O22" s="269">
        <v>0</v>
      </c>
      <c r="P22" s="269">
        <f t="shared" si="0"/>
        <v>922643.41773499991</v>
      </c>
      <c r="Q22" s="269">
        <v>0</v>
      </c>
      <c r="R22" s="269">
        <v>0</v>
      </c>
      <c r="S22" s="269">
        <f t="shared" si="7"/>
        <v>922643.41773499991</v>
      </c>
      <c r="T22" s="120">
        <v>0</v>
      </c>
      <c r="V22" s="245"/>
      <c r="W22" s="116">
        <f t="shared" si="13"/>
        <v>8</v>
      </c>
      <c r="X22" s="225">
        <f t="shared" si="15"/>
        <v>0.17455000005429611</v>
      </c>
      <c r="Y22" s="275">
        <v>374500.17455000005</v>
      </c>
      <c r="Z22" s="296">
        <v>331640</v>
      </c>
      <c r="AA22" s="238">
        <f>+LIQ!G58</f>
        <v>42860</v>
      </c>
      <c r="AB22" s="236"/>
      <c r="AC22" s="237"/>
      <c r="AD22" s="236"/>
      <c r="AE22" s="237"/>
      <c r="AF22" s="120">
        <f t="shared" si="8"/>
        <v>0</v>
      </c>
      <c r="AG22" s="120">
        <v>0</v>
      </c>
      <c r="AH22" s="120">
        <f t="shared" si="9"/>
        <v>0</v>
      </c>
      <c r="AJ22" s="120">
        <f>+S22-738</f>
        <v>921905.41773499991</v>
      </c>
      <c r="AK22" s="186">
        <f>+AJ22/738</f>
        <v>1249.1943329742546</v>
      </c>
      <c r="AN22" s="116" t="s">
        <v>323</v>
      </c>
    </row>
    <row r="23" spans="1:41" ht="15.95" customHeight="1" x14ac:dyDescent="0.2">
      <c r="A23" s="271" t="s">
        <v>217</v>
      </c>
      <c r="B23" s="268">
        <f t="shared" si="11"/>
        <v>9</v>
      </c>
      <c r="C23" s="268" t="s">
        <v>12</v>
      </c>
      <c r="D23" s="268" t="s">
        <v>216</v>
      </c>
      <c r="E23" s="269">
        <f t="shared" si="3"/>
        <v>363741.22103000002</v>
      </c>
      <c r="F23" s="269">
        <f t="shared" si="4"/>
        <v>-363741</v>
      </c>
      <c r="G23" s="250">
        <v>8.11</v>
      </c>
      <c r="H23" s="250">
        <v>12.32</v>
      </c>
      <c r="I23" s="270">
        <f t="shared" si="12"/>
        <v>10.215</v>
      </c>
      <c r="J23" s="250">
        <f>+(205/4119)*100</f>
        <v>4.9769361495508617</v>
      </c>
      <c r="K23" s="250">
        <f t="shared" si="5"/>
        <v>5.2380638504491381</v>
      </c>
      <c r="L23" s="269">
        <f t="shared" si="6"/>
        <v>880729.89435099985</v>
      </c>
      <c r="M23" s="269">
        <f t="shared" si="14"/>
        <v>15400</v>
      </c>
      <c r="N23" s="269">
        <v>0</v>
      </c>
      <c r="O23" s="269">
        <v>0</v>
      </c>
      <c r="P23" s="269">
        <f t="shared" si="0"/>
        <v>896129.89435099985</v>
      </c>
      <c r="Q23" s="269">
        <v>0</v>
      </c>
      <c r="R23" s="269">
        <v>0</v>
      </c>
      <c r="S23" s="269">
        <f t="shared" si="7"/>
        <v>896129.89435099985</v>
      </c>
      <c r="T23" s="120">
        <v>0</v>
      </c>
      <c r="V23" s="120"/>
      <c r="W23" s="116">
        <f t="shared" si="13"/>
        <v>9</v>
      </c>
      <c r="X23" s="225">
        <f t="shared" si="15"/>
        <v>0.22103000001516193</v>
      </c>
      <c r="Y23" s="120">
        <v>363741.22103000002</v>
      </c>
      <c r="Z23" s="246">
        <v>363741</v>
      </c>
      <c r="AA23" s="237"/>
      <c r="AB23" s="236"/>
      <c r="AC23" s="237"/>
      <c r="AD23" s="236"/>
      <c r="AE23" s="237"/>
      <c r="AF23" s="120">
        <f t="shared" si="8"/>
        <v>0</v>
      </c>
      <c r="AG23" s="116">
        <v>0</v>
      </c>
      <c r="AH23" s="120">
        <f t="shared" si="9"/>
        <v>0</v>
      </c>
      <c r="AJ23" s="120">
        <f>+S23-717</f>
        <v>895412.89435099985</v>
      </c>
      <c r="AK23" s="181">
        <f>+AJ23/717</f>
        <v>1248.8324886345883</v>
      </c>
      <c r="AM23"/>
      <c r="AN23" s="116" t="s">
        <v>322</v>
      </c>
    </row>
    <row r="24" spans="1:41" ht="15.95" customHeight="1" x14ac:dyDescent="0.2">
      <c r="A24" s="267" t="s">
        <v>218</v>
      </c>
      <c r="B24" s="268">
        <f t="shared" si="11"/>
        <v>10</v>
      </c>
      <c r="C24" s="268" t="s">
        <v>13</v>
      </c>
      <c r="D24" s="268" t="s">
        <v>287</v>
      </c>
      <c r="E24" s="269">
        <f t="shared" si="3"/>
        <v>1066890.5371042097</v>
      </c>
      <c r="F24" s="269">
        <f t="shared" si="4"/>
        <v>0</v>
      </c>
      <c r="G24" s="250">
        <v>8.11</v>
      </c>
      <c r="H24" s="250">
        <v>12.32</v>
      </c>
      <c r="I24" s="270">
        <f t="shared" si="12"/>
        <v>10.215</v>
      </c>
      <c r="J24" s="250">
        <f>+(0.0422432629278951)*100</f>
        <v>4.2243262927895096</v>
      </c>
      <c r="K24" s="250">
        <f t="shared" si="5"/>
        <v>5.9906737072104903</v>
      </c>
      <c r="L24" s="269">
        <f t="shared" si="6"/>
        <v>880729.89435099985</v>
      </c>
      <c r="M24" s="269">
        <f t="shared" si="14"/>
        <v>15400</v>
      </c>
      <c r="N24" s="269">
        <v>0</v>
      </c>
      <c r="O24" s="269">
        <v>0</v>
      </c>
      <c r="P24" s="269">
        <f t="shared" si="0"/>
        <v>896129.89435099985</v>
      </c>
      <c r="Q24" s="269">
        <f>+INTERESES!CV141+INTERESES!CW142+INTERESES!CX143+INTERESES!CY144</f>
        <v>1046410.4599369997</v>
      </c>
      <c r="R24" s="269">
        <f>+INTERESES!DB145</f>
        <v>51872.390965319981</v>
      </c>
      <c r="S24" s="269">
        <f t="shared" si="7"/>
        <v>1994412.7452533196</v>
      </c>
      <c r="T24" s="120">
        <v>0</v>
      </c>
      <c r="V24" s="120"/>
      <c r="W24" s="116">
        <f t="shared" si="13"/>
        <v>10</v>
      </c>
      <c r="X24" s="293">
        <f t="shared" si="15"/>
        <v>1066890.5371042097</v>
      </c>
      <c r="Y24" s="123">
        <v>1066890.5371042097</v>
      </c>
      <c r="Z24" s="246"/>
      <c r="AA24" s="240"/>
      <c r="AB24" s="239"/>
      <c r="AC24" s="240"/>
      <c r="AD24" s="239"/>
      <c r="AE24" s="240"/>
      <c r="AF24" s="120">
        <f t="shared" si="8"/>
        <v>51872.390965319981</v>
      </c>
      <c r="AG24" s="116">
        <v>43.012634119907993</v>
      </c>
      <c r="AH24" s="120">
        <f t="shared" si="9"/>
        <v>51829.378331200074</v>
      </c>
      <c r="AI24" s="116" t="s">
        <v>231</v>
      </c>
      <c r="AJ24" s="120">
        <f>+S24-590</f>
        <v>1993822.7452533196</v>
      </c>
      <c r="AK24" s="181">
        <f>+AJ24/590</f>
        <v>3379.3605851751181</v>
      </c>
      <c r="AN24" s="116" t="s">
        <v>327</v>
      </c>
    </row>
    <row r="25" spans="1:41" s="115" customFormat="1" ht="15.95" customHeight="1" thickBot="1" x14ac:dyDescent="0.3">
      <c r="A25" s="142"/>
      <c r="B25" s="143"/>
      <c r="C25" s="143"/>
      <c r="D25" s="144" t="s">
        <v>191</v>
      </c>
      <c r="E25" s="144">
        <f>SUM(E15:E24)</f>
        <v>29538377.798470512</v>
      </c>
      <c r="F25" s="144">
        <f t="shared" ref="F25" si="16">SUM(F15:F24)</f>
        <v>-3355141</v>
      </c>
      <c r="G25" s="173">
        <f t="shared" ref="G25:K25" si="17">SUM(G15:G24)</f>
        <v>99.999999999999972</v>
      </c>
      <c r="H25" s="173">
        <f t="shared" si="17"/>
        <v>100</v>
      </c>
      <c r="I25" s="144">
        <f t="shared" si="17"/>
        <v>100</v>
      </c>
      <c r="J25" s="144">
        <f t="shared" si="17"/>
        <v>46.491866957999534</v>
      </c>
      <c r="K25" s="144">
        <f t="shared" si="17"/>
        <v>53.508133042000459</v>
      </c>
      <c r="L25" s="144">
        <f>+LIQ!G78-LIQ!G39</f>
        <v>10859801.41</v>
      </c>
      <c r="M25" s="144">
        <f>+LIQ!G39</f>
        <v>125000</v>
      </c>
      <c r="N25" s="144">
        <f t="shared" ref="N25:R25" si="18">SUM(N15:N24)</f>
        <v>0</v>
      </c>
      <c r="O25" s="144">
        <f t="shared" si="18"/>
        <v>0</v>
      </c>
      <c r="P25" s="144">
        <f t="shared" si="18"/>
        <v>10984801.409999998</v>
      </c>
      <c r="Q25" s="144">
        <f t="shared" si="18"/>
        <v>17696037.567898516</v>
      </c>
      <c r="R25" s="144">
        <f t="shared" si="18"/>
        <v>9018972.1374789495</v>
      </c>
      <c r="S25" s="144">
        <f>SUM(S15:S24)</f>
        <v>37699811.115377463</v>
      </c>
      <c r="T25" s="143"/>
      <c r="U25" s="143"/>
      <c r="V25" s="127"/>
      <c r="X25" s="168">
        <f t="shared" ref="X25" si="19">+Y25-Z25-AA25</f>
        <v>26183236.798470512</v>
      </c>
      <c r="Y25" s="144">
        <v>29538377.798470512</v>
      </c>
      <c r="Z25" s="231">
        <f>SUM(Z15:Z24)</f>
        <v>3312281</v>
      </c>
      <c r="AA25" s="231">
        <f t="shared" ref="AA25:AE25" si="20">SUM(AA15:AA24)</f>
        <v>42860</v>
      </c>
      <c r="AB25" s="231">
        <f t="shared" si="20"/>
        <v>0</v>
      </c>
      <c r="AC25" s="231">
        <f t="shared" si="20"/>
        <v>0</v>
      </c>
      <c r="AD25" s="231">
        <f t="shared" si="20"/>
        <v>0</v>
      </c>
      <c r="AE25" s="231">
        <f t="shared" si="20"/>
        <v>0</v>
      </c>
      <c r="AF25" s="120">
        <f t="shared" si="8"/>
        <v>9018972.1374789495</v>
      </c>
      <c r="AG25" s="156">
        <v>43.012634119907993</v>
      </c>
      <c r="AH25" s="120">
        <f t="shared" si="9"/>
        <v>9018929.1248448305</v>
      </c>
      <c r="AI25" s="156"/>
      <c r="AJ25" s="156"/>
    </row>
    <row r="26" spans="1:41" ht="15" thickTop="1" x14ac:dyDescent="0.2">
      <c r="A26" s="170"/>
      <c r="X26" s="132"/>
      <c r="Z26" s="203">
        <v>0</v>
      </c>
      <c r="AA26" s="154"/>
      <c r="AB26" s="154"/>
      <c r="AC26" s="154"/>
      <c r="AD26" s="154"/>
      <c r="AE26" s="154"/>
    </row>
    <row r="27" spans="1:41" x14ac:dyDescent="0.2">
      <c r="A27" s="170" t="s">
        <v>246</v>
      </c>
      <c r="G27" s="116"/>
      <c r="H27" s="116"/>
      <c r="I27" s="116"/>
      <c r="J27" s="116"/>
      <c r="K27" s="116"/>
      <c r="U27" s="116">
        <f>60393.6-50960.07-1482.12+84</f>
        <v>8035.4099999999989</v>
      </c>
      <c r="V27" s="120"/>
      <c r="X27" s="132"/>
      <c r="Z27" s="120">
        <f>+Z25+AA25</f>
        <v>3355141</v>
      </c>
      <c r="AF27" s="116">
        <v>7942</v>
      </c>
    </row>
    <row r="28" spans="1:41" x14ac:dyDescent="0.2">
      <c r="A28" s="170"/>
      <c r="G28" s="116"/>
      <c r="H28" s="116"/>
      <c r="I28" s="116"/>
      <c r="J28" s="116"/>
      <c r="K28" s="116"/>
      <c r="V28" s="120"/>
      <c r="X28" s="120"/>
      <c r="Z28" s="120"/>
    </row>
    <row r="29" spans="1:41" x14ac:dyDescent="0.2">
      <c r="A29" s="170"/>
      <c r="G29" s="116"/>
      <c r="H29" s="116"/>
      <c r="I29" s="116"/>
      <c r="J29" s="116"/>
      <c r="K29" s="116"/>
      <c r="V29" s="120"/>
      <c r="X29" s="120"/>
      <c r="Z29" s="120">
        <v>2116582</v>
      </c>
    </row>
    <row r="30" spans="1:41" ht="16.5" customHeight="1" x14ac:dyDescent="0.25">
      <c r="A30" s="317" t="s">
        <v>348</v>
      </c>
      <c r="B30" s="318"/>
      <c r="C30" s="318"/>
      <c r="D30" s="318"/>
      <c r="E30" s="318"/>
      <c r="F30" s="318"/>
      <c r="G30" s="318"/>
      <c r="H30" s="318"/>
      <c r="I30" s="318"/>
      <c r="J30" s="318"/>
      <c r="K30" s="318"/>
      <c r="L30" s="318"/>
      <c r="M30" s="318"/>
      <c r="N30" s="318"/>
      <c r="O30" s="318"/>
      <c r="P30" s="318"/>
      <c r="Q30" s="318"/>
      <c r="R30" s="318"/>
      <c r="S30" s="319"/>
      <c r="V30" s="120"/>
      <c r="X30" s="120"/>
      <c r="Z30" s="120">
        <f>+Z27-Z29</f>
        <v>1238559</v>
      </c>
    </row>
    <row r="31" spans="1:41" x14ac:dyDescent="0.2">
      <c r="A31" s="116" t="s">
        <v>349</v>
      </c>
      <c r="F31" s="120"/>
      <c r="H31" s="120"/>
      <c r="I31" s="120"/>
      <c r="J31" s="120"/>
      <c r="K31" s="259"/>
      <c r="N31" s="260"/>
      <c r="O31" s="260"/>
      <c r="P31" s="260"/>
      <c r="R31" s="260"/>
      <c r="V31" s="120"/>
      <c r="X31" s="120"/>
      <c r="Z31" s="120"/>
    </row>
    <row r="32" spans="1:41" x14ac:dyDescent="0.2">
      <c r="A32" s="116" t="s">
        <v>350</v>
      </c>
      <c r="D32" s="116" t="s">
        <v>355</v>
      </c>
      <c r="F32" s="120"/>
      <c r="H32" s="120"/>
      <c r="I32" s="120"/>
      <c r="J32" s="120"/>
      <c r="K32" s="259"/>
      <c r="N32" s="260"/>
      <c r="O32" s="260"/>
      <c r="P32" s="260"/>
      <c r="R32" s="260"/>
      <c r="V32" s="120"/>
      <c r="X32" s="120"/>
      <c r="Z32" s="120"/>
    </row>
    <row r="33" spans="1:32" x14ac:dyDescent="0.2">
      <c r="A33" s="116" t="s">
        <v>351</v>
      </c>
      <c r="D33" s="116" t="s">
        <v>379</v>
      </c>
      <c r="F33" s="120"/>
      <c r="H33" s="120"/>
      <c r="I33" s="120"/>
      <c r="J33" s="120"/>
      <c r="K33" s="259"/>
      <c r="N33" s="260"/>
      <c r="O33" s="260"/>
      <c r="P33" s="260"/>
      <c r="R33" s="260"/>
      <c r="V33" s="120"/>
      <c r="X33" s="120"/>
      <c r="Z33" s="120"/>
    </row>
    <row r="34" spans="1:32" x14ac:dyDescent="0.2">
      <c r="A34" s="116" t="s">
        <v>352</v>
      </c>
      <c r="D34" s="116" t="s">
        <v>354</v>
      </c>
      <c r="F34" s="120"/>
      <c r="H34" s="120"/>
      <c r="I34" s="120"/>
      <c r="J34" s="120"/>
      <c r="K34" s="259"/>
      <c r="N34" s="260"/>
      <c r="O34" s="260"/>
      <c r="P34" s="260"/>
      <c r="R34" s="260"/>
      <c r="U34" s="128">
        <f>+LIQ!G83</f>
        <v>3355141</v>
      </c>
      <c r="V34" s="128"/>
      <c r="X34" s="120"/>
      <c r="Z34" s="232">
        <f>+Z25+AA25</f>
        <v>3355141</v>
      </c>
      <c r="AB34" s="232">
        <f>+AB25+AC25</f>
        <v>0</v>
      </c>
      <c r="AF34" s="120"/>
    </row>
    <row r="35" spans="1:32" x14ac:dyDescent="0.2">
      <c r="A35" s="116" t="s">
        <v>353</v>
      </c>
      <c r="D35" s="300" t="s">
        <v>425</v>
      </c>
      <c r="F35" s="120"/>
      <c r="H35" s="120"/>
      <c r="I35" s="120"/>
      <c r="J35" s="120"/>
      <c r="K35" s="259"/>
      <c r="N35" s="260"/>
      <c r="O35" s="260"/>
      <c r="P35" s="260"/>
      <c r="R35" s="260"/>
      <c r="U35" s="128">
        <f>+U27-U34</f>
        <v>-3347105.59</v>
      </c>
      <c r="V35" s="128"/>
      <c r="X35" s="120"/>
      <c r="Z35" s="120">
        <v>444270</v>
      </c>
      <c r="AF35" s="120"/>
    </row>
    <row r="36" spans="1:32" x14ac:dyDescent="0.2">
      <c r="A36" s="170" t="s">
        <v>361</v>
      </c>
      <c r="D36" s="285" t="s">
        <v>362</v>
      </c>
      <c r="G36" s="116"/>
      <c r="H36" s="116"/>
      <c r="I36" s="116"/>
      <c r="J36" s="116"/>
      <c r="K36" s="116"/>
    </row>
    <row r="37" spans="1:32" x14ac:dyDescent="0.2">
      <c r="A37" s="170"/>
      <c r="D37" s="285"/>
      <c r="G37" s="116"/>
      <c r="H37" s="116"/>
      <c r="I37" s="116"/>
      <c r="J37" s="116"/>
      <c r="K37" s="116"/>
    </row>
    <row r="38" spans="1:32" x14ac:dyDescent="0.2">
      <c r="A38" s="215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3"/>
      <c r="M38" s="123"/>
      <c r="N38" s="123"/>
      <c r="O38" s="123"/>
      <c r="P38" s="123"/>
      <c r="Q38" s="123"/>
      <c r="R38" s="123"/>
      <c r="S38" s="123"/>
    </row>
    <row r="39" spans="1:32" ht="16.5" customHeight="1" x14ac:dyDescent="0.25">
      <c r="A39" s="308" t="s">
        <v>290</v>
      </c>
      <c r="B39" s="309"/>
      <c r="C39" s="309"/>
      <c r="D39" s="309"/>
      <c r="E39" s="309"/>
      <c r="F39" s="309"/>
      <c r="G39" s="309"/>
      <c r="H39" s="309"/>
      <c r="I39" s="309"/>
      <c r="J39" s="309"/>
      <c r="K39" s="309"/>
      <c r="L39" s="309"/>
      <c r="M39" s="309"/>
      <c r="N39" s="309"/>
      <c r="O39" s="309"/>
      <c r="P39" s="309"/>
      <c r="Q39" s="309"/>
      <c r="R39" s="309"/>
      <c r="S39" s="310"/>
    </row>
    <row r="40" spans="1:32" x14ac:dyDescent="0.2">
      <c r="A40" s="194" t="s">
        <v>291</v>
      </c>
      <c r="B40" s="119"/>
    </row>
    <row r="41" spans="1:32" x14ac:dyDescent="0.2">
      <c r="A41" s="116"/>
    </row>
    <row r="42" spans="1:32" x14ac:dyDescent="0.2">
      <c r="A42" s="116" t="s">
        <v>292</v>
      </c>
    </row>
    <row r="43" spans="1:32" x14ac:dyDescent="0.2">
      <c r="A43" s="116" t="s">
        <v>293</v>
      </c>
    </row>
    <row r="44" spans="1:32" x14ac:dyDescent="0.2">
      <c r="A44" s="116" t="s">
        <v>358</v>
      </c>
    </row>
    <row r="45" spans="1:32" x14ac:dyDescent="0.2">
      <c r="A45" s="116" t="s">
        <v>295</v>
      </c>
    </row>
    <row r="46" spans="1:32" x14ac:dyDescent="0.2">
      <c r="A46" s="116" t="s">
        <v>294</v>
      </c>
    </row>
    <row r="47" spans="1:32" x14ac:dyDescent="0.2">
      <c r="A47" s="116"/>
    </row>
    <row r="49" spans="1:31" s="170" customFormat="1" ht="16.5" customHeight="1" x14ac:dyDescent="0.25">
      <c r="A49" s="308" t="s">
        <v>366</v>
      </c>
      <c r="B49" s="309"/>
      <c r="C49" s="309"/>
      <c r="D49" s="309"/>
      <c r="E49" s="309"/>
      <c r="F49" s="309"/>
      <c r="G49" s="309"/>
      <c r="H49" s="309"/>
      <c r="I49" s="309"/>
      <c r="J49" s="309"/>
      <c r="K49" s="309"/>
      <c r="L49" s="309"/>
      <c r="M49" s="309"/>
      <c r="N49" s="309"/>
      <c r="O49" s="309"/>
      <c r="P49" s="309"/>
      <c r="Q49" s="309"/>
      <c r="R49" s="309"/>
      <c r="S49" s="310"/>
      <c r="V49" s="289"/>
      <c r="X49" s="289"/>
      <c r="Y49" s="290"/>
      <c r="Z49" s="289"/>
      <c r="AA49" s="291"/>
      <c r="AB49" s="291"/>
      <c r="AC49" s="291"/>
      <c r="AD49" s="291"/>
      <c r="AE49" s="291"/>
    </row>
    <row r="50" spans="1:31" ht="15.75" x14ac:dyDescent="0.25">
      <c r="A50" s="286" t="s">
        <v>367</v>
      </c>
      <c r="B50"/>
      <c r="C50"/>
      <c r="D50"/>
      <c r="E50"/>
      <c r="F50" s="114"/>
      <c r="G50" s="287"/>
      <c r="H50" s="288"/>
      <c r="I50" s="288"/>
      <c r="J50" s="288"/>
      <c r="K50" s="288"/>
      <c r="L50" s="288"/>
      <c r="M50" s="288"/>
    </row>
    <row r="51" spans="1:31" x14ac:dyDescent="0.2">
      <c r="A51" s="194"/>
      <c r="B51"/>
      <c r="C51"/>
      <c r="D51"/>
      <c r="E51"/>
      <c r="F51" s="114"/>
      <c r="H51" s="120"/>
      <c r="I51" s="120"/>
      <c r="J51" s="120"/>
      <c r="K51" s="120"/>
    </row>
    <row r="52" spans="1:31" s="170" customFormat="1" ht="16.5" customHeight="1" x14ac:dyDescent="0.25">
      <c r="A52" s="308" t="s">
        <v>368</v>
      </c>
      <c r="B52" s="309"/>
      <c r="C52" s="309"/>
      <c r="D52" s="309"/>
      <c r="E52" s="309"/>
      <c r="F52" s="309"/>
      <c r="G52" s="309"/>
      <c r="H52" s="309"/>
      <c r="I52" s="309"/>
      <c r="J52" s="309"/>
      <c r="K52" s="309"/>
      <c r="L52" s="309"/>
      <c r="M52" s="309"/>
      <c r="N52" s="309"/>
      <c r="O52" s="309"/>
      <c r="P52" s="309"/>
      <c r="Q52" s="309"/>
      <c r="R52" s="309"/>
      <c r="S52" s="310"/>
      <c r="V52" s="289"/>
      <c r="X52" s="289"/>
      <c r="Y52" s="290"/>
      <c r="Z52" s="289"/>
      <c r="AA52" s="291"/>
      <c r="AB52" s="291"/>
      <c r="AC52" s="291"/>
      <c r="AD52" s="291"/>
      <c r="AE52" s="291"/>
    </row>
    <row r="53" spans="1:31" ht="15.75" x14ac:dyDescent="0.25">
      <c r="A53" s="286" t="s">
        <v>369</v>
      </c>
      <c r="B53"/>
      <c r="C53"/>
      <c r="D53"/>
      <c r="E53"/>
      <c r="F53" s="114"/>
      <c r="G53" s="287"/>
      <c r="H53" s="288"/>
      <c r="I53" s="288"/>
      <c r="J53" s="288"/>
      <c r="K53" s="288"/>
      <c r="L53" s="288"/>
      <c r="M53" s="288"/>
    </row>
    <row r="55" spans="1:31" s="170" customFormat="1" ht="16.5" customHeight="1" x14ac:dyDescent="0.25">
      <c r="A55" s="308" t="s">
        <v>374</v>
      </c>
      <c r="B55" s="309"/>
      <c r="C55" s="309"/>
      <c r="D55" s="309"/>
      <c r="E55" s="309"/>
      <c r="F55" s="309"/>
      <c r="G55" s="309"/>
      <c r="H55" s="309"/>
      <c r="I55" s="309"/>
      <c r="J55" s="309"/>
      <c r="K55" s="309"/>
      <c r="L55" s="309"/>
      <c r="M55" s="309"/>
      <c r="N55" s="309"/>
      <c r="O55" s="309"/>
      <c r="P55" s="309"/>
      <c r="Q55" s="309"/>
      <c r="R55" s="309"/>
      <c r="S55" s="310"/>
      <c r="V55" s="289"/>
      <c r="X55" s="289"/>
      <c r="Y55" s="290"/>
      <c r="Z55" s="289"/>
      <c r="AA55" s="291"/>
      <c r="AB55" s="291"/>
      <c r="AC55" s="291"/>
      <c r="AD55" s="291"/>
      <c r="AE55" s="291"/>
    </row>
    <row r="56" spans="1:31" ht="15.75" x14ac:dyDescent="0.25">
      <c r="A56" s="286" t="s">
        <v>375</v>
      </c>
      <c r="B56"/>
      <c r="C56"/>
      <c r="D56"/>
      <c r="E56"/>
      <c r="F56" s="114"/>
      <c r="G56" s="287"/>
      <c r="H56" s="288"/>
      <c r="I56" s="288"/>
      <c r="J56" s="288"/>
      <c r="K56" s="288"/>
      <c r="L56" s="288"/>
      <c r="M56" s="288"/>
    </row>
    <row r="57" spans="1:31" x14ac:dyDescent="0.2">
      <c r="A57" s="170" t="s">
        <v>376</v>
      </c>
      <c r="E57" s="294"/>
      <c r="F57" s="119"/>
      <c r="I57" s="120"/>
      <c r="J57" s="120"/>
      <c r="K57" s="120"/>
    </row>
    <row r="58" spans="1:31" x14ac:dyDescent="0.2">
      <c r="A58" s="295" t="s">
        <v>377</v>
      </c>
      <c r="B58" s="217"/>
      <c r="E58" s="294"/>
      <c r="F58" s="119"/>
      <c r="I58" s="120"/>
      <c r="J58" s="120"/>
      <c r="K58" s="120"/>
    </row>
    <row r="59" spans="1:31" x14ac:dyDescent="0.2">
      <c r="A59" s="116"/>
      <c r="E59" s="294"/>
      <c r="F59" s="119"/>
      <c r="I59" s="120"/>
      <c r="J59" s="120"/>
      <c r="K59" s="120"/>
    </row>
    <row r="60" spans="1:31" s="170" customFormat="1" ht="16.5" customHeight="1" x14ac:dyDescent="0.25">
      <c r="A60" s="308" t="s">
        <v>378</v>
      </c>
      <c r="B60" s="309"/>
      <c r="C60" s="309"/>
      <c r="D60" s="309"/>
      <c r="E60" s="309"/>
      <c r="F60" s="309"/>
      <c r="G60" s="309"/>
      <c r="H60" s="309"/>
      <c r="I60" s="309"/>
      <c r="J60" s="309"/>
      <c r="K60" s="309"/>
      <c r="L60" s="309"/>
      <c r="M60" s="309"/>
      <c r="N60" s="309"/>
      <c r="O60" s="309"/>
      <c r="P60" s="309"/>
      <c r="Q60" s="309"/>
      <c r="R60" s="309"/>
      <c r="S60" s="310"/>
      <c r="V60" s="289"/>
      <c r="X60" s="289"/>
      <c r="Y60" s="290"/>
      <c r="Z60" s="289"/>
      <c r="AA60" s="291"/>
      <c r="AB60" s="291"/>
      <c r="AC60" s="291"/>
      <c r="AD60" s="291"/>
      <c r="AE60" s="291"/>
    </row>
    <row r="61" spans="1:31" x14ac:dyDescent="0.2">
      <c r="A61" s="286" t="s">
        <v>409</v>
      </c>
      <c r="D61" s="128"/>
      <c r="E61" s="294"/>
      <c r="F61" s="119"/>
      <c r="I61" s="120"/>
      <c r="J61" s="120"/>
      <c r="K61" s="120"/>
    </row>
    <row r="62" spans="1:31" x14ac:dyDescent="0.2">
      <c r="A62" s="295" t="s">
        <v>377</v>
      </c>
      <c r="D62" s="120"/>
      <c r="E62" s="294"/>
      <c r="F62" s="119"/>
      <c r="I62" s="120"/>
      <c r="J62" s="120"/>
      <c r="K62" s="120"/>
    </row>
    <row r="64" spans="1:31" s="170" customFormat="1" ht="16.5" customHeight="1" x14ac:dyDescent="0.25">
      <c r="A64" s="308" t="s">
        <v>335</v>
      </c>
      <c r="B64" s="309"/>
      <c r="C64" s="309"/>
      <c r="D64" s="309"/>
      <c r="E64" s="309"/>
      <c r="F64" s="309"/>
      <c r="G64" s="309"/>
      <c r="H64" s="309"/>
      <c r="I64" s="309"/>
      <c r="J64" s="309"/>
      <c r="K64" s="309"/>
      <c r="L64" s="309"/>
      <c r="M64" s="309"/>
      <c r="N64" s="309"/>
      <c r="O64" s="309"/>
      <c r="P64" s="309"/>
      <c r="Q64" s="309"/>
      <c r="R64" s="309"/>
      <c r="S64" s="310"/>
      <c r="V64" s="289"/>
      <c r="X64" s="289"/>
      <c r="Y64" s="290"/>
      <c r="Z64" s="289"/>
      <c r="AA64" s="291"/>
      <c r="AB64" s="291"/>
      <c r="AC64" s="291"/>
      <c r="AD64" s="291"/>
      <c r="AE64" s="291"/>
    </row>
    <row r="65" spans="1:12" x14ac:dyDescent="0.2">
      <c r="A65" s="249"/>
      <c r="E65"/>
      <c r="F65"/>
    </row>
    <row r="66" spans="1:12" ht="15" thickBot="1" x14ac:dyDescent="0.25">
      <c r="A66" s="249"/>
      <c r="E66"/>
      <c r="F66"/>
    </row>
    <row r="67" spans="1:12" ht="15.75" thickBot="1" x14ac:dyDescent="0.25">
      <c r="A67" s="182" t="s">
        <v>2</v>
      </c>
      <c r="B67" s="138" t="s">
        <v>1</v>
      </c>
      <c r="C67" s="138" t="s">
        <v>2</v>
      </c>
      <c r="D67" s="138" t="s">
        <v>3</v>
      </c>
      <c r="E67" s="138" t="s">
        <v>336</v>
      </c>
      <c r="F67" s="255"/>
    </row>
    <row r="68" spans="1:12" x14ac:dyDescent="0.2">
      <c r="A68" s="134" t="s">
        <v>183</v>
      </c>
      <c r="B68" s="116">
        <v>2</v>
      </c>
      <c r="C68" s="116" t="s">
        <v>5</v>
      </c>
      <c r="D68" s="116" t="s">
        <v>206</v>
      </c>
      <c r="E68" s="233">
        <f>22909+22909</f>
        <v>45818</v>
      </c>
      <c r="F68" s="233"/>
    </row>
    <row r="69" spans="1:12" x14ac:dyDescent="0.2">
      <c r="A69" s="153" t="s">
        <v>189</v>
      </c>
      <c r="B69" s="116">
        <v>3</v>
      </c>
      <c r="C69" s="116" t="s">
        <v>6</v>
      </c>
      <c r="D69" s="116" t="s">
        <v>207</v>
      </c>
      <c r="E69" s="233">
        <f>10985*2</f>
        <v>21970</v>
      </c>
      <c r="F69" s="233"/>
    </row>
    <row r="70" spans="1:12" x14ac:dyDescent="0.2">
      <c r="A70" s="134" t="s">
        <v>190</v>
      </c>
      <c r="B70" s="116">
        <v>4</v>
      </c>
      <c r="C70" s="116" t="s">
        <v>7</v>
      </c>
      <c r="D70" s="116" t="s">
        <v>208</v>
      </c>
      <c r="E70" s="233">
        <f>10985*2</f>
        <v>21970</v>
      </c>
      <c r="F70" s="233"/>
    </row>
    <row r="71" spans="1:12" x14ac:dyDescent="0.2">
      <c r="A71" s="153" t="s">
        <v>209</v>
      </c>
      <c r="B71" s="116">
        <v>5</v>
      </c>
      <c r="C71" s="116" t="s">
        <v>8</v>
      </c>
      <c r="D71" s="116" t="s">
        <v>210</v>
      </c>
      <c r="E71" s="233">
        <f>11092+1092+10000</f>
        <v>22184</v>
      </c>
      <c r="F71" s="233"/>
    </row>
    <row r="72" spans="1:12" x14ac:dyDescent="0.2">
      <c r="A72" s="134" t="s">
        <v>211</v>
      </c>
      <c r="B72" s="116">
        <v>6</v>
      </c>
      <c r="C72" s="116" t="s">
        <v>9</v>
      </c>
      <c r="D72" s="116" t="s">
        <v>284</v>
      </c>
      <c r="E72" s="233">
        <f>11092*2</f>
        <v>22184</v>
      </c>
      <c r="F72" s="233"/>
    </row>
    <row r="73" spans="1:12" x14ac:dyDescent="0.2">
      <c r="A73" s="153" t="s">
        <v>212</v>
      </c>
      <c r="B73" s="116">
        <v>7</v>
      </c>
      <c r="C73" s="116" t="s">
        <v>10</v>
      </c>
      <c r="D73" s="116" t="s">
        <v>213</v>
      </c>
      <c r="E73" s="233">
        <f>11200+11200</f>
        <v>22400</v>
      </c>
      <c r="F73" s="233"/>
    </row>
    <row r="74" spans="1:12" x14ac:dyDescent="0.2">
      <c r="A74" s="134" t="s">
        <v>214</v>
      </c>
      <c r="B74" s="116">
        <v>8</v>
      </c>
      <c r="C74" s="116" t="s">
        <v>11</v>
      </c>
      <c r="D74" s="116" t="s">
        <v>215</v>
      </c>
      <c r="E74" s="233">
        <f>11200*2</f>
        <v>22400</v>
      </c>
      <c r="F74" s="233"/>
    </row>
    <row r="75" spans="1:12" x14ac:dyDescent="0.2">
      <c r="A75" s="153" t="s">
        <v>217</v>
      </c>
      <c r="B75" s="116">
        <v>9</v>
      </c>
      <c r="C75" s="116" t="s">
        <v>12</v>
      </c>
      <c r="D75" s="116" t="s">
        <v>216</v>
      </c>
      <c r="E75" s="233">
        <f>10878*2</f>
        <v>21756</v>
      </c>
      <c r="F75" s="233"/>
    </row>
    <row r="76" spans="1:12" x14ac:dyDescent="0.2">
      <c r="A76" s="135" t="s">
        <v>218</v>
      </c>
      <c r="B76" s="121">
        <v>10</v>
      </c>
      <c r="C76" s="121" t="s">
        <v>13</v>
      </c>
      <c r="D76" s="121" t="s">
        <v>287</v>
      </c>
      <c r="E76" s="241">
        <f>10878*2</f>
        <v>21756</v>
      </c>
      <c r="F76" s="233"/>
    </row>
    <row r="77" spans="1:12" ht="15.75" thickBot="1" x14ac:dyDescent="0.3">
      <c r="A77" s="142"/>
      <c r="B77" s="143"/>
      <c r="C77" s="143"/>
      <c r="D77" s="144"/>
      <c r="E77" s="144">
        <f>SUM(E68:E76)</f>
        <v>222438</v>
      </c>
      <c r="F77" s="127"/>
      <c r="L77" s="127"/>
    </row>
    <row r="78" spans="1:12" ht="15" thickTop="1" x14ac:dyDescent="0.2">
      <c r="D78" s="120"/>
      <c r="E78" s="120"/>
      <c r="F78" s="120"/>
    </row>
    <row r="79" spans="1:12" x14ac:dyDescent="0.2">
      <c r="D79" s="120"/>
      <c r="E79" s="120"/>
      <c r="F79" s="120"/>
    </row>
    <row r="80" spans="1:12" x14ac:dyDescent="0.2">
      <c r="D80" s="120"/>
      <c r="E80" s="120"/>
      <c r="F80" s="120"/>
    </row>
    <row r="81" spans="4:6" x14ac:dyDescent="0.2">
      <c r="D81" s="120"/>
      <c r="E81" s="120"/>
      <c r="F81" s="120"/>
    </row>
    <row r="82" spans="4:6" x14ac:dyDescent="0.2">
      <c r="D82" s="120"/>
      <c r="E82" s="120"/>
      <c r="F82" s="120"/>
    </row>
    <row r="83" spans="4:6" x14ac:dyDescent="0.2">
      <c r="D83" s="120"/>
      <c r="E83" s="120"/>
      <c r="F83" s="120"/>
    </row>
    <row r="106" spans="7:7" x14ac:dyDescent="0.2">
      <c r="G106" s="119">
        <f>690552.16-150241.66-334.68</f>
        <v>539975.81999999995</v>
      </c>
    </row>
    <row r="107" spans="7:7" x14ac:dyDescent="0.2">
      <c r="G107" s="119">
        <v>150241.66</v>
      </c>
    </row>
    <row r="109" spans="7:7" x14ac:dyDescent="0.2">
      <c r="G109" s="119">
        <f>+SUELDO!I61</f>
        <v>45605.133999999991</v>
      </c>
    </row>
    <row r="110" spans="7:7" x14ac:dyDescent="0.2">
      <c r="G110" s="119">
        <f>+SUELDO!M61+26264/2-0.01</f>
        <v>79006.05799999999</v>
      </c>
    </row>
  </sheetData>
  <mergeCells count="13">
    <mergeCell ref="AD13:AE13"/>
    <mergeCell ref="Z13:AA13"/>
    <mergeCell ref="X13:Y13"/>
    <mergeCell ref="A64:S64"/>
    <mergeCell ref="A10:S10"/>
    <mergeCell ref="A11:S11"/>
    <mergeCell ref="AB13:AC13"/>
    <mergeCell ref="A52:S52"/>
    <mergeCell ref="A49:S49"/>
    <mergeCell ref="A30:S30"/>
    <mergeCell ref="A39:S39"/>
    <mergeCell ref="A55:S55"/>
    <mergeCell ref="A60:S60"/>
  </mergeCells>
  <phoneticPr fontId="0" type="noConversion"/>
  <hyperlinks>
    <hyperlink ref="AN21" r:id="rId1" xr:uid="{00000000-0004-0000-0100-000000000000}"/>
    <hyperlink ref="A50" r:id="rId2" xr:uid="{830D8C9C-8056-427C-8082-F1711654E2CA}"/>
  </hyperlinks>
  <pageMargins left="0.43307086614173229" right="0.23622047244094491" top="0.23622047244094491" bottom="0.23622047244094491" header="0.15748031496062992" footer="0.15748031496062992"/>
  <pageSetup paperSize="9" scale="67" orientation="portrait" r:id="rId3"/>
  <headerFooter alignWithMargins="0">
    <oddFooter>&amp;LAnte cualquier irregularidad podes llamar al 147, chatear en buenosaires.gob.ar/ba147 o escribirnos en facebook.com/badefensaconsumidor y @BAConsumidor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F214"/>
  <sheetViews>
    <sheetView topLeftCell="CR133" workbookViewId="0">
      <selection activeCell="DA143" sqref="DA141:DA143"/>
    </sheetView>
  </sheetViews>
  <sheetFormatPr baseColWidth="10" defaultRowHeight="14.25" x14ac:dyDescent="0.2"/>
  <cols>
    <col min="1" max="1" width="8" style="116" customWidth="1"/>
    <col min="2" max="2" width="7.5703125" style="116" hidden="1" customWidth="1"/>
    <col min="3" max="3" width="21.140625" style="116" customWidth="1"/>
    <col min="4" max="103" width="15" style="116" customWidth="1"/>
    <col min="104" max="105" width="13.85546875" style="116" customWidth="1"/>
    <col min="106" max="106" width="12.28515625" style="82" bestFit="1" customWidth="1"/>
    <col min="107" max="107" width="11.42578125" style="9"/>
    <col min="108" max="108" width="12.28515625" style="9" bestFit="1" customWidth="1"/>
    <col min="109" max="109" width="11.42578125" style="9"/>
  </cols>
  <sheetData>
    <row r="2" spans="1:110" ht="15" x14ac:dyDescent="0.25">
      <c r="A2" s="115" t="e">
        <f>+'RES CUENTA'!#REF!</f>
        <v>#REF!</v>
      </c>
    </row>
    <row r="3" spans="1:110" x14ac:dyDescent="0.2">
      <c r="A3" s="121"/>
      <c r="B3" s="121"/>
      <c r="C3" s="121"/>
    </row>
    <row r="5" spans="1:110" ht="12.75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</row>
    <row r="6" spans="1:110" ht="15" thickBot="1" x14ac:dyDescent="0.25"/>
    <row r="7" spans="1:110" ht="15.75" thickBot="1" x14ac:dyDescent="0.3">
      <c r="A7" s="125" t="s">
        <v>1</v>
      </c>
      <c r="B7" s="126" t="s">
        <v>2</v>
      </c>
      <c r="C7" s="125" t="s">
        <v>3</v>
      </c>
      <c r="D7" s="178">
        <v>43101</v>
      </c>
      <c r="E7" s="178">
        <v>43132</v>
      </c>
      <c r="F7" s="178">
        <v>43160</v>
      </c>
      <c r="G7" s="178">
        <v>43191</v>
      </c>
      <c r="H7" s="178">
        <v>43221</v>
      </c>
      <c r="I7" s="178">
        <v>43252</v>
      </c>
      <c r="J7" s="178">
        <v>43282</v>
      </c>
      <c r="K7" s="178">
        <v>43313</v>
      </c>
      <c r="L7" s="178">
        <v>43344</v>
      </c>
      <c r="M7" s="178">
        <v>43374</v>
      </c>
      <c r="N7" s="178">
        <v>43405</v>
      </c>
      <c r="O7" s="178">
        <v>43435</v>
      </c>
      <c r="P7" s="178">
        <v>43466</v>
      </c>
      <c r="Q7" s="178">
        <v>43497</v>
      </c>
      <c r="R7" s="178">
        <v>43525</v>
      </c>
      <c r="S7" s="178">
        <v>43556</v>
      </c>
      <c r="T7" s="178">
        <v>43586</v>
      </c>
      <c r="U7" s="178">
        <v>43617</v>
      </c>
      <c r="V7" s="178">
        <v>43647</v>
      </c>
      <c r="W7" s="178">
        <v>43678</v>
      </c>
      <c r="X7" s="178">
        <v>43709</v>
      </c>
      <c r="Y7" s="178">
        <v>43739</v>
      </c>
      <c r="Z7" s="178">
        <v>43770</v>
      </c>
      <c r="AA7" s="178">
        <v>43800</v>
      </c>
      <c r="AB7" s="178">
        <v>43831</v>
      </c>
      <c r="AC7" s="178">
        <v>43862</v>
      </c>
      <c r="AD7" s="178">
        <v>43891</v>
      </c>
      <c r="AE7" s="178">
        <v>43922</v>
      </c>
      <c r="AF7" s="178">
        <v>43952</v>
      </c>
      <c r="AG7" s="178">
        <v>43983</v>
      </c>
      <c r="AH7" s="178">
        <v>44013</v>
      </c>
      <c r="AI7" s="178">
        <v>44044</v>
      </c>
      <c r="AJ7" s="178">
        <v>44075</v>
      </c>
      <c r="AK7" s="178">
        <v>44105</v>
      </c>
      <c r="AL7" s="178">
        <v>44136</v>
      </c>
      <c r="AM7" s="178">
        <v>44166</v>
      </c>
      <c r="AN7" s="178">
        <v>44197</v>
      </c>
      <c r="AO7" s="178">
        <v>44228</v>
      </c>
      <c r="AP7" s="178">
        <v>44256</v>
      </c>
      <c r="AQ7" s="178">
        <v>44287</v>
      </c>
      <c r="AR7" s="178">
        <v>44317</v>
      </c>
      <c r="AS7" s="178">
        <v>44348</v>
      </c>
      <c r="AT7" s="178">
        <v>44378</v>
      </c>
      <c r="AU7" s="178">
        <v>44409</v>
      </c>
      <c r="AV7" s="178">
        <v>44440</v>
      </c>
      <c r="AW7" s="178">
        <v>44470</v>
      </c>
      <c r="AX7" s="178">
        <v>44501</v>
      </c>
      <c r="AY7" s="178">
        <v>44531</v>
      </c>
      <c r="AZ7" s="178">
        <v>44562</v>
      </c>
      <c r="BA7" s="178">
        <v>44593</v>
      </c>
      <c r="BB7" s="178">
        <v>44621</v>
      </c>
      <c r="BC7" s="178">
        <v>44652</v>
      </c>
      <c r="BD7" s="178">
        <v>44682</v>
      </c>
      <c r="BE7" s="178">
        <v>44713</v>
      </c>
      <c r="BF7" s="178">
        <v>44743</v>
      </c>
      <c r="BG7" s="178">
        <v>44774</v>
      </c>
      <c r="BH7" s="178">
        <v>44805</v>
      </c>
      <c r="BI7" s="178">
        <v>44835</v>
      </c>
      <c r="BJ7" s="178">
        <v>44866</v>
      </c>
      <c r="BK7" s="178">
        <v>44896</v>
      </c>
      <c r="BL7" s="178">
        <v>44927</v>
      </c>
      <c r="BM7" s="178">
        <v>44958</v>
      </c>
      <c r="BN7" s="178">
        <v>44986</v>
      </c>
      <c r="BO7" s="178">
        <v>45017</v>
      </c>
      <c r="BP7" s="178">
        <v>45047</v>
      </c>
      <c r="BQ7" s="178">
        <v>45078</v>
      </c>
      <c r="BR7" s="178">
        <v>45108</v>
      </c>
      <c r="BS7" s="178">
        <v>45139</v>
      </c>
      <c r="BT7" s="178">
        <v>45170</v>
      </c>
      <c r="BU7" s="178">
        <v>45200</v>
      </c>
      <c r="BV7" s="178">
        <v>45231</v>
      </c>
      <c r="BW7" s="178">
        <v>45261</v>
      </c>
      <c r="BX7" s="178">
        <v>45292</v>
      </c>
      <c r="BY7" s="178">
        <v>45323</v>
      </c>
      <c r="BZ7" s="178">
        <v>45352</v>
      </c>
      <c r="CA7" s="178">
        <v>45383</v>
      </c>
      <c r="CB7" s="178">
        <v>45413</v>
      </c>
      <c r="CC7" s="178">
        <v>45444</v>
      </c>
      <c r="CD7" s="178">
        <v>45474</v>
      </c>
      <c r="CE7" s="178">
        <v>45505</v>
      </c>
      <c r="CF7" s="178">
        <v>45536</v>
      </c>
      <c r="CG7" s="178">
        <v>45566</v>
      </c>
      <c r="CH7" s="178">
        <v>45597</v>
      </c>
      <c r="CI7" s="178">
        <v>45627</v>
      </c>
      <c r="CJ7" s="178">
        <v>45658</v>
      </c>
      <c r="CK7" s="178">
        <v>45689</v>
      </c>
      <c r="CL7" s="178">
        <v>45717</v>
      </c>
      <c r="CM7" s="178">
        <v>45748</v>
      </c>
      <c r="CN7" s="178">
        <v>45778</v>
      </c>
      <c r="CO7" s="178">
        <v>45809</v>
      </c>
      <c r="CP7" s="178">
        <v>45839</v>
      </c>
      <c r="CQ7" s="178">
        <v>45870</v>
      </c>
      <c r="CR7" s="178">
        <v>45901</v>
      </c>
      <c r="CS7" s="178">
        <v>45931</v>
      </c>
      <c r="CT7" s="178">
        <v>45962</v>
      </c>
      <c r="CU7" s="178">
        <v>45992</v>
      </c>
      <c r="CV7" s="178">
        <v>46023</v>
      </c>
      <c r="CW7" s="178">
        <v>46054</v>
      </c>
      <c r="CX7" s="178">
        <v>46082</v>
      </c>
      <c r="CY7" s="178">
        <v>46113</v>
      </c>
      <c r="CZ7" s="129" t="s">
        <v>186</v>
      </c>
      <c r="DA7" s="125" t="s">
        <v>35</v>
      </c>
      <c r="DB7" s="125" t="s">
        <v>187</v>
      </c>
      <c r="DC7" s="136"/>
      <c r="DD7"/>
      <c r="DE7"/>
    </row>
    <row r="8" spans="1:110" x14ac:dyDescent="0.2"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  <c r="BT8" s="82"/>
      <c r="BU8" s="82"/>
      <c r="BV8" s="82"/>
      <c r="BW8" s="82"/>
      <c r="BX8" s="82"/>
      <c r="BY8" s="82"/>
      <c r="BZ8" s="82"/>
      <c r="CA8" s="82"/>
      <c r="CB8" s="82"/>
      <c r="CC8" s="82"/>
      <c r="CD8" s="82"/>
      <c r="CE8" s="82"/>
      <c r="CF8" s="82"/>
      <c r="CG8" s="82"/>
      <c r="CH8" s="82"/>
      <c r="CI8" s="82"/>
      <c r="CJ8" s="82"/>
      <c r="CK8" s="82"/>
      <c r="CL8" s="82"/>
      <c r="CM8" s="82"/>
      <c r="CN8" s="82"/>
      <c r="CO8" s="82"/>
      <c r="CP8" s="82"/>
      <c r="CQ8" s="82"/>
      <c r="CR8" s="82"/>
      <c r="CS8" s="82"/>
      <c r="CT8" s="82"/>
      <c r="CU8" s="82"/>
      <c r="CV8" s="82"/>
      <c r="CW8" s="82"/>
      <c r="CX8" s="82"/>
      <c r="CY8" s="82"/>
      <c r="CZ8" s="82"/>
      <c r="DA8" s="82"/>
      <c r="DF8" s="9"/>
    </row>
    <row r="9" spans="1:110" x14ac:dyDescent="0.2">
      <c r="A9" s="116">
        <v>1</v>
      </c>
      <c r="C9" s="82" t="str">
        <f>+'RES CUENTA'!D15</f>
        <v>Casa Lopez</v>
      </c>
      <c r="D9" s="82">
        <f>+'[2]RES CUENTA'!$O$18</f>
        <v>6423.3473359999989</v>
      </c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  <c r="BT9" s="82"/>
      <c r="BU9" s="82"/>
      <c r="BV9" s="82"/>
      <c r="BW9" s="82"/>
      <c r="BX9" s="82"/>
      <c r="BY9" s="82"/>
      <c r="BZ9" s="82"/>
      <c r="CA9" s="82"/>
      <c r="CB9" s="82"/>
      <c r="CC9" s="82"/>
      <c r="CD9" s="82"/>
      <c r="CE9" s="82"/>
      <c r="CF9" s="82"/>
      <c r="CG9" s="82"/>
      <c r="CH9" s="82"/>
      <c r="CI9" s="82"/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82"/>
      <c r="CU9" s="82"/>
      <c r="CV9" s="82"/>
      <c r="CW9" s="82"/>
      <c r="CX9" s="82"/>
      <c r="CY9" s="82"/>
      <c r="CZ9" s="82">
        <v>0.03</v>
      </c>
      <c r="DA9" s="82">
        <v>3000</v>
      </c>
      <c r="DB9" s="82">
        <f>+D9*CZ9/30*DA9</f>
        <v>19270.042007999993</v>
      </c>
      <c r="DC9" s="9">
        <f t="shared" ref="DC9:DC72" si="0">+DA9-DA10</f>
        <v>30</v>
      </c>
      <c r="DD9" s="9">
        <f>+DA9/365</f>
        <v>8.2191780821917817</v>
      </c>
      <c r="DF9" s="9"/>
    </row>
    <row r="10" spans="1:110" x14ac:dyDescent="0.2">
      <c r="C10" s="82"/>
      <c r="D10" s="82"/>
      <c r="E10" s="82">
        <f>+'[3]RES CUENTA'!$O$18</f>
        <v>6906.0213039999999</v>
      </c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2"/>
      <c r="CA10" s="82"/>
      <c r="CB10" s="82"/>
      <c r="CC10" s="82"/>
      <c r="CD10" s="82"/>
      <c r="CE10" s="82"/>
      <c r="CF10" s="82"/>
      <c r="CG10" s="82"/>
      <c r="CH10" s="82"/>
      <c r="CI10" s="82"/>
      <c r="CJ10" s="82"/>
      <c r="CK10" s="82"/>
      <c r="CL10" s="82"/>
      <c r="CM10" s="82"/>
      <c r="CN10" s="82"/>
      <c r="CO10" s="82"/>
      <c r="CP10" s="82"/>
      <c r="CQ10" s="82"/>
      <c r="CR10" s="82"/>
      <c r="CS10" s="82"/>
      <c r="CT10" s="82"/>
      <c r="CU10" s="82"/>
      <c r="CV10" s="82"/>
      <c r="CW10" s="82"/>
      <c r="CX10" s="82"/>
      <c r="CY10" s="82"/>
      <c r="CZ10" s="82">
        <v>0.03</v>
      </c>
      <c r="DA10" s="82">
        <v>2970</v>
      </c>
      <c r="DB10" s="82">
        <f>+E10*CZ10/30*DA10</f>
        <v>20510.883272880001</v>
      </c>
      <c r="DC10" s="9">
        <f t="shared" si="0"/>
        <v>30</v>
      </c>
      <c r="DF10" s="9"/>
    </row>
    <row r="11" spans="1:110" x14ac:dyDescent="0.2">
      <c r="C11" s="82"/>
      <c r="D11" s="82"/>
      <c r="E11" s="82"/>
      <c r="F11" s="82">
        <f>+'[4]RES CUENTA'!$O$18</f>
        <v>9084.4506199999996</v>
      </c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  <c r="BT11" s="82"/>
      <c r="BU11" s="82"/>
      <c r="BV11" s="82"/>
      <c r="BW11" s="82"/>
      <c r="BX11" s="82"/>
      <c r="BY11" s="82"/>
      <c r="BZ11" s="82"/>
      <c r="CA11" s="82"/>
      <c r="CB11" s="82"/>
      <c r="CC11" s="82"/>
      <c r="CD11" s="82"/>
      <c r="CE11" s="82"/>
      <c r="CF11" s="82"/>
      <c r="CG11" s="82"/>
      <c r="CH11" s="82"/>
      <c r="CI11" s="82"/>
      <c r="CJ11" s="82"/>
      <c r="CK11" s="82"/>
      <c r="CL11" s="82"/>
      <c r="CM11" s="82"/>
      <c r="CN11" s="82"/>
      <c r="CO11" s="82"/>
      <c r="CP11" s="82"/>
      <c r="CQ11" s="82"/>
      <c r="CR11" s="82"/>
      <c r="CS11" s="82"/>
      <c r="CT11" s="82"/>
      <c r="CU11" s="82"/>
      <c r="CV11" s="82"/>
      <c r="CW11" s="82"/>
      <c r="CX11" s="82"/>
      <c r="CY11" s="82"/>
      <c r="CZ11" s="82">
        <v>0.03</v>
      </c>
      <c r="DA11" s="82">
        <v>2940</v>
      </c>
      <c r="DB11" s="82">
        <f>+F11*CZ11/30*DA11</f>
        <v>26708.2848228</v>
      </c>
      <c r="DC11" s="9">
        <f t="shared" si="0"/>
        <v>30</v>
      </c>
      <c r="DF11" s="9"/>
    </row>
    <row r="12" spans="1:110" x14ac:dyDescent="0.2">
      <c r="C12" s="82"/>
      <c r="D12" s="82"/>
      <c r="E12" s="82"/>
      <c r="F12" s="82"/>
      <c r="G12" s="82">
        <f>+'[5]RES CUENTA'!$O$18</f>
        <v>10009.988491999999</v>
      </c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  <c r="BT12" s="82"/>
      <c r="BU12" s="82"/>
      <c r="BV12" s="82"/>
      <c r="BW12" s="82"/>
      <c r="BX12" s="82"/>
      <c r="BY12" s="82"/>
      <c r="BZ12" s="82"/>
      <c r="CA12" s="82"/>
      <c r="CB12" s="82"/>
      <c r="CC12" s="82"/>
      <c r="CD12" s="82"/>
      <c r="CE12" s="82"/>
      <c r="CF12" s="82"/>
      <c r="CG12" s="82"/>
      <c r="CH12" s="82"/>
      <c r="CI12" s="82"/>
      <c r="CJ12" s="82"/>
      <c r="CK12" s="82"/>
      <c r="CL12" s="82"/>
      <c r="CM12" s="82"/>
      <c r="CN12" s="82"/>
      <c r="CO12" s="82"/>
      <c r="CP12" s="82"/>
      <c r="CQ12" s="82"/>
      <c r="CR12" s="82"/>
      <c r="CS12" s="82"/>
      <c r="CT12" s="82"/>
      <c r="CU12" s="82"/>
      <c r="CV12" s="82"/>
      <c r="CW12" s="82"/>
      <c r="CX12" s="82"/>
      <c r="CY12" s="82"/>
      <c r="CZ12" s="82">
        <v>0.03</v>
      </c>
      <c r="DA12" s="82">
        <v>2910</v>
      </c>
      <c r="DB12" s="82">
        <f>+G12*CZ12/30*DA12</f>
        <v>29129.066511719993</v>
      </c>
      <c r="DC12" s="9">
        <f t="shared" si="0"/>
        <v>30</v>
      </c>
      <c r="DF12" s="9"/>
    </row>
    <row r="13" spans="1:110" x14ac:dyDescent="0.2">
      <c r="C13" s="82"/>
      <c r="D13" s="82"/>
      <c r="E13" s="82"/>
      <c r="F13" s="82"/>
      <c r="G13" s="82"/>
      <c r="H13" s="82">
        <f>+'[6]RES CUENTA'!$O$18</f>
        <v>9524.0368719999988</v>
      </c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82"/>
      <c r="CU13" s="82"/>
      <c r="CV13" s="82"/>
      <c r="CW13" s="82"/>
      <c r="CX13" s="82"/>
      <c r="CY13" s="82"/>
      <c r="CZ13" s="82">
        <v>0.03</v>
      </c>
      <c r="DA13" s="82">
        <v>2880</v>
      </c>
      <c r="DB13" s="82">
        <f>+H13*CZ13/30*DA13</f>
        <v>27429.226191360001</v>
      </c>
      <c r="DC13" s="9">
        <f t="shared" si="0"/>
        <v>30</v>
      </c>
      <c r="DF13" s="9"/>
    </row>
    <row r="14" spans="1:110" x14ac:dyDescent="0.2">
      <c r="C14" s="82"/>
      <c r="D14" s="82"/>
      <c r="E14" s="82"/>
      <c r="F14" s="82"/>
      <c r="G14" s="82"/>
      <c r="H14" s="82"/>
      <c r="I14" s="82">
        <f>+'[7]RES CUENTA'!$O$18</f>
        <v>9455.2232599999988</v>
      </c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  <c r="BY14" s="82"/>
      <c r="BZ14" s="82"/>
      <c r="CA14" s="82"/>
      <c r="CB14" s="82"/>
      <c r="CC14" s="82"/>
      <c r="CD14" s="82"/>
      <c r="CE14" s="82"/>
      <c r="CF14" s="82"/>
      <c r="CG14" s="82"/>
      <c r="CH14" s="82"/>
      <c r="CI14" s="82"/>
      <c r="CJ14" s="82"/>
      <c r="CK14" s="82"/>
      <c r="CL14" s="82"/>
      <c r="CM14" s="82"/>
      <c r="CN14" s="82"/>
      <c r="CO14" s="82"/>
      <c r="CP14" s="82"/>
      <c r="CQ14" s="82"/>
      <c r="CR14" s="82"/>
      <c r="CS14" s="82"/>
      <c r="CT14" s="82"/>
      <c r="CU14" s="82"/>
      <c r="CV14" s="82"/>
      <c r="CW14" s="82"/>
      <c r="CX14" s="82"/>
      <c r="CY14" s="82"/>
      <c r="CZ14" s="82">
        <v>0.03</v>
      </c>
      <c r="DA14" s="82">
        <v>2850</v>
      </c>
      <c r="DB14" s="82">
        <f>+I14*CZ14/30*DA14</f>
        <v>26947.386290999995</v>
      </c>
      <c r="DC14" s="9">
        <f t="shared" si="0"/>
        <v>30</v>
      </c>
      <c r="DF14" s="9"/>
    </row>
    <row r="15" spans="1:110" x14ac:dyDescent="0.2">
      <c r="C15" s="82"/>
      <c r="D15" s="82"/>
      <c r="E15" s="82"/>
      <c r="F15" s="82"/>
      <c r="G15" s="82"/>
      <c r="H15" s="82"/>
      <c r="I15" s="82"/>
      <c r="J15" s="82">
        <f>+'[8]RES CUENTA'!$O$18</f>
        <v>7258.1237959999999</v>
      </c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  <c r="BT15" s="82"/>
      <c r="BU15" s="82"/>
      <c r="BV15" s="82"/>
      <c r="BW15" s="82"/>
      <c r="BX15" s="82"/>
      <c r="BY15" s="82"/>
      <c r="BZ15" s="82"/>
      <c r="CA15" s="82"/>
      <c r="CB15" s="82"/>
      <c r="CC15" s="82"/>
      <c r="CD15" s="82"/>
      <c r="CE15" s="82"/>
      <c r="CF15" s="82"/>
      <c r="CG15" s="82"/>
      <c r="CH15" s="82"/>
      <c r="CI15" s="82"/>
      <c r="CJ15" s="82"/>
      <c r="CK15" s="82"/>
      <c r="CL15" s="82"/>
      <c r="CM15" s="82"/>
      <c r="CN15" s="82"/>
      <c r="CO15" s="82"/>
      <c r="CP15" s="82"/>
      <c r="CQ15" s="82"/>
      <c r="CR15" s="82"/>
      <c r="CS15" s="82"/>
      <c r="CT15" s="82"/>
      <c r="CU15" s="82"/>
      <c r="CV15" s="82"/>
      <c r="CW15" s="82"/>
      <c r="CX15" s="82"/>
      <c r="CY15" s="82"/>
      <c r="CZ15" s="82">
        <v>0.03</v>
      </c>
      <c r="DA15" s="82">
        <v>2820</v>
      </c>
      <c r="DB15" s="82">
        <f>+J15*CZ15/30*DA15</f>
        <v>20467.909104720002</v>
      </c>
      <c r="DC15" s="9">
        <f t="shared" si="0"/>
        <v>30</v>
      </c>
      <c r="DF15" s="9"/>
    </row>
    <row r="16" spans="1:110" x14ac:dyDescent="0.2">
      <c r="C16" s="82"/>
      <c r="D16" s="82"/>
      <c r="E16" s="82"/>
      <c r="F16" s="82"/>
      <c r="G16" s="82"/>
      <c r="H16" s="82"/>
      <c r="I16" s="82"/>
      <c r="J16" s="82"/>
      <c r="K16" s="82">
        <f>+'[9]RES CUENTA'!$O$18</f>
        <v>10081.522378666667</v>
      </c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82"/>
      <c r="CH16" s="82"/>
      <c r="CI16" s="82"/>
      <c r="CJ16" s="82"/>
      <c r="CK16" s="82"/>
      <c r="CL16" s="82"/>
      <c r="CM16" s="82"/>
      <c r="CN16" s="82"/>
      <c r="CO16" s="82"/>
      <c r="CP16" s="82"/>
      <c r="CQ16" s="82"/>
      <c r="CR16" s="82"/>
      <c r="CS16" s="82"/>
      <c r="CT16" s="82"/>
      <c r="CU16" s="82"/>
      <c r="CV16" s="82"/>
      <c r="CW16" s="82"/>
      <c r="CX16" s="82"/>
      <c r="CY16" s="82"/>
      <c r="CZ16" s="82">
        <v>0.03</v>
      </c>
      <c r="DA16" s="82">
        <v>2790</v>
      </c>
      <c r="DB16" s="82">
        <f>+K16*CZ16/30*DA16</f>
        <v>28127.447436480001</v>
      </c>
      <c r="DC16" s="9">
        <f t="shared" si="0"/>
        <v>30</v>
      </c>
      <c r="DF16" s="9"/>
    </row>
    <row r="17" spans="3:110" x14ac:dyDescent="0.2">
      <c r="C17" s="82"/>
      <c r="D17" s="82"/>
      <c r="E17" s="82"/>
      <c r="F17" s="82"/>
      <c r="G17" s="82"/>
      <c r="H17" s="82"/>
      <c r="I17" s="82"/>
      <c r="J17" s="82"/>
      <c r="K17" s="82"/>
      <c r="L17" s="82">
        <f>+'[10]RES CUENTA'!$O$18</f>
        <v>9702.7528826666676</v>
      </c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R17" s="82"/>
      <c r="CS17" s="82"/>
      <c r="CT17" s="82"/>
      <c r="CU17" s="82"/>
      <c r="CV17" s="82"/>
      <c r="CW17" s="82"/>
      <c r="CX17" s="82"/>
      <c r="CY17" s="82"/>
      <c r="CZ17" s="82">
        <v>0.03</v>
      </c>
      <c r="DA17" s="82">
        <v>2760</v>
      </c>
      <c r="DB17" s="82">
        <f>+L17*CZ17/30*DA17</f>
        <v>26779.59795616</v>
      </c>
      <c r="DC17" s="9">
        <f t="shared" si="0"/>
        <v>30</v>
      </c>
      <c r="DF17" s="9"/>
    </row>
    <row r="18" spans="3:110" x14ac:dyDescent="0.2"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>
        <f>+'[11]RES CUENTA'!$O$18</f>
        <v>14227.098336266667</v>
      </c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I18" s="82"/>
      <c r="CJ18" s="82"/>
      <c r="CK18" s="82"/>
      <c r="CL18" s="82"/>
      <c r="CM18" s="82"/>
      <c r="CN18" s="82"/>
      <c r="CO18" s="82"/>
      <c r="CP18" s="82"/>
      <c r="CQ18" s="82"/>
      <c r="CR18" s="82"/>
      <c r="CS18" s="82"/>
      <c r="CT18" s="82"/>
      <c r="CU18" s="82"/>
      <c r="CV18" s="82"/>
      <c r="CW18" s="82"/>
      <c r="CX18" s="82"/>
      <c r="CY18" s="82"/>
      <c r="CZ18" s="82">
        <v>0.03</v>
      </c>
      <c r="DA18" s="82">
        <v>2730</v>
      </c>
      <c r="DB18" s="82">
        <f>+M18*CZ18/30*DA18</f>
        <v>38839.978458008001</v>
      </c>
      <c r="DC18" s="9">
        <f t="shared" si="0"/>
        <v>30</v>
      </c>
      <c r="DF18" s="9"/>
    </row>
    <row r="19" spans="3:110" x14ac:dyDescent="0.2"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>
        <f>+'[12]RES CUENTA'!$O$18</f>
        <v>14621.914150666664</v>
      </c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82"/>
      <c r="BY19" s="82"/>
      <c r="BZ19" s="82"/>
      <c r="CA19" s="82"/>
      <c r="CB19" s="82"/>
      <c r="CC19" s="82"/>
      <c r="CD19" s="82"/>
      <c r="CE19" s="82"/>
      <c r="CF19" s="82"/>
      <c r="CG19" s="82"/>
      <c r="CH19" s="82"/>
      <c r="CI19" s="82"/>
      <c r="CJ19" s="82"/>
      <c r="CK19" s="82"/>
      <c r="CL19" s="82"/>
      <c r="CM19" s="82"/>
      <c r="CN19" s="82"/>
      <c r="CO19" s="82"/>
      <c r="CP19" s="82"/>
      <c r="CQ19" s="82"/>
      <c r="CR19" s="82"/>
      <c r="CS19" s="82"/>
      <c r="CT19" s="82"/>
      <c r="CU19" s="82"/>
      <c r="CV19" s="82"/>
      <c r="CW19" s="82"/>
      <c r="CX19" s="82"/>
      <c r="CY19" s="82"/>
      <c r="CZ19" s="82">
        <v>0.03</v>
      </c>
      <c r="DA19" s="82">
        <v>2700</v>
      </c>
      <c r="DB19" s="82">
        <f>+N19*CZ19/30*DA19</f>
        <v>39479.168206799994</v>
      </c>
      <c r="DC19" s="9">
        <f t="shared" si="0"/>
        <v>30</v>
      </c>
      <c r="DF19" s="9"/>
    </row>
    <row r="20" spans="3:110" x14ac:dyDescent="0.2"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>
        <f>+'[13]RES CUENTA'!$O$18</f>
        <v>15154.505272666665</v>
      </c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I20" s="82"/>
      <c r="CJ20" s="82"/>
      <c r="CK20" s="82"/>
      <c r="CL20" s="82"/>
      <c r="CM20" s="82"/>
      <c r="CN20" s="82"/>
      <c r="CO20" s="82"/>
      <c r="CP20" s="82"/>
      <c r="CQ20" s="82"/>
      <c r="CR20" s="82"/>
      <c r="CS20" s="82"/>
      <c r="CT20" s="82"/>
      <c r="CU20" s="82"/>
      <c r="CV20" s="82"/>
      <c r="CW20" s="82"/>
      <c r="CX20" s="82"/>
      <c r="CY20" s="82"/>
      <c r="CZ20" s="82">
        <v>0.03</v>
      </c>
      <c r="DA20" s="82">
        <v>2670</v>
      </c>
      <c r="DB20" s="82">
        <f>+O20*CZ20/30*DA20</f>
        <v>40462.529078019994</v>
      </c>
      <c r="DC20" s="9">
        <f t="shared" si="0"/>
        <v>30</v>
      </c>
      <c r="DF20" s="9"/>
    </row>
    <row r="21" spans="3:110" x14ac:dyDescent="0.2"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>
        <f>+'[14]RES CUENTA'!$O$18</f>
        <v>14019.753626666665</v>
      </c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  <c r="BT21" s="82"/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2"/>
      <c r="CF21" s="82"/>
      <c r="CG21" s="82"/>
      <c r="CH21" s="82"/>
      <c r="CI21" s="82"/>
      <c r="CJ21" s="82"/>
      <c r="CK21" s="82"/>
      <c r="CL21" s="82"/>
      <c r="CM21" s="82"/>
      <c r="CN21" s="82"/>
      <c r="CO21" s="82"/>
      <c r="CP21" s="82"/>
      <c r="CQ21" s="82"/>
      <c r="CR21" s="82"/>
      <c r="CS21" s="82"/>
      <c r="CT21" s="82"/>
      <c r="CU21" s="82"/>
      <c r="CV21" s="82"/>
      <c r="CW21" s="82"/>
      <c r="CX21" s="82"/>
      <c r="CY21" s="82"/>
      <c r="CZ21" s="82">
        <v>0.03</v>
      </c>
      <c r="DA21" s="82">
        <v>2640</v>
      </c>
      <c r="DB21" s="82">
        <f>+P21*CZ21/30*DA21</f>
        <v>37012.149574399999</v>
      </c>
      <c r="DC21" s="9">
        <f t="shared" si="0"/>
        <v>30</v>
      </c>
      <c r="DF21" s="9"/>
    </row>
    <row r="22" spans="3:110" x14ac:dyDescent="0.2"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>
        <f>+'[15]RES CUENTA'!$O$18</f>
        <v>13731.776286666665</v>
      </c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I22" s="82"/>
      <c r="CJ22" s="82"/>
      <c r="CK22" s="82"/>
      <c r="CL22" s="82"/>
      <c r="CM22" s="82"/>
      <c r="CN22" s="82"/>
      <c r="CO22" s="82"/>
      <c r="CP22" s="82"/>
      <c r="CQ22" s="82"/>
      <c r="CR22" s="82"/>
      <c r="CS22" s="82"/>
      <c r="CT22" s="82"/>
      <c r="CU22" s="82"/>
      <c r="CV22" s="82"/>
      <c r="CW22" s="82"/>
      <c r="CX22" s="82"/>
      <c r="CY22" s="82"/>
      <c r="CZ22" s="82">
        <v>0.03</v>
      </c>
      <c r="DA22" s="82">
        <v>2610</v>
      </c>
      <c r="DB22" s="82">
        <f>+Q22*CZ22/30*DA22</f>
        <v>35839.936108199996</v>
      </c>
      <c r="DC22" s="9">
        <f t="shared" si="0"/>
        <v>30</v>
      </c>
      <c r="DF22" s="9"/>
    </row>
    <row r="23" spans="3:110" x14ac:dyDescent="0.2"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>
        <f>+'[16]RES CUENTA'!$O$18</f>
        <v>14197.886070666666</v>
      </c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I23" s="82"/>
      <c r="CJ23" s="82"/>
      <c r="CK23" s="82"/>
      <c r="CL23" s="82"/>
      <c r="CM23" s="82"/>
      <c r="CN23" s="82"/>
      <c r="CO23" s="82"/>
      <c r="CP23" s="82"/>
      <c r="CQ23" s="82"/>
      <c r="CR23" s="82"/>
      <c r="CS23" s="82"/>
      <c r="CT23" s="82"/>
      <c r="CU23" s="82"/>
      <c r="CV23" s="82"/>
      <c r="CW23" s="82"/>
      <c r="CX23" s="82"/>
      <c r="CY23" s="82"/>
      <c r="CZ23" s="82">
        <v>0.03</v>
      </c>
      <c r="DA23" s="82">
        <v>2580</v>
      </c>
      <c r="DB23" s="82">
        <f>+R23*CZ23/30*DA23</f>
        <v>36630.546062319998</v>
      </c>
      <c r="DC23" s="9">
        <f t="shared" si="0"/>
        <v>30</v>
      </c>
      <c r="DF23" s="9"/>
    </row>
    <row r="24" spans="3:110" x14ac:dyDescent="0.2"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>
        <f>+'[17]RES CUENTA'!$O$18</f>
        <v>13290.119597066665</v>
      </c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  <c r="BT24" s="82"/>
      <c r="BU24" s="82"/>
      <c r="BV24" s="82"/>
      <c r="BW24" s="82"/>
      <c r="BX24" s="82"/>
      <c r="BY24" s="82"/>
      <c r="BZ24" s="82"/>
      <c r="CA24" s="82"/>
      <c r="CB24" s="82"/>
      <c r="CC24" s="82"/>
      <c r="CD24" s="82"/>
      <c r="CE24" s="82"/>
      <c r="CF24" s="82"/>
      <c r="CG24" s="82"/>
      <c r="CH24" s="82"/>
      <c r="CI24" s="82"/>
      <c r="CJ24" s="82"/>
      <c r="CK24" s="82"/>
      <c r="CL24" s="82"/>
      <c r="CM24" s="82"/>
      <c r="CN24" s="82"/>
      <c r="CO24" s="82"/>
      <c r="CP24" s="82"/>
      <c r="CQ24" s="82"/>
      <c r="CR24" s="82"/>
      <c r="CS24" s="82"/>
      <c r="CT24" s="82"/>
      <c r="CU24" s="82"/>
      <c r="CV24" s="82"/>
      <c r="CW24" s="82"/>
      <c r="CX24" s="82"/>
      <c r="CY24" s="82"/>
      <c r="CZ24" s="82">
        <v>0.03</v>
      </c>
      <c r="DA24" s="82">
        <v>2550</v>
      </c>
      <c r="DB24" s="82">
        <f>+S24*CZ24/30*DA24</f>
        <v>33889.804972519996</v>
      </c>
      <c r="DC24" s="9">
        <f t="shared" si="0"/>
        <v>30</v>
      </c>
      <c r="DF24" s="9"/>
    </row>
    <row r="25" spans="3:110" x14ac:dyDescent="0.2"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>
        <f>+'[18]RES CUENTA'!$O$18</f>
        <v>14125.289691286667</v>
      </c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82"/>
      <c r="BU25" s="82"/>
      <c r="BV25" s="82"/>
      <c r="BW25" s="82"/>
      <c r="BX25" s="82"/>
      <c r="BY25" s="82"/>
      <c r="BZ25" s="82"/>
      <c r="CA25" s="82"/>
      <c r="CB25" s="82"/>
      <c r="CC25" s="82"/>
      <c r="CD25" s="82"/>
      <c r="CE25" s="82"/>
      <c r="CF25" s="82"/>
      <c r="CG25" s="82"/>
      <c r="CH25" s="82"/>
      <c r="CI25" s="82"/>
      <c r="CJ25" s="82"/>
      <c r="CK25" s="82"/>
      <c r="CL25" s="82"/>
      <c r="CM25" s="82"/>
      <c r="CN25" s="82"/>
      <c r="CO25" s="82"/>
      <c r="CP25" s="82"/>
      <c r="CQ25" s="82"/>
      <c r="CR25" s="82"/>
      <c r="CS25" s="82"/>
      <c r="CT25" s="82"/>
      <c r="CU25" s="82"/>
      <c r="CV25" s="82"/>
      <c r="CW25" s="82"/>
      <c r="CX25" s="82"/>
      <c r="CY25" s="82"/>
      <c r="CZ25" s="82">
        <v>0.03</v>
      </c>
      <c r="DA25" s="82">
        <v>2520</v>
      </c>
      <c r="DB25" s="82">
        <f>+T25*CZ25/30*DA25</f>
        <v>35595.7300220424</v>
      </c>
      <c r="DC25" s="9">
        <f t="shared" si="0"/>
        <v>30</v>
      </c>
      <c r="DF25" s="9"/>
    </row>
    <row r="26" spans="3:110" x14ac:dyDescent="0.2"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>
        <f>+'[19]RES CUENTA'!$O$18</f>
        <v>17870.850955766662</v>
      </c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2"/>
      <c r="BY26" s="82"/>
      <c r="BZ26" s="82"/>
      <c r="CA26" s="82"/>
      <c r="CB26" s="82"/>
      <c r="CC26" s="82"/>
      <c r="CD26" s="82"/>
      <c r="CE26" s="82"/>
      <c r="CF26" s="82"/>
      <c r="CG26" s="82"/>
      <c r="CH26" s="82"/>
      <c r="CI26" s="82"/>
      <c r="CJ26" s="82"/>
      <c r="CK26" s="82"/>
      <c r="CL26" s="82"/>
      <c r="CM26" s="82"/>
      <c r="CN26" s="82"/>
      <c r="CO26" s="82"/>
      <c r="CP26" s="82"/>
      <c r="CQ26" s="82"/>
      <c r="CR26" s="82"/>
      <c r="CS26" s="82"/>
      <c r="CT26" s="82"/>
      <c r="CU26" s="82"/>
      <c r="CV26" s="82"/>
      <c r="CW26" s="82"/>
      <c r="CX26" s="82"/>
      <c r="CY26" s="82"/>
      <c r="CZ26" s="82">
        <v>0.03</v>
      </c>
      <c r="DA26" s="82">
        <v>2490</v>
      </c>
      <c r="DB26" s="82">
        <f>+U26*CZ26/30*DA26</f>
        <v>44498.418879858989</v>
      </c>
      <c r="DC26" s="9">
        <f t="shared" si="0"/>
        <v>30</v>
      </c>
      <c r="DF26" s="9"/>
    </row>
    <row r="27" spans="3:110" x14ac:dyDescent="0.2"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>
        <f>+'[20]RES CUENTA'!$O$18</f>
        <v>12458.019231466662</v>
      </c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  <c r="BY27" s="82"/>
      <c r="BZ27" s="82"/>
      <c r="CA27" s="82"/>
      <c r="CB27" s="82"/>
      <c r="CC27" s="82"/>
      <c r="CD27" s="82"/>
      <c r="CE27" s="82"/>
      <c r="CF27" s="82"/>
      <c r="CG27" s="82"/>
      <c r="CH27" s="82"/>
      <c r="CI27" s="82"/>
      <c r="CJ27" s="82"/>
      <c r="CK27" s="82"/>
      <c r="CL27" s="82"/>
      <c r="CM27" s="82"/>
      <c r="CN27" s="82"/>
      <c r="CO27" s="82"/>
      <c r="CP27" s="82"/>
      <c r="CQ27" s="82"/>
      <c r="CR27" s="82"/>
      <c r="CS27" s="82"/>
      <c r="CT27" s="82"/>
      <c r="CU27" s="82"/>
      <c r="CV27" s="82"/>
      <c r="CW27" s="82"/>
      <c r="CX27" s="82"/>
      <c r="CY27" s="82"/>
      <c r="CZ27" s="82">
        <v>0.03</v>
      </c>
      <c r="DA27" s="82">
        <v>2460</v>
      </c>
      <c r="DB27" s="82">
        <f>+V27*CZ27/30*DA27</f>
        <v>30646.727309407986</v>
      </c>
      <c r="DC27" s="9">
        <f t="shared" si="0"/>
        <v>30</v>
      </c>
      <c r="DF27" s="9"/>
    </row>
    <row r="28" spans="3:110" x14ac:dyDescent="0.2"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>
        <f>+'[21]RES CUENTA'!$O$18</f>
        <v>12797.667995755999</v>
      </c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82"/>
      <c r="BW28" s="82"/>
      <c r="BX28" s="82"/>
      <c r="BY28" s="82"/>
      <c r="BZ28" s="82"/>
      <c r="CA28" s="82"/>
      <c r="CB28" s="82"/>
      <c r="CC28" s="82"/>
      <c r="CD28" s="82"/>
      <c r="CE28" s="82"/>
      <c r="CF28" s="82"/>
      <c r="CG28" s="82"/>
      <c r="CH28" s="82"/>
      <c r="CI28" s="82"/>
      <c r="CJ28" s="82"/>
      <c r="CK28" s="82"/>
      <c r="CL28" s="82"/>
      <c r="CM28" s="82"/>
      <c r="CN28" s="82"/>
      <c r="CO28" s="82"/>
      <c r="CP28" s="82"/>
      <c r="CQ28" s="82"/>
      <c r="CR28" s="82"/>
      <c r="CS28" s="82"/>
      <c r="CT28" s="82"/>
      <c r="CU28" s="82"/>
      <c r="CV28" s="82"/>
      <c r="CW28" s="82"/>
      <c r="CX28" s="82"/>
      <c r="CY28" s="82"/>
      <c r="CZ28" s="82">
        <v>0.03</v>
      </c>
      <c r="DA28" s="82">
        <v>2430</v>
      </c>
      <c r="DB28" s="82">
        <f>+W28*CZ28/30*DA28</f>
        <v>31098.333229687079</v>
      </c>
      <c r="DC28" s="9">
        <f t="shared" si="0"/>
        <v>30</v>
      </c>
      <c r="DF28" s="9"/>
    </row>
    <row r="29" spans="3:110" x14ac:dyDescent="0.2"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>
        <f>+'[22]RES CUENTA'!$O$18</f>
        <v>12868.023629439997</v>
      </c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82"/>
      <c r="BU29" s="82"/>
      <c r="BV29" s="82"/>
      <c r="BW29" s="82"/>
      <c r="BX29" s="82"/>
      <c r="BY29" s="82"/>
      <c r="BZ29" s="82"/>
      <c r="CA29" s="82"/>
      <c r="CB29" s="82"/>
      <c r="CC29" s="82"/>
      <c r="CD29" s="82"/>
      <c r="CE29" s="82"/>
      <c r="CF29" s="82"/>
      <c r="CG29" s="82"/>
      <c r="CH29" s="82"/>
      <c r="CI29" s="82"/>
      <c r="CJ29" s="82"/>
      <c r="CK29" s="82"/>
      <c r="CL29" s="82"/>
      <c r="CM29" s="82"/>
      <c r="CN29" s="82"/>
      <c r="CO29" s="82"/>
      <c r="CP29" s="82"/>
      <c r="CQ29" s="82"/>
      <c r="CR29" s="82"/>
      <c r="CS29" s="82"/>
      <c r="CT29" s="82"/>
      <c r="CU29" s="82"/>
      <c r="CV29" s="82"/>
      <c r="CW29" s="82"/>
      <c r="CX29" s="82"/>
      <c r="CY29" s="82"/>
      <c r="CZ29" s="82">
        <v>0.03</v>
      </c>
      <c r="DA29" s="82">
        <v>2400</v>
      </c>
      <c r="DB29" s="82">
        <f>+X29*CZ29/30*DA29</f>
        <v>30883.256710655991</v>
      </c>
      <c r="DC29" s="9">
        <f t="shared" si="0"/>
        <v>30</v>
      </c>
      <c r="DF29" s="9"/>
    </row>
    <row r="30" spans="3:110" x14ac:dyDescent="0.2"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>
        <f>+'[23]RES CUENTA'!$O$18</f>
        <v>15642.940466999997</v>
      </c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82"/>
      <c r="BU30" s="82"/>
      <c r="BV30" s="82"/>
      <c r="BW30" s="82"/>
      <c r="BX30" s="82"/>
      <c r="BY30" s="82"/>
      <c r="BZ30" s="82"/>
      <c r="CA30" s="82"/>
      <c r="CB30" s="82"/>
      <c r="CC30" s="82"/>
      <c r="CD30" s="82"/>
      <c r="CE30" s="82"/>
      <c r="CF30" s="82"/>
      <c r="CG30" s="82"/>
      <c r="CH30" s="82"/>
      <c r="CI30" s="82"/>
      <c r="CJ30" s="82"/>
      <c r="CK30" s="82"/>
      <c r="CL30" s="82"/>
      <c r="CM30" s="82"/>
      <c r="CN30" s="82"/>
      <c r="CO30" s="82"/>
      <c r="CP30" s="82"/>
      <c r="CQ30" s="82"/>
      <c r="CR30" s="82"/>
      <c r="CS30" s="82"/>
      <c r="CT30" s="82"/>
      <c r="CU30" s="82"/>
      <c r="CV30" s="82"/>
      <c r="CW30" s="82"/>
      <c r="CX30" s="82"/>
      <c r="CY30" s="82"/>
      <c r="CZ30" s="82">
        <v>0.03</v>
      </c>
      <c r="DA30" s="82">
        <v>2370</v>
      </c>
      <c r="DB30" s="82">
        <f>+Y30*CZ30/30*DA30</f>
        <v>37073.768906789992</v>
      </c>
      <c r="DC30" s="9">
        <f t="shared" si="0"/>
        <v>30</v>
      </c>
      <c r="DF30" s="9"/>
    </row>
    <row r="31" spans="3:110" x14ac:dyDescent="0.2"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>
        <f>+'[24]RES CUENTA'!$O$18</f>
        <v>16047.562934199996</v>
      </c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82"/>
      <c r="BU31" s="82"/>
      <c r="BV31" s="82"/>
      <c r="BW31" s="82"/>
      <c r="BX31" s="82"/>
      <c r="BY31" s="82"/>
      <c r="BZ31" s="82"/>
      <c r="CA31" s="82"/>
      <c r="CB31" s="82"/>
      <c r="CC31" s="82"/>
      <c r="CD31" s="82"/>
      <c r="CE31" s="82"/>
      <c r="CF31" s="82"/>
      <c r="CG31" s="82"/>
      <c r="CH31" s="82"/>
      <c r="CI31" s="82"/>
      <c r="CJ31" s="82"/>
      <c r="CK31" s="82"/>
      <c r="CL31" s="82"/>
      <c r="CM31" s="82"/>
      <c r="CN31" s="82"/>
      <c r="CO31" s="82"/>
      <c r="CP31" s="82"/>
      <c r="CQ31" s="82"/>
      <c r="CR31" s="82"/>
      <c r="CS31" s="82"/>
      <c r="CT31" s="82"/>
      <c r="CU31" s="82"/>
      <c r="CV31" s="82"/>
      <c r="CW31" s="82"/>
      <c r="CX31" s="82"/>
      <c r="CY31" s="82"/>
      <c r="CZ31" s="82">
        <v>0.03</v>
      </c>
      <c r="DA31" s="82">
        <v>2340</v>
      </c>
      <c r="DB31" s="82">
        <f>+Z31*CZ31/30*DA31</f>
        <v>37551.297266027985</v>
      </c>
      <c r="DC31" s="9">
        <f t="shared" si="0"/>
        <v>30</v>
      </c>
      <c r="DF31" s="9"/>
    </row>
    <row r="32" spans="3:110" x14ac:dyDescent="0.2"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>
        <f>+'[25]RES CUENTA'!$O$18</f>
        <v>16392.666426499996</v>
      </c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82"/>
      <c r="BU32" s="82"/>
      <c r="BV32" s="82"/>
      <c r="BW32" s="82"/>
      <c r="BX32" s="82"/>
      <c r="BY32" s="82"/>
      <c r="BZ32" s="82"/>
      <c r="CA32" s="82"/>
      <c r="CB32" s="82"/>
      <c r="CC32" s="82"/>
      <c r="CD32" s="82"/>
      <c r="CE32" s="82"/>
      <c r="CF32" s="82"/>
      <c r="CG32" s="82"/>
      <c r="CH32" s="82"/>
      <c r="CI32" s="82"/>
      <c r="CJ32" s="82"/>
      <c r="CK32" s="82"/>
      <c r="CL32" s="82"/>
      <c r="CM32" s="82"/>
      <c r="CN32" s="82"/>
      <c r="CO32" s="82"/>
      <c r="CP32" s="82"/>
      <c r="CQ32" s="82"/>
      <c r="CR32" s="82"/>
      <c r="CS32" s="82"/>
      <c r="CT32" s="82"/>
      <c r="CU32" s="82"/>
      <c r="CV32" s="82"/>
      <c r="CW32" s="82"/>
      <c r="CX32" s="82"/>
      <c r="CY32" s="82"/>
      <c r="CZ32" s="82">
        <v>0.03</v>
      </c>
      <c r="DA32" s="82">
        <v>2310</v>
      </c>
      <c r="DB32" s="82">
        <f>+AA32*CZ32/30*DA32</f>
        <v>37867.059445214989</v>
      </c>
      <c r="DC32" s="9">
        <f t="shared" si="0"/>
        <v>30</v>
      </c>
      <c r="DF32" s="9"/>
    </row>
    <row r="33" spans="3:110" x14ac:dyDescent="0.2"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>
        <f>+'[26]RES CUENTA'!$O$18</f>
        <v>14379.200490199995</v>
      </c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82"/>
      <c r="BU33" s="82"/>
      <c r="BV33" s="82"/>
      <c r="BW33" s="82"/>
      <c r="BX33" s="82"/>
      <c r="BY33" s="82"/>
      <c r="BZ33" s="82"/>
      <c r="CA33" s="82"/>
      <c r="CB33" s="82"/>
      <c r="CC33" s="82"/>
      <c r="CD33" s="82"/>
      <c r="CE33" s="82"/>
      <c r="CF33" s="82"/>
      <c r="CG33" s="82"/>
      <c r="CH33" s="82"/>
      <c r="CI33" s="82"/>
      <c r="CJ33" s="82"/>
      <c r="CK33" s="82"/>
      <c r="CL33" s="82"/>
      <c r="CM33" s="82"/>
      <c r="CN33" s="82"/>
      <c r="CO33" s="82"/>
      <c r="CP33" s="82"/>
      <c r="CQ33" s="82"/>
      <c r="CR33" s="82"/>
      <c r="CS33" s="82"/>
      <c r="CT33" s="82"/>
      <c r="CU33" s="82"/>
      <c r="CV33" s="82"/>
      <c r="CW33" s="82"/>
      <c r="CX33" s="82"/>
      <c r="CY33" s="82"/>
      <c r="CZ33" s="82">
        <v>0.03</v>
      </c>
      <c r="DA33" s="82">
        <v>2280</v>
      </c>
      <c r="DB33" s="82">
        <f>+AB33*CZ33/30*DA33</f>
        <v>32784.577117655987</v>
      </c>
      <c r="DC33" s="9">
        <f t="shared" si="0"/>
        <v>30</v>
      </c>
      <c r="DF33" s="9"/>
    </row>
    <row r="34" spans="3:110" x14ac:dyDescent="0.2"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>
        <f>+'[27]RES CUENTA'!$O$18</f>
        <v>14729.463466199997</v>
      </c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82"/>
      <c r="CC34" s="82"/>
      <c r="CD34" s="82"/>
      <c r="CE34" s="82"/>
      <c r="CF34" s="82"/>
      <c r="CG34" s="82"/>
      <c r="CH34" s="82"/>
      <c r="CI34" s="82"/>
      <c r="CJ34" s="82"/>
      <c r="CK34" s="82"/>
      <c r="CL34" s="82"/>
      <c r="CM34" s="82"/>
      <c r="CN34" s="82"/>
      <c r="CO34" s="82"/>
      <c r="CP34" s="82"/>
      <c r="CQ34" s="82"/>
      <c r="CR34" s="82"/>
      <c r="CS34" s="82"/>
      <c r="CT34" s="82"/>
      <c r="CU34" s="82"/>
      <c r="CV34" s="82"/>
      <c r="CW34" s="82"/>
      <c r="CX34" s="82"/>
      <c r="CY34" s="82"/>
      <c r="CZ34" s="82">
        <v>0.03</v>
      </c>
      <c r="DA34" s="82">
        <v>2250</v>
      </c>
      <c r="DB34" s="82">
        <f>+AC34*CZ34/30*DA34</f>
        <v>33141.292798949995</v>
      </c>
      <c r="DC34" s="9">
        <f t="shared" si="0"/>
        <v>30</v>
      </c>
      <c r="DF34" s="9"/>
    </row>
    <row r="35" spans="3:110" x14ac:dyDescent="0.2"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>
        <f>+'[28]RES CUENTA'!$O$18</f>
        <v>15688.459947999998</v>
      </c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82"/>
      <c r="BU35" s="82"/>
      <c r="BV35" s="82"/>
      <c r="BW35" s="82"/>
      <c r="BX35" s="82"/>
      <c r="BY35" s="82"/>
      <c r="BZ35" s="82"/>
      <c r="CA35" s="82"/>
      <c r="CB35" s="82"/>
      <c r="CC35" s="82"/>
      <c r="CD35" s="82"/>
      <c r="CE35" s="82"/>
      <c r="CF35" s="82"/>
      <c r="CG35" s="82"/>
      <c r="CH35" s="82"/>
      <c r="CI35" s="82"/>
      <c r="CJ35" s="82"/>
      <c r="CK35" s="82"/>
      <c r="CL35" s="82"/>
      <c r="CM35" s="82"/>
      <c r="CN35" s="82"/>
      <c r="CO35" s="82"/>
      <c r="CP35" s="82"/>
      <c r="CQ35" s="82"/>
      <c r="CR35" s="82"/>
      <c r="CS35" s="82"/>
      <c r="CT35" s="82"/>
      <c r="CU35" s="82"/>
      <c r="CV35" s="82"/>
      <c r="CW35" s="82"/>
      <c r="CX35" s="82"/>
      <c r="CY35" s="82"/>
      <c r="CZ35" s="82">
        <v>0.03</v>
      </c>
      <c r="DA35" s="82">
        <v>2220</v>
      </c>
      <c r="DB35" s="82">
        <f>+AD35*CZ35/30*DA35</f>
        <v>34828.381084559995</v>
      </c>
      <c r="DC35" s="9">
        <f t="shared" si="0"/>
        <v>30</v>
      </c>
      <c r="DF35" s="9"/>
    </row>
    <row r="36" spans="3:110" x14ac:dyDescent="0.2"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>
        <f>+'[29]RES CUENTA'!$O$18</f>
        <v>15477.465583999998</v>
      </c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82"/>
      <c r="BU36" s="82"/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I36" s="82"/>
      <c r="CJ36" s="82"/>
      <c r="CK36" s="82"/>
      <c r="CL36" s="82"/>
      <c r="CM36" s="82"/>
      <c r="CN36" s="82"/>
      <c r="CO36" s="82"/>
      <c r="CP36" s="82"/>
      <c r="CQ36" s="82"/>
      <c r="CR36" s="82"/>
      <c r="CS36" s="82"/>
      <c r="CT36" s="82"/>
      <c r="CU36" s="82"/>
      <c r="CV36" s="82"/>
      <c r="CW36" s="82"/>
      <c r="CX36" s="82"/>
      <c r="CY36" s="82"/>
      <c r="CZ36" s="82">
        <v>0.03</v>
      </c>
      <c r="DA36" s="82">
        <v>2190</v>
      </c>
      <c r="DB36" s="82">
        <f>+AE36*CZ36/30*DA36</f>
        <v>33895.649628959996</v>
      </c>
      <c r="DC36" s="9">
        <f t="shared" si="0"/>
        <v>30</v>
      </c>
      <c r="DF36" s="9"/>
    </row>
    <row r="37" spans="3:110" x14ac:dyDescent="0.2"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>
        <f>+'[30]RES CUENTA'!$O$18</f>
        <v>14246.361003699998</v>
      </c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82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I37" s="82"/>
      <c r="CJ37" s="82"/>
      <c r="CK37" s="82"/>
      <c r="CL37" s="82"/>
      <c r="CM37" s="82"/>
      <c r="CN37" s="82"/>
      <c r="CO37" s="82"/>
      <c r="CP37" s="82"/>
      <c r="CQ37" s="82"/>
      <c r="CR37" s="82"/>
      <c r="CS37" s="82"/>
      <c r="CT37" s="82"/>
      <c r="CU37" s="82"/>
      <c r="CV37" s="82"/>
      <c r="CW37" s="82"/>
      <c r="CX37" s="82"/>
      <c r="CY37" s="82"/>
      <c r="CZ37" s="82">
        <v>0.03</v>
      </c>
      <c r="DA37" s="82">
        <v>2160</v>
      </c>
      <c r="DB37" s="82">
        <f>+AF37*CZ37/30*DA37</f>
        <v>30772.139767991994</v>
      </c>
      <c r="DC37" s="9">
        <f t="shared" si="0"/>
        <v>30</v>
      </c>
      <c r="DF37" s="9"/>
    </row>
    <row r="38" spans="3:110" x14ac:dyDescent="0.2"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>
        <f>+'[31]RES CUENTA'!$O$18</f>
        <v>14145.84388</v>
      </c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U38" s="82"/>
      <c r="BV38" s="82"/>
      <c r="BW38" s="82"/>
      <c r="BX38" s="82"/>
      <c r="BY38" s="82"/>
      <c r="BZ38" s="82"/>
      <c r="CA38" s="82"/>
      <c r="CB38" s="82"/>
      <c r="CC38" s="82"/>
      <c r="CD38" s="82"/>
      <c r="CE38" s="82"/>
      <c r="CF38" s="82"/>
      <c r="CG38" s="82"/>
      <c r="CH38" s="82"/>
      <c r="CI38" s="82"/>
      <c r="CJ38" s="82"/>
      <c r="CK38" s="82"/>
      <c r="CL38" s="82"/>
      <c r="CM38" s="82"/>
      <c r="CN38" s="82"/>
      <c r="CO38" s="82"/>
      <c r="CP38" s="82"/>
      <c r="CQ38" s="82"/>
      <c r="CR38" s="82"/>
      <c r="CS38" s="82"/>
      <c r="CT38" s="82"/>
      <c r="CU38" s="82"/>
      <c r="CV38" s="82"/>
      <c r="CW38" s="82"/>
      <c r="CX38" s="82"/>
      <c r="CY38" s="82"/>
      <c r="CZ38" s="82">
        <v>0.03</v>
      </c>
      <c r="DA38" s="82">
        <v>2130</v>
      </c>
      <c r="DB38" s="82">
        <f>+AG38*CZ38/30*DA38</f>
        <v>30130.647464399997</v>
      </c>
      <c r="DC38" s="9">
        <f t="shared" si="0"/>
        <v>30</v>
      </c>
      <c r="DF38" s="9"/>
    </row>
    <row r="39" spans="3:110" x14ac:dyDescent="0.2"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>
        <f>+'[32]RES CUENTA'!$O$18</f>
        <v>14164.853919999996</v>
      </c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82"/>
      <c r="BU39" s="82"/>
      <c r="BV39" s="82"/>
      <c r="BW39" s="82"/>
      <c r="BX39" s="82"/>
      <c r="BY39" s="82"/>
      <c r="BZ39" s="82"/>
      <c r="CA39" s="82"/>
      <c r="CB39" s="82"/>
      <c r="CC39" s="82"/>
      <c r="CD39" s="82"/>
      <c r="CE39" s="82"/>
      <c r="CF39" s="82"/>
      <c r="CG39" s="82"/>
      <c r="CH39" s="82"/>
      <c r="CI39" s="82"/>
      <c r="CJ39" s="82"/>
      <c r="CK39" s="82"/>
      <c r="CL39" s="82"/>
      <c r="CM39" s="82"/>
      <c r="CN39" s="82"/>
      <c r="CO39" s="82"/>
      <c r="CP39" s="82"/>
      <c r="CQ39" s="82"/>
      <c r="CR39" s="82"/>
      <c r="CS39" s="82"/>
      <c r="CT39" s="82"/>
      <c r="CU39" s="82"/>
      <c r="CV39" s="82"/>
      <c r="CW39" s="82"/>
      <c r="CX39" s="82"/>
      <c r="CY39" s="82"/>
      <c r="CZ39" s="82">
        <v>0.03</v>
      </c>
      <c r="DA39" s="82">
        <v>2100</v>
      </c>
      <c r="DB39" s="82">
        <f>+AH39*CZ39/30*DA39</f>
        <v>29746.193231999991</v>
      </c>
      <c r="DC39" s="9">
        <f t="shared" si="0"/>
        <v>30</v>
      </c>
      <c r="DF39" s="9"/>
    </row>
    <row r="40" spans="3:110" x14ac:dyDescent="0.2"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>
        <f>+'[33]RES CUENTA'!$O$18</f>
        <v>18922.872219999997</v>
      </c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82"/>
      <c r="BU40" s="82"/>
      <c r="BV40" s="82"/>
      <c r="BW40" s="82"/>
      <c r="BX40" s="82"/>
      <c r="BY40" s="82"/>
      <c r="BZ40" s="82"/>
      <c r="CA40" s="82"/>
      <c r="CB40" s="82"/>
      <c r="CC40" s="82"/>
      <c r="CD40" s="82"/>
      <c r="CE40" s="82"/>
      <c r="CF40" s="82"/>
      <c r="CG40" s="82"/>
      <c r="CH40" s="82"/>
      <c r="CI40" s="82"/>
      <c r="CJ40" s="82"/>
      <c r="CK40" s="82"/>
      <c r="CL40" s="82"/>
      <c r="CM40" s="82"/>
      <c r="CN40" s="82"/>
      <c r="CO40" s="82"/>
      <c r="CP40" s="82"/>
      <c r="CQ40" s="82"/>
      <c r="CR40" s="82"/>
      <c r="CS40" s="82"/>
      <c r="CT40" s="82"/>
      <c r="CU40" s="82"/>
      <c r="CV40" s="82"/>
      <c r="CW40" s="82"/>
      <c r="CX40" s="82"/>
      <c r="CY40" s="82"/>
      <c r="CZ40" s="82">
        <v>0.03</v>
      </c>
      <c r="DA40" s="82">
        <v>2070</v>
      </c>
      <c r="DB40" s="82">
        <f>+AI40*CZ40/30*DA40</f>
        <v>39170.34549539999</v>
      </c>
      <c r="DC40" s="9">
        <f t="shared" si="0"/>
        <v>30</v>
      </c>
      <c r="DF40" s="9"/>
    </row>
    <row r="41" spans="3:110" x14ac:dyDescent="0.2"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>
        <f>+'[34]RES CUENTA'!$O$18</f>
        <v>17793.580195999999</v>
      </c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82"/>
      <c r="CW41" s="82"/>
      <c r="CX41" s="82"/>
      <c r="CY41" s="82"/>
      <c r="CZ41" s="82">
        <v>0.03</v>
      </c>
      <c r="DA41" s="82">
        <v>2040</v>
      </c>
      <c r="DB41" s="82">
        <f>+AJ41*CZ41/30*DA41</f>
        <v>36298.903599839992</v>
      </c>
      <c r="DC41" s="9">
        <f t="shared" si="0"/>
        <v>30</v>
      </c>
      <c r="DF41" s="9"/>
    </row>
    <row r="42" spans="3:110" x14ac:dyDescent="0.2"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>
        <f>+'[35]RES CUENTA'!$O$18</f>
        <v>17624.281527999996</v>
      </c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82"/>
      <c r="BU42" s="82"/>
      <c r="BV42" s="82"/>
      <c r="BW42" s="82"/>
      <c r="BX42" s="82"/>
      <c r="BY42" s="82"/>
      <c r="BZ42" s="82"/>
      <c r="CA42" s="82"/>
      <c r="CB42" s="82"/>
      <c r="CC42" s="82"/>
      <c r="CD42" s="82"/>
      <c r="CE42" s="82"/>
      <c r="CF42" s="82"/>
      <c r="CG42" s="82"/>
      <c r="CH42" s="82"/>
      <c r="CI42" s="82"/>
      <c r="CJ42" s="82"/>
      <c r="CK42" s="82"/>
      <c r="CL42" s="82"/>
      <c r="CM42" s="82"/>
      <c r="CN42" s="82"/>
      <c r="CO42" s="82"/>
      <c r="CP42" s="82"/>
      <c r="CQ42" s="82"/>
      <c r="CR42" s="82"/>
      <c r="CS42" s="82"/>
      <c r="CT42" s="82"/>
      <c r="CU42" s="82"/>
      <c r="CV42" s="82"/>
      <c r="CW42" s="82"/>
      <c r="CX42" s="82"/>
      <c r="CY42" s="82"/>
      <c r="CZ42" s="82">
        <v>0.03</v>
      </c>
      <c r="DA42" s="82">
        <v>2010</v>
      </c>
      <c r="DB42" s="82">
        <f>+AK42*CZ42/30*DA42</f>
        <v>35424.80587127999</v>
      </c>
      <c r="DC42" s="9">
        <f t="shared" si="0"/>
        <v>30</v>
      </c>
      <c r="DF42" s="9"/>
    </row>
    <row r="43" spans="3:110" x14ac:dyDescent="0.2"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>
        <f>+'[36]RES CUENTA'!$O$18</f>
        <v>17478.324387999997</v>
      </c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82"/>
      <c r="BU43" s="82"/>
      <c r="BV43" s="82"/>
      <c r="BW43" s="82"/>
      <c r="BX43" s="82"/>
      <c r="BY43" s="82"/>
      <c r="BZ43" s="82"/>
      <c r="CA43" s="82"/>
      <c r="CB43" s="82"/>
      <c r="CC43" s="82"/>
      <c r="CD43" s="82"/>
      <c r="CE43" s="82"/>
      <c r="CF43" s="82"/>
      <c r="CG43" s="82"/>
      <c r="CH43" s="82"/>
      <c r="CI43" s="82"/>
      <c r="CJ43" s="82"/>
      <c r="CK43" s="82"/>
      <c r="CL43" s="82"/>
      <c r="CM43" s="82"/>
      <c r="CN43" s="82"/>
      <c r="CO43" s="82"/>
      <c r="CP43" s="82"/>
      <c r="CQ43" s="82"/>
      <c r="CR43" s="82"/>
      <c r="CS43" s="82"/>
      <c r="CT43" s="82"/>
      <c r="CU43" s="82"/>
      <c r="CV43" s="82"/>
      <c r="CW43" s="82"/>
      <c r="CX43" s="82"/>
      <c r="CY43" s="82"/>
      <c r="CZ43" s="82">
        <v>0.03</v>
      </c>
      <c r="DA43" s="82">
        <v>1980</v>
      </c>
      <c r="DB43" s="82">
        <f>+AL43*CZ43/30*DA43</f>
        <v>34607.082288239988</v>
      </c>
      <c r="DC43" s="9">
        <f t="shared" si="0"/>
        <v>30</v>
      </c>
      <c r="DF43" s="9"/>
    </row>
    <row r="44" spans="3:110" x14ac:dyDescent="0.2"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>
        <f>+'[37]RES CUENTA'!$O$18</f>
        <v>20447.125579999996</v>
      </c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BT44" s="82"/>
      <c r="BU44" s="82"/>
      <c r="BV44" s="82"/>
      <c r="BW44" s="82"/>
      <c r="BX44" s="82"/>
      <c r="BY44" s="82"/>
      <c r="BZ44" s="82"/>
      <c r="CA44" s="82"/>
      <c r="CB44" s="82"/>
      <c r="CC44" s="82"/>
      <c r="CD44" s="82"/>
      <c r="CE44" s="82"/>
      <c r="CF44" s="82"/>
      <c r="CG44" s="82"/>
      <c r="CH44" s="82"/>
      <c r="CI44" s="82"/>
      <c r="CJ44" s="82"/>
      <c r="CK44" s="82"/>
      <c r="CL44" s="82"/>
      <c r="CM44" s="82"/>
      <c r="CN44" s="82"/>
      <c r="CO44" s="82"/>
      <c r="CP44" s="82"/>
      <c r="CQ44" s="82"/>
      <c r="CR44" s="82"/>
      <c r="CS44" s="82"/>
      <c r="CT44" s="82"/>
      <c r="CU44" s="82"/>
      <c r="CV44" s="82"/>
      <c r="CW44" s="82"/>
      <c r="CX44" s="82"/>
      <c r="CY44" s="82"/>
      <c r="CZ44" s="82">
        <v>0.03</v>
      </c>
      <c r="DA44" s="82">
        <v>1950</v>
      </c>
      <c r="DB44" s="82">
        <f>+AM44*CZ44/30*DA44</f>
        <v>39871.894880999986</v>
      </c>
      <c r="DC44" s="9">
        <f t="shared" si="0"/>
        <v>30</v>
      </c>
      <c r="DF44" s="9"/>
    </row>
    <row r="45" spans="3:110" x14ac:dyDescent="0.2"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>
        <f>+'[38]RES CUENTA'!$O$18</f>
        <v>19619.486851999998</v>
      </c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BT45" s="82"/>
      <c r="BU45" s="82"/>
      <c r="BV45" s="82"/>
      <c r="BW45" s="82"/>
      <c r="BX45" s="82"/>
      <c r="BY45" s="82"/>
      <c r="BZ45" s="82"/>
      <c r="CA45" s="82"/>
      <c r="CB45" s="82"/>
      <c r="CC45" s="82"/>
      <c r="CD45" s="82"/>
      <c r="CE45" s="82"/>
      <c r="CF45" s="82"/>
      <c r="CG45" s="82"/>
      <c r="CH45" s="82"/>
      <c r="CI45" s="82"/>
      <c r="CJ45" s="82"/>
      <c r="CK45" s="82"/>
      <c r="CL45" s="82"/>
      <c r="CM45" s="82"/>
      <c r="CN45" s="82"/>
      <c r="CO45" s="82"/>
      <c r="CP45" s="82"/>
      <c r="CQ45" s="82"/>
      <c r="CR45" s="82"/>
      <c r="CS45" s="82"/>
      <c r="CT45" s="82"/>
      <c r="CU45" s="82"/>
      <c r="CV45" s="82"/>
      <c r="CW45" s="82"/>
      <c r="CX45" s="82"/>
      <c r="CY45" s="82"/>
      <c r="CZ45" s="82">
        <v>0.03</v>
      </c>
      <c r="DA45" s="82">
        <v>1920</v>
      </c>
      <c r="DB45" s="82">
        <f>+AN45*CZ45/30*DA45</f>
        <v>37669.414755839993</v>
      </c>
      <c r="DC45" s="9">
        <f t="shared" si="0"/>
        <v>30</v>
      </c>
      <c r="DF45" s="9"/>
    </row>
    <row r="46" spans="3:110" x14ac:dyDescent="0.2"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>
        <f>+'[39]RES CUENTA'!$O$18</f>
        <v>20899.615771999994</v>
      </c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  <c r="BT46" s="82"/>
      <c r="BU46" s="82"/>
      <c r="BV46" s="82"/>
      <c r="BW46" s="82"/>
      <c r="BX46" s="82"/>
      <c r="BY46" s="82"/>
      <c r="BZ46" s="82"/>
      <c r="CA46" s="82"/>
      <c r="CB46" s="82"/>
      <c r="CC46" s="82"/>
      <c r="CD46" s="82"/>
      <c r="CE46" s="82"/>
      <c r="CF46" s="82"/>
      <c r="CG46" s="82"/>
      <c r="CH46" s="82"/>
      <c r="CI46" s="82"/>
      <c r="CJ46" s="82"/>
      <c r="CK46" s="82"/>
      <c r="CL46" s="82"/>
      <c r="CM46" s="82"/>
      <c r="CN46" s="82"/>
      <c r="CO46" s="82"/>
      <c r="CP46" s="82"/>
      <c r="CQ46" s="82"/>
      <c r="CR46" s="82"/>
      <c r="CS46" s="82"/>
      <c r="CT46" s="82"/>
      <c r="CU46" s="82"/>
      <c r="CV46" s="82"/>
      <c r="CW46" s="82"/>
      <c r="CX46" s="82"/>
      <c r="CY46" s="82"/>
      <c r="CZ46" s="82">
        <v>0.03</v>
      </c>
      <c r="DA46" s="82">
        <v>1890</v>
      </c>
      <c r="DB46" s="82">
        <f>+AO46*CZ46/30*DA46</f>
        <v>39500.27380907999</v>
      </c>
      <c r="DC46" s="9">
        <f t="shared" si="0"/>
        <v>30</v>
      </c>
      <c r="DF46" s="9"/>
    </row>
    <row r="47" spans="3:110" x14ac:dyDescent="0.2"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>
        <f>+'[40]RES CUENTA'!$O$18</f>
        <v>19299.687763999998</v>
      </c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82"/>
      <c r="CU47" s="82"/>
      <c r="CV47" s="82"/>
      <c r="CW47" s="82"/>
      <c r="CX47" s="82"/>
      <c r="CY47" s="82"/>
      <c r="CZ47" s="82">
        <v>0.03</v>
      </c>
      <c r="DA47" s="82">
        <v>1860</v>
      </c>
      <c r="DB47" s="82">
        <f>+AP47*CZ47/30*DA47</f>
        <v>35897.419241039999</v>
      </c>
      <c r="DC47" s="9">
        <f t="shared" si="0"/>
        <v>30</v>
      </c>
      <c r="DF47" s="9"/>
    </row>
    <row r="48" spans="3:110" x14ac:dyDescent="0.2"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>
        <f>+'[41]RES CUENTA'!$O$18</f>
        <v>132770.98545199999</v>
      </c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  <c r="BT48" s="82"/>
      <c r="BU48" s="82"/>
      <c r="BV48" s="82"/>
      <c r="BW48" s="82"/>
      <c r="BX48" s="82"/>
      <c r="BY48" s="82"/>
      <c r="BZ48" s="82"/>
      <c r="CA48" s="82"/>
      <c r="CB48" s="82"/>
      <c r="CC48" s="82"/>
      <c r="CD48" s="82"/>
      <c r="CE48" s="82"/>
      <c r="CF48" s="82"/>
      <c r="CG48" s="82"/>
      <c r="CH48" s="82"/>
      <c r="CI48" s="82"/>
      <c r="CJ48" s="82"/>
      <c r="CK48" s="82"/>
      <c r="CL48" s="82"/>
      <c r="CM48" s="82"/>
      <c r="CN48" s="82"/>
      <c r="CO48" s="82"/>
      <c r="CP48" s="82"/>
      <c r="CQ48" s="82"/>
      <c r="CR48" s="82"/>
      <c r="CS48" s="82"/>
      <c r="CT48" s="82"/>
      <c r="CU48" s="82"/>
      <c r="CV48" s="82"/>
      <c r="CW48" s="82"/>
      <c r="CX48" s="82"/>
      <c r="CY48" s="82"/>
      <c r="CZ48" s="82">
        <v>0.03</v>
      </c>
      <c r="DA48" s="82">
        <v>1830</v>
      </c>
      <c r="DB48" s="82">
        <f>+AQ48*CZ48/30*DA48</f>
        <v>242970.90337715999</v>
      </c>
      <c r="DC48" s="9">
        <f t="shared" si="0"/>
        <v>30</v>
      </c>
      <c r="DF48" s="9"/>
    </row>
    <row r="49" spans="3:110" x14ac:dyDescent="0.2"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>
        <f>+'[42]RES CUENTA'!$O$18</f>
        <v>24426.687011999999</v>
      </c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  <c r="BT49" s="82"/>
      <c r="BU49" s="82"/>
      <c r="BV49" s="82"/>
      <c r="BW49" s="82"/>
      <c r="BX49" s="82"/>
      <c r="BY49" s="82"/>
      <c r="BZ49" s="82"/>
      <c r="CA49" s="82"/>
      <c r="CB49" s="82"/>
      <c r="CC49" s="82"/>
      <c r="CD49" s="82"/>
      <c r="CE49" s="82"/>
      <c r="CF49" s="82"/>
      <c r="CG49" s="82"/>
      <c r="CH49" s="82"/>
      <c r="CI49" s="82"/>
      <c r="CJ49" s="82"/>
      <c r="CK49" s="82"/>
      <c r="CL49" s="82"/>
      <c r="CM49" s="82"/>
      <c r="CN49" s="82"/>
      <c r="CO49" s="82"/>
      <c r="CP49" s="82"/>
      <c r="CQ49" s="82"/>
      <c r="CR49" s="82"/>
      <c r="CS49" s="82"/>
      <c r="CT49" s="82"/>
      <c r="CU49" s="82"/>
      <c r="CV49" s="82"/>
      <c r="CW49" s="82"/>
      <c r="CX49" s="82"/>
      <c r="CY49" s="82"/>
      <c r="CZ49" s="82">
        <v>0.03</v>
      </c>
      <c r="DA49" s="82">
        <v>1800</v>
      </c>
      <c r="DB49" s="82">
        <f>+AR49*CZ49/30*DA49</f>
        <v>43968.036621599997</v>
      </c>
      <c r="DC49" s="9">
        <f t="shared" si="0"/>
        <v>30</v>
      </c>
      <c r="DF49" s="9"/>
    </row>
    <row r="50" spans="3:110" x14ac:dyDescent="0.2"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>
        <f>+'[43]RES CUENTA'!$O$18</f>
        <v>28671.104588000002</v>
      </c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  <c r="BT50" s="82"/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82"/>
      <c r="CF50" s="82"/>
      <c r="CG50" s="82"/>
      <c r="CH50" s="82"/>
      <c r="CI50" s="82"/>
      <c r="CJ50" s="82"/>
      <c r="CK50" s="82"/>
      <c r="CL50" s="82"/>
      <c r="CM50" s="82"/>
      <c r="CN50" s="82"/>
      <c r="CO50" s="82"/>
      <c r="CP50" s="82"/>
      <c r="CQ50" s="82"/>
      <c r="CR50" s="82"/>
      <c r="CS50" s="82"/>
      <c r="CT50" s="82"/>
      <c r="CU50" s="82"/>
      <c r="CV50" s="82"/>
      <c r="CW50" s="82"/>
      <c r="CX50" s="82"/>
      <c r="CY50" s="82"/>
      <c r="CZ50" s="82">
        <v>0.03</v>
      </c>
      <c r="DA50" s="82">
        <v>1770</v>
      </c>
      <c r="DB50" s="82">
        <f>+AS50*CZ50/30*DA50</f>
        <v>50747.855120759996</v>
      </c>
      <c r="DC50" s="9">
        <f t="shared" si="0"/>
        <v>30</v>
      </c>
      <c r="DF50" s="9"/>
    </row>
    <row r="51" spans="3:110" x14ac:dyDescent="0.2"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>
        <f>+'[44]RES CUENTA'!$O$18</f>
        <v>22708.527827999998</v>
      </c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82"/>
      <c r="CU51" s="82"/>
      <c r="CV51" s="82"/>
      <c r="CW51" s="82"/>
      <c r="CX51" s="82"/>
      <c r="CY51" s="82"/>
      <c r="CZ51" s="82">
        <v>0.03</v>
      </c>
      <c r="DA51" s="82">
        <v>1740</v>
      </c>
      <c r="DB51" s="82">
        <f>+AT51*CZ51/30*DA51</f>
        <v>39512.838420719992</v>
      </c>
      <c r="DC51" s="9">
        <f t="shared" si="0"/>
        <v>30</v>
      </c>
      <c r="DF51" s="9"/>
    </row>
    <row r="52" spans="3:110" x14ac:dyDescent="0.2"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>
        <f>+'[45]RES CUENTA'!$O$18</f>
        <v>23218.142079999998</v>
      </c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2"/>
      <c r="BU52" s="82"/>
      <c r="BV52" s="82"/>
      <c r="BW52" s="82"/>
      <c r="BX52" s="82"/>
      <c r="BY52" s="82"/>
      <c r="BZ52" s="82"/>
      <c r="CA52" s="82"/>
      <c r="CB52" s="82"/>
      <c r="CC52" s="82"/>
      <c r="CD52" s="82"/>
      <c r="CE52" s="82"/>
      <c r="CF52" s="82"/>
      <c r="CG52" s="82"/>
      <c r="CH52" s="82"/>
      <c r="CI52" s="82"/>
      <c r="CJ52" s="82"/>
      <c r="CK52" s="82"/>
      <c r="CL52" s="82"/>
      <c r="CM52" s="82"/>
      <c r="CN52" s="82"/>
      <c r="CO52" s="82"/>
      <c r="CP52" s="82"/>
      <c r="CQ52" s="82"/>
      <c r="CR52" s="82"/>
      <c r="CS52" s="82"/>
      <c r="CT52" s="82"/>
      <c r="CU52" s="82"/>
      <c r="CV52" s="82"/>
      <c r="CW52" s="82"/>
      <c r="CX52" s="82"/>
      <c r="CY52" s="82"/>
      <c r="CZ52" s="82">
        <v>0.03</v>
      </c>
      <c r="DA52" s="82">
        <v>1710</v>
      </c>
      <c r="DB52" s="82">
        <f>+AU52*CZ52/30*DA52</f>
        <v>39703.022956799992</v>
      </c>
      <c r="DC52" s="9">
        <f t="shared" si="0"/>
        <v>30</v>
      </c>
      <c r="DF52" s="9"/>
    </row>
    <row r="53" spans="3:110" x14ac:dyDescent="0.2"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>
        <f>+'[46]RES CUENTA'!$O$18</f>
        <v>26909.136911999998</v>
      </c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82"/>
      <c r="BU53" s="82"/>
      <c r="BV53" s="82"/>
      <c r="BW53" s="82"/>
      <c r="BX53" s="82"/>
      <c r="BY53" s="82"/>
      <c r="BZ53" s="82"/>
      <c r="CA53" s="82"/>
      <c r="CB53" s="82"/>
      <c r="CC53" s="82"/>
      <c r="CD53" s="82"/>
      <c r="CE53" s="82"/>
      <c r="CF53" s="82"/>
      <c r="CG53" s="82"/>
      <c r="CH53" s="82"/>
      <c r="CI53" s="82"/>
      <c r="CJ53" s="82"/>
      <c r="CK53" s="82"/>
      <c r="CL53" s="82"/>
      <c r="CM53" s="82"/>
      <c r="CN53" s="82"/>
      <c r="CO53" s="82"/>
      <c r="CP53" s="82"/>
      <c r="CQ53" s="82"/>
      <c r="CR53" s="82"/>
      <c r="CS53" s="82"/>
      <c r="CT53" s="82"/>
      <c r="CU53" s="82"/>
      <c r="CV53" s="82"/>
      <c r="CW53" s="82"/>
      <c r="CX53" s="82"/>
      <c r="CY53" s="82"/>
      <c r="CZ53" s="82">
        <v>0.03</v>
      </c>
      <c r="DA53" s="82">
        <v>1680</v>
      </c>
      <c r="DB53" s="82">
        <f>+AV53*CZ53/30*DA53</f>
        <v>45207.350012159994</v>
      </c>
      <c r="DC53" s="9">
        <f t="shared" si="0"/>
        <v>30</v>
      </c>
      <c r="DF53" s="9"/>
    </row>
    <row r="54" spans="3:110" x14ac:dyDescent="0.2"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>
        <f>+'[47]RES CUENTA'!$O$18</f>
        <v>28440.053179999995</v>
      </c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BU54" s="82"/>
      <c r="BV54" s="82"/>
      <c r="BW54" s="82"/>
      <c r="BX54" s="82"/>
      <c r="BY54" s="82"/>
      <c r="BZ54" s="82"/>
      <c r="CA54" s="82"/>
      <c r="CB54" s="82"/>
      <c r="CC54" s="82"/>
      <c r="CD54" s="82"/>
      <c r="CE54" s="82"/>
      <c r="CF54" s="82"/>
      <c r="CG54" s="82"/>
      <c r="CH54" s="82"/>
      <c r="CI54" s="82"/>
      <c r="CJ54" s="82"/>
      <c r="CK54" s="82"/>
      <c r="CL54" s="82"/>
      <c r="CM54" s="82"/>
      <c r="CN54" s="82"/>
      <c r="CO54" s="82"/>
      <c r="CP54" s="82"/>
      <c r="CQ54" s="82"/>
      <c r="CR54" s="82"/>
      <c r="CS54" s="82"/>
      <c r="CT54" s="82"/>
      <c r="CU54" s="82"/>
      <c r="CV54" s="82"/>
      <c r="CW54" s="82"/>
      <c r="CX54" s="82"/>
      <c r="CY54" s="82"/>
      <c r="CZ54" s="82">
        <v>0.03</v>
      </c>
      <c r="DA54" s="82">
        <v>1650</v>
      </c>
      <c r="DB54" s="82">
        <f>+AW54*CZ54/30*DA54</f>
        <v>46926.08774699999</v>
      </c>
      <c r="DC54" s="9">
        <f t="shared" si="0"/>
        <v>30</v>
      </c>
      <c r="DF54" s="9"/>
    </row>
    <row r="55" spans="3:110" x14ac:dyDescent="0.2"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>
        <f>+'[48]RES CUENTA'!$O$18</f>
        <v>30750.135135999997</v>
      </c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  <c r="BT55" s="82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2"/>
      <c r="CF55" s="82"/>
      <c r="CG55" s="82"/>
      <c r="CH55" s="82"/>
      <c r="CI55" s="82"/>
      <c r="CJ55" s="82"/>
      <c r="CK55" s="82"/>
      <c r="CL55" s="82"/>
      <c r="CM55" s="82"/>
      <c r="CN55" s="82"/>
      <c r="CO55" s="82"/>
      <c r="CP55" s="82"/>
      <c r="CQ55" s="82"/>
      <c r="CR55" s="82"/>
      <c r="CS55" s="82"/>
      <c r="CT55" s="82"/>
      <c r="CU55" s="82"/>
      <c r="CV55" s="82"/>
      <c r="CW55" s="82"/>
      <c r="CX55" s="82"/>
      <c r="CY55" s="82"/>
      <c r="CZ55" s="82">
        <v>0.03</v>
      </c>
      <c r="DA55" s="82">
        <v>1620</v>
      </c>
      <c r="DB55" s="82">
        <f>+AX55*CZ55/30*DA55</f>
        <v>49815.218920319989</v>
      </c>
      <c r="DC55" s="9">
        <f t="shared" si="0"/>
        <v>30</v>
      </c>
      <c r="DF55" s="9"/>
    </row>
    <row r="56" spans="3:110" x14ac:dyDescent="0.2"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>
        <f>+'[49]RES CUENTA'!$P$18</f>
        <v>28093.245487999997</v>
      </c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  <c r="BT56" s="82"/>
      <c r="BU56" s="82"/>
      <c r="BV56" s="82"/>
      <c r="BW56" s="82"/>
      <c r="BX56" s="82"/>
      <c r="BY56" s="82"/>
      <c r="BZ56" s="82"/>
      <c r="CA56" s="82"/>
      <c r="CB56" s="82"/>
      <c r="CC56" s="82"/>
      <c r="CD56" s="82"/>
      <c r="CE56" s="82"/>
      <c r="CF56" s="82"/>
      <c r="CG56" s="82"/>
      <c r="CH56" s="82"/>
      <c r="CI56" s="82"/>
      <c r="CJ56" s="82"/>
      <c r="CK56" s="82"/>
      <c r="CL56" s="82"/>
      <c r="CM56" s="82"/>
      <c r="CN56" s="82"/>
      <c r="CO56" s="82"/>
      <c r="CP56" s="82"/>
      <c r="CQ56" s="82"/>
      <c r="CR56" s="82"/>
      <c r="CS56" s="82"/>
      <c r="CT56" s="82"/>
      <c r="CU56" s="82"/>
      <c r="CV56" s="82"/>
      <c r="CW56" s="82"/>
      <c r="CX56" s="82"/>
      <c r="CY56" s="82"/>
      <c r="CZ56" s="82">
        <v>0.03</v>
      </c>
      <c r="DA56" s="82">
        <v>1590</v>
      </c>
      <c r="DB56" s="82">
        <f>+AY56*CZ56/30*DA56</f>
        <v>44668.26032591999</v>
      </c>
      <c r="DC56" s="9">
        <f t="shared" si="0"/>
        <v>30</v>
      </c>
      <c r="DF56" s="9"/>
    </row>
    <row r="57" spans="3:110" x14ac:dyDescent="0.2"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>
        <f>+'[50]RES CUENTA'!$P$18+111218</f>
        <v>143076.02421199999</v>
      </c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  <c r="BT57" s="82"/>
      <c r="BU57" s="82"/>
      <c r="BV57" s="82"/>
      <c r="BW57" s="82"/>
      <c r="BX57" s="82"/>
      <c r="BY57" s="82"/>
      <c r="BZ57" s="82"/>
      <c r="CA57" s="82"/>
      <c r="CB57" s="82"/>
      <c r="CC57" s="82"/>
      <c r="CD57" s="82"/>
      <c r="CE57" s="82"/>
      <c r="CF57" s="82"/>
      <c r="CG57" s="82"/>
      <c r="CH57" s="82"/>
      <c r="CI57" s="82"/>
      <c r="CJ57" s="82"/>
      <c r="CK57" s="82"/>
      <c r="CL57" s="82"/>
      <c r="CM57" s="82"/>
      <c r="CN57" s="82"/>
      <c r="CO57" s="82"/>
      <c r="CP57" s="82"/>
      <c r="CQ57" s="82"/>
      <c r="CR57" s="82"/>
      <c r="CS57" s="82"/>
      <c r="CT57" s="82"/>
      <c r="CU57" s="82"/>
      <c r="CV57" s="82"/>
      <c r="CW57" s="82"/>
      <c r="CX57" s="82"/>
      <c r="CY57" s="82"/>
      <c r="CZ57" s="82">
        <v>0.03</v>
      </c>
      <c r="DA57" s="82">
        <v>1560</v>
      </c>
      <c r="DB57" s="82">
        <f>+AZ57*CZ57/30*DA57</f>
        <v>223198.59777071999</v>
      </c>
      <c r="DC57" s="9">
        <f t="shared" si="0"/>
        <v>30</v>
      </c>
      <c r="DF57" s="9"/>
    </row>
    <row r="58" spans="3:110" x14ac:dyDescent="0.2"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>
        <f>+'[51]RES CUENTA'!$Q$18</f>
        <v>35690.663483999997</v>
      </c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  <c r="BT58" s="82"/>
      <c r="BU58" s="82"/>
      <c r="BV58" s="82"/>
      <c r="BW58" s="82"/>
      <c r="BX58" s="82"/>
      <c r="BY58" s="82"/>
      <c r="BZ58" s="82"/>
      <c r="CA58" s="82"/>
      <c r="CB58" s="82"/>
      <c r="CC58" s="82"/>
      <c r="CD58" s="82"/>
      <c r="CE58" s="82"/>
      <c r="CF58" s="82"/>
      <c r="CG58" s="82"/>
      <c r="CH58" s="82"/>
      <c r="CI58" s="82"/>
      <c r="CJ58" s="82"/>
      <c r="CK58" s="82"/>
      <c r="CL58" s="82"/>
      <c r="CM58" s="82"/>
      <c r="CN58" s="82"/>
      <c r="CO58" s="82"/>
      <c r="CP58" s="82"/>
      <c r="CQ58" s="82"/>
      <c r="CR58" s="82"/>
      <c r="CS58" s="82"/>
      <c r="CT58" s="82"/>
      <c r="CU58" s="82"/>
      <c r="CV58" s="82"/>
      <c r="CW58" s="82"/>
      <c r="CX58" s="82"/>
      <c r="CY58" s="82"/>
      <c r="CZ58" s="82">
        <v>0.03</v>
      </c>
      <c r="DA58" s="82">
        <v>1530</v>
      </c>
      <c r="DB58" s="82">
        <f>+BA58*CZ58/30*DA58</f>
        <v>54606.715130519988</v>
      </c>
      <c r="DC58" s="9">
        <f t="shared" si="0"/>
        <v>30</v>
      </c>
      <c r="DF58" s="9"/>
    </row>
    <row r="59" spans="3:110" x14ac:dyDescent="0.2"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>
        <f>+'[52]RES CUENTA'!$P$18</f>
        <v>26424.133232</v>
      </c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  <c r="BT59" s="82"/>
      <c r="BU59" s="82"/>
      <c r="BV59" s="82"/>
      <c r="BW59" s="82"/>
      <c r="BX59" s="82"/>
      <c r="BY59" s="82"/>
      <c r="BZ59" s="82"/>
      <c r="CA59" s="82"/>
      <c r="CB59" s="82"/>
      <c r="CC59" s="82"/>
      <c r="CD59" s="82"/>
      <c r="CE59" s="82"/>
      <c r="CF59" s="82"/>
      <c r="CG59" s="82"/>
      <c r="CH59" s="82"/>
      <c r="CI59" s="82"/>
      <c r="CJ59" s="82"/>
      <c r="CK59" s="82"/>
      <c r="CL59" s="82"/>
      <c r="CM59" s="82"/>
      <c r="CN59" s="82"/>
      <c r="CO59" s="82"/>
      <c r="CP59" s="82"/>
      <c r="CQ59" s="82"/>
      <c r="CR59" s="82"/>
      <c r="CS59" s="82"/>
      <c r="CT59" s="82"/>
      <c r="CU59" s="82"/>
      <c r="CV59" s="82"/>
      <c r="CW59" s="82"/>
      <c r="CX59" s="82"/>
      <c r="CY59" s="82"/>
      <c r="CZ59" s="82">
        <v>0.03</v>
      </c>
      <c r="DA59" s="82">
        <v>1500</v>
      </c>
      <c r="DB59" s="82">
        <f>+BB59*CZ59/30*DA59</f>
        <v>39636.199847999997</v>
      </c>
      <c r="DC59" s="9">
        <f t="shared" si="0"/>
        <v>30</v>
      </c>
      <c r="DF59" s="9"/>
    </row>
    <row r="60" spans="3:110" x14ac:dyDescent="0.2"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>
        <f>+'[53]RES CUENTA'!$O$18</f>
        <v>39293.346175999992</v>
      </c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  <c r="BT60" s="82"/>
      <c r="BU60" s="82"/>
      <c r="BV60" s="82"/>
      <c r="BW60" s="82"/>
      <c r="BX60" s="82"/>
      <c r="BY60" s="82"/>
      <c r="BZ60" s="82"/>
      <c r="CA60" s="82"/>
      <c r="CB60" s="82"/>
      <c r="CC60" s="82"/>
      <c r="CD60" s="82"/>
      <c r="CE60" s="82"/>
      <c r="CF60" s="82"/>
      <c r="CG60" s="82"/>
      <c r="CH60" s="82"/>
      <c r="CI60" s="82"/>
      <c r="CJ60" s="82"/>
      <c r="CK60" s="82"/>
      <c r="CL60" s="82"/>
      <c r="CM60" s="82"/>
      <c r="CN60" s="82"/>
      <c r="CO60" s="82"/>
      <c r="CP60" s="82"/>
      <c r="CQ60" s="82"/>
      <c r="CR60" s="82"/>
      <c r="CS60" s="82"/>
      <c r="CT60" s="82"/>
      <c r="CU60" s="82"/>
      <c r="CV60" s="82"/>
      <c r="CW60" s="82"/>
      <c r="CX60" s="82"/>
      <c r="CY60" s="82"/>
      <c r="CZ60" s="82">
        <v>0.03</v>
      </c>
      <c r="DA60" s="82">
        <v>1470</v>
      </c>
      <c r="DB60" s="82">
        <f>+BC60*CZ60/30*DA60</f>
        <v>57761.218878719992</v>
      </c>
      <c r="DC60" s="9">
        <f t="shared" si="0"/>
        <v>30</v>
      </c>
      <c r="DF60" s="9"/>
    </row>
    <row r="61" spans="3:110" x14ac:dyDescent="0.2"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>
        <f>+'[54]RES CUENTA'!$O$18</f>
        <v>38226.387611999999</v>
      </c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  <c r="BT61" s="82"/>
      <c r="BU61" s="82"/>
      <c r="BV61" s="82"/>
      <c r="BW61" s="82"/>
      <c r="BX61" s="82"/>
      <c r="BY61" s="82"/>
      <c r="BZ61" s="82"/>
      <c r="CA61" s="82"/>
      <c r="CB61" s="82"/>
      <c r="CC61" s="82"/>
      <c r="CD61" s="82"/>
      <c r="CE61" s="82"/>
      <c r="CF61" s="82"/>
      <c r="CG61" s="82"/>
      <c r="CH61" s="82"/>
      <c r="CI61" s="82"/>
      <c r="CJ61" s="82"/>
      <c r="CK61" s="82"/>
      <c r="CL61" s="82"/>
      <c r="CM61" s="82"/>
      <c r="CN61" s="82"/>
      <c r="CO61" s="82"/>
      <c r="CP61" s="82"/>
      <c r="CQ61" s="82"/>
      <c r="CR61" s="82"/>
      <c r="CS61" s="82"/>
      <c r="CT61" s="82"/>
      <c r="CU61" s="82"/>
      <c r="CV61" s="82"/>
      <c r="CW61" s="82"/>
      <c r="CX61" s="82"/>
      <c r="CY61" s="82"/>
      <c r="CZ61" s="82">
        <v>0.03</v>
      </c>
      <c r="DA61" s="82">
        <v>1440</v>
      </c>
      <c r="DB61" s="82">
        <f>+BD61*CZ61/30*DA61</f>
        <v>55045.998161280004</v>
      </c>
      <c r="DC61" s="9">
        <f t="shared" si="0"/>
        <v>30</v>
      </c>
      <c r="DF61" s="9"/>
    </row>
    <row r="62" spans="3:110" x14ac:dyDescent="0.2"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>
        <f>+'[55]RES CUENTA'!$O$18</f>
        <v>40478.834816000002</v>
      </c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  <c r="BT62" s="82"/>
      <c r="BU62" s="82"/>
      <c r="BV62" s="82"/>
      <c r="BW62" s="82"/>
      <c r="BX62" s="82"/>
      <c r="BY62" s="82"/>
      <c r="BZ62" s="82"/>
      <c r="CA62" s="82"/>
      <c r="CB62" s="82"/>
      <c r="CC62" s="82"/>
      <c r="CD62" s="82"/>
      <c r="CE62" s="82"/>
      <c r="CF62" s="82"/>
      <c r="CG62" s="82"/>
      <c r="CH62" s="82"/>
      <c r="CI62" s="82"/>
      <c r="CJ62" s="82"/>
      <c r="CK62" s="82"/>
      <c r="CL62" s="82"/>
      <c r="CM62" s="82"/>
      <c r="CN62" s="82"/>
      <c r="CO62" s="82"/>
      <c r="CP62" s="82"/>
      <c r="CQ62" s="82"/>
      <c r="CR62" s="82"/>
      <c r="CS62" s="82"/>
      <c r="CT62" s="82"/>
      <c r="CU62" s="82"/>
      <c r="CV62" s="82"/>
      <c r="CW62" s="82"/>
      <c r="CX62" s="82"/>
      <c r="CY62" s="82"/>
      <c r="CZ62" s="82">
        <v>0.03</v>
      </c>
      <c r="DA62" s="82">
        <v>1410</v>
      </c>
      <c r="DB62" s="82">
        <f>+BE62*CZ62/30*DA62</f>
        <v>57075.157090560002</v>
      </c>
      <c r="DC62" s="9">
        <f t="shared" si="0"/>
        <v>30</v>
      </c>
      <c r="DF62" s="9"/>
    </row>
    <row r="63" spans="3:110" x14ac:dyDescent="0.2"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>
        <f>+'[56]RES CUENTA'!$O$18</f>
        <v>52739.371216</v>
      </c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BZ63" s="82"/>
      <c r="CA63" s="82"/>
      <c r="CB63" s="82"/>
      <c r="CC63" s="82"/>
      <c r="CD63" s="82"/>
      <c r="CE63" s="82"/>
      <c r="CF63" s="82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82"/>
      <c r="CR63" s="82"/>
      <c r="CS63" s="82"/>
      <c r="CT63" s="82"/>
      <c r="CU63" s="82"/>
      <c r="CV63" s="82"/>
      <c r="CW63" s="82"/>
      <c r="CX63" s="82"/>
      <c r="CY63" s="82"/>
      <c r="CZ63" s="82">
        <v>0.03</v>
      </c>
      <c r="DA63" s="82">
        <v>1380</v>
      </c>
      <c r="DB63" s="82">
        <f>+BF63*CZ63/30*DA63</f>
        <v>72780.332278079994</v>
      </c>
      <c r="DC63" s="9">
        <f t="shared" si="0"/>
        <v>30</v>
      </c>
      <c r="DF63" s="9"/>
    </row>
    <row r="64" spans="3:110" x14ac:dyDescent="0.2"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>
        <f>+'[57]RES CUENTA'!$O$18</f>
        <v>51659.944251999987</v>
      </c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2"/>
      <c r="BV64" s="82"/>
      <c r="BW64" s="82"/>
      <c r="BX64" s="82"/>
      <c r="BY64" s="82"/>
      <c r="BZ64" s="82"/>
      <c r="CA64" s="82"/>
      <c r="CB64" s="82"/>
      <c r="CC64" s="82"/>
      <c r="CD64" s="82"/>
      <c r="CE64" s="82"/>
      <c r="CF64" s="82"/>
      <c r="CG64" s="82"/>
      <c r="CH64" s="82"/>
      <c r="CI64" s="82"/>
      <c r="CJ64" s="82"/>
      <c r="CK64" s="82"/>
      <c r="CL64" s="82"/>
      <c r="CM64" s="82"/>
      <c r="CN64" s="82"/>
      <c r="CO64" s="82"/>
      <c r="CP64" s="82"/>
      <c r="CQ64" s="82"/>
      <c r="CR64" s="82"/>
      <c r="CS64" s="82"/>
      <c r="CT64" s="82"/>
      <c r="CU64" s="82"/>
      <c r="CV64" s="82"/>
      <c r="CW64" s="82"/>
      <c r="CX64" s="82"/>
      <c r="CY64" s="82"/>
      <c r="CZ64" s="82">
        <v>0.03</v>
      </c>
      <c r="DA64" s="82">
        <v>1350</v>
      </c>
      <c r="DB64" s="82">
        <f>+BG64*CZ64/30*DA64</f>
        <v>69740.924740199975</v>
      </c>
      <c r="DC64" s="9">
        <f t="shared" si="0"/>
        <v>30</v>
      </c>
      <c r="DF64" s="9"/>
    </row>
    <row r="65" spans="3:110" x14ac:dyDescent="0.2"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>
        <f>+'[58]RES CUENTA'!$O$18</f>
        <v>57241.59943599999</v>
      </c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  <c r="BT65" s="82"/>
      <c r="BU65" s="82"/>
      <c r="BV65" s="82"/>
      <c r="BW65" s="82"/>
      <c r="BX65" s="82"/>
      <c r="BY65" s="82"/>
      <c r="BZ65" s="82"/>
      <c r="CA65" s="82"/>
      <c r="CB65" s="82"/>
      <c r="CC65" s="82"/>
      <c r="CD65" s="82"/>
      <c r="CE65" s="82"/>
      <c r="CF65" s="82"/>
      <c r="CG65" s="82"/>
      <c r="CH65" s="82"/>
      <c r="CI65" s="82"/>
      <c r="CJ65" s="82"/>
      <c r="CK65" s="82"/>
      <c r="CL65" s="82"/>
      <c r="CM65" s="82"/>
      <c r="CN65" s="82"/>
      <c r="CO65" s="82"/>
      <c r="CP65" s="82"/>
      <c r="CQ65" s="82"/>
      <c r="CR65" s="82"/>
      <c r="CS65" s="82"/>
      <c r="CT65" s="82"/>
      <c r="CU65" s="82"/>
      <c r="CV65" s="82"/>
      <c r="CW65" s="82"/>
      <c r="CX65" s="82"/>
      <c r="CY65" s="82"/>
      <c r="CZ65" s="82">
        <v>0.03</v>
      </c>
      <c r="DA65" s="82">
        <v>1320</v>
      </c>
      <c r="DB65" s="82">
        <f>+BH65*CZ65/30*DA65</f>
        <v>75558.911255519983</v>
      </c>
      <c r="DC65" s="9">
        <f t="shared" si="0"/>
        <v>30</v>
      </c>
      <c r="DF65" s="9"/>
    </row>
    <row r="66" spans="3:110" x14ac:dyDescent="0.2"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>
        <f>+'[59]RES CUENTA'!$O$18</f>
        <v>62610.59324799999</v>
      </c>
      <c r="BJ66" s="82"/>
      <c r="BK66" s="82"/>
      <c r="BL66" s="82"/>
      <c r="BM66" s="82"/>
      <c r="BN66" s="82"/>
      <c r="BO66" s="82"/>
      <c r="BP66" s="82"/>
      <c r="BQ66" s="82"/>
      <c r="BR66" s="82"/>
      <c r="BS66" s="82"/>
      <c r="BT66" s="82"/>
      <c r="BU66" s="82"/>
      <c r="BV66" s="82"/>
      <c r="BW66" s="82"/>
      <c r="BX66" s="82"/>
      <c r="BY66" s="82"/>
      <c r="BZ66" s="82"/>
      <c r="CA66" s="82"/>
      <c r="CB66" s="82"/>
      <c r="CC66" s="82"/>
      <c r="CD66" s="82"/>
      <c r="CE66" s="82"/>
      <c r="CF66" s="82"/>
      <c r="CG66" s="82"/>
      <c r="CH66" s="82"/>
      <c r="CI66" s="82"/>
      <c r="CJ66" s="82"/>
      <c r="CK66" s="82"/>
      <c r="CL66" s="82"/>
      <c r="CM66" s="82"/>
      <c r="CN66" s="82"/>
      <c r="CO66" s="82"/>
      <c r="CP66" s="82"/>
      <c r="CQ66" s="82"/>
      <c r="CR66" s="82"/>
      <c r="CS66" s="82"/>
      <c r="CT66" s="82"/>
      <c r="CU66" s="82"/>
      <c r="CV66" s="82"/>
      <c r="CW66" s="82"/>
      <c r="CX66" s="82"/>
      <c r="CY66" s="82"/>
      <c r="CZ66" s="82">
        <v>0.03</v>
      </c>
      <c r="DA66" s="82">
        <v>1290</v>
      </c>
      <c r="DB66" s="82">
        <f>+BI66*CZ66/30*DA66</f>
        <v>80767.665289919983</v>
      </c>
      <c r="DC66" s="9">
        <f t="shared" si="0"/>
        <v>30</v>
      </c>
      <c r="DF66" s="9"/>
    </row>
    <row r="67" spans="3:110" x14ac:dyDescent="0.2"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>
        <f>+'[60]RES CUENTA'!$O$18</f>
        <v>65096.38399599999</v>
      </c>
      <c r="BK67" s="82"/>
      <c r="BL67" s="82"/>
      <c r="BM67" s="82"/>
      <c r="BN67" s="82"/>
      <c r="BO67" s="82"/>
      <c r="BP67" s="82"/>
      <c r="BQ67" s="82"/>
      <c r="BR67" s="82"/>
      <c r="BS67" s="82"/>
      <c r="BT67" s="82"/>
      <c r="BU67" s="82"/>
      <c r="BV67" s="82"/>
      <c r="BW67" s="82"/>
      <c r="BX67" s="82"/>
      <c r="BY67" s="82"/>
      <c r="BZ67" s="82"/>
      <c r="CA67" s="82"/>
      <c r="CB67" s="82"/>
      <c r="CC67" s="82"/>
      <c r="CD67" s="82"/>
      <c r="CE67" s="82"/>
      <c r="CF67" s="82"/>
      <c r="CG67" s="82"/>
      <c r="CH67" s="82"/>
      <c r="CI67" s="82"/>
      <c r="CJ67" s="82"/>
      <c r="CK67" s="82"/>
      <c r="CL67" s="82"/>
      <c r="CM67" s="82"/>
      <c r="CN67" s="82"/>
      <c r="CO67" s="82"/>
      <c r="CP67" s="82"/>
      <c r="CQ67" s="82"/>
      <c r="CR67" s="82"/>
      <c r="CS67" s="82"/>
      <c r="CT67" s="82"/>
      <c r="CU67" s="82"/>
      <c r="CV67" s="82"/>
      <c r="CW67" s="82"/>
      <c r="CX67" s="82"/>
      <c r="CY67" s="82"/>
      <c r="CZ67" s="82">
        <v>0.03</v>
      </c>
      <c r="DA67" s="82">
        <v>1260</v>
      </c>
      <c r="DB67" s="82">
        <f>+BJ67*CZ67/30*DA67</f>
        <v>82021.44383495998</v>
      </c>
      <c r="DC67" s="9">
        <f t="shared" si="0"/>
        <v>30</v>
      </c>
      <c r="DF67" s="9"/>
    </row>
    <row r="68" spans="3:110" x14ac:dyDescent="0.2"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>
        <f>+'[61]RES CUENTA'!$O$18</f>
        <v>71852.145707999982</v>
      </c>
      <c r="BL68" s="82"/>
      <c r="BM68" s="82"/>
      <c r="BN68" s="82"/>
      <c r="BO68" s="82"/>
      <c r="BP68" s="82"/>
      <c r="BQ68" s="82"/>
      <c r="BR68" s="82"/>
      <c r="BS68" s="82"/>
      <c r="BT68" s="82"/>
      <c r="BU68" s="82"/>
      <c r="BV68" s="82"/>
      <c r="BW68" s="82"/>
      <c r="BX68" s="82"/>
      <c r="BY68" s="82"/>
      <c r="BZ68" s="82"/>
      <c r="CA68" s="82"/>
      <c r="CB68" s="82"/>
      <c r="CC68" s="82"/>
      <c r="CD68" s="82"/>
      <c r="CE68" s="82"/>
      <c r="CF68" s="82"/>
      <c r="CG68" s="82"/>
      <c r="CH68" s="82"/>
      <c r="CI68" s="82"/>
      <c r="CJ68" s="82"/>
      <c r="CK68" s="82"/>
      <c r="CL68" s="82"/>
      <c r="CM68" s="82"/>
      <c r="CN68" s="82"/>
      <c r="CO68" s="82"/>
      <c r="CP68" s="82"/>
      <c r="CQ68" s="82"/>
      <c r="CR68" s="82"/>
      <c r="CS68" s="82"/>
      <c r="CT68" s="82"/>
      <c r="CU68" s="82"/>
      <c r="CV68" s="82"/>
      <c r="CW68" s="82"/>
      <c r="CX68" s="82"/>
      <c r="CY68" s="82"/>
      <c r="CZ68" s="82">
        <v>0.03</v>
      </c>
      <c r="DA68" s="82">
        <v>1230</v>
      </c>
      <c r="DB68" s="82">
        <f>+BK68*CZ68/30*DA68</f>
        <v>88378.139220839977</v>
      </c>
      <c r="DC68" s="9">
        <f t="shared" si="0"/>
        <v>30</v>
      </c>
      <c r="DF68" s="9"/>
    </row>
    <row r="69" spans="3:110" x14ac:dyDescent="0.2"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>
        <f>+'[62]RES CUENTA'!$O$18</f>
        <v>68130.690403999994</v>
      </c>
      <c r="BM69" s="82"/>
      <c r="BN69" s="82"/>
      <c r="BO69" s="82"/>
      <c r="BP69" s="82"/>
      <c r="BQ69" s="82"/>
      <c r="BR69" s="82"/>
      <c r="BS69" s="82"/>
      <c r="BT69" s="82"/>
      <c r="BU69" s="82"/>
      <c r="BV69" s="82"/>
      <c r="BW69" s="82"/>
      <c r="BX69" s="82"/>
      <c r="BY69" s="82"/>
      <c r="BZ69" s="82"/>
      <c r="CA69" s="82"/>
      <c r="CB69" s="82"/>
      <c r="CC69" s="82"/>
      <c r="CD69" s="82"/>
      <c r="CE69" s="82"/>
      <c r="CF69" s="82"/>
      <c r="CG69" s="82"/>
      <c r="CH69" s="82"/>
      <c r="CI69" s="82"/>
      <c r="CJ69" s="82"/>
      <c r="CK69" s="82"/>
      <c r="CL69" s="82"/>
      <c r="CM69" s="82"/>
      <c r="CN69" s="82"/>
      <c r="CO69" s="82"/>
      <c r="CP69" s="82"/>
      <c r="CQ69" s="82"/>
      <c r="CR69" s="82"/>
      <c r="CS69" s="82"/>
      <c r="CT69" s="82"/>
      <c r="CU69" s="82"/>
      <c r="CV69" s="82"/>
      <c r="CW69" s="82"/>
      <c r="CX69" s="82"/>
      <c r="CY69" s="82"/>
      <c r="CZ69" s="82">
        <v>0.03</v>
      </c>
      <c r="DA69" s="82">
        <v>1200</v>
      </c>
      <c r="DB69" s="82">
        <f>+BL69*CZ69/30*DA69</f>
        <v>81756.828484799989</v>
      </c>
      <c r="DC69" s="9">
        <f t="shared" si="0"/>
        <v>30</v>
      </c>
      <c r="DF69" s="9"/>
    </row>
    <row r="70" spans="3:110" x14ac:dyDescent="0.2"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>
        <f>+'[63]RES CUENTA'!$O$18</f>
        <v>78309.958775999999</v>
      </c>
      <c r="BN70" s="82"/>
      <c r="BO70" s="82"/>
      <c r="BP70" s="82"/>
      <c r="BQ70" s="82"/>
      <c r="BR70" s="82"/>
      <c r="BS70" s="82"/>
      <c r="BT70" s="82"/>
      <c r="BU70" s="82"/>
      <c r="BV70" s="82"/>
      <c r="BW70" s="82"/>
      <c r="BX70" s="82"/>
      <c r="BY70" s="82"/>
      <c r="BZ70" s="82"/>
      <c r="CA70" s="82"/>
      <c r="CB70" s="82"/>
      <c r="CC70" s="82"/>
      <c r="CD70" s="82"/>
      <c r="CE70" s="82"/>
      <c r="CF70" s="82"/>
      <c r="CG70" s="82"/>
      <c r="CH70" s="82"/>
      <c r="CI70" s="82"/>
      <c r="CJ70" s="82"/>
      <c r="CK70" s="82"/>
      <c r="CL70" s="82"/>
      <c r="CM70" s="82"/>
      <c r="CN70" s="82"/>
      <c r="CO70" s="82"/>
      <c r="CP70" s="82"/>
      <c r="CQ70" s="82"/>
      <c r="CR70" s="82"/>
      <c r="CS70" s="82"/>
      <c r="CT70" s="82"/>
      <c r="CU70" s="82"/>
      <c r="CV70" s="82"/>
      <c r="CW70" s="82"/>
      <c r="CX70" s="82"/>
      <c r="CY70" s="82"/>
      <c r="CZ70" s="82">
        <v>0.03</v>
      </c>
      <c r="DA70" s="82">
        <v>1170</v>
      </c>
      <c r="DB70" s="82">
        <f>+BM70*CZ70/30*DA70</f>
        <v>91622.651767920004</v>
      </c>
      <c r="DC70" s="9">
        <f t="shared" si="0"/>
        <v>30</v>
      </c>
      <c r="DF70" s="9"/>
    </row>
    <row r="71" spans="3:110" x14ac:dyDescent="0.2"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>
        <f>+'[64]RES CUENTA'!$O$18</f>
        <v>82818.521967999986</v>
      </c>
      <c r="BO71" s="82"/>
      <c r="BP71" s="82"/>
      <c r="BQ71" s="82"/>
      <c r="BR71" s="82"/>
      <c r="BS71" s="82"/>
      <c r="BT71" s="82"/>
      <c r="BU71" s="82"/>
      <c r="BV71" s="82"/>
      <c r="BW71" s="82"/>
      <c r="BX71" s="82"/>
      <c r="BY71" s="82"/>
      <c r="BZ71" s="82"/>
      <c r="CA71" s="82"/>
      <c r="CB71" s="82"/>
      <c r="CC71" s="82"/>
      <c r="CD71" s="82"/>
      <c r="CE71" s="82"/>
      <c r="CF71" s="82"/>
      <c r="CG71" s="82"/>
      <c r="CH71" s="82"/>
      <c r="CI71" s="82"/>
      <c r="CJ71" s="82"/>
      <c r="CK71" s="82"/>
      <c r="CL71" s="82"/>
      <c r="CM71" s="82"/>
      <c r="CN71" s="82"/>
      <c r="CO71" s="82"/>
      <c r="CP71" s="82"/>
      <c r="CQ71" s="82"/>
      <c r="CR71" s="82"/>
      <c r="CS71" s="82"/>
      <c r="CT71" s="82"/>
      <c r="CU71" s="82"/>
      <c r="CV71" s="82"/>
      <c r="CW71" s="82"/>
      <c r="CX71" s="82"/>
      <c r="CY71" s="82"/>
      <c r="CZ71" s="82">
        <v>0.03</v>
      </c>
      <c r="DA71" s="82">
        <v>1140</v>
      </c>
      <c r="DB71" s="82">
        <f>+BN71*CZ71/30*DA71</f>
        <v>94413.115043519982</v>
      </c>
      <c r="DC71" s="9">
        <f t="shared" si="0"/>
        <v>30</v>
      </c>
      <c r="DF71" s="9"/>
    </row>
    <row r="72" spans="3:110" x14ac:dyDescent="0.2"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>
        <f>+'[65]RES CUENTA'!$O$18</f>
        <v>88192.094927999977</v>
      </c>
      <c r="BP72" s="82"/>
      <c r="BQ72" s="82"/>
      <c r="BR72" s="82"/>
      <c r="BS72" s="82"/>
      <c r="BT72" s="82"/>
      <c r="BU72" s="82"/>
      <c r="BV72" s="82"/>
      <c r="BW72" s="82"/>
      <c r="BX72" s="82"/>
      <c r="BY72" s="82"/>
      <c r="BZ72" s="82"/>
      <c r="CA72" s="82"/>
      <c r="CB72" s="82"/>
      <c r="CC72" s="82"/>
      <c r="CD72" s="82"/>
      <c r="CE72" s="82"/>
      <c r="CF72" s="82"/>
      <c r="CG72" s="82"/>
      <c r="CH72" s="82"/>
      <c r="CI72" s="82"/>
      <c r="CJ72" s="82"/>
      <c r="CK72" s="82"/>
      <c r="CL72" s="82"/>
      <c r="CM72" s="82"/>
      <c r="CN72" s="82"/>
      <c r="CO72" s="82"/>
      <c r="CP72" s="82"/>
      <c r="CQ72" s="82"/>
      <c r="CR72" s="82"/>
      <c r="CS72" s="82"/>
      <c r="CT72" s="82"/>
      <c r="CU72" s="82"/>
      <c r="CV72" s="82"/>
      <c r="CW72" s="82"/>
      <c r="CX72" s="82"/>
      <c r="CY72" s="82"/>
      <c r="CZ72" s="82">
        <v>0.03</v>
      </c>
      <c r="DA72" s="82">
        <v>1110</v>
      </c>
      <c r="DB72" s="82">
        <f>+BO72*CZ72/30*DA72</f>
        <v>97893.225370079977</v>
      </c>
      <c r="DC72" s="9">
        <f t="shared" si="0"/>
        <v>30</v>
      </c>
      <c r="DF72" s="9"/>
    </row>
    <row r="73" spans="3:110" x14ac:dyDescent="0.2"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>
        <f>+'[66]RES CUENTA'!$O$18</f>
        <v>89421.55944399997</v>
      </c>
      <c r="BQ73" s="82"/>
      <c r="BR73" s="82"/>
      <c r="BS73" s="82"/>
      <c r="BT73" s="82"/>
      <c r="BU73" s="82"/>
      <c r="BV73" s="82"/>
      <c r="BW73" s="82"/>
      <c r="BX73" s="82"/>
      <c r="BY73" s="82"/>
      <c r="BZ73" s="82"/>
      <c r="CA73" s="82"/>
      <c r="CB73" s="82"/>
      <c r="CC73" s="82"/>
      <c r="CD73" s="82"/>
      <c r="CE73" s="82"/>
      <c r="CF73" s="82"/>
      <c r="CG73" s="82"/>
      <c r="CH73" s="82"/>
      <c r="CI73" s="82"/>
      <c r="CJ73" s="82"/>
      <c r="CK73" s="82"/>
      <c r="CL73" s="82"/>
      <c r="CM73" s="82"/>
      <c r="CN73" s="82"/>
      <c r="CO73" s="82"/>
      <c r="CP73" s="82"/>
      <c r="CQ73" s="82"/>
      <c r="CR73" s="82"/>
      <c r="CS73" s="82"/>
      <c r="CT73" s="82"/>
      <c r="CU73" s="82"/>
      <c r="CV73" s="82"/>
      <c r="CW73" s="82"/>
      <c r="CX73" s="82"/>
      <c r="CY73" s="82"/>
      <c r="CZ73" s="82">
        <v>0.03</v>
      </c>
      <c r="DA73" s="82">
        <v>1080</v>
      </c>
      <c r="DB73" s="82">
        <f>+BP73*CZ73/30*DA73</f>
        <v>96575.284199519971</v>
      </c>
      <c r="DC73" s="9">
        <f t="shared" ref="DC73:DC95" si="1">+DA73-DA74</f>
        <v>30</v>
      </c>
      <c r="DF73" s="9"/>
    </row>
    <row r="74" spans="3:110" x14ac:dyDescent="0.2"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>
        <f>+'[67]RES CUENTA'!$O$18</f>
        <v>91567.417199999982</v>
      </c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>
        <v>0.03</v>
      </c>
      <c r="DA74" s="82">
        <v>1050</v>
      </c>
      <c r="DB74" s="82">
        <f>+BQ74*CZ74/30*DA74</f>
        <v>96145.788059999977</v>
      </c>
      <c r="DC74" s="9">
        <f t="shared" si="1"/>
        <v>30</v>
      </c>
      <c r="DF74" s="9"/>
    </row>
    <row r="75" spans="3:110" x14ac:dyDescent="0.2"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>
        <f>+'[68]RES CUENTA'!$O$18</f>
        <v>92771.072127999985</v>
      </c>
      <c r="BS75" s="82"/>
      <c r="BT75" s="82"/>
      <c r="BU75" s="82"/>
      <c r="BV75" s="82"/>
      <c r="BW75" s="82"/>
      <c r="BX75" s="82"/>
      <c r="BY75" s="82"/>
      <c r="BZ75" s="82"/>
      <c r="CA75" s="82"/>
      <c r="CB75" s="82"/>
      <c r="CC75" s="82"/>
      <c r="CD75" s="82"/>
      <c r="CE75" s="82"/>
      <c r="CF75" s="82"/>
      <c r="CG75" s="82"/>
      <c r="CH75" s="82"/>
      <c r="CI75" s="82"/>
      <c r="CJ75" s="82"/>
      <c r="CK75" s="82"/>
      <c r="CL75" s="82"/>
      <c r="CM75" s="82"/>
      <c r="CN75" s="82"/>
      <c r="CO75" s="82"/>
      <c r="CP75" s="82"/>
      <c r="CQ75" s="82"/>
      <c r="CR75" s="82"/>
      <c r="CS75" s="82"/>
      <c r="CT75" s="82"/>
      <c r="CU75" s="82"/>
      <c r="CV75" s="82"/>
      <c r="CW75" s="82"/>
      <c r="CX75" s="82"/>
      <c r="CY75" s="82"/>
      <c r="CZ75" s="82">
        <v>0.03</v>
      </c>
      <c r="DA75" s="82">
        <v>1020</v>
      </c>
      <c r="DB75" s="82">
        <f>+BR75*CZ75/30*DA75</f>
        <v>94626.493570559993</v>
      </c>
      <c r="DC75" s="9">
        <f t="shared" si="1"/>
        <v>30</v>
      </c>
      <c r="DF75" s="9"/>
    </row>
    <row r="76" spans="3:110" x14ac:dyDescent="0.2"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>
        <f>+'[69]RES CUENTA'!$O$18</f>
        <v>96695.439539999992</v>
      </c>
      <c r="BT76" s="82"/>
      <c r="BU76" s="82"/>
      <c r="BV76" s="82"/>
      <c r="BW76" s="82"/>
      <c r="BX76" s="82"/>
      <c r="BY76" s="82"/>
      <c r="BZ76" s="82"/>
      <c r="CA76" s="82"/>
      <c r="CB76" s="82"/>
      <c r="CC76" s="82"/>
      <c r="CD76" s="82"/>
      <c r="CE76" s="82"/>
      <c r="CF76" s="82"/>
      <c r="CG76" s="82"/>
      <c r="CH76" s="82"/>
      <c r="CI76" s="82"/>
      <c r="CJ76" s="82"/>
      <c r="CK76" s="82"/>
      <c r="CL76" s="82"/>
      <c r="CM76" s="82"/>
      <c r="CN76" s="82"/>
      <c r="CO76" s="82"/>
      <c r="CP76" s="82"/>
      <c r="CQ76" s="82"/>
      <c r="CR76" s="82"/>
      <c r="CS76" s="82"/>
      <c r="CT76" s="82"/>
      <c r="CU76" s="82"/>
      <c r="CV76" s="82"/>
      <c r="CW76" s="82"/>
      <c r="CX76" s="82"/>
      <c r="CY76" s="82"/>
      <c r="CZ76" s="82">
        <v>0.03</v>
      </c>
      <c r="DA76" s="82">
        <v>990</v>
      </c>
      <c r="DB76" s="82">
        <f>+BS76*CZ76/30*DA76</f>
        <v>95728.485144599996</v>
      </c>
      <c r="DC76" s="9">
        <f t="shared" si="1"/>
        <v>30</v>
      </c>
      <c r="DF76" s="9"/>
    </row>
    <row r="77" spans="3:110" x14ac:dyDescent="0.2"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  <c r="BT77" s="82">
        <f>+'[70]RES CUENTA'!$O$18</f>
        <v>146163.14187999995</v>
      </c>
      <c r="BU77" s="82"/>
      <c r="BV77" s="82"/>
      <c r="BW77" s="82"/>
      <c r="BX77" s="82"/>
      <c r="BY77" s="82"/>
      <c r="BZ77" s="82"/>
      <c r="CA77" s="82"/>
      <c r="CB77" s="82"/>
      <c r="CC77" s="82"/>
      <c r="CD77" s="82"/>
      <c r="CE77" s="82"/>
      <c r="CF77" s="82"/>
      <c r="CG77" s="82"/>
      <c r="CH77" s="82"/>
      <c r="CI77" s="82"/>
      <c r="CJ77" s="82"/>
      <c r="CK77" s="82"/>
      <c r="CL77" s="82"/>
      <c r="CM77" s="82"/>
      <c r="CN77" s="82"/>
      <c r="CO77" s="82"/>
      <c r="CP77" s="82"/>
      <c r="CQ77" s="82"/>
      <c r="CR77" s="82"/>
      <c r="CS77" s="82"/>
      <c r="CT77" s="82"/>
      <c r="CU77" s="82"/>
      <c r="CV77" s="82"/>
      <c r="CW77" s="82"/>
      <c r="CX77" s="82"/>
      <c r="CY77" s="82"/>
      <c r="CZ77" s="82">
        <v>0.03</v>
      </c>
      <c r="DA77" s="82">
        <v>960</v>
      </c>
      <c r="DB77" s="82">
        <f>+BT77*CZ77/30*DA77</f>
        <v>140316.61620479994</v>
      </c>
      <c r="DC77" s="9">
        <f t="shared" si="1"/>
        <v>30</v>
      </c>
      <c r="DF77" s="9"/>
    </row>
    <row r="78" spans="3:110" x14ac:dyDescent="0.2"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  <c r="BT78" s="82"/>
      <c r="BU78" s="82">
        <f>+'[71]RES CUENTA'!$O$18</f>
        <v>146202.59838799995</v>
      </c>
      <c r="BV78" s="82"/>
      <c r="BW78" s="82"/>
      <c r="BX78" s="82"/>
      <c r="BY78" s="82"/>
      <c r="BZ78" s="82"/>
      <c r="CA78" s="82"/>
      <c r="CB78" s="82"/>
      <c r="CC78" s="82"/>
      <c r="CD78" s="82"/>
      <c r="CE78" s="82"/>
      <c r="CF78" s="82"/>
      <c r="CG78" s="82"/>
      <c r="CH78" s="82"/>
      <c r="CI78" s="82"/>
      <c r="CJ78" s="82"/>
      <c r="CK78" s="82"/>
      <c r="CL78" s="82"/>
      <c r="CM78" s="82"/>
      <c r="CN78" s="82"/>
      <c r="CO78" s="82"/>
      <c r="CP78" s="82"/>
      <c r="CQ78" s="82"/>
      <c r="CR78" s="82"/>
      <c r="CS78" s="82"/>
      <c r="CT78" s="82"/>
      <c r="CU78" s="82"/>
      <c r="CV78" s="82"/>
      <c r="CW78" s="82"/>
      <c r="CX78" s="82"/>
      <c r="CY78" s="82"/>
      <c r="CZ78" s="82">
        <v>0.03</v>
      </c>
      <c r="DA78" s="82">
        <v>930</v>
      </c>
      <c r="DB78" s="82">
        <f>+BU78*CZ78/30*DA78</f>
        <v>135968.41650083996</v>
      </c>
      <c r="DC78" s="9">
        <f t="shared" si="1"/>
        <v>30</v>
      </c>
      <c r="DF78" s="9"/>
    </row>
    <row r="79" spans="3:110" x14ac:dyDescent="0.2"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Q79" s="82"/>
      <c r="BR79" s="82"/>
      <c r="BS79" s="82"/>
      <c r="BT79" s="82"/>
      <c r="BU79" s="82"/>
      <c r="BV79" s="82">
        <f>+'[72]RES CUENTA'!$O$18</f>
        <v>162604.16199999995</v>
      </c>
      <c r="BW79" s="82"/>
      <c r="BX79" s="82"/>
      <c r="BY79" s="82"/>
      <c r="BZ79" s="82"/>
      <c r="CA79" s="82"/>
      <c r="CB79" s="82"/>
      <c r="CC79" s="82"/>
      <c r="CD79" s="82"/>
      <c r="CE79" s="82"/>
      <c r="CF79" s="82"/>
      <c r="CG79" s="82"/>
      <c r="CH79" s="82"/>
      <c r="CI79" s="82"/>
      <c r="CJ79" s="82"/>
      <c r="CK79" s="82"/>
      <c r="CL79" s="82"/>
      <c r="CM79" s="82"/>
      <c r="CN79" s="82"/>
      <c r="CO79" s="82"/>
      <c r="CP79" s="82"/>
      <c r="CQ79" s="82"/>
      <c r="CR79" s="82"/>
      <c r="CS79" s="82"/>
      <c r="CT79" s="82"/>
      <c r="CU79" s="82"/>
      <c r="CV79" s="82"/>
      <c r="CW79" s="82"/>
      <c r="CX79" s="82"/>
      <c r="CY79" s="82"/>
      <c r="CZ79" s="82">
        <v>0.03</v>
      </c>
      <c r="DA79" s="82">
        <v>900</v>
      </c>
      <c r="DB79" s="82">
        <f>+BV79*CZ79/30*DA79</f>
        <v>146343.74579999995</v>
      </c>
      <c r="DC79" s="9">
        <f t="shared" si="1"/>
        <v>30</v>
      </c>
      <c r="DF79" s="9"/>
    </row>
    <row r="80" spans="3:110" x14ac:dyDescent="0.2"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  <c r="BT80" s="82"/>
      <c r="BU80" s="82"/>
      <c r="BV80" s="82"/>
      <c r="BW80" s="82">
        <f>+'[73]RES CUENTA'!$O$18</f>
        <v>156673.70247199998</v>
      </c>
      <c r="BX80" s="82"/>
      <c r="BY80" s="82"/>
      <c r="BZ80" s="82"/>
      <c r="CA80" s="82"/>
      <c r="CB80" s="82"/>
      <c r="CC80" s="82"/>
      <c r="CD80" s="82"/>
      <c r="CE80" s="82"/>
      <c r="CF80" s="82"/>
      <c r="CG80" s="82"/>
      <c r="CH80" s="82"/>
      <c r="CI80" s="82"/>
      <c r="CJ80" s="82"/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  <c r="CW80" s="82"/>
      <c r="CX80" s="82"/>
      <c r="CY80" s="82"/>
      <c r="CZ80" s="82">
        <v>0.03</v>
      </c>
      <c r="DA80" s="82">
        <v>870</v>
      </c>
      <c r="DB80" s="82">
        <f>+BW80*CZ80/30*DA80</f>
        <v>136306.12115063998</v>
      </c>
      <c r="DC80" s="9">
        <f t="shared" si="1"/>
        <v>30</v>
      </c>
      <c r="DF80" s="9"/>
    </row>
    <row r="81" spans="3:110" x14ac:dyDescent="0.2"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  <c r="BT81" s="82"/>
      <c r="BU81" s="82"/>
      <c r="BV81" s="82"/>
      <c r="BW81" s="82"/>
      <c r="BX81" s="82">
        <f>+'[74]RES CUENTA'!$O$18</f>
        <v>140587.830208</v>
      </c>
      <c r="BY81" s="82"/>
      <c r="BZ81" s="82"/>
      <c r="CA81" s="82"/>
      <c r="CB81" s="82"/>
      <c r="CC81" s="82"/>
      <c r="CD81" s="82"/>
      <c r="CE81" s="82"/>
      <c r="CF81" s="82"/>
      <c r="CG81" s="82"/>
      <c r="CH81" s="82"/>
      <c r="CI81" s="82"/>
      <c r="CJ81" s="82"/>
      <c r="CK81" s="82"/>
      <c r="CL81" s="82"/>
      <c r="CM81" s="82"/>
      <c r="CN81" s="82"/>
      <c r="CO81" s="82"/>
      <c r="CP81" s="82"/>
      <c r="CQ81" s="82"/>
      <c r="CR81" s="82"/>
      <c r="CS81" s="82"/>
      <c r="CT81" s="82"/>
      <c r="CU81" s="82"/>
      <c r="CV81" s="82"/>
      <c r="CW81" s="82"/>
      <c r="CX81" s="82"/>
      <c r="CY81" s="82"/>
      <c r="CZ81" s="82">
        <v>0.03</v>
      </c>
      <c r="DA81" s="82">
        <v>840</v>
      </c>
      <c r="DB81" s="82">
        <f>+BX81*CZ81/30*DA81</f>
        <v>118093.77737471998</v>
      </c>
      <c r="DC81" s="9">
        <f t="shared" si="1"/>
        <v>30</v>
      </c>
      <c r="DF81" s="9"/>
    </row>
    <row r="82" spans="3:110" x14ac:dyDescent="0.2"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Q82" s="82"/>
      <c r="BR82" s="82"/>
      <c r="BS82" s="82"/>
      <c r="BT82" s="82"/>
      <c r="BU82" s="82"/>
      <c r="BV82" s="82"/>
      <c r="BW82" s="82"/>
      <c r="BX82" s="82"/>
      <c r="BY82" s="82">
        <f>+'[75]RES CUENTA'!$O$18</f>
        <v>184712.55328399994</v>
      </c>
      <c r="BZ82" s="82"/>
      <c r="CA82" s="82"/>
      <c r="CB82" s="82"/>
      <c r="CC82" s="82"/>
      <c r="CD82" s="82"/>
      <c r="CE82" s="82"/>
      <c r="CF82" s="82"/>
      <c r="CG82" s="82"/>
      <c r="CH82" s="82"/>
      <c r="CI82" s="82"/>
      <c r="CJ82" s="82"/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  <c r="CW82" s="82"/>
      <c r="CX82" s="82"/>
      <c r="CY82" s="82"/>
      <c r="CZ82" s="82">
        <v>0.03</v>
      </c>
      <c r="DA82" s="82">
        <v>810</v>
      </c>
      <c r="DB82" s="82">
        <f>+BY82*CZ82/30*DA82</f>
        <v>149617.16816003996</v>
      </c>
      <c r="DC82" s="9">
        <f t="shared" si="1"/>
        <v>30</v>
      </c>
      <c r="DF82" s="9"/>
    </row>
    <row r="83" spans="3:110" x14ac:dyDescent="0.2"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82"/>
      <c r="AY83" s="82"/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2"/>
      <c r="BT83" s="82"/>
      <c r="BU83" s="82"/>
      <c r="BV83" s="82"/>
      <c r="BW83" s="82"/>
      <c r="BX83" s="82"/>
      <c r="BY83" s="82"/>
      <c r="BZ83" s="82">
        <f>+'[76]RES CUENTA'!$O$18</f>
        <v>176759.69194799999</v>
      </c>
      <c r="CA83" s="82"/>
      <c r="CB83" s="82"/>
      <c r="CC83" s="82"/>
      <c r="CD83" s="82"/>
      <c r="CE83" s="82"/>
      <c r="CF83" s="82"/>
      <c r="CG83" s="82"/>
      <c r="CH83" s="82"/>
      <c r="CI83" s="82"/>
      <c r="CJ83" s="82"/>
      <c r="CK83" s="82"/>
      <c r="CL83" s="82"/>
      <c r="CM83" s="82"/>
      <c r="CN83" s="82"/>
      <c r="CO83" s="82"/>
      <c r="CP83" s="82"/>
      <c r="CQ83" s="82"/>
      <c r="CR83" s="82"/>
      <c r="CS83" s="82"/>
      <c r="CT83" s="82"/>
      <c r="CU83" s="82"/>
      <c r="CV83" s="82"/>
      <c r="CW83" s="82"/>
      <c r="CX83" s="82"/>
      <c r="CY83" s="82"/>
      <c r="CZ83" s="82">
        <v>0.03</v>
      </c>
      <c r="DA83" s="82">
        <v>780</v>
      </c>
      <c r="DB83" s="82">
        <f>+BZ83*CZ83/30*DA83</f>
        <v>137872.55971944</v>
      </c>
      <c r="DC83" s="9">
        <f t="shared" si="1"/>
        <v>30</v>
      </c>
      <c r="DF83" s="9"/>
    </row>
    <row r="84" spans="3:110" x14ac:dyDescent="0.2"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2"/>
      <c r="BT84" s="82"/>
      <c r="BU84" s="82"/>
      <c r="BV84" s="82"/>
      <c r="BW84" s="82"/>
      <c r="BX84" s="82"/>
      <c r="BY84" s="82"/>
      <c r="BZ84" s="82"/>
      <c r="CA84" s="82">
        <f>+'[77]RES CUENTA'!$O$18</f>
        <v>307674.83462799998</v>
      </c>
      <c r="CB84" s="82"/>
      <c r="CC84" s="82"/>
      <c r="CD84" s="82"/>
      <c r="CE84" s="82"/>
      <c r="CF84" s="82"/>
      <c r="CG84" s="82"/>
      <c r="CH84" s="82"/>
      <c r="CI84" s="82"/>
      <c r="CJ84" s="82"/>
      <c r="CK84" s="82"/>
      <c r="CL84" s="82"/>
      <c r="CM84" s="82"/>
      <c r="CN84" s="82"/>
      <c r="CO84" s="82"/>
      <c r="CP84" s="82"/>
      <c r="CQ84" s="82"/>
      <c r="CR84" s="82"/>
      <c r="CS84" s="82"/>
      <c r="CT84" s="82"/>
      <c r="CU84" s="82"/>
      <c r="CV84" s="82"/>
      <c r="CW84" s="82"/>
      <c r="CX84" s="82"/>
      <c r="CY84" s="82"/>
      <c r="CZ84" s="82">
        <v>0.03</v>
      </c>
      <c r="DA84" s="82">
        <v>750</v>
      </c>
      <c r="DB84" s="82">
        <f>CA84*CZ84/30*DA84</f>
        <v>230756.125971</v>
      </c>
      <c r="DC84" s="9">
        <f t="shared" si="1"/>
        <v>30</v>
      </c>
      <c r="DF84" s="9"/>
    </row>
    <row r="85" spans="3:110" x14ac:dyDescent="0.2"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B85" s="82">
        <f>+'[78]RES CUENTA'!$O$18</f>
        <v>363695.15769999998</v>
      </c>
      <c r="CC85" s="82"/>
      <c r="CD85" s="82"/>
      <c r="CE85" s="82"/>
      <c r="CF85" s="82"/>
      <c r="CG85" s="82"/>
      <c r="CH85" s="82"/>
      <c r="CI85" s="82"/>
      <c r="CJ85" s="82"/>
      <c r="CK85" s="82"/>
      <c r="CL85" s="82"/>
      <c r="CM85" s="82"/>
      <c r="CN85" s="82"/>
      <c r="CO85" s="82"/>
      <c r="CP85" s="82"/>
      <c r="CQ85" s="82"/>
      <c r="CR85" s="82"/>
      <c r="CS85" s="82"/>
      <c r="CT85" s="82"/>
      <c r="CU85" s="82"/>
      <c r="CV85" s="82"/>
      <c r="CW85" s="82"/>
      <c r="CX85" s="82"/>
      <c r="CY85" s="82"/>
      <c r="CZ85" s="82">
        <v>0.03</v>
      </c>
      <c r="DA85" s="82">
        <v>720</v>
      </c>
      <c r="DB85" s="82">
        <f>CB85*CZ85/30*DA85</f>
        <v>261860.51354399999</v>
      </c>
      <c r="DC85" s="9">
        <f t="shared" si="1"/>
        <v>30</v>
      </c>
      <c r="DF85" s="9"/>
    </row>
    <row r="86" spans="3:110" x14ac:dyDescent="0.2"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2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B86" s="82"/>
      <c r="CC86" s="82">
        <f>+'[79]RES CUENTA'!$O$18</f>
        <v>321443.18147199997</v>
      </c>
      <c r="CD86" s="82"/>
      <c r="CE86" s="82"/>
      <c r="CF86" s="82"/>
      <c r="CG86" s="82"/>
      <c r="CH86" s="82"/>
      <c r="CI86" s="82"/>
      <c r="CJ86" s="82"/>
      <c r="CK86" s="82"/>
      <c r="CL86" s="82"/>
      <c r="CM86" s="82"/>
      <c r="CN86" s="82"/>
      <c r="CO86" s="82"/>
      <c r="CP86" s="82"/>
      <c r="CQ86" s="82"/>
      <c r="CR86" s="82"/>
      <c r="CS86" s="82"/>
      <c r="CT86" s="82"/>
      <c r="CU86" s="82"/>
      <c r="CV86" s="82"/>
      <c r="CW86" s="82"/>
      <c r="CX86" s="82"/>
      <c r="CY86" s="82"/>
      <c r="CZ86" s="82">
        <v>0.03</v>
      </c>
      <c r="DA86" s="82">
        <v>690</v>
      </c>
      <c r="DB86" s="82">
        <f>CC86*CZ86/30*DA86</f>
        <v>221795.79521568</v>
      </c>
      <c r="DC86" s="9">
        <f t="shared" si="1"/>
        <v>30</v>
      </c>
      <c r="DF86" s="9"/>
    </row>
    <row r="87" spans="3:110" x14ac:dyDescent="0.2"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  <c r="BT87" s="82"/>
      <c r="BU87" s="82"/>
      <c r="BV87" s="82"/>
      <c r="BW87" s="82"/>
      <c r="BX87" s="82"/>
      <c r="BY87" s="82"/>
      <c r="BZ87" s="82"/>
      <c r="CA87" s="82"/>
      <c r="CB87" s="82"/>
      <c r="CC87" s="82"/>
      <c r="CD87" s="82">
        <f>+'[80]RES CUENTA'!$O$18</f>
        <v>297061.976792</v>
      </c>
      <c r="CE87" s="82"/>
      <c r="CF87" s="82"/>
      <c r="CG87" s="82"/>
      <c r="CH87" s="82"/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  <c r="CT87" s="82"/>
      <c r="CU87" s="82"/>
      <c r="CV87" s="82"/>
      <c r="CW87" s="82"/>
      <c r="CX87" s="82"/>
      <c r="CY87" s="82"/>
      <c r="CZ87" s="82">
        <v>0.03</v>
      </c>
      <c r="DA87" s="82">
        <v>660</v>
      </c>
      <c r="DB87" s="82">
        <f>CD87*CZ87/30*DA87</f>
        <v>196060.90468271999</v>
      </c>
      <c r="DC87" s="9">
        <f t="shared" si="1"/>
        <v>30</v>
      </c>
      <c r="DF87" s="9"/>
    </row>
    <row r="88" spans="3:110" x14ac:dyDescent="0.2"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  <c r="BT88" s="82"/>
      <c r="BU88" s="82"/>
      <c r="BV88" s="82"/>
      <c r="BW88" s="82"/>
      <c r="BX88" s="82"/>
      <c r="BY88" s="82"/>
      <c r="BZ88" s="82"/>
      <c r="CA88" s="82"/>
      <c r="CB88" s="82"/>
      <c r="CC88" s="82"/>
      <c r="CD88" s="82"/>
      <c r="CE88" s="82">
        <f>+'[81]RES CUENTA'!$O$18</f>
        <v>344107.86152400001</v>
      </c>
      <c r="CF88" s="82"/>
      <c r="CG88" s="82"/>
      <c r="CH88" s="82"/>
      <c r="CI88" s="82"/>
      <c r="CJ88" s="82"/>
      <c r="CK88" s="82"/>
      <c r="CL88" s="82"/>
      <c r="CM88" s="82"/>
      <c r="CN88" s="82"/>
      <c r="CO88" s="82"/>
      <c r="CP88" s="82"/>
      <c r="CQ88" s="82"/>
      <c r="CR88" s="82"/>
      <c r="CS88" s="82"/>
      <c r="CT88" s="82"/>
      <c r="CU88" s="82"/>
      <c r="CV88" s="82"/>
      <c r="CW88" s="82"/>
      <c r="CX88" s="82"/>
      <c r="CY88" s="82"/>
      <c r="CZ88" s="82">
        <v>0.03</v>
      </c>
      <c r="DA88" s="82">
        <v>630</v>
      </c>
      <c r="DB88" s="82">
        <f>CE88*CZ88/30*DA88</f>
        <v>216787.95276012004</v>
      </c>
      <c r="DC88" s="9">
        <f t="shared" si="1"/>
        <v>30</v>
      </c>
      <c r="DF88" s="9"/>
    </row>
    <row r="89" spans="3:110" x14ac:dyDescent="0.2"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82"/>
      <c r="BB89" s="82"/>
      <c r="BC89" s="82"/>
      <c r="BD89" s="82"/>
      <c r="BE89" s="82"/>
      <c r="BF89" s="82"/>
      <c r="BG89" s="82"/>
      <c r="BH89" s="82"/>
      <c r="BI89" s="82"/>
      <c r="BJ89" s="82"/>
      <c r="BK89" s="82"/>
      <c r="BL89" s="82"/>
      <c r="BM89" s="82"/>
      <c r="BN89" s="82"/>
      <c r="BO89" s="82"/>
      <c r="BP89" s="82"/>
      <c r="BQ89" s="82"/>
      <c r="BR89" s="82"/>
      <c r="BS89" s="82"/>
      <c r="BT89" s="82"/>
      <c r="BU89" s="82"/>
      <c r="BV89" s="82"/>
      <c r="BW89" s="82"/>
      <c r="BX89" s="82"/>
      <c r="BY89" s="82"/>
      <c r="BZ89" s="82"/>
      <c r="CA89" s="82"/>
      <c r="CB89" s="82"/>
      <c r="CC89" s="82"/>
      <c r="CD89" s="82"/>
      <c r="CE89" s="82"/>
      <c r="CF89" s="82">
        <f>+'[82]RES CUENTA'!$P$18</f>
        <v>342063.46238399995</v>
      </c>
      <c r="CG89" s="82"/>
      <c r="CH89" s="82"/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2"/>
      <c r="CZ89" s="82">
        <v>0.03</v>
      </c>
      <c r="DA89" s="82">
        <v>600</v>
      </c>
      <c r="DB89" s="82">
        <f>CF89*CZ89/30*DA89</f>
        <v>205238.07743039995</v>
      </c>
      <c r="DC89" s="9">
        <f t="shared" si="1"/>
        <v>30</v>
      </c>
      <c r="DF89" s="9"/>
    </row>
    <row r="90" spans="3:110" x14ac:dyDescent="0.2"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/>
      <c r="BX90" s="82"/>
      <c r="BY90" s="82"/>
      <c r="BZ90" s="82"/>
      <c r="CA90" s="82"/>
      <c r="CB90" s="82"/>
      <c r="CC90" s="82"/>
      <c r="CD90" s="82"/>
      <c r="CE90" s="82"/>
      <c r="CF90" s="82"/>
      <c r="CG90" s="82">
        <f>+'[83]RES CUENTA'!$P$18</f>
        <v>399436.58294399991</v>
      </c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>
        <v>0.03</v>
      </c>
      <c r="DA90" s="82">
        <v>570</v>
      </c>
      <c r="DB90" s="82">
        <f>CG90*CZ90/30*DA90</f>
        <v>227678.85227807995</v>
      </c>
      <c r="DC90" s="9">
        <f t="shared" si="1"/>
        <v>30</v>
      </c>
      <c r="DF90" s="9"/>
    </row>
    <row r="91" spans="3:110" x14ac:dyDescent="0.2"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  <c r="BT91" s="82"/>
      <c r="BU91" s="82"/>
      <c r="BV91" s="82"/>
      <c r="BW91" s="82"/>
      <c r="BX91" s="82"/>
      <c r="BY91" s="82"/>
      <c r="BZ91" s="82"/>
      <c r="CA91" s="82"/>
      <c r="CB91" s="82"/>
      <c r="CC91" s="82"/>
      <c r="CD91" s="82"/>
      <c r="CE91" s="82"/>
      <c r="CF91" s="82"/>
      <c r="CG91" s="82"/>
      <c r="CH91" s="82">
        <f>+'[84]RES CUENTA'!$P$18</f>
        <v>417816.70571199991</v>
      </c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82"/>
      <c r="CU91" s="82"/>
      <c r="CV91" s="82"/>
      <c r="CW91" s="82"/>
      <c r="CX91" s="82"/>
      <c r="CY91" s="82"/>
      <c r="CZ91" s="82">
        <v>0.03</v>
      </c>
      <c r="DA91" s="82">
        <v>540</v>
      </c>
      <c r="DB91" s="82">
        <f>CH91*CZ91/30*DA91</f>
        <v>225621.02108447993</v>
      </c>
      <c r="DC91" s="9">
        <f t="shared" si="1"/>
        <v>30</v>
      </c>
      <c r="DF91" s="9"/>
    </row>
    <row r="92" spans="3:110" x14ac:dyDescent="0.2"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  <c r="BJ92" s="82"/>
      <c r="BK92" s="82"/>
      <c r="BL92" s="82"/>
      <c r="BM92" s="82"/>
      <c r="BN92" s="82"/>
      <c r="BO92" s="82"/>
      <c r="BP92" s="82"/>
      <c r="BQ92" s="82"/>
      <c r="BR92" s="82"/>
      <c r="BS92" s="82"/>
      <c r="BT92" s="82"/>
      <c r="BU92" s="82"/>
      <c r="BV92" s="82"/>
      <c r="BW92" s="82"/>
      <c r="BX92" s="82"/>
      <c r="BY92" s="82"/>
      <c r="BZ92" s="82"/>
      <c r="CA92" s="82"/>
      <c r="CB92" s="82"/>
      <c r="CC92" s="82"/>
      <c r="CD92" s="82"/>
      <c r="CE92" s="82"/>
      <c r="CF92" s="82"/>
      <c r="CG92" s="82"/>
      <c r="CH92" s="82"/>
      <c r="CI92" s="82">
        <f>+'[85]RES CUENTA'!$P$18</f>
        <v>439288.65008000011</v>
      </c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82"/>
      <c r="CU92" s="82"/>
      <c r="CV92" s="82"/>
      <c r="CW92" s="82"/>
      <c r="CX92" s="82"/>
      <c r="CY92" s="82"/>
      <c r="CZ92" s="82">
        <v>0.03</v>
      </c>
      <c r="DA92" s="82">
        <v>510</v>
      </c>
      <c r="DB92" s="82">
        <f>CI92*CZ92/30*DA92</f>
        <v>224037.21154080008</v>
      </c>
      <c r="DC92" s="9">
        <f t="shared" si="1"/>
        <v>30</v>
      </c>
      <c r="DF92" s="9"/>
    </row>
    <row r="93" spans="3:110" x14ac:dyDescent="0.2"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2"/>
      <c r="BL93" s="82"/>
      <c r="BM93" s="82"/>
      <c r="BN93" s="82"/>
      <c r="BO93" s="82"/>
      <c r="BP93" s="82"/>
      <c r="BQ93" s="82"/>
      <c r="BR93" s="82"/>
      <c r="BS93" s="82"/>
      <c r="BT93" s="82"/>
      <c r="BU93" s="82"/>
      <c r="BV93" s="82"/>
      <c r="BW93" s="82"/>
      <c r="BX93" s="82"/>
      <c r="BY93" s="82"/>
      <c r="BZ93" s="82"/>
      <c r="CA93" s="82"/>
      <c r="CB93" s="82"/>
      <c r="CC93" s="82"/>
      <c r="CD93" s="82"/>
      <c r="CE93" s="82"/>
      <c r="CF93" s="82"/>
      <c r="CG93" s="82"/>
      <c r="CH93" s="82"/>
      <c r="CI93" s="82"/>
      <c r="CJ93" s="82">
        <f>+'[86]RES CUENTA'!$P$18</f>
        <v>468794.54479199997</v>
      </c>
      <c r="CK93" s="82"/>
      <c r="CL93" s="82"/>
      <c r="CM93" s="82"/>
      <c r="CN93" s="82"/>
      <c r="CO93" s="82"/>
      <c r="CP93" s="82"/>
      <c r="CQ93" s="82"/>
      <c r="CR93" s="82"/>
      <c r="CS93" s="82"/>
      <c r="CT93" s="82"/>
      <c r="CU93" s="82"/>
      <c r="CV93" s="82"/>
      <c r="CW93" s="82"/>
      <c r="CX93" s="82"/>
      <c r="CY93" s="82"/>
      <c r="CZ93" s="82">
        <v>0.03</v>
      </c>
      <c r="DA93" s="82">
        <v>480</v>
      </c>
      <c r="DB93" s="82">
        <f>CJ93*CZ93/30*DA93</f>
        <v>225021.38150015997</v>
      </c>
      <c r="DC93" s="9">
        <f t="shared" si="1"/>
        <v>30</v>
      </c>
      <c r="DF93" s="9"/>
    </row>
    <row r="94" spans="3:110" x14ac:dyDescent="0.2"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F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  <c r="BT94" s="82"/>
      <c r="BU94" s="82"/>
      <c r="BV94" s="82"/>
      <c r="BW94" s="82"/>
      <c r="BX94" s="82"/>
      <c r="BY94" s="82"/>
      <c r="BZ94" s="82"/>
      <c r="CA94" s="82"/>
      <c r="CB94" s="82"/>
      <c r="CC94" s="82"/>
      <c r="CD94" s="82"/>
      <c r="CE94" s="82"/>
      <c r="CF94" s="82"/>
      <c r="CG94" s="82"/>
      <c r="CH94" s="82"/>
      <c r="CI94" s="82"/>
      <c r="CJ94" s="82"/>
      <c r="CK94" s="82">
        <f>+'[87]RES CUENTA'!$P$18</f>
        <v>459223.61478</v>
      </c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>
        <v>0.03</v>
      </c>
      <c r="DA94" s="82">
        <v>450</v>
      </c>
      <c r="DB94" s="82">
        <f>CK94*CZ94/30*DA94</f>
        <v>206650.626651</v>
      </c>
      <c r="DC94" s="9">
        <f t="shared" si="1"/>
        <v>30</v>
      </c>
      <c r="DF94" s="9"/>
    </row>
    <row r="95" spans="3:110" x14ac:dyDescent="0.2"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  <c r="BT95" s="82"/>
      <c r="BU95" s="82"/>
      <c r="BV95" s="82"/>
      <c r="BW95" s="82"/>
      <c r="BX95" s="82"/>
      <c r="BY95" s="82"/>
      <c r="BZ95" s="82"/>
      <c r="CA95" s="82"/>
      <c r="CB95" s="82"/>
      <c r="CC95" s="82"/>
      <c r="CD95" s="82"/>
      <c r="CE95" s="82"/>
      <c r="CF95" s="82"/>
      <c r="CG95" s="82"/>
      <c r="CH95" s="82"/>
      <c r="CI95" s="82"/>
      <c r="CJ95" s="82"/>
      <c r="CK95" s="82"/>
      <c r="CL95" s="82">
        <f>+'[88]RES CUENTA'!$P$18</f>
        <v>466032.12807199993</v>
      </c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>
        <v>0.03</v>
      </c>
      <c r="DA95" s="82">
        <v>420</v>
      </c>
      <c r="DB95" s="82">
        <f>CL95*CZ95/30*DA95</f>
        <v>195733.49379023997</v>
      </c>
      <c r="DC95" s="9">
        <f t="shared" si="1"/>
        <v>30</v>
      </c>
      <c r="DF95" s="9"/>
    </row>
    <row r="96" spans="3:110" x14ac:dyDescent="0.2"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  <c r="BT96" s="82"/>
      <c r="BU96" s="82"/>
      <c r="BV96" s="82"/>
      <c r="BW96" s="82"/>
      <c r="BX96" s="82"/>
      <c r="BY96" s="82"/>
      <c r="BZ96" s="82"/>
      <c r="CA96" s="82"/>
      <c r="CB96" s="82"/>
      <c r="CC96" s="82"/>
      <c r="CD96" s="82"/>
      <c r="CE96" s="82"/>
      <c r="CF96" s="82"/>
      <c r="CG96" s="82"/>
      <c r="CH96" s="82"/>
      <c r="CI96" s="82"/>
      <c r="CJ96" s="82"/>
      <c r="CK96" s="82"/>
      <c r="CL96" s="82"/>
      <c r="CM96" s="82">
        <f>+'[89]RES CUENTA'!$P$18</f>
        <v>538310.28484799992</v>
      </c>
      <c r="CN96" s="82"/>
      <c r="CO96" s="82"/>
      <c r="CP96" s="82"/>
      <c r="CQ96" s="82"/>
      <c r="CR96" s="82"/>
      <c r="CS96" s="82"/>
      <c r="CT96" s="82"/>
      <c r="CU96" s="82"/>
      <c r="CV96" s="82"/>
      <c r="CW96" s="82"/>
      <c r="CX96" s="82"/>
      <c r="CY96" s="82"/>
      <c r="CZ96" s="82">
        <v>0.03</v>
      </c>
      <c r="DA96" s="82">
        <v>390</v>
      </c>
      <c r="DB96" s="82">
        <f>CM96*CZ96/30*DA96</f>
        <v>209941.01109071996</v>
      </c>
      <c r="DC96" s="9">
        <f>+DA96-DA97</f>
        <v>30</v>
      </c>
      <c r="DF96" s="9"/>
    </row>
    <row r="97" spans="1:110" x14ac:dyDescent="0.2"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  <c r="BT97" s="82"/>
      <c r="BU97" s="82"/>
      <c r="BV97" s="82"/>
      <c r="BW97" s="82"/>
      <c r="BX97" s="82"/>
      <c r="BY97" s="82"/>
      <c r="BZ97" s="82"/>
      <c r="CA97" s="82"/>
      <c r="CB97" s="82"/>
      <c r="CC97" s="82"/>
      <c r="CD97" s="82"/>
      <c r="CE97" s="82"/>
      <c r="CF97" s="82"/>
      <c r="CG97" s="82"/>
      <c r="CH97" s="82"/>
      <c r="CI97" s="82"/>
      <c r="CJ97" s="82"/>
      <c r="CK97" s="82"/>
      <c r="CL97" s="82"/>
      <c r="CM97" s="82"/>
      <c r="CN97" s="82">
        <f>+'[90]RES CUENTA'!$P$18</f>
        <v>590448.812408</v>
      </c>
      <c r="CO97" s="82"/>
      <c r="CP97" s="82"/>
      <c r="CQ97" s="82"/>
      <c r="CR97" s="82"/>
      <c r="CS97" s="82"/>
      <c r="CT97" s="82"/>
      <c r="CU97" s="82"/>
      <c r="CV97" s="82"/>
      <c r="CW97" s="82"/>
      <c r="CX97" s="82"/>
      <c r="CY97" s="82"/>
      <c r="CZ97" s="82">
        <v>0.03</v>
      </c>
      <c r="DA97" s="82">
        <v>360</v>
      </c>
      <c r="DB97" s="82">
        <f>CN97*CZ97/30*DA97</f>
        <v>212561.57246688</v>
      </c>
      <c r="DC97" s="9">
        <f>+DA97-DA98</f>
        <v>30</v>
      </c>
      <c r="DF97" s="9"/>
    </row>
    <row r="98" spans="1:110" x14ac:dyDescent="0.2"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  <c r="BT98" s="82"/>
      <c r="BU98" s="82"/>
      <c r="BV98" s="82"/>
      <c r="BW98" s="82"/>
      <c r="BX98" s="82"/>
      <c r="BY98" s="82"/>
      <c r="BZ98" s="82"/>
      <c r="CA98" s="82"/>
      <c r="CB98" s="82"/>
      <c r="CC98" s="82"/>
      <c r="CD98" s="82"/>
      <c r="CE98" s="82"/>
      <c r="CF98" s="82"/>
      <c r="CG98" s="82"/>
      <c r="CH98" s="82"/>
      <c r="CI98" s="82"/>
      <c r="CJ98" s="82"/>
      <c r="CK98" s="82"/>
      <c r="CL98" s="82"/>
      <c r="CM98" s="82"/>
      <c r="CN98" s="82"/>
      <c r="CO98" s="82">
        <f>+'[91]RES CUENTA'!$P$18</f>
        <v>645257.13697199989</v>
      </c>
      <c r="CP98" s="82"/>
      <c r="CQ98" s="82"/>
      <c r="CR98" s="82"/>
      <c r="CS98" s="82"/>
      <c r="CT98" s="82"/>
      <c r="CU98" s="82"/>
      <c r="CV98" s="82"/>
      <c r="CW98" s="82"/>
      <c r="CX98" s="82"/>
      <c r="CY98" s="82"/>
      <c r="CZ98" s="82">
        <v>0.03</v>
      </c>
      <c r="DA98" s="82">
        <v>330</v>
      </c>
      <c r="DB98" s="82">
        <f>CO98*CZ98/30*DA98</f>
        <v>212934.85520075992</v>
      </c>
      <c r="DC98" s="9">
        <f t="shared" ref="DC98:DC103" si="2">+DA98-DA99</f>
        <v>30</v>
      </c>
      <c r="DF98" s="9"/>
    </row>
    <row r="99" spans="1:110" x14ac:dyDescent="0.2"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  <c r="AU99" s="82"/>
      <c r="AV99" s="82"/>
      <c r="AW99" s="82"/>
      <c r="AX99" s="82"/>
      <c r="AY99" s="82"/>
      <c r="AZ99" s="82"/>
      <c r="BA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  <c r="BT99" s="82"/>
      <c r="BU99" s="82"/>
      <c r="BV99" s="82"/>
      <c r="BW99" s="82"/>
      <c r="BX99" s="82"/>
      <c r="BY99" s="82"/>
      <c r="BZ99" s="82"/>
      <c r="CA99" s="82"/>
      <c r="CB99" s="82"/>
      <c r="CC99" s="82"/>
      <c r="CD99" s="82"/>
      <c r="CE99" s="82"/>
      <c r="CF99" s="82"/>
      <c r="CG99" s="82"/>
      <c r="CH99" s="82"/>
      <c r="CI99" s="82"/>
      <c r="CJ99" s="82"/>
      <c r="CK99" s="82"/>
      <c r="CL99" s="82"/>
      <c r="CM99" s="82"/>
      <c r="CN99" s="82"/>
      <c r="CO99" s="82"/>
      <c r="CP99" s="82">
        <f>+'[92]RES CUENTA'!$P$18</f>
        <v>676428.53493600001</v>
      </c>
      <c r="CQ99" s="82"/>
      <c r="CR99" s="82"/>
      <c r="CS99" s="82"/>
      <c r="CT99" s="82"/>
      <c r="CU99" s="82"/>
      <c r="CV99" s="82"/>
      <c r="CW99" s="82"/>
      <c r="CX99" s="82"/>
      <c r="CY99" s="82"/>
      <c r="CZ99" s="82">
        <v>0.03</v>
      </c>
      <c r="DA99" s="82">
        <v>300</v>
      </c>
      <c r="DB99" s="82">
        <f>CP99*CZ99/30*DA99</f>
        <v>202928.56048079999</v>
      </c>
      <c r="DC99" s="9">
        <f t="shared" si="2"/>
        <v>30</v>
      </c>
      <c r="DF99" s="9"/>
    </row>
    <row r="100" spans="1:110" x14ac:dyDescent="0.2"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  <c r="BN100" s="82"/>
      <c r="BO100" s="82"/>
      <c r="BP100" s="82"/>
      <c r="BQ100" s="82"/>
      <c r="BR100" s="82"/>
      <c r="BS100" s="82"/>
      <c r="BT100" s="82"/>
      <c r="BU100" s="82"/>
      <c r="BV100" s="82"/>
      <c r="BW100" s="82"/>
      <c r="BX100" s="82"/>
      <c r="BY100" s="82"/>
      <c r="BZ100" s="82"/>
      <c r="CA100" s="82"/>
      <c r="CB100" s="82"/>
      <c r="CC100" s="82"/>
      <c r="CD100" s="82"/>
      <c r="CE100" s="82"/>
      <c r="CF100" s="82"/>
      <c r="CG100" s="82"/>
      <c r="CH100" s="82"/>
      <c r="CI100" s="82"/>
      <c r="CJ100" s="82"/>
      <c r="CK100" s="82"/>
      <c r="CL100" s="82"/>
      <c r="CM100" s="82"/>
      <c r="CN100" s="82"/>
      <c r="CO100" s="82"/>
      <c r="CP100" s="82"/>
      <c r="CQ100" s="82">
        <f>+'[93]RES CUENTA'!$P$18</f>
        <v>578025.61462799995</v>
      </c>
      <c r="CR100" s="82"/>
      <c r="CS100" s="82"/>
      <c r="CT100" s="82"/>
      <c r="CU100" s="82"/>
      <c r="CV100" s="82"/>
      <c r="CW100" s="82"/>
      <c r="CX100" s="82"/>
      <c r="CY100" s="82"/>
      <c r="CZ100" s="82">
        <v>0.03</v>
      </c>
      <c r="DA100" s="82">
        <v>270</v>
      </c>
      <c r="DB100" s="82">
        <f>CQ100*CZ100/30*DA100</f>
        <v>156066.91594956</v>
      </c>
      <c r="DC100" s="9">
        <f t="shared" si="2"/>
        <v>30</v>
      </c>
      <c r="DF100" s="9"/>
    </row>
    <row r="101" spans="1:110" x14ac:dyDescent="0.2"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2"/>
      <c r="BF101" s="82"/>
      <c r="BG101" s="82"/>
      <c r="BH101" s="82"/>
      <c r="BI101" s="82"/>
      <c r="BJ101" s="82"/>
      <c r="BK101" s="82"/>
      <c r="BL101" s="82"/>
      <c r="BM101" s="82"/>
      <c r="BN101" s="82"/>
      <c r="BO101" s="82"/>
      <c r="BP101" s="82"/>
      <c r="BQ101" s="82"/>
      <c r="BR101" s="82"/>
      <c r="BS101" s="82"/>
      <c r="BT101" s="82"/>
      <c r="BU101" s="82"/>
      <c r="BV101" s="82"/>
      <c r="BW101" s="82"/>
      <c r="BX101" s="82"/>
      <c r="BY101" s="82"/>
      <c r="BZ101" s="82"/>
      <c r="CA101" s="82"/>
      <c r="CB101" s="82"/>
      <c r="CC101" s="82"/>
      <c r="CD101" s="82"/>
      <c r="CE101" s="82"/>
      <c r="CF101" s="82"/>
      <c r="CG101" s="82"/>
      <c r="CH101" s="82"/>
      <c r="CI101" s="82"/>
      <c r="CJ101" s="82"/>
      <c r="CK101" s="82"/>
      <c r="CL101" s="82"/>
      <c r="CM101" s="82"/>
      <c r="CN101" s="82"/>
      <c r="CO101" s="82"/>
      <c r="CP101" s="82"/>
      <c r="CQ101" s="82"/>
      <c r="CR101" s="82">
        <f>+'[94]RES CUENTA'!$P$18</f>
        <v>690981.81196799991</v>
      </c>
      <c r="CS101" s="82"/>
      <c r="CT101" s="82"/>
      <c r="CU101" s="82"/>
      <c r="CV101" s="82"/>
      <c r="CW101" s="82"/>
      <c r="CX101" s="82"/>
      <c r="CY101" s="82"/>
      <c r="CZ101" s="82">
        <v>0.03</v>
      </c>
      <c r="DA101" s="82">
        <v>240</v>
      </c>
      <c r="DB101" s="82">
        <f>CR101*CZ101/30*DA101</f>
        <v>165835.63487231996</v>
      </c>
      <c r="DC101" s="9">
        <f t="shared" si="2"/>
        <v>30</v>
      </c>
      <c r="DF101" s="9"/>
    </row>
    <row r="102" spans="1:110" x14ac:dyDescent="0.2"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  <c r="BM102" s="82"/>
      <c r="BN102" s="82"/>
      <c r="BO102" s="82"/>
      <c r="BP102" s="82"/>
      <c r="BQ102" s="82"/>
      <c r="BR102" s="82"/>
      <c r="BS102" s="82"/>
      <c r="BT102" s="82"/>
      <c r="BU102" s="82"/>
      <c r="BV102" s="82"/>
      <c r="BW102" s="82"/>
      <c r="BX102" s="82"/>
      <c r="BY102" s="82"/>
      <c r="BZ102" s="82"/>
      <c r="CA102" s="82"/>
      <c r="CB102" s="82"/>
      <c r="CC102" s="82"/>
      <c r="CD102" s="82"/>
      <c r="CE102" s="82"/>
      <c r="CF102" s="82"/>
      <c r="CG102" s="82"/>
      <c r="CH102" s="82"/>
      <c r="CI102" s="82"/>
      <c r="CJ102" s="82"/>
      <c r="CK102" s="82"/>
      <c r="CL102" s="82"/>
      <c r="CM102" s="82"/>
      <c r="CN102" s="82"/>
      <c r="CO102" s="82"/>
      <c r="CP102" s="82"/>
      <c r="CQ102" s="82"/>
      <c r="CR102" s="82"/>
      <c r="CS102" s="82">
        <f>+'[95]RES CUENTA'!$P$18</f>
        <v>692243.78997199994</v>
      </c>
      <c r="CT102" s="82"/>
      <c r="CU102" s="82"/>
      <c r="CV102" s="82"/>
      <c r="CW102" s="82"/>
      <c r="CX102" s="82"/>
      <c r="CY102" s="82"/>
      <c r="CZ102" s="82">
        <v>0.03</v>
      </c>
      <c r="DA102" s="82">
        <v>210</v>
      </c>
      <c r="DB102" s="82">
        <f>CS102*CZ102/30*DA102</f>
        <v>145371.19589412</v>
      </c>
      <c r="DC102" s="9">
        <f t="shared" si="2"/>
        <v>30</v>
      </c>
      <c r="DF102" s="9"/>
    </row>
    <row r="103" spans="1:110" x14ac:dyDescent="0.2"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  <c r="AT103" s="82"/>
      <c r="AU103" s="82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2"/>
      <c r="BM103" s="82"/>
      <c r="BN103" s="82"/>
      <c r="BO103" s="82"/>
      <c r="BP103" s="82"/>
      <c r="BQ103" s="82"/>
      <c r="BR103" s="82"/>
      <c r="BS103" s="82"/>
      <c r="BT103" s="82"/>
      <c r="BU103" s="82"/>
      <c r="BV103" s="82"/>
      <c r="BW103" s="82"/>
      <c r="BX103" s="82"/>
      <c r="BY103" s="82"/>
      <c r="BZ103" s="82"/>
      <c r="CA103" s="82"/>
      <c r="CB103" s="82"/>
      <c r="CC103" s="82"/>
      <c r="CD103" s="82"/>
      <c r="CE103" s="82"/>
      <c r="CF103" s="82"/>
      <c r="CG103" s="82"/>
      <c r="CH103" s="82"/>
      <c r="CI103" s="82"/>
      <c r="CJ103" s="82"/>
      <c r="CK103" s="82"/>
      <c r="CL103" s="82"/>
      <c r="CM103" s="82"/>
      <c r="CN103" s="82"/>
      <c r="CO103" s="82"/>
      <c r="CP103" s="82"/>
      <c r="CQ103" s="82"/>
      <c r="CR103" s="82"/>
      <c r="CS103" s="82"/>
      <c r="CT103" s="82">
        <f>+'[96]RES CUENTA'!$P$18</f>
        <v>795467.27724799991</v>
      </c>
      <c r="CU103" s="82"/>
      <c r="CV103" s="82"/>
      <c r="CW103" s="82"/>
      <c r="CX103" s="82"/>
      <c r="CY103" s="82"/>
      <c r="CZ103" s="82">
        <v>0.03</v>
      </c>
      <c r="DA103" s="82">
        <v>180</v>
      </c>
      <c r="DB103" s="82">
        <f>CT103*CZ103/30*DA103</f>
        <v>143184.10990464</v>
      </c>
      <c r="DC103" s="9">
        <f t="shared" si="2"/>
        <v>30</v>
      </c>
      <c r="DF103" s="9"/>
    </row>
    <row r="104" spans="1:110" x14ac:dyDescent="0.2"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  <c r="BN104" s="82"/>
      <c r="BO104" s="82"/>
      <c r="BP104" s="82"/>
      <c r="BQ104" s="82"/>
      <c r="BR104" s="82"/>
      <c r="BS104" s="82"/>
      <c r="BT104" s="82"/>
      <c r="BU104" s="82"/>
      <c r="BV104" s="82"/>
      <c r="BW104" s="82"/>
      <c r="BX104" s="82"/>
      <c r="BY104" s="82"/>
      <c r="BZ104" s="82"/>
      <c r="CA104" s="82"/>
      <c r="CB104" s="82"/>
      <c r="CC104" s="82"/>
      <c r="CD104" s="82"/>
      <c r="CE104" s="82"/>
      <c r="CF104" s="82"/>
      <c r="CG104" s="82"/>
      <c r="CH104" s="82"/>
      <c r="CI104" s="82"/>
      <c r="CJ104" s="82"/>
      <c r="CK104" s="82"/>
      <c r="CL104" s="82"/>
      <c r="CM104" s="82"/>
      <c r="CN104" s="82"/>
      <c r="CO104" s="82"/>
      <c r="CP104" s="82"/>
      <c r="CQ104" s="82"/>
      <c r="CR104" s="82"/>
      <c r="CS104" s="82"/>
      <c r="CT104" s="82"/>
      <c r="CU104" s="82">
        <f>+'[97]RES CUENTA'!$P$18</f>
        <v>705283.22902799991</v>
      </c>
      <c r="CV104" s="82"/>
      <c r="CW104" s="82"/>
      <c r="CX104" s="82"/>
      <c r="CY104" s="82"/>
      <c r="CZ104" s="82">
        <v>0.03</v>
      </c>
      <c r="DA104" s="82">
        <v>150</v>
      </c>
      <c r="DB104" s="82">
        <f>CU104*CZ104/30*DA104</f>
        <v>105792.48435419999</v>
      </c>
      <c r="DC104" s="9">
        <f>+DA104-DA105</f>
        <v>30</v>
      </c>
      <c r="DF104" s="9"/>
    </row>
    <row r="105" spans="1:110" x14ac:dyDescent="0.2"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  <c r="AT105" s="82"/>
      <c r="AU105" s="82"/>
      <c r="AV105" s="82"/>
      <c r="AW105" s="82"/>
      <c r="AX105" s="82"/>
      <c r="AY105" s="82"/>
      <c r="AZ105" s="82"/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  <c r="BN105" s="82"/>
      <c r="BO105" s="82"/>
      <c r="BP105" s="82"/>
      <c r="BQ105" s="82"/>
      <c r="BR105" s="82"/>
      <c r="BS105" s="82"/>
      <c r="BT105" s="82"/>
      <c r="BU105" s="82"/>
      <c r="BV105" s="82"/>
      <c r="BW105" s="82"/>
      <c r="BX105" s="82"/>
      <c r="BY105" s="82"/>
      <c r="BZ105" s="82"/>
      <c r="CA105" s="82"/>
      <c r="CB105" s="82"/>
      <c r="CC105" s="82"/>
      <c r="CD105" s="82"/>
      <c r="CE105" s="82"/>
      <c r="CF105" s="82"/>
      <c r="CG105" s="82"/>
      <c r="CH105" s="82"/>
      <c r="CI105" s="82"/>
      <c r="CJ105" s="82"/>
      <c r="CK105" s="82"/>
      <c r="CL105" s="82"/>
      <c r="CM105" s="82"/>
      <c r="CN105" s="82"/>
      <c r="CO105" s="82"/>
      <c r="CP105" s="82"/>
      <c r="CQ105" s="82"/>
      <c r="CR105" s="82"/>
      <c r="CS105" s="82"/>
      <c r="CT105" s="82"/>
      <c r="CU105" s="82"/>
      <c r="CV105" s="82">
        <f>+'[98]RES CUENTA'!$P$18</f>
        <v>705355.95737599966</v>
      </c>
      <c r="CW105" s="82"/>
      <c r="CX105" s="82"/>
      <c r="CY105" s="82"/>
      <c r="CZ105" s="82">
        <v>0.03</v>
      </c>
      <c r="DA105" s="82">
        <v>120</v>
      </c>
      <c r="DB105" s="82">
        <f>CV105*CZ105/30*DA105</f>
        <v>84642.71488511996</v>
      </c>
      <c r="DC105" s="9">
        <f t="shared" ref="DC105:DC108" si="3">+DA105-DA106</f>
        <v>30</v>
      </c>
      <c r="DF105" s="9"/>
    </row>
    <row r="106" spans="1:110" x14ac:dyDescent="0.2"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/>
      <c r="BK106" s="82"/>
      <c r="BL106" s="82"/>
      <c r="BM106" s="82"/>
      <c r="BN106" s="82"/>
      <c r="BO106" s="82"/>
      <c r="BP106" s="82"/>
      <c r="BQ106" s="82"/>
      <c r="BR106" s="82"/>
      <c r="BS106" s="82"/>
      <c r="BT106" s="82"/>
      <c r="BU106" s="82"/>
      <c r="BV106" s="82"/>
      <c r="BW106" s="82"/>
      <c r="BX106" s="82"/>
      <c r="BY106" s="82"/>
      <c r="BZ106" s="82"/>
      <c r="CA106" s="82"/>
      <c r="CB106" s="82"/>
      <c r="CC106" s="82"/>
      <c r="CD106" s="82"/>
      <c r="CE106" s="82"/>
      <c r="CF106" s="82"/>
      <c r="CG106" s="82"/>
      <c r="CH106" s="82"/>
      <c r="CI106" s="82"/>
      <c r="CJ106" s="82"/>
      <c r="CK106" s="82"/>
      <c r="CL106" s="82"/>
      <c r="CM106" s="82"/>
      <c r="CN106" s="82"/>
      <c r="CO106" s="82"/>
      <c r="CP106" s="82"/>
      <c r="CQ106" s="82"/>
      <c r="CR106" s="82"/>
      <c r="CS106" s="82"/>
      <c r="CT106" s="82"/>
      <c r="CU106" s="82"/>
      <c r="CV106" s="82"/>
      <c r="CW106" s="82">
        <f>+'[99]RES CUENTA'!$P$18</f>
        <v>657036.44949599984</v>
      </c>
      <c r="CX106" s="82"/>
      <c r="CY106" s="82"/>
      <c r="CZ106" s="82">
        <v>0.03</v>
      </c>
      <c r="DA106" s="82">
        <v>90</v>
      </c>
      <c r="DB106" s="82">
        <f>CW106*CZ106/30*DA106</f>
        <v>59133.280454639986</v>
      </c>
      <c r="DC106" s="9">
        <f t="shared" si="3"/>
        <v>30</v>
      </c>
      <c r="DF106" s="9"/>
    </row>
    <row r="107" spans="1:110" x14ac:dyDescent="0.2"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82"/>
      <c r="AS107" s="82"/>
      <c r="AT107" s="82"/>
      <c r="AU107" s="82"/>
      <c r="AV107" s="82"/>
      <c r="AW107" s="82"/>
      <c r="AX107" s="82"/>
      <c r="AY107" s="82"/>
      <c r="AZ107" s="82"/>
      <c r="BA107" s="82"/>
      <c r="BB107" s="82"/>
      <c r="BC107" s="82"/>
      <c r="BD107" s="82"/>
      <c r="BE107" s="82"/>
      <c r="BF107" s="82"/>
      <c r="BG107" s="82"/>
      <c r="BH107" s="82"/>
      <c r="BI107" s="82"/>
      <c r="BJ107" s="82"/>
      <c r="BK107" s="82"/>
      <c r="BL107" s="82"/>
      <c r="BM107" s="82"/>
      <c r="BN107" s="82"/>
      <c r="BO107" s="82"/>
      <c r="BP107" s="82"/>
      <c r="BQ107" s="82"/>
      <c r="BR107" s="82"/>
      <c r="BS107" s="82"/>
      <c r="BT107" s="82"/>
      <c r="BU107" s="82"/>
      <c r="BV107" s="82"/>
      <c r="BW107" s="82"/>
      <c r="BX107" s="82"/>
      <c r="BY107" s="82"/>
      <c r="BZ107" s="82"/>
      <c r="CA107" s="82"/>
      <c r="CB107" s="82"/>
      <c r="CC107" s="82"/>
      <c r="CD107" s="82"/>
      <c r="CE107" s="82"/>
      <c r="CF107" s="82"/>
      <c r="CG107" s="82"/>
      <c r="CH107" s="82"/>
      <c r="CI107" s="82"/>
      <c r="CJ107" s="82"/>
      <c r="CK107" s="82"/>
      <c r="CL107" s="82"/>
      <c r="CM107" s="82"/>
      <c r="CN107" s="82"/>
      <c r="CO107" s="82"/>
      <c r="CP107" s="82"/>
      <c r="CQ107" s="82"/>
      <c r="CR107" s="82"/>
      <c r="CS107" s="82"/>
      <c r="CT107" s="82"/>
      <c r="CU107" s="82"/>
      <c r="CV107" s="82"/>
      <c r="CW107" s="82"/>
      <c r="CX107" s="82">
        <f>+'[100]RES CUENTA'!$P$18</f>
        <v>658837.6055239999</v>
      </c>
      <c r="CY107" s="82"/>
      <c r="CZ107" s="82">
        <v>0.03</v>
      </c>
      <c r="DA107" s="82">
        <v>60</v>
      </c>
      <c r="DB107" s="82">
        <f>CX107*CZ107/30*DA107</f>
        <v>39530.256331439996</v>
      </c>
      <c r="DC107" s="9">
        <f t="shared" si="3"/>
        <v>30</v>
      </c>
      <c r="DF107" s="9"/>
    </row>
    <row r="108" spans="1:110" x14ac:dyDescent="0.2"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82"/>
      <c r="AT108" s="82"/>
      <c r="AU108" s="82"/>
      <c r="AV108" s="82"/>
      <c r="AW108" s="82"/>
      <c r="AX108" s="82"/>
      <c r="AY108" s="82"/>
      <c r="AZ108" s="82"/>
      <c r="BA108" s="82"/>
      <c r="BB108" s="82"/>
      <c r="BC108" s="82"/>
      <c r="BD108" s="82"/>
      <c r="BE108" s="82"/>
      <c r="BF108" s="82"/>
      <c r="BG108" s="82"/>
      <c r="BH108" s="82"/>
      <c r="BI108" s="82"/>
      <c r="BJ108" s="82"/>
      <c r="BK108" s="82"/>
      <c r="BL108" s="82"/>
      <c r="BM108" s="82"/>
      <c r="BN108" s="82"/>
      <c r="BO108" s="82"/>
      <c r="BP108" s="82"/>
      <c r="BQ108" s="82"/>
      <c r="BR108" s="82"/>
      <c r="BS108" s="82"/>
      <c r="BT108" s="82"/>
      <c r="BU108" s="82"/>
      <c r="BV108" s="82"/>
      <c r="BW108" s="82"/>
      <c r="BX108" s="82"/>
      <c r="BY108" s="82"/>
      <c r="BZ108" s="82"/>
      <c r="CA108" s="82"/>
      <c r="CB108" s="82"/>
      <c r="CC108" s="82"/>
      <c r="CD108" s="82"/>
      <c r="CE108" s="82"/>
      <c r="CF108" s="82"/>
      <c r="CG108" s="82"/>
      <c r="CH108" s="82"/>
      <c r="CI108" s="82"/>
      <c r="CJ108" s="82"/>
      <c r="CK108" s="82"/>
      <c r="CL108" s="82"/>
      <c r="CM108" s="82"/>
      <c r="CN108" s="82"/>
      <c r="CO108" s="82"/>
      <c r="CP108" s="82"/>
      <c r="CQ108" s="82"/>
      <c r="CR108" s="82"/>
      <c r="CS108" s="82"/>
      <c r="CT108" s="82"/>
      <c r="CU108" s="82"/>
      <c r="CV108" s="82"/>
      <c r="CW108" s="82"/>
      <c r="CX108" s="82"/>
      <c r="CY108" s="82">
        <f>+'[1]RES CUENTA'!$P$18</f>
        <v>736215.85884</v>
      </c>
      <c r="CZ108" s="82">
        <v>0.03</v>
      </c>
      <c r="DA108" s="82">
        <v>30</v>
      </c>
      <c r="DB108" s="82">
        <f>CY108*CZ108/30*DA108</f>
        <v>22086.475765200001</v>
      </c>
      <c r="DC108" s="9">
        <f t="shared" si="3"/>
        <v>30</v>
      </c>
      <c r="DF108" s="9"/>
    </row>
    <row r="109" spans="1:110" ht="13.5" customHeight="1" x14ac:dyDescent="0.2"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  <c r="AM109" s="82"/>
      <c r="AN109" s="82"/>
      <c r="AO109" s="82"/>
      <c r="AP109" s="82"/>
      <c r="AQ109" s="82"/>
      <c r="AR109" s="82"/>
      <c r="AS109" s="82"/>
      <c r="AT109" s="82"/>
      <c r="AU109" s="82"/>
      <c r="AV109" s="82"/>
      <c r="AW109" s="82"/>
      <c r="AX109" s="82"/>
      <c r="AY109" s="82"/>
      <c r="AZ109" s="82"/>
      <c r="BA109" s="82"/>
      <c r="BB109" s="82"/>
      <c r="BC109" s="82"/>
      <c r="BD109" s="82"/>
      <c r="BE109" s="82"/>
      <c r="BF109" s="82"/>
      <c r="BG109" s="82"/>
      <c r="BH109" s="82"/>
      <c r="BI109" s="82"/>
      <c r="BJ109" s="82"/>
      <c r="BK109" s="82"/>
      <c r="BL109" s="82"/>
      <c r="BM109" s="82"/>
      <c r="BN109" s="82"/>
      <c r="BO109" s="82"/>
      <c r="BP109" s="82"/>
      <c r="BQ109" s="82"/>
      <c r="BR109" s="82"/>
      <c r="BS109" s="82"/>
      <c r="BT109" s="82"/>
      <c r="BU109" s="82"/>
      <c r="BV109" s="82"/>
      <c r="BW109" s="82"/>
      <c r="BX109" s="82"/>
      <c r="BY109" s="82"/>
      <c r="BZ109" s="82"/>
      <c r="CA109" s="82"/>
      <c r="CB109" s="82"/>
      <c r="CC109" s="82"/>
      <c r="CD109" s="82"/>
      <c r="CE109" s="82"/>
      <c r="CF109" s="82"/>
      <c r="CG109" s="82"/>
      <c r="CH109" s="82"/>
      <c r="CI109" s="82"/>
      <c r="CJ109" s="82"/>
      <c r="CK109" s="82"/>
      <c r="CL109" s="82"/>
      <c r="CM109" s="82"/>
      <c r="CN109" s="82"/>
      <c r="CO109" s="82"/>
      <c r="CP109" s="82"/>
      <c r="CQ109" s="82"/>
      <c r="CR109" s="82"/>
      <c r="CS109" s="82"/>
      <c r="CT109" s="82"/>
      <c r="CU109" s="82"/>
      <c r="CV109" s="82"/>
      <c r="CW109" s="82"/>
      <c r="CX109" s="82"/>
      <c r="CY109" s="82"/>
      <c r="CZ109" s="82"/>
      <c r="DA109" s="82"/>
      <c r="DB109" s="82">
        <f>SUM(DB9:DB108)</f>
        <v>8967099.7465136293</v>
      </c>
      <c r="DD109" s="9">
        <f>+DB109-DC109</f>
        <v>8967099.7465136293</v>
      </c>
      <c r="DF109" s="9"/>
    </row>
    <row r="110" spans="1:110" ht="13.5" customHeight="1" x14ac:dyDescent="0.2"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  <c r="AR110" s="82"/>
      <c r="AS110" s="82"/>
      <c r="AT110" s="82"/>
      <c r="AU110" s="82"/>
      <c r="AV110" s="82"/>
      <c r="AW110" s="82"/>
      <c r="AX110" s="82"/>
      <c r="AY110" s="82"/>
      <c r="AZ110" s="82"/>
      <c r="BA110" s="82"/>
      <c r="BB110" s="82"/>
      <c r="BC110" s="82"/>
      <c r="BD110" s="82"/>
      <c r="BE110" s="82"/>
      <c r="BF110" s="82"/>
      <c r="BG110" s="82"/>
      <c r="BH110" s="82"/>
      <c r="BI110" s="82"/>
      <c r="BJ110" s="82"/>
      <c r="BK110" s="82"/>
      <c r="BL110" s="82"/>
      <c r="BM110" s="82"/>
      <c r="BN110" s="82"/>
      <c r="BO110" s="82"/>
      <c r="BP110" s="82"/>
      <c r="BQ110" s="82"/>
      <c r="BR110" s="82"/>
      <c r="BS110" s="82"/>
      <c r="BT110" s="82"/>
      <c r="BU110" s="82"/>
      <c r="BV110" s="82"/>
      <c r="BW110" s="82"/>
      <c r="BX110" s="82"/>
      <c r="BY110" s="82"/>
      <c r="BZ110" s="82"/>
      <c r="CA110" s="82"/>
      <c r="CB110" s="82"/>
      <c r="CC110" s="82"/>
      <c r="CD110" s="82"/>
      <c r="CE110" s="82"/>
      <c r="CF110" s="82"/>
      <c r="CG110" s="82"/>
      <c r="CH110" s="82"/>
      <c r="CI110" s="82"/>
      <c r="CJ110" s="82"/>
      <c r="CK110" s="82"/>
      <c r="CL110" s="82"/>
      <c r="CM110" s="82"/>
      <c r="CN110" s="82"/>
      <c r="CO110" s="82"/>
      <c r="CP110" s="82"/>
      <c r="CQ110" s="82"/>
      <c r="CR110" s="82"/>
      <c r="CS110" s="82"/>
      <c r="CT110" s="82"/>
      <c r="CU110" s="82"/>
      <c r="CV110" s="82"/>
      <c r="CW110" s="82"/>
      <c r="CX110" s="82"/>
      <c r="CY110" s="82"/>
      <c r="CZ110" s="82"/>
      <c r="DA110" s="82"/>
      <c r="DD110" s="9">
        <f>+'[29]RES CUENTA'!$P$18</f>
        <v>340688.66551781591</v>
      </c>
      <c r="DE110" s="9">
        <f>+DD110*0.03</f>
        <v>10220.659965534476</v>
      </c>
      <c r="DF110" s="9"/>
    </row>
    <row r="111" spans="1:110" ht="13.5" customHeight="1" x14ac:dyDescent="0.2">
      <c r="A111" s="116">
        <v>2</v>
      </c>
      <c r="C111" s="82" t="str">
        <f>+'RES CUENTA'!D16</f>
        <v>Eduardo Sanchez</v>
      </c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  <c r="BB111" s="82"/>
      <c r="BC111" s="82"/>
      <c r="BD111" s="82"/>
      <c r="BE111" s="82"/>
      <c r="BF111" s="82"/>
      <c r="BG111" s="82"/>
      <c r="BH111" s="82"/>
      <c r="BI111" s="82"/>
      <c r="BJ111" s="82"/>
      <c r="BK111" s="82"/>
      <c r="BL111" s="82"/>
      <c r="BM111" s="82"/>
      <c r="BN111" s="82"/>
      <c r="BO111" s="82"/>
      <c r="BP111" s="82"/>
      <c r="BQ111" s="82"/>
      <c r="BR111" s="82"/>
      <c r="BS111" s="82"/>
      <c r="BT111" s="82"/>
      <c r="BU111" s="82"/>
      <c r="BV111" s="82"/>
      <c r="BW111" s="82"/>
      <c r="BX111" s="82"/>
      <c r="BY111" s="82"/>
      <c r="BZ111" s="82"/>
      <c r="CA111" s="82"/>
      <c r="CB111" s="82"/>
      <c r="CC111" s="82"/>
      <c r="CD111" s="82"/>
      <c r="CE111" s="82"/>
      <c r="CF111" s="82"/>
      <c r="CG111" s="82"/>
      <c r="CH111" s="82"/>
      <c r="CI111" s="82"/>
      <c r="CJ111" s="82"/>
      <c r="CK111" s="82"/>
      <c r="CL111" s="82"/>
      <c r="CM111" s="82"/>
      <c r="CN111" s="82"/>
      <c r="CO111" s="82"/>
      <c r="CP111" s="82"/>
      <c r="CQ111" s="82"/>
      <c r="CR111" s="82"/>
      <c r="CS111" s="82"/>
      <c r="CT111" s="82"/>
      <c r="CU111" s="82"/>
      <c r="CV111" s="82"/>
      <c r="CW111" s="82"/>
      <c r="CX111" s="82"/>
      <c r="CY111" s="82"/>
      <c r="CZ111" s="82">
        <v>0.03</v>
      </c>
      <c r="DA111" s="82">
        <v>30</v>
      </c>
      <c r="DB111" s="82">
        <f>CU111*CZ111/30*DA111</f>
        <v>0</v>
      </c>
      <c r="DC111" s="9">
        <f t="shared" ref="DC111" si="4">+DA111-DA112</f>
        <v>30</v>
      </c>
      <c r="DF111" s="9"/>
    </row>
    <row r="112" spans="1:110" ht="13.5" customHeight="1" x14ac:dyDescent="0.2"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  <c r="AM112" s="82"/>
      <c r="AN112" s="82"/>
      <c r="AO112" s="82"/>
      <c r="AP112" s="82"/>
      <c r="AQ112" s="82"/>
      <c r="AR112" s="82"/>
      <c r="AS112" s="82"/>
      <c r="AT112" s="82"/>
      <c r="AU112" s="82"/>
      <c r="AV112" s="82"/>
      <c r="AW112" s="82"/>
      <c r="AX112" s="82"/>
      <c r="AY112" s="82"/>
      <c r="AZ112" s="82"/>
      <c r="BA112" s="82"/>
      <c r="BB112" s="82"/>
      <c r="BC112" s="82"/>
      <c r="BD112" s="82"/>
      <c r="BE112" s="82"/>
      <c r="BF112" s="82"/>
      <c r="BG112" s="82"/>
      <c r="BH112" s="82"/>
      <c r="BI112" s="82"/>
      <c r="BJ112" s="82"/>
      <c r="BK112" s="82"/>
      <c r="BL112" s="82"/>
      <c r="BM112" s="82"/>
      <c r="BN112" s="82"/>
      <c r="BO112" s="82"/>
      <c r="BP112" s="82"/>
      <c r="BQ112" s="82"/>
      <c r="BR112" s="82"/>
      <c r="BS112" s="82"/>
      <c r="BT112" s="82"/>
      <c r="BU112" s="82"/>
      <c r="BV112" s="82"/>
      <c r="BW112" s="82"/>
      <c r="BX112" s="82"/>
      <c r="BY112" s="82"/>
      <c r="BZ112" s="82"/>
      <c r="CA112" s="82"/>
      <c r="CB112" s="82"/>
      <c r="CC112" s="82"/>
      <c r="CD112" s="82"/>
      <c r="CE112" s="82"/>
      <c r="CF112" s="82"/>
      <c r="CG112" s="82"/>
      <c r="CH112" s="82"/>
      <c r="CI112" s="82"/>
      <c r="CJ112" s="82"/>
      <c r="CK112" s="82"/>
      <c r="CL112" s="82"/>
      <c r="CM112" s="82"/>
      <c r="CN112" s="82"/>
      <c r="CO112" s="82"/>
      <c r="CP112" s="82"/>
      <c r="CQ112" s="82"/>
      <c r="CR112" s="82"/>
      <c r="CS112" s="82"/>
      <c r="CT112" s="82"/>
      <c r="CU112" s="82"/>
      <c r="CV112" s="82"/>
      <c r="CW112" s="82"/>
      <c r="CX112" s="82"/>
      <c r="CY112" s="82"/>
      <c r="CZ112" s="82"/>
      <c r="DA112" s="82"/>
      <c r="DF112" s="9"/>
    </row>
    <row r="113" spans="1:110" ht="13.5" customHeight="1" x14ac:dyDescent="0.2">
      <c r="A113" s="116">
        <v>3</v>
      </c>
      <c r="C113" s="82" t="str">
        <f>+'RES CUENTA'!D17</f>
        <v>Benjamin Fernandez</v>
      </c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2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2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2"/>
      <c r="BQ113" s="82"/>
      <c r="BR113" s="82"/>
      <c r="BS113" s="82"/>
      <c r="BT113" s="82"/>
      <c r="BU113" s="82"/>
      <c r="BV113" s="82"/>
      <c r="BW113" s="82"/>
      <c r="BX113" s="82"/>
      <c r="BY113" s="82"/>
      <c r="BZ113" s="82"/>
      <c r="CA113" s="82"/>
      <c r="CB113" s="82"/>
      <c r="CC113" s="82"/>
      <c r="CD113" s="82"/>
      <c r="CE113" s="82"/>
      <c r="CF113" s="82"/>
      <c r="CG113" s="82"/>
      <c r="CH113" s="82"/>
      <c r="CI113" s="82"/>
      <c r="CJ113" s="82"/>
      <c r="CK113" s="82"/>
      <c r="CL113" s="82"/>
      <c r="CM113" s="82"/>
      <c r="CN113" s="82"/>
      <c r="CO113" s="82"/>
      <c r="CP113" s="82"/>
      <c r="CQ113" s="82"/>
      <c r="CR113" s="82"/>
      <c r="CS113" s="82"/>
      <c r="CT113" s="82"/>
      <c r="CU113" s="82"/>
      <c r="CV113" s="82"/>
      <c r="CW113" s="82"/>
      <c r="CX113" s="82"/>
      <c r="CY113" s="82"/>
      <c r="CZ113" s="82">
        <v>0.03</v>
      </c>
      <c r="DA113" s="82">
        <v>30</v>
      </c>
      <c r="DB113" s="82">
        <f>CO113*CZ113/30*DA113</f>
        <v>0</v>
      </c>
      <c r="DC113" s="9">
        <f t="shared" ref="DC113" si="5">+DA113-DA114</f>
        <v>30</v>
      </c>
      <c r="DF113" s="9"/>
    </row>
    <row r="114" spans="1:110" ht="13.5" customHeight="1" x14ac:dyDescent="0.2"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  <c r="AR114" s="82"/>
      <c r="AS114" s="82"/>
      <c r="AT114" s="82"/>
      <c r="AU114" s="82"/>
      <c r="AV114" s="82"/>
      <c r="AW114" s="82"/>
      <c r="AX114" s="82"/>
      <c r="AY114" s="82"/>
      <c r="AZ114" s="82"/>
      <c r="BA114" s="82"/>
      <c r="BB114" s="82"/>
      <c r="BC114" s="82"/>
      <c r="BD114" s="82"/>
      <c r="BE114" s="82"/>
      <c r="BF114" s="82"/>
      <c r="BG114" s="82"/>
      <c r="BH114" s="82"/>
      <c r="BI114" s="82"/>
      <c r="BJ114" s="82"/>
      <c r="BK114" s="82"/>
      <c r="BL114" s="82"/>
      <c r="BM114" s="82"/>
      <c r="BN114" s="82"/>
      <c r="BO114" s="82"/>
      <c r="BP114" s="82"/>
      <c r="BQ114" s="82"/>
      <c r="BR114" s="82"/>
      <c r="BS114" s="82"/>
      <c r="BT114" s="82"/>
      <c r="BU114" s="82"/>
      <c r="BV114" s="82"/>
      <c r="BW114" s="82"/>
      <c r="BX114" s="82"/>
      <c r="BY114" s="82"/>
      <c r="BZ114" s="82"/>
      <c r="CA114" s="82"/>
      <c r="CB114" s="82"/>
      <c r="CC114" s="82"/>
      <c r="CD114" s="82"/>
      <c r="CE114" s="82"/>
      <c r="CF114" s="82"/>
      <c r="CG114" s="82"/>
      <c r="CH114" s="82"/>
      <c r="CI114" s="82"/>
      <c r="CJ114" s="82"/>
      <c r="CK114" s="82"/>
      <c r="CL114" s="82"/>
      <c r="CM114" s="82"/>
      <c r="CN114" s="82"/>
      <c r="CO114" s="82"/>
      <c r="CP114" s="82"/>
      <c r="CQ114" s="82"/>
      <c r="CR114" s="82"/>
      <c r="CS114" s="82"/>
      <c r="CT114" s="82"/>
      <c r="CU114" s="82"/>
      <c r="CV114" s="82"/>
      <c r="CW114" s="82"/>
      <c r="CX114" s="82"/>
      <c r="CY114" s="82"/>
      <c r="CZ114" s="82"/>
      <c r="DA114" s="82"/>
      <c r="DF114" s="9"/>
    </row>
    <row r="115" spans="1:110" ht="13.5" customHeight="1" x14ac:dyDescent="0.2">
      <c r="A115" s="116">
        <v>4</v>
      </c>
      <c r="C115" s="82" t="str">
        <f>+'RES CUENTA'!D18</f>
        <v>Franco Lippi</v>
      </c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  <c r="BT115" s="82"/>
      <c r="BU115" s="82"/>
      <c r="BV115" s="82"/>
      <c r="BW115" s="82"/>
      <c r="BX115" s="82"/>
      <c r="BY115" s="82"/>
      <c r="BZ115" s="82"/>
      <c r="CA115" s="82"/>
      <c r="CB115" s="82"/>
      <c r="CC115" s="82"/>
      <c r="CD115" s="82"/>
      <c r="CE115" s="82"/>
      <c r="CF115" s="82"/>
      <c r="CG115" s="82"/>
      <c r="CH115" s="82"/>
      <c r="CI115" s="82"/>
      <c r="CJ115" s="82"/>
      <c r="CK115" s="82"/>
      <c r="CL115" s="82"/>
      <c r="CM115" s="82"/>
      <c r="CN115" s="82"/>
      <c r="CO115" s="82"/>
      <c r="CP115" s="82"/>
      <c r="CQ115" s="82"/>
      <c r="CR115" s="82"/>
      <c r="CS115" s="82"/>
      <c r="CT115" s="82"/>
      <c r="CU115" s="82"/>
      <c r="CV115" s="82"/>
      <c r="CW115" s="82"/>
      <c r="CX115" s="82"/>
      <c r="CY115" s="82"/>
      <c r="CZ115" s="82">
        <v>0.03</v>
      </c>
      <c r="DA115" s="82"/>
      <c r="DF115" s="9"/>
    </row>
    <row r="116" spans="1:110" ht="13.5" customHeight="1" x14ac:dyDescent="0.2"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  <c r="BT116" s="82"/>
      <c r="BU116" s="82"/>
      <c r="BV116" s="82"/>
      <c r="BW116" s="82"/>
      <c r="BX116" s="82"/>
      <c r="BY116" s="82"/>
      <c r="BZ116" s="82"/>
      <c r="CA116" s="82"/>
      <c r="CB116" s="82"/>
      <c r="CC116" s="82"/>
      <c r="CD116" s="82"/>
      <c r="CE116" s="82"/>
      <c r="CF116" s="82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>
        <v>0.03</v>
      </c>
      <c r="DA116" s="82">
        <v>30</v>
      </c>
      <c r="DB116" s="82">
        <f>CO116*CZ116/30*DA116</f>
        <v>0</v>
      </c>
      <c r="DF116" s="9"/>
    </row>
    <row r="117" spans="1:110" ht="13.5" customHeight="1" x14ac:dyDescent="0.2"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>
        <f>SUM(DB115:DB116)</f>
        <v>0</v>
      </c>
      <c r="DF117" s="9"/>
    </row>
    <row r="118" spans="1:110" ht="13.5" customHeight="1" x14ac:dyDescent="0.2"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F118" s="9"/>
    </row>
    <row r="119" spans="1:110" ht="13.5" customHeight="1" x14ac:dyDescent="0.2">
      <c r="A119" s="116">
        <v>5</v>
      </c>
      <c r="C119" s="82" t="str">
        <f>+'RES CUENTA'!D19</f>
        <v>Antonella Denegri</v>
      </c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  <c r="BT119" s="82"/>
      <c r="BU119" s="82"/>
      <c r="BV119" s="82"/>
      <c r="BW119" s="82"/>
      <c r="BX119" s="82"/>
      <c r="BY119" s="82"/>
      <c r="BZ119" s="82"/>
      <c r="CA119" s="82"/>
      <c r="CB119" s="82"/>
      <c r="CC119" s="82"/>
      <c r="CD119" s="82"/>
      <c r="CE119" s="82"/>
      <c r="CF119" s="82"/>
      <c r="CG119" s="82"/>
      <c r="CH119" s="82"/>
      <c r="CI119" s="82"/>
      <c r="CJ119" s="82"/>
      <c r="CK119" s="82"/>
      <c r="CL119" s="82"/>
      <c r="CM119" s="82"/>
      <c r="CN119" s="82"/>
      <c r="CO119" s="82"/>
      <c r="CP119" s="82"/>
      <c r="CQ119" s="82"/>
      <c r="CR119" s="82"/>
      <c r="CS119" s="82"/>
      <c r="CT119" s="82"/>
      <c r="CU119" s="82"/>
      <c r="CV119" s="82"/>
      <c r="CW119" s="82"/>
      <c r="CX119" s="82"/>
      <c r="CY119" s="82"/>
      <c r="CZ119" s="82">
        <v>0.03</v>
      </c>
      <c r="DA119" s="82">
        <v>30</v>
      </c>
      <c r="DB119" s="82" t="e">
        <f>+#REF!*CZ119/30*DA119</f>
        <v>#REF!</v>
      </c>
      <c r="DF119" s="9"/>
    </row>
    <row r="120" spans="1:110" ht="13.5" customHeight="1" x14ac:dyDescent="0.2"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  <c r="BT120" s="82"/>
      <c r="BU120" s="82"/>
      <c r="BV120" s="82"/>
      <c r="BW120" s="82"/>
      <c r="BX120" s="82"/>
      <c r="BY120" s="82"/>
      <c r="BZ120" s="82"/>
      <c r="CA120" s="82"/>
      <c r="CB120" s="82"/>
      <c r="CC120" s="82"/>
      <c r="CD120" s="82"/>
      <c r="CE120" s="82"/>
      <c r="CF120" s="82"/>
      <c r="CG120" s="82"/>
      <c r="CH120" s="82"/>
      <c r="CI120" s="82"/>
      <c r="CJ120" s="82"/>
      <c r="CK120" s="82"/>
      <c r="CL120" s="82"/>
      <c r="CM120" s="82"/>
      <c r="CN120" s="82"/>
      <c r="CO120" s="82"/>
      <c r="CP120" s="82"/>
      <c r="CQ120" s="82"/>
      <c r="CR120" s="82"/>
      <c r="CS120" s="82"/>
      <c r="CT120" s="82"/>
      <c r="CU120" s="82"/>
      <c r="CV120" s="82"/>
      <c r="CW120" s="82"/>
      <c r="CX120" s="82"/>
      <c r="CY120" s="82"/>
      <c r="CZ120" s="82"/>
      <c r="DA120" s="82"/>
      <c r="DF120" s="9"/>
    </row>
    <row r="121" spans="1:110" ht="13.5" customHeight="1" x14ac:dyDescent="0.2">
      <c r="A121" s="116">
        <v>6</v>
      </c>
      <c r="C121" s="82" t="str">
        <f>+'RES CUENTA'!D20</f>
        <v>Ana Isabel Pirro</v>
      </c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  <c r="BN121" s="82"/>
      <c r="BO121" s="82"/>
      <c r="BP121" s="82"/>
      <c r="BQ121" s="82"/>
      <c r="BR121" s="82"/>
      <c r="BS121" s="82"/>
      <c r="BT121" s="82"/>
      <c r="BU121" s="82"/>
      <c r="BV121" s="82"/>
      <c r="BW121" s="82"/>
      <c r="BX121" s="82"/>
      <c r="BY121" s="82"/>
      <c r="BZ121" s="82"/>
      <c r="CA121" s="82"/>
      <c r="CB121" s="82"/>
      <c r="CC121" s="82"/>
      <c r="CD121" s="82"/>
      <c r="CE121" s="82"/>
      <c r="CF121" s="82"/>
      <c r="CG121" s="82"/>
      <c r="CH121" s="82"/>
      <c r="CI121" s="82"/>
      <c r="CJ121" s="82"/>
      <c r="CK121" s="82"/>
      <c r="CL121" s="82"/>
      <c r="CM121" s="82"/>
      <c r="CN121" s="82"/>
      <c r="CO121" s="82"/>
      <c r="CP121" s="82"/>
      <c r="CQ121" s="82"/>
      <c r="CR121" s="82"/>
      <c r="CS121" s="82"/>
      <c r="CT121" s="82"/>
      <c r="CU121" s="82"/>
      <c r="CV121" s="82"/>
      <c r="CW121" s="82"/>
      <c r="CX121" s="82"/>
      <c r="CY121" s="82"/>
      <c r="CZ121" s="82">
        <v>0.03</v>
      </c>
      <c r="DA121" s="82">
        <v>30</v>
      </c>
      <c r="DB121" s="82">
        <f>CU121*CZ121/30*DA121</f>
        <v>0</v>
      </c>
      <c r="DF121" s="9"/>
    </row>
    <row r="122" spans="1:110" ht="13.5" customHeight="1" x14ac:dyDescent="0.2"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  <c r="AM122" s="82"/>
      <c r="AN122" s="82"/>
      <c r="AO122" s="82"/>
      <c r="AP122" s="82"/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  <c r="BN122" s="82"/>
      <c r="BO122" s="82"/>
      <c r="BP122" s="82"/>
      <c r="BQ122" s="82"/>
      <c r="BR122" s="82"/>
      <c r="BS122" s="82"/>
      <c r="BT122" s="82"/>
      <c r="BU122" s="82"/>
      <c r="BV122" s="82"/>
      <c r="BW122" s="82"/>
      <c r="BX122" s="82"/>
      <c r="BY122" s="82"/>
      <c r="BZ122" s="82"/>
      <c r="CA122" s="82"/>
      <c r="CB122" s="82"/>
      <c r="CC122" s="82"/>
      <c r="CD122" s="82"/>
      <c r="CE122" s="82"/>
      <c r="CF122" s="82"/>
      <c r="CG122" s="82"/>
      <c r="CH122" s="82"/>
      <c r="CI122" s="82"/>
      <c r="CJ122" s="82"/>
      <c r="CK122" s="82"/>
      <c r="CL122" s="82"/>
      <c r="CM122" s="82"/>
      <c r="CN122" s="82"/>
      <c r="CO122" s="82"/>
      <c r="CP122" s="82"/>
      <c r="CQ122" s="82"/>
      <c r="CR122" s="82"/>
      <c r="CS122" s="82"/>
      <c r="CT122" s="82"/>
      <c r="CU122" s="82"/>
      <c r="CV122" s="82"/>
      <c r="CW122" s="82"/>
      <c r="CX122" s="82"/>
      <c r="CY122" s="82"/>
      <c r="CZ122" s="82"/>
      <c r="DA122" s="82"/>
      <c r="DF122" s="9"/>
    </row>
    <row r="123" spans="1:110" ht="13.5" customHeight="1" x14ac:dyDescent="0.2">
      <c r="A123" s="116">
        <v>7</v>
      </c>
      <c r="C123" s="82" t="str">
        <f>+'RES CUENTA'!D21</f>
        <v>Leandro Acero</v>
      </c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  <c r="BN123" s="82"/>
      <c r="BO123" s="82"/>
      <c r="BP123" s="82"/>
      <c r="BQ123" s="82"/>
      <c r="BR123" s="82"/>
      <c r="BS123" s="82"/>
      <c r="BT123" s="82"/>
      <c r="BU123" s="82"/>
      <c r="BV123" s="82"/>
      <c r="BW123" s="82"/>
      <c r="BX123" s="82"/>
      <c r="BY123" s="82"/>
      <c r="BZ123" s="82"/>
      <c r="CA123" s="82"/>
      <c r="CB123" s="82"/>
      <c r="CC123" s="82"/>
      <c r="CD123" s="82"/>
      <c r="CE123" s="82"/>
      <c r="CF123" s="82"/>
      <c r="CG123" s="82"/>
      <c r="CH123" s="82"/>
      <c r="CI123" s="82"/>
      <c r="CJ123" s="82"/>
      <c r="CK123" s="82"/>
      <c r="CL123" s="82"/>
      <c r="CM123" s="82"/>
      <c r="CN123" s="82"/>
      <c r="CO123" s="82"/>
      <c r="CP123" s="82"/>
      <c r="CQ123" s="82"/>
      <c r="CR123" s="82"/>
      <c r="CS123" s="82"/>
      <c r="CT123" s="82"/>
      <c r="CU123" s="82"/>
      <c r="CV123" s="82"/>
      <c r="CW123" s="82"/>
      <c r="CX123" s="82"/>
      <c r="CY123" s="82"/>
      <c r="CZ123" s="82">
        <v>0.03</v>
      </c>
      <c r="DA123" s="82">
        <v>30</v>
      </c>
      <c r="DB123" s="82">
        <f>CQ123*CZ123/30*DA123</f>
        <v>0</v>
      </c>
      <c r="DF123" s="9"/>
    </row>
    <row r="124" spans="1:110" ht="13.5" customHeight="1" x14ac:dyDescent="0.2"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2"/>
      <c r="AS124" s="82"/>
      <c r="AT124" s="82"/>
      <c r="AU124" s="82"/>
      <c r="AV124" s="82"/>
      <c r="AW124" s="82"/>
      <c r="AX124" s="82"/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2"/>
      <c r="BQ124" s="82"/>
      <c r="BR124" s="82"/>
      <c r="BS124" s="82"/>
      <c r="BT124" s="82"/>
      <c r="BU124" s="82"/>
      <c r="BV124" s="82"/>
      <c r="BW124" s="82"/>
      <c r="BX124" s="82"/>
      <c r="BY124" s="82"/>
      <c r="BZ124" s="82"/>
      <c r="CA124" s="82"/>
      <c r="CB124" s="82"/>
      <c r="CC124" s="82"/>
      <c r="CD124" s="82"/>
      <c r="CE124" s="82"/>
      <c r="CF124" s="82"/>
      <c r="CG124" s="82"/>
      <c r="CH124" s="82"/>
      <c r="CI124" s="82"/>
      <c r="CJ124" s="82"/>
      <c r="CK124" s="82"/>
      <c r="CL124" s="82"/>
      <c r="CM124" s="82"/>
      <c r="CN124" s="82"/>
      <c r="CO124" s="82"/>
      <c r="CP124" s="82"/>
      <c r="CQ124" s="82"/>
      <c r="CR124" s="82"/>
      <c r="CS124" s="82"/>
      <c r="CT124" s="82"/>
      <c r="CU124" s="82"/>
      <c r="CV124" s="82"/>
      <c r="CW124" s="82"/>
      <c r="CX124" s="82"/>
      <c r="CY124" s="82"/>
      <c r="CZ124" s="82"/>
      <c r="DA124" s="82"/>
      <c r="DF124" s="9"/>
    </row>
    <row r="125" spans="1:110" ht="13.5" customHeight="1" x14ac:dyDescent="0.2">
      <c r="A125" s="116">
        <v>8</v>
      </c>
      <c r="C125" s="82" t="str">
        <f>+'RES CUENTA'!D22</f>
        <v>Jose A. Montans</v>
      </c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  <c r="AR125" s="82"/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82"/>
      <c r="BR125" s="82"/>
      <c r="BS125" s="82"/>
      <c r="BT125" s="82"/>
      <c r="BU125" s="82"/>
      <c r="BV125" s="82"/>
      <c r="BW125" s="82"/>
      <c r="BX125" s="82"/>
      <c r="BY125" s="82"/>
      <c r="BZ125" s="82"/>
      <c r="CA125" s="82"/>
      <c r="CB125" s="82"/>
      <c r="CC125" s="82"/>
      <c r="CD125" s="82"/>
      <c r="CE125" s="82"/>
      <c r="CF125" s="82"/>
      <c r="CG125" s="82"/>
      <c r="CH125" s="82"/>
      <c r="CI125" s="82"/>
      <c r="CJ125" s="82"/>
      <c r="CK125" s="82"/>
      <c r="CL125" s="82"/>
      <c r="CM125" s="82"/>
      <c r="CN125" s="82"/>
      <c r="CO125" s="82"/>
      <c r="CP125" s="82"/>
      <c r="CQ125" s="82"/>
      <c r="CR125" s="82"/>
      <c r="CS125" s="82"/>
      <c r="CT125" s="82"/>
      <c r="CU125" s="82"/>
      <c r="CV125" s="82"/>
      <c r="CW125" s="82"/>
      <c r="CX125" s="82"/>
      <c r="CY125" s="82"/>
      <c r="CZ125" s="82">
        <v>0.03</v>
      </c>
      <c r="DA125" s="82">
        <v>60</v>
      </c>
      <c r="DC125" s="9">
        <f>+'RES CUENTA'!AA22+'RES CUENTA'!Z22</f>
        <v>374500</v>
      </c>
      <c r="DD125" s="9">
        <f>-'[101]RES CUENTA'!$Q$25</f>
        <v>-116.34118417499997</v>
      </c>
      <c r="DE125" s="9">
        <f>+DC125+DD125</f>
        <v>374383.65881582501</v>
      </c>
      <c r="DF125" s="9"/>
    </row>
    <row r="126" spans="1:110" ht="13.5" customHeight="1" x14ac:dyDescent="0.2"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82"/>
      <c r="BJ126" s="82"/>
      <c r="BK126" s="82"/>
      <c r="BL126" s="82"/>
      <c r="BM126" s="82"/>
      <c r="BN126" s="82"/>
      <c r="BO126" s="82"/>
      <c r="BP126" s="82"/>
      <c r="BQ126" s="82"/>
      <c r="BR126" s="82"/>
      <c r="BS126" s="82"/>
      <c r="BT126" s="82"/>
      <c r="BU126" s="82"/>
      <c r="BV126" s="82"/>
      <c r="BW126" s="82"/>
      <c r="BX126" s="82"/>
      <c r="BY126" s="82"/>
      <c r="BZ126" s="82"/>
      <c r="CA126" s="82"/>
      <c r="CB126" s="82"/>
      <c r="CC126" s="82"/>
      <c r="CD126" s="82"/>
      <c r="CE126" s="82"/>
      <c r="CF126" s="82"/>
      <c r="CG126" s="82"/>
      <c r="CH126" s="82"/>
      <c r="CI126" s="82"/>
      <c r="CJ126" s="82"/>
      <c r="CK126" s="82"/>
      <c r="CL126" s="82"/>
      <c r="CM126" s="82"/>
      <c r="CN126" s="82"/>
      <c r="CO126" s="82"/>
      <c r="CP126" s="82"/>
      <c r="CQ126" s="82"/>
      <c r="CR126" s="82"/>
      <c r="CS126" s="82"/>
      <c r="CT126" s="82"/>
      <c r="CU126" s="82"/>
      <c r="CV126" s="82"/>
      <c r="CW126" s="82"/>
      <c r="CX126" s="82"/>
      <c r="CY126" s="82"/>
      <c r="CZ126" s="82">
        <v>0.03</v>
      </c>
      <c r="DA126" s="82">
        <v>60</v>
      </c>
      <c r="DB126" s="82">
        <f>+D126*CZ126/30*DA126</f>
        <v>0</v>
      </c>
      <c r="DF126" s="9"/>
    </row>
    <row r="127" spans="1:110" ht="13.5" customHeight="1" x14ac:dyDescent="0.2"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  <c r="BT127" s="82"/>
      <c r="BU127" s="82"/>
      <c r="BV127" s="82"/>
      <c r="BW127" s="82"/>
      <c r="BX127" s="82"/>
      <c r="BY127" s="82"/>
      <c r="BZ127" s="82"/>
      <c r="CA127" s="82"/>
      <c r="CB127" s="82"/>
      <c r="CC127" s="82"/>
      <c r="CD127" s="82"/>
      <c r="CE127" s="82"/>
      <c r="CF127" s="82"/>
      <c r="CG127" s="82"/>
      <c r="CH127" s="82"/>
      <c r="CI127" s="82"/>
      <c r="CJ127" s="82"/>
      <c r="CK127" s="82"/>
      <c r="CL127" s="82"/>
      <c r="CM127" s="82"/>
      <c r="CN127" s="82"/>
      <c r="CO127" s="82"/>
      <c r="CP127" s="82"/>
      <c r="CQ127" s="82"/>
      <c r="CR127" s="82"/>
      <c r="CS127" s="82"/>
      <c r="CT127" s="82"/>
      <c r="CU127" s="82"/>
      <c r="CV127" s="82"/>
      <c r="CW127" s="82"/>
      <c r="CX127" s="82"/>
      <c r="CY127" s="82"/>
      <c r="CZ127" s="82">
        <v>0.03</v>
      </c>
      <c r="DA127" s="82">
        <v>30</v>
      </c>
      <c r="DB127" s="82">
        <f>CT127*CZ127/30*DA127</f>
        <v>0</v>
      </c>
      <c r="DF127" s="9"/>
    </row>
    <row r="128" spans="1:110" ht="13.5" customHeight="1" x14ac:dyDescent="0.2"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  <c r="BD128" s="82"/>
      <c r="BE128" s="82"/>
      <c r="BF128" s="82"/>
      <c r="BG128" s="82"/>
      <c r="BH128" s="82"/>
      <c r="BI128" s="82"/>
      <c r="BJ128" s="82"/>
      <c r="BK128" s="82"/>
      <c r="BL128" s="82"/>
      <c r="BM128" s="82"/>
      <c r="BN128" s="82"/>
      <c r="BO128" s="82"/>
      <c r="BP128" s="82"/>
      <c r="BQ128" s="82"/>
      <c r="BR128" s="82"/>
      <c r="BS128" s="82"/>
      <c r="BT128" s="82"/>
      <c r="BU128" s="82"/>
      <c r="BV128" s="82"/>
      <c r="BW128" s="82"/>
      <c r="BX128" s="82"/>
      <c r="BY128" s="82"/>
      <c r="BZ128" s="82"/>
      <c r="CA128" s="82"/>
      <c r="CB128" s="82"/>
      <c r="CC128" s="82"/>
      <c r="CD128" s="82"/>
      <c r="CE128" s="82"/>
      <c r="CF128" s="82"/>
      <c r="CG128" s="82"/>
      <c r="CH128" s="82"/>
      <c r="CI128" s="82"/>
      <c r="CJ128" s="82"/>
      <c r="CK128" s="82"/>
      <c r="CL128" s="82"/>
      <c r="CM128" s="82"/>
      <c r="CN128" s="82"/>
      <c r="CO128" s="82"/>
      <c r="CP128" s="82"/>
      <c r="CQ128" s="82"/>
      <c r="CR128" s="82"/>
      <c r="CS128" s="82"/>
      <c r="CT128" s="82"/>
      <c r="CU128" s="82"/>
      <c r="CV128" s="82"/>
      <c r="CW128" s="82"/>
      <c r="CX128" s="82"/>
      <c r="CY128" s="82"/>
      <c r="CZ128" s="82"/>
      <c r="DA128" s="82"/>
      <c r="DB128" s="82">
        <f>SUM(DB126:DB127)</f>
        <v>0</v>
      </c>
      <c r="DF128" s="9"/>
    </row>
    <row r="129" spans="1:110" ht="13.5" customHeight="1" x14ac:dyDescent="0.2"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  <c r="BY129" s="82"/>
      <c r="BZ129" s="82"/>
      <c r="CA129" s="82"/>
      <c r="CB129" s="82"/>
      <c r="CC129" s="82"/>
      <c r="CD129" s="82"/>
      <c r="CE129" s="82"/>
      <c r="CF129" s="82"/>
      <c r="CG129" s="82"/>
      <c r="CH129" s="82"/>
      <c r="CI129" s="82"/>
      <c r="CJ129" s="82"/>
      <c r="CK129" s="82"/>
      <c r="CL129" s="82"/>
      <c r="CM129" s="82"/>
      <c r="CN129" s="82"/>
      <c r="CO129" s="82"/>
      <c r="CP129" s="82"/>
      <c r="CQ129" s="82"/>
      <c r="CR129" s="82"/>
      <c r="CS129" s="82"/>
      <c r="CT129" s="82"/>
      <c r="CU129" s="82"/>
      <c r="CV129" s="82"/>
      <c r="CW129" s="82"/>
      <c r="CX129" s="82"/>
      <c r="CY129" s="82"/>
      <c r="CZ129" s="82"/>
      <c r="DA129" s="82"/>
      <c r="DF129" s="9"/>
    </row>
    <row r="130" spans="1:110" x14ac:dyDescent="0.2">
      <c r="A130" s="116">
        <f>+'RES CUENTA'!B23</f>
        <v>9</v>
      </c>
      <c r="C130" s="82" t="str">
        <f>+'RES CUENTA'!D23</f>
        <v>Miguel A. Machinandiarena</v>
      </c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  <c r="BT130" s="82"/>
      <c r="BU130" s="82"/>
      <c r="BV130" s="82"/>
      <c r="BW130" s="82"/>
      <c r="BX130" s="82"/>
      <c r="BY130" s="82"/>
      <c r="BZ130" s="82"/>
      <c r="CA130" s="82"/>
      <c r="CB130" s="82"/>
      <c r="CC130" s="82"/>
      <c r="CD130" s="82"/>
      <c r="CE130" s="82"/>
      <c r="CF130" s="82"/>
      <c r="CG130" s="82"/>
      <c r="CH130" s="82"/>
      <c r="CI130" s="82"/>
      <c r="CJ130" s="82"/>
      <c r="CK130" s="82"/>
      <c r="CL130" s="82"/>
      <c r="CM130" s="82"/>
      <c r="CN130" s="82"/>
      <c r="CO130" s="82"/>
      <c r="CP130" s="82"/>
      <c r="CQ130" s="82"/>
      <c r="CR130" s="82"/>
      <c r="CS130" s="82"/>
      <c r="CT130" s="82"/>
      <c r="CU130" s="82"/>
      <c r="CV130" s="82"/>
      <c r="CW130" s="82"/>
      <c r="CX130" s="82"/>
      <c r="CY130" s="82"/>
      <c r="CZ130" s="82">
        <v>0.03</v>
      </c>
      <c r="DA130" s="82">
        <v>60</v>
      </c>
      <c r="DB130" s="82">
        <f>+BP130*CZ130/30*DA130</f>
        <v>0</v>
      </c>
      <c r="DC130" s="9">
        <f>+'RES CUENTA'!Z23</f>
        <v>363741</v>
      </c>
      <c r="DD130" s="9">
        <f>-'[2]RES CUENTA'!$Q$26</f>
        <v>-324.77712128999997</v>
      </c>
      <c r="DE130" s="9">
        <f>+DC130+DD130</f>
        <v>363416.22287871002</v>
      </c>
      <c r="DF130" s="9"/>
    </row>
    <row r="131" spans="1:110" x14ac:dyDescent="0.2"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  <c r="BT131" s="82"/>
      <c r="BU131" s="82"/>
      <c r="BV131" s="82"/>
      <c r="BW131" s="82"/>
      <c r="BX131" s="82"/>
      <c r="BY131" s="82"/>
      <c r="BZ131" s="82"/>
      <c r="CA131" s="82"/>
      <c r="CB131" s="82"/>
      <c r="CC131" s="82"/>
      <c r="CD131" s="82"/>
      <c r="CE131" s="82"/>
      <c r="CF131" s="82"/>
      <c r="CG131" s="82"/>
      <c r="CH131" s="82"/>
      <c r="CI131" s="82"/>
      <c r="CJ131" s="82"/>
      <c r="CK131" s="82"/>
      <c r="CL131" s="82"/>
      <c r="CM131" s="82"/>
      <c r="CN131" s="82"/>
      <c r="CO131" s="82"/>
      <c r="CP131" s="82"/>
      <c r="CQ131" s="82"/>
      <c r="CR131" s="82"/>
      <c r="CS131" s="82"/>
      <c r="CT131" s="82"/>
      <c r="CU131" s="82"/>
      <c r="CV131" s="82"/>
      <c r="CW131" s="82"/>
      <c r="CX131" s="82"/>
      <c r="CY131" s="82"/>
      <c r="CZ131" s="82">
        <v>0.03</v>
      </c>
      <c r="DA131" s="82">
        <v>30</v>
      </c>
      <c r="DB131" s="82">
        <f>+CM131*CZ131/30*DA131</f>
        <v>0</v>
      </c>
      <c r="DE131" s="9">
        <v>-3327</v>
      </c>
      <c r="DF131" s="9"/>
    </row>
    <row r="132" spans="1:110" x14ac:dyDescent="0.2"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  <c r="BT132" s="82"/>
      <c r="BU132" s="82"/>
      <c r="BV132" s="82"/>
      <c r="BW132" s="82"/>
      <c r="BX132" s="82"/>
      <c r="BY132" s="82"/>
      <c r="BZ132" s="82"/>
      <c r="CA132" s="82"/>
      <c r="CB132" s="82"/>
      <c r="CC132" s="82"/>
      <c r="CD132" s="82"/>
      <c r="CE132" s="82"/>
      <c r="CF132" s="82"/>
      <c r="CG132" s="82"/>
      <c r="CH132" s="82"/>
      <c r="CI132" s="82"/>
      <c r="CJ132" s="82"/>
      <c r="CK132" s="82"/>
      <c r="CL132" s="82"/>
      <c r="CM132" s="82"/>
      <c r="CN132" s="82"/>
      <c r="CO132" s="82"/>
      <c r="CP132" s="82"/>
      <c r="CQ132" s="82"/>
      <c r="CR132" s="82"/>
      <c r="CS132" s="82"/>
      <c r="CT132" s="82"/>
      <c r="CU132" s="82"/>
      <c r="CV132" s="82"/>
      <c r="CW132" s="82"/>
      <c r="CX132" s="82"/>
      <c r="CY132" s="82"/>
      <c r="CZ132" s="82"/>
      <c r="DA132" s="82"/>
      <c r="DB132" s="82">
        <f>SUM(DB130:DB131)</f>
        <v>0</v>
      </c>
      <c r="DE132" s="9">
        <f>+DE130+DE131</f>
        <v>360089.22287871002</v>
      </c>
      <c r="DF132" s="9"/>
    </row>
    <row r="133" spans="1:110" x14ac:dyDescent="0.2"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  <c r="BT133" s="82"/>
      <c r="BU133" s="82"/>
      <c r="BV133" s="82"/>
      <c r="BW133" s="82"/>
      <c r="BX133" s="82"/>
      <c r="BY133" s="82"/>
      <c r="BZ133" s="82"/>
      <c r="CA133" s="82"/>
      <c r="CB133" s="82"/>
      <c r="CC133" s="82"/>
      <c r="CD133" s="82"/>
      <c r="CE133" s="82"/>
      <c r="CF133" s="82"/>
      <c r="CG133" s="82"/>
      <c r="CH133" s="82"/>
      <c r="CI133" s="82"/>
      <c r="CJ133" s="82"/>
      <c r="CK133" s="82"/>
      <c r="CL133" s="82"/>
      <c r="CM133" s="82"/>
      <c r="CN133" s="82"/>
      <c r="CO133" s="82"/>
      <c r="CP133" s="82"/>
      <c r="CQ133" s="82"/>
      <c r="CR133" s="82"/>
      <c r="CS133" s="82"/>
      <c r="CT133" s="82"/>
      <c r="CU133" s="82"/>
      <c r="CV133" s="82"/>
      <c r="CW133" s="82"/>
      <c r="CX133" s="82"/>
      <c r="CY133" s="82"/>
      <c r="CZ133" s="82">
        <v>0.03</v>
      </c>
      <c r="DA133" s="82"/>
      <c r="DF133" s="9"/>
    </row>
    <row r="134" spans="1:110" x14ac:dyDescent="0.2">
      <c r="A134" s="116">
        <v>10</v>
      </c>
      <c r="C134" s="82" t="str">
        <f>+'RES CUENTA'!D24</f>
        <v>Olivier Liem</v>
      </c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  <c r="BT134" s="82"/>
      <c r="BU134" s="82"/>
      <c r="BV134" s="82"/>
      <c r="BW134" s="82"/>
      <c r="BX134" s="82"/>
      <c r="BY134" s="82"/>
      <c r="BZ134" s="82"/>
      <c r="CA134" s="82"/>
      <c r="CB134" s="82"/>
      <c r="CC134" s="82"/>
      <c r="CD134" s="82"/>
      <c r="CE134" s="82"/>
      <c r="CF134" s="82"/>
      <c r="CG134" s="82"/>
      <c r="CH134" s="82"/>
      <c r="CI134" s="82"/>
      <c r="CJ134" s="82"/>
      <c r="CK134" s="82"/>
      <c r="CL134" s="82"/>
      <c r="CM134" s="82"/>
      <c r="CN134" s="82"/>
      <c r="CO134" s="82"/>
      <c r="CP134" s="82"/>
      <c r="CQ134" s="82"/>
      <c r="CR134" s="82"/>
      <c r="CS134" s="82"/>
      <c r="CT134" s="82"/>
      <c r="CU134" s="82"/>
      <c r="CV134" s="82"/>
      <c r="CW134" s="82"/>
      <c r="CX134" s="82"/>
      <c r="CY134" s="82"/>
      <c r="CZ134" s="82">
        <v>0.03</v>
      </c>
      <c r="DA134" s="82">
        <v>90</v>
      </c>
      <c r="DB134" s="82">
        <f>CJ134*CZ134/30*DA134</f>
        <v>0</v>
      </c>
      <c r="DC134" s="9">
        <f>+'RES CUENTA'!Z24</f>
        <v>0</v>
      </c>
      <c r="DD134" s="9">
        <f>-'[100]RES CUENTA'!$R$27</f>
        <v>-22009.762565249992</v>
      </c>
      <c r="DE134" s="9">
        <f>+DC134+DD134</f>
        <v>-22009.762565249992</v>
      </c>
      <c r="DF134" s="9"/>
    </row>
    <row r="135" spans="1:110" x14ac:dyDescent="0.2"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  <c r="BT135" s="82"/>
      <c r="BU135" s="82"/>
      <c r="BV135" s="82"/>
      <c r="BW135" s="82"/>
      <c r="BX135" s="82"/>
      <c r="BY135" s="82"/>
      <c r="BZ135" s="82"/>
      <c r="CA135" s="82"/>
      <c r="CB135" s="82"/>
      <c r="CC135" s="82"/>
      <c r="CD135" s="82"/>
      <c r="CE135" s="82"/>
      <c r="CF135" s="82"/>
      <c r="CG135" s="82"/>
      <c r="CH135" s="82"/>
      <c r="CI135" s="82"/>
      <c r="CJ135" s="82"/>
      <c r="CK135" s="82"/>
      <c r="CL135" s="82"/>
      <c r="CM135" s="82"/>
      <c r="CN135" s="82"/>
      <c r="CO135" s="82"/>
      <c r="CP135" s="82"/>
      <c r="CQ135" s="82"/>
      <c r="CR135" s="82"/>
      <c r="CS135" s="82"/>
      <c r="CT135" s="82"/>
      <c r="CU135" s="82"/>
      <c r="CV135" s="82"/>
      <c r="CW135" s="82"/>
      <c r="CX135" s="82"/>
      <c r="CY135" s="82"/>
      <c r="CZ135" s="82">
        <v>0.03</v>
      </c>
      <c r="DA135" s="82">
        <v>60</v>
      </c>
      <c r="DB135" s="82">
        <f>CK135*CZ135/30*DA135</f>
        <v>0</v>
      </c>
      <c r="DE135" s="9">
        <v>-59658</v>
      </c>
      <c r="DF135" s="9"/>
    </row>
    <row r="136" spans="1:110" x14ac:dyDescent="0.2"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  <c r="BT136" s="82"/>
      <c r="BU136" s="82"/>
      <c r="BV136" s="82"/>
      <c r="BW136" s="82"/>
      <c r="BX136" s="82"/>
      <c r="BY136" s="82"/>
      <c r="BZ136" s="82"/>
      <c r="CA136" s="82"/>
      <c r="CB136" s="82"/>
      <c r="CC136" s="82"/>
      <c r="CD136" s="82"/>
      <c r="CE136" s="82"/>
      <c r="CF136" s="82"/>
      <c r="CG136" s="82"/>
      <c r="CH136" s="82"/>
      <c r="CI136" s="82"/>
      <c r="CJ136" s="82"/>
      <c r="CK136" s="82"/>
      <c r="CL136" s="82"/>
      <c r="CM136" s="82"/>
      <c r="CN136" s="82"/>
      <c r="CO136" s="82"/>
      <c r="CP136" s="82"/>
      <c r="CQ136" s="82">
        <v>0</v>
      </c>
      <c r="CR136" s="82"/>
      <c r="CS136" s="82"/>
      <c r="CT136" s="82"/>
      <c r="CU136" s="82"/>
      <c r="CV136" s="82"/>
      <c r="CW136" s="82"/>
      <c r="CX136" s="82"/>
      <c r="CY136" s="82"/>
      <c r="CZ136" s="82">
        <v>0.03</v>
      </c>
      <c r="DA136" s="82">
        <v>60</v>
      </c>
      <c r="DB136" s="82">
        <f>CQ136*CZ136/30*DA136</f>
        <v>0</v>
      </c>
      <c r="DE136" s="9">
        <f>+DE134+DE135</f>
        <v>-81667.762565249985</v>
      </c>
      <c r="DF136" s="9"/>
    </row>
    <row r="137" spans="1:110" x14ac:dyDescent="0.2"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  <c r="BT137" s="82"/>
      <c r="BU137" s="82"/>
      <c r="BV137" s="82"/>
      <c r="BW137" s="82"/>
      <c r="BX137" s="82"/>
      <c r="BY137" s="82"/>
      <c r="BZ137" s="82"/>
      <c r="CA137" s="82"/>
      <c r="CB137" s="82"/>
      <c r="CC137" s="82"/>
      <c r="CD137" s="82"/>
      <c r="CE137" s="82"/>
      <c r="CF137" s="82"/>
      <c r="CG137" s="82"/>
      <c r="CH137" s="82"/>
      <c r="CI137" s="82"/>
      <c r="CJ137" s="82"/>
      <c r="CK137" s="82"/>
      <c r="CL137" s="82"/>
      <c r="CM137" s="82"/>
      <c r="CN137" s="82"/>
      <c r="CO137" s="82"/>
      <c r="CP137" s="82"/>
      <c r="CQ137" s="82"/>
      <c r="CR137" s="82">
        <v>0</v>
      </c>
      <c r="CS137" s="82"/>
      <c r="CT137" s="82"/>
      <c r="CU137" s="82"/>
      <c r="CV137" s="82"/>
      <c r="CW137" s="82"/>
      <c r="CX137" s="82"/>
      <c r="CY137" s="82"/>
      <c r="CZ137" s="82">
        <v>0.03</v>
      </c>
      <c r="DA137" s="82">
        <v>30</v>
      </c>
      <c r="DB137" s="82">
        <f>CR137*CZ137/30*DA137</f>
        <v>0</v>
      </c>
      <c r="DF137" s="9"/>
    </row>
    <row r="138" spans="1:110" x14ac:dyDescent="0.2"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  <c r="BT138" s="82"/>
      <c r="BU138" s="82"/>
      <c r="BV138" s="82"/>
      <c r="BW138" s="82"/>
      <c r="BX138" s="82"/>
      <c r="BY138" s="82"/>
      <c r="BZ138" s="82"/>
      <c r="CA138" s="82"/>
      <c r="CB138" s="82"/>
      <c r="CC138" s="82"/>
      <c r="CD138" s="82"/>
      <c r="CE138" s="82"/>
      <c r="CF138" s="82"/>
      <c r="CG138" s="82"/>
      <c r="CH138" s="82"/>
      <c r="CI138" s="82"/>
      <c r="CJ138" s="82"/>
      <c r="CK138" s="82"/>
      <c r="CL138" s="82"/>
      <c r="CM138" s="82"/>
      <c r="CN138" s="82"/>
      <c r="CO138" s="82"/>
      <c r="CP138" s="82"/>
      <c r="CQ138" s="82"/>
      <c r="CR138" s="82"/>
      <c r="CS138" s="82">
        <v>0</v>
      </c>
      <c r="CT138" s="82"/>
      <c r="CU138" s="82"/>
      <c r="CV138" s="82"/>
      <c r="CW138" s="82"/>
      <c r="CX138" s="82"/>
      <c r="CY138" s="82"/>
      <c r="CZ138" s="82">
        <v>0.03</v>
      </c>
      <c r="DA138" s="82">
        <v>90</v>
      </c>
      <c r="DB138" s="82">
        <f>CS138*CZ138/30*DA138</f>
        <v>0</v>
      </c>
      <c r="DF138" s="9"/>
    </row>
    <row r="139" spans="1:110" x14ac:dyDescent="0.2"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82"/>
      <c r="BR139" s="82"/>
      <c r="BS139" s="82"/>
      <c r="BT139" s="82"/>
      <c r="BU139" s="82"/>
      <c r="BV139" s="82"/>
      <c r="BW139" s="82"/>
      <c r="BX139" s="82"/>
      <c r="BY139" s="82"/>
      <c r="BZ139" s="82"/>
      <c r="CA139" s="82"/>
      <c r="CB139" s="82"/>
      <c r="CC139" s="82"/>
      <c r="CD139" s="82"/>
      <c r="CE139" s="82"/>
      <c r="CF139" s="82"/>
      <c r="CG139" s="82"/>
      <c r="CH139" s="82"/>
      <c r="CI139" s="82"/>
      <c r="CJ139" s="82"/>
      <c r="CK139" s="82"/>
      <c r="CL139" s="82"/>
      <c r="CM139" s="82"/>
      <c r="CN139" s="82"/>
      <c r="CO139" s="82"/>
      <c r="CP139" s="82"/>
      <c r="CQ139" s="82"/>
      <c r="CR139" s="82"/>
      <c r="CS139" s="82"/>
      <c r="CT139" s="82">
        <v>0</v>
      </c>
      <c r="CU139" s="82"/>
      <c r="CV139" s="82"/>
      <c r="CW139" s="82"/>
      <c r="CX139" s="82"/>
      <c r="CY139" s="82"/>
      <c r="CZ139" s="82">
        <v>0.03</v>
      </c>
      <c r="DA139" s="82">
        <v>90</v>
      </c>
      <c r="DB139" s="82">
        <f>CT139*CZ139/30*DA139</f>
        <v>0</v>
      </c>
      <c r="DF139" s="9"/>
    </row>
    <row r="140" spans="1:110" x14ac:dyDescent="0.2"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BT140" s="82"/>
      <c r="BU140" s="82"/>
      <c r="BV140" s="82"/>
      <c r="BW140" s="82"/>
      <c r="BX140" s="82"/>
      <c r="BY140" s="82"/>
      <c r="BZ140" s="82"/>
      <c r="CA140" s="82"/>
      <c r="CB140" s="82"/>
      <c r="CC140" s="82"/>
      <c r="CD140" s="82"/>
      <c r="CE140" s="82"/>
      <c r="CF140" s="82"/>
      <c r="CG140" s="82"/>
      <c r="CH140" s="82"/>
      <c r="CI140" s="82"/>
      <c r="CJ140" s="82"/>
      <c r="CK140" s="82"/>
      <c r="CL140" s="82"/>
      <c r="CM140" s="82"/>
      <c r="CN140" s="82"/>
      <c r="CO140" s="82"/>
      <c r="CP140" s="82"/>
      <c r="CQ140" s="82"/>
      <c r="CR140" s="82"/>
      <c r="CS140" s="82"/>
      <c r="CT140" s="82"/>
      <c r="CU140" s="82">
        <v>0</v>
      </c>
      <c r="CV140" s="82"/>
      <c r="CW140" s="82"/>
      <c r="CX140" s="82"/>
      <c r="CY140" s="82"/>
      <c r="CZ140" s="82">
        <v>0.03</v>
      </c>
      <c r="DA140" s="82">
        <v>30</v>
      </c>
      <c r="DB140" s="82">
        <f>CU140*CZ140/30*DA140</f>
        <v>0</v>
      </c>
      <c r="DF140" s="9"/>
    </row>
    <row r="141" spans="1:110" x14ac:dyDescent="0.2"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  <c r="BN141" s="82"/>
      <c r="BO141" s="82"/>
      <c r="BP141" s="82"/>
      <c r="BQ141" s="82"/>
      <c r="BR141" s="82"/>
      <c r="BS141" s="82"/>
      <c r="BT141" s="82"/>
      <c r="BU141" s="82"/>
      <c r="BV141" s="82"/>
      <c r="BW141" s="82"/>
      <c r="BX141" s="82"/>
      <c r="BY141" s="82"/>
      <c r="BZ141" s="82"/>
      <c r="CA141" s="82"/>
      <c r="CB141" s="82"/>
      <c r="CC141" s="82"/>
      <c r="CD141" s="82"/>
      <c r="CE141" s="82"/>
      <c r="CF141" s="82"/>
      <c r="CG141" s="82"/>
      <c r="CH141" s="82"/>
      <c r="CI141" s="82"/>
      <c r="CJ141" s="82"/>
      <c r="CK141" s="82"/>
      <c r="CL141" s="82"/>
      <c r="CM141" s="82"/>
      <c r="CN141" s="82"/>
      <c r="CO141" s="82"/>
      <c r="CP141" s="82"/>
      <c r="CQ141" s="82"/>
      <c r="CR141" s="82"/>
      <c r="CS141" s="82"/>
      <c r="CT141" s="82"/>
      <c r="CU141" s="82"/>
      <c r="CV141" s="82">
        <f>+'[98]RES CUENTA'!$P$27-318332</f>
        <v>29524.188191999856</v>
      </c>
      <c r="CW141" s="82"/>
      <c r="CX141" s="82"/>
      <c r="CY141" s="82"/>
      <c r="CZ141" s="82">
        <v>0.03</v>
      </c>
      <c r="DA141" s="82">
        <v>60</v>
      </c>
      <c r="DB141" s="82">
        <f>CV141*CZ141/30*DA141</f>
        <v>1771.4512915199914</v>
      </c>
      <c r="DF141" s="9"/>
    </row>
    <row r="142" spans="1:110" x14ac:dyDescent="0.2"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2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  <c r="BT142" s="82"/>
      <c r="BU142" s="82"/>
      <c r="BV142" s="82"/>
      <c r="BW142" s="82"/>
      <c r="BX142" s="82"/>
      <c r="BY142" s="82"/>
      <c r="BZ142" s="82"/>
      <c r="CA142" s="82"/>
      <c r="CB142" s="82"/>
      <c r="CC142" s="82"/>
      <c r="CD142" s="82"/>
      <c r="CE142" s="82"/>
      <c r="CF142" s="82"/>
      <c r="CG142" s="82"/>
      <c r="CH142" s="82"/>
      <c r="CI142" s="82"/>
      <c r="CJ142" s="82"/>
      <c r="CK142" s="82"/>
      <c r="CL142" s="82"/>
      <c r="CM142" s="82"/>
      <c r="CN142" s="82"/>
      <c r="CO142" s="82"/>
      <c r="CP142" s="82"/>
      <c r="CQ142" s="82"/>
      <c r="CR142" s="82"/>
      <c r="CS142" s="82"/>
      <c r="CT142" s="82"/>
      <c r="CU142" s="82"/>
      <c r="CV142" s="82"/>
      <c r="CW142" s="82">
        <f>+'[99]RES CUENTA'!$P$27</f>
        <v>326144.90898199996</v>
      </c>
      <c r="CX142" s="82"/>
      <c r="CY142" s="82"/>
      <c r="CZ142" s="82">
        <v>0.03</v>
      </c>
      <c r="DA142" s="82">
        <v>60</v>
      </c>
      <c r="DB142" s="82">
        <f>CW142*CZ142/30*DA142</f>
        <v>19568.694538919997</v>
      </c>
      <c r="DF142" s="9"/>
    </row>
    <row r="143" spans="1:110" x14ac:dyDescent="0.2"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  <c r="AM143" s="82"/>
      <c r="AN143" s="82"/>
      <c r="AO143" s="82"/>
      <c r="AP143" s="82"/>
      <c r="AQ143" s="82"/>
      <c r="AR143" s="82"/>
      <c r="AS143" s="82"/>
      <c r="AT143" s="82"/>
      <c r="AU143" s="82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82"/>
      <c r="BP143" s="82"/>
      <c r="BQ143" s="82"/>
      <c r="BR143" s="82"/>
      <c r="BS143" s="82"/>
      <c r="BT143" s="82"/>
      <c r="BU143" s="82"/>
      <c r="BV143" s="82"/>
      <c r="BW143" s="82"/>
      <c r="BX143" s="82"/>
      <c r="BY143" s="82"/>
      <c r="BZ143" s="82"/>
      <c r="CA143" s="82"/>
      <c r="CB143" s="82"/>
      <c r="CC143" s="82"/>
      <c r="CD143" s="82"/>
      <c r="CE143" s="82"/>
      <c r="CF143" s="82"/>
      <c r="CG143" s="82"/>
      <c r="CH143" s="82"/>
      <c r="CI143" s="82"/>
      <c r="CJ143" s="82"/>
      <c r="CK143" s="82"/>
      <c r="CL143" s="82"/>
      <c r="CM143" s="82"/>
      <c r="CN143" s="82"/>
      <c r="CO143" s="82"/>
      <c r="CP143" s="82"/>
      <c r="CQ143" s="82"/>
      <c r="CR143" s="82"/>
      <c r="CS143" s="82"/>
      <c r="CT143" s="82"/>
      <c r="CU143" s="82"/>
      <c r="CV143" s="82"/>
      <c r="CW143" s="82"/>
      <c r="CX143" s="82">
        <f>+'[100]RES CUENTA'!$P$27</f>
        <v>327000.14173299988</v>
      </c>
      <c r="CY143" s="82"/>
      <c r="CZ143" s="82">
        <v>0.03</v>
      </c>
      <c r="DA143" s="82">
        <v>60</v>
      </c>
      <c r="DB143" s="82">
        <f>CX143*CZ143/30*DA143</f>
        <v>19620.008503979992</v>
      </c>
      <c r="DF143" s="9"/>
    </row>
    <row r="144" spans="1:110" x14ac:dyDescent="0.2"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  <c r="BN144" s="82"/>
      <c r="BO144" s="82"/>
      <c r="BP144" s="82"/>
      <c r="BQ144" s="82"/>
      <c r="BR144" s="82"/>
      <c r="BS144" s="82"/>
      <c r="BT144" s="82"/>
      <c r="BU144" s="82"/>
      <c r="BV144" s="82"/>
      <c r="BW144" s="82"/>
      <c r="BX144" s="82"/>
      <c r="BY144" s="82"/>
      <c r="BZ144" s="82"/>
      <c r="CA144" s="82"/>
      <c r="CB144" s="82"/>
      <c r="CC144" s="82"/>
      <c r="CD144" s="82"/>
      <c r="CE144" s="82"/>
      <c r="CF144" s="82"/>
      <c r="CG144" s="82"/>
      <c r="CH144" s="82"/>
      <c r="CI144" s="82"/>
      <c r="CJ144" s="82"/>
      <c r="CK144" s="82"/>
      <c r="CL144" s="82"/>
      <c r="CM144" s="82"/>
      <c r="CN144" s="82"/>
      <c r="CO144" s="82"/>
      <c r="CP144" s="82"/>
      <c r="CQ144" s="82"/>
      <c r="CR144" s="82"/>
      <c r="CS144" s="82"/>
      <c r="CT144" s="82"/>
      <c r="CU144" s="82"/>
      <c r="CV144" s="82"/>
      <c r="CW144" s="82"/>
      <c r="CX144" s="82"/>
      <c r="CY144" s="82">
        <f>+'[1]RES CUENTA'!$P$27</f>
        <v>363741.22103000002</v>
      </c>
      <c r="CZ144" s="82">
        <v>0.03</v>
      </c>
      <c r="DA144" s="82">
        <v>30</v>
      </c>
      <c r="DB144" s="82">
        <f>CY144*CZ144/30*DA144</f>
        <v>10912.236630900001</v>
      </c>
      <c r="DF144" s="9"/>
    </row>
    <row r="145" spans="3:110" x14ac:dyDescent="0.2"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82"/>
      <c r="BP145" s="82"/>
      <c r="BQ145" s="82"/>
      <c r="BR145" s="82"/>
      <c r="BS145" s="82"/>
      <c r="BT145" s="82"/>
      <c r="BU145" s="82"/>
      <c r="BV145" s="82"/>
      <c r="BW145" s="82"/>
      <c r="BX145" s="82"/>
      <c r="BY145" s="82"/>
      <c r="BZ145" s="82"/>
      <c r="CA145" s="82"/>
      <c r="CB145" s="82"/>
      <c r="CC145" s="82"/>
      <c r="CD145" s="82"/>
      <c r="CE145" s="82"/>
      <c r="CF145" s="82"/>
      <c r="CG145" s="82"/>
      <c r="CH145" s="82"/>
      <c r="CI145" s="82"/>
      <c r="CJ145" s="82"/>
      <c r="CK145" s="82"/>
      <c r="CL145" s="82"/>
      <c r="CM145" s="82"/>
      <c r="CN145" s="82"/>
      <c r="CO145" s="82"/>
      <c r="CP145" s="82"/>
      <c r="CQ145" s="82"/>
      <c r="CR145" s="82"/>
      <c r="CS145" s="82"/>
      <c r="CT145" s="82"/>
      <c r="CU145" s="82"/>
      <c r="CV145" s="82"/>
      <c r="CW145" s="82"/>
      <c r="CX145" s="82"/>
      <c r="CY145" s="82"/>
      <c r="CZ145" s="82"/>
      <c r="DA145" s="82"/>
      <c r="DB145" s="82">
        <f>SUM(DB134:DB144)</f>
        <v>51872.390965319981</v>
      </c>
      <c r="DF145" s="9"/>
    </row>
    <row r="146" spans="3:110" x14ac:dyDescent="0.2"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  <c r="BN146" s="82"/>
      <c r="BO146" s="82"/>
      <c r="BP146" s="82"/>
      <c r="BQ146" s="82"/>
      <c r="BR146" s="82"/>
      <c r="BS146" s="82"/>
      <c r="BT146" s="82"/>
      <c r="BU146" s="82"/>
      <c r="BV146" s="82"/>
      <c r="BW146" s="82"/>
      <c r="BX146" s="82"/>
      <c r="BY146" s="82"/>
      <c r="BZ146" s="82"/>
      <c r="CA146" s="82"/>
      <c r="CB146" s="82"/>
      <c r="CC146" s="82"/>
      <c r="CD146" s="82"/>
      <c r="CE146" s="82"/>
      <c r="CF146" s="82"/>
      <c r="CG146" s="82"/>
      <c r="CH146" s="82"/>
      <c r="CI146" s="82"/>
      <c r="CJ146" s="82"/>
      <c r="CK146" s="82"/>
      <c r="CL146" s="82"/>
      <c r="CM146" s="82"/>
      <c r="CN146" s="82"/>
      <c r="CO146" s="82"/>
      <c r="CP146" s="82"/>
      <c r="CQ146" s="82"/>
      <c r="CR146" s="82"/>
      <c r="CS146" s="82"/>
      <c r="CT146" s="82"/>
      <c r="CU146" s="82"/>
      <c r="CV146" s="82"/>
      <c r="CW146" s="82"/>
      <c r="CX146" s="82"/>
      <c r="CY146" s="82"/>
      <c r="CZ146" s="82"/>
      <c r="DA146" s="82"/>
      <c r="DF146" s="9"/>
    </row>
    <row r="147" spans="3:110" x14ac:dyDescent="0.2"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  <c r="BT147" s="82"/>
      <c r="BU147" s="82"/>
      <c r="BV147" s="82"/>
      <c r="BW147" s="82"/>
      <c r="BX147" s="82"/>
      <c r="BY147" s="82"/>
      <c r="BZ147" s="82"/>
      <c r="CA147" s="82"/>
      <c r="CB147" s="82"/>
      <c r="CC147" s="82"/>
      <c r="CD147" s="82"/>
      <c r="CE147" s="82"/>
      <c r="CF147" s="82"/>
      <c r="CG147" s="82"/>
      <c r="CH147" s="82"/>
      <c r="CI147" s="82"/>
      <c r="CJ147" s="82"/>
      <c r="CK147" s="82"/>
      <c r="CL147" s="82"/>
      <c r="CM147" s="82"/>
      <c r="CN147" s="82"/>
      <c r="CO147" s="82"/>
      <c r="CP147" s="82"/>
      <c r="CQ147" s="82"/>
      <c r="CR147" s="82"/>
      <c r="CS147" s="82"/>
      <c r="CT147" s="82"/>
      <c r="CU147" s="82"/>
      <c r="CV147" s="82"/>
      <c r="CW147" s="82"/>
      <c r="CX147" s="82"/>
      <c r="CY147" s="82"/>
      <c r="CZ147" s="82"/>
      <c r="DA147" s="82"/>
      <c r="DF147" s="9"/>
    </row>
    <row r="148" spans="3:110" x14ac:dyDescent="0.2"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2"/>
      <c r="BT148" s="82"/>
      <c r="BU148" s="82"/>
      <c r="BV148" s="82"/>
      <c r="BW148" s="82"/>
      <c r="BX148" s="82"/>
      <c r="BY148" s="82"/>
      <c r="BZ148" s="82"/>
      <c r="CA148" s="82"/>
      <c r="CB148" s="82"/>
      <c r="CC148" s="82"/>
      <c r="CD148" s="82"/>
      <c r="CE148" s="82"/>
      <c r="CF148" s="82"/>
      <c r="CG148" s="82"/>
      <c r="CH148" s="82"/>
      <c r="CI148" s="82"/>
      <c r="CJ148" s="82"/>
      <c r="CK148" s="82"/>
      <c r="CL148" s="82"/>
      <c r="CM148" s="82"/>
      <c r="CN148" s="82"/>
      <c r="CO148" s="82"/>
      <c r="CP148" s="82"/>
      <c r="CQ148" s="82"/>
      <c r="CR148" s="82"/>
      <c r="CS148" s="82"/>
      <c r="CT148" s="82"/>
      <c r="CU148" s="82"/>
      <c r="CV148" s="82"/>
      <c r="CW148" s="82"/>
      <c r="CX148" s="82"/>
      <c r="CY148" s="82"/>
      <c r="CZ148" s="82"/>
      <c r="DA148" s="82"/>
      <c r="DF148" s="9"/>
    </row>
    <row r="149" spans="3:110" x14ac:dyDescent="0.2"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  <c r="BT149" s="82"/>
      <c r="BU149" s="82"/>
      <c r="BV149" s="82"/>
      <c r="BW149" s="82"/>
      <c r="BX149" s="82"/>
      <c r="BY149" s="82"/>
      <c r="BZ149" s="82"/>
      <c r="CA149" s="82"/>
      <c r="CB149" s="82"/>
      <c r="CC149" s="82"/>
      <c r="CD149" s="82"/>
      <c r="CE149" s="82"/>
      <c r="CF149" s="82"/>
      <c r="CG149" s="82"/>
      <c r="CH149" s="82"/>
      <c r="CI149" s="82"/>
      <c r="CJ149" s="82"/>
      <c r="CK149" s="82"/>
      <c r="CL149" s="82"/>
      <c r="CM149" s="82"/>
      <c r="CN149" s="82"/>
      <c r="CO149" s="82"/>
      <c r="CP149" s="82"/>
      <c r="CQ149" s="82"/>
      <c r="CR149" s="82"/>
      <c r="CS149" s="82"/>
      <c r="CT149" s="82"/>
      <c r="CU149" s="82"/>
      <c r="CV149" s="82"/>
      <c r="CW149" s="82"/>
      <c r="CX149" s="82"/>
      <c r="CY149" s="82"/>
      <c r="CZ149" s="82"/>
      <c r="DA149" s="82"/>
      <c r="DF149" s="9"/>
    </row>
    <row r="150" spans="3:110" x14ac:dyDescent="0.2"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  <c r="BT150" s="82"/>
      <c r="BU150" s="82"/>
      <c r="BV150" s="82"/>
      <c r="BW150" s="82"/>
      <c r="BX150" s="82"/>
      <c r="BY150" s="82"/>
      <c r="BZ150" s="82"/>
      <c r="CA150" s="82"/>
      <c r="CB150" s="82"/>
      <c r="CC150" s="82"/>
      <c r="CD150" s="82"/>
      <c r="CE150" s="82"/>
      <c r="CF150" s="82"/>
      <c r="CG150" s="82"/>
      <c r="CH150" s="82"/>
      <c r="CI150" s="82"/>
      <c r="CJ150" s="82"/>
      <c r="CK150" s="82"/>
      <c r="CL150" s="82"/>
      <c r="CM150" s="82"/>
      <c r="CN150" s="82"/>
      <c r="CO150" s="82"/>
      <c r="CP150" s="82"/>
      <c r="CQ150" s="82"/>
      <c r="CR150" s="82"/>
      <c r="CS150" s="82"/>
      <c r="CT150" s="82"/>
      <c r="CU150" s="82"/>
      <c r="CV150" s="82"/>
      <c r="CW150" s="82"/>
      <c r="CX150" s="82"/>
      <c r="CY150" s="82"/>
      <c r="CZ150" s="82"/>
      <c r="DA150" s="82"/>
      <c r="DF150" s="9"/>
    </row>
    <row r="151" spans="3:110" x14ac:dyDescent="0.2"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  <c r="BT151" s="82"/>
      <c r="BU151" s="82"/>
      <c r="BV151" s="82"/>
      <c r="BW151" s="82"/>
      <c r="BX151" s="82"/>
      <c r="BY151" s="82"/>
      <c r="BZ151" s="82"/>
      <c r="CA151" s="82"/>
      <c r="CB151" s="82"/>
      <c r="CC151" s="82"/>
      <c r="CD151" s="82"/>
      <c r="CE151" s="82"/>
      <c r="CF151" s="82"/>
      <c r="CG151" s="82"/>
      <c r="CH151" s="82"/>
      <c r="CI151" s="82"/>
      <c r="CJ151" s="82"/>
      <c r="CK151" s="82"/>
      <c r="CL151" s="82"/>
      <c r="CM151" s="82"/>
      <c r="CN151" s="82"/>
      <c r="CO151" s="82"/>
      <c r="CP151" s="82"/>
      <c r="CQ151" s="82"/>
      <c r="CR151" s="82"/>
      <c r="CS151" s="82"/>
      <c r="CT151" s="82"/>
      <c r="CU151" s="82"/>
      <c r="CV151" s="82"/>
      <c r="CW151" s="82"/>
      <c r="CX151" s="82"/>
      <c r="CY151" s="82"/>
      <c r="CZ151" s="82"/>
      <c r="DA151" s="82"/>
      <c r="DF151" s="9"/>
    </row>
    <row r="152" spans="3:110" x14ac:dyDescent="0.2"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  <c r="BT152" s="82"/>
      <c r="BU152" s="82"/>
      <c r="BV152" s="82"/>
      <c r="BW152" s="82"/>
      <c r="BX152" s="82"/>
      <c r="BY152" s="82"/>
      <c r="BZ152" s="82"/>
      <c r="CA152" s="82"/>
      <c r="CB152" s="82"/>
      <c r="CC152" s="82"/>
      <c r="CD152" s="82"/>
      <c r="CE152" s="82"/>
      <c r="CF152" s="82"/>
      <c r="CG152" s="82"/>
      <c r="CH152" s="82"/>
      <c r="CI152" s="82"/>
      <c r="CJ152" s="82"/>
      <c r="CK152" s="82"/>
      <c r="CL152" s="82"/>
      <c r="CM152" s="82"/>
      <c r="CN152" s="82"/>
      <c r="CO152" s="82"/>
      <c r="CP152" s="82"/>
      <c r="CQ152" s="82"/>
      <c r="CR152" s="82"/>
      <c r="CS152" s="82"/>
      <c r="CT152" s="82"/>
      <c r="CU152" s="82"/>
      <c r="CV152" s="82"/>
      <c r="CW152" s="82"/>
      <c r="CX152" s="82"/>
      <c r="CY152" s="82"/>
      <c r="CZ152" s="82"/>
      <c r="DA152" s="82"/>
      <c r="DF152" s="9"/>
    </row>
    <row r="153" spans="3:110" x14ac:dyDescent="0.2"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  <c r="BT153" s="82"/>
      <c r="BU153" s="82"/>
      <c r="BV153" s="82"/>
      <c r="BW153" s="82"/>
      <c r="BX153" s="82"/>
      <c r="BY153" s="82"/>
      <c r="BZ153" s="82"/>
      <c r="CA153" s="82"/>
      <c r="CB153" s="82"/>
      <c r="CC153" s="82"/>
      <c r="CD153" s="82"/>
      <c r="CE153" s="82"/>
      <c r="CF153" s="82"/>
      <c r="CG153" s="82"/>
      <c r="CH153" s="82"/>
      <c r="CI153" s="82"/>
      <c r="CJ153" s="82"/>
      <c r="CK153" s="82"/>
      <c r="CL153" s="82"/>
      <c r="CM153" s="82"/>
      <c r="CN153" s="82"/>
      <c r="CO153" s="82"/>
      <c r="CP153" s="82"/>
      <c r="CQ153" s="82"/>
      <c r="CR153" s="82"/>
      <c r="CS153" s="82"/>
      <c r="CT153" s="82"/>
      <c r="CU153" s="82"/>
      <c r="CV153" s="82"/>
      <c r="CW153" s="82"/>
      <c r="CX153" s="82"/>
      <c r="CY153" s="82"/>
      <c r="CZ153" s="82"/>
      <c r="DA153" s="82"/>
      <c r="DF153" s="9"/>
    </row>
    <row r="154" spans="3:110" x14ac:dyDescent="0.2"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  <c r="BN154" s="82"/>
      <c r="BO154" s="82"/>
      <c r="BP154" s="82"/>
      <c r="BQ154" s="82"/>
      <c r="BR154" s="82"/>
      <c r="BS154" s="82"/>
      <c r="BT154" s="82"/>
      <c r="BU154" s="82"/>
      <c r="BV154" s="82"/>
      <c r="BW154" s="82"/>
      <c r="BX154" s="82"/>
      <c r="BY154" s="82"/>
      <c r="BZ154" s="82"/>
      <c r="CA154" s="82"/>
      <c r="CB154" s="82"/>
      <c r="CC154" s="82"/>
      <c r="CD154" s="82"/>
      <c r="CE154" s="82"/>
      <c r="CF154" s="82"/>
      <c r="CG154" s="82"/>
      <c r="CH154" s="82"/>
      <c r="CI154" s="82"/>
      <c r="CJ154" s="82"/>
      <c r="CK154" s="82"/>
      <c r="CL154" s="82"/>
      <c r="CM154" s="82"/>
      <c r="CN154" s="82"/>
      <c r="CO154" s="82"/>
      <c r="CP154" s="82"/>
      <c r="CQ154" s="82"/>
      <c r="CR154" s="82"/>
      <c r="CS154" s="82"/>
      <c r="CT154" s="82"/>
      <c r="CU154" s="82"/>
      <c r="CV154" s="82"/>
      <c r="CW154" s="82"/>
      <c r="CX154" s="82"/>
      <c r="CY154" s="82"/>
      <c r="CZ154" s="82"/>
      <c r="DA154" s="82"/>
      <c r="DF154" s="9"/>
    </row>
    <row r="155" spans="3:110" x14ac:dyDescent="0.2"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2"/>
      <c r="BI155" s="82"/>
      <c r="BJ155" s="82"/>
      <c r="BK155" s="82"/>
      <c r="BL155" s="82"/>
      <c r="BM155" s="82"/>
      <c r="BN155" s="82"/>
      <c r="BO155" s="82"/>
      <c r="BP155" s="82"/>
      <c r="BQ155" s="82"/>
      <c r="BR155" s="82"/>
      <c r="BS155" s="82"/>
      <c r="BT155" s="82"/>
      <c r="BU155" s="82"/>
      <c r="BV155" s="82"/>
      <c r="BW155" s="82"/>
      <c r="BX155" s="82"/>
      <c r="BY155" s="82"/>
      <c r="BZ155" s="82"/>
      <c r="CA155" s="82"/>
      <c r="CB155" s="82"/>
      <c r="CC155" s="82"/>
      <c r="CD155" s="82"/>
      <c r="CE155" s="82"/>
      <c r="CF155" s="82"/>
      <c r="CG155" s="82"/>
      <c r="CH155" s="82"/>
      <c r="CI155" s="82"/>
      <c r="CJ155" s="82"/>
      <c r="CK155" s="82"/>
      <c r="CL155" s="82"/>
      <c r="CM155" s="82"/>
      <c r="CN155" s="82"/>
      <c r="CO155" s="82"/>
      <c r="CP155" s="82"/>
      <c r="CQ155" s="82"/>
      <c r="CR155" s="82"/>
      <c r="CS155" s="82"/>
      <c r="CT155" s="82"/>
      <c r="CU155" s="82"/>
      <c r="CV155" s="82"/>
      <c r="CW155" s="82"/>
      <c r="CX155" s="82"/>
      <c r="CY155" s="82"/>
      <c r="CZ155" s="82"/>
      <c r="DA155" s="82"/>
      <c r="DF155" s="9"/>
    </row>
    <row r="156" spans="3:110" x14ac:dyDescent="0.2"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2"/>
      <c r="BK156" s="82"/>
      <c r="BL156" s="82"/>
      <c r="BM156" s="82"/>
      <c r="BN156" s="82"/>
      <c r="BO156" s="82"/>
      <c r="BP156" s="82"/>
      <c r="BQ156" s="82"/>
      <c r="BR156" s="82"/>
      <c r="BS156" s="82"/>
      <c r="BT156" s="82"/>
      <c r="BU156" s="82"/>
      <c r="BV156" s="82"/>
      <c r="BW156" s="82"/>
      <c r="BX156" s="82"/>
      <c r="BY156" s="82"/>
      <c r="BZ156" s="82"/>
      <c r="CA156" s="82"/>
      <c r="CB156" s="82"/>
      <c r="CC156" s="82"/>
      <c r="CD156" s="82"/>
      <c r="CE156" s="82"/>
      <c r="CF156" s="82"/>
      <c r="CG156" s="82"/>
      <c r="CH156" s="82"/>
      <c r="CI156" s="82"/>
      <c r="CJ156" s="82"/>
      <c r="CK156" s="82"/>
      <c r="CL156" s="82"/>
      <c r="CM156" s="82"/>
      <c r="CN156" s="82"/>
      <c r="CO156" s="82"/>
      <c r="CP156" s="82"/>
      <c r="CQ156" s="82"/>
      <c r="CR156" s="82"/>
      <c r="CS156" s="82"/>
      <c r="CT156" s="82"/>
      <c r="CU156" s="82"/>
      <c r="CV156" s="82"/>
      <c r="CW156" s="82"/>
      <c r="CX156" s="82"/>
      <c r="CY156" s="82"/>
      <c r="CZ156" s="82"/>
      <c r="DA156" s="82"/>
      <c r="DF156" s="9"/>
    </row>
    <row r="157" spans="3:110" x14ac:dyDescent="0.2"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  <c r="AM157" s="82"/>
      <c r="AN157" s="82"/>
      <c r="AO157" s="82"/>
      <c r="AP157" s="82"/>
      <c r="AQ157" s="82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82"/>
      <c r="BL157" s="82"/>
      <c r="BM157" s="82"/>
      <c r="BN157" s="82"/>
      <c r="BO157" s="82"/>
      <c r="BP157" s="82"/>
      <c r="BQ157" s="82"/>
      <c r="BR157" s="82"/>
      <c r="BS157" s="82"/>
      <c r="BT157" s="82"/>
      <c r="BU157" s="82"/>
      <c r="BV157" s="82"/>
      <c r="BW157" s="82"/>
      <c r="BX157" s="82"/>
      <c r="BY157" s="82"/>
      <c r="BZ157" s="82"/>
      <c r="CA157" s="82"/>
      <c r="CB157" s="82"/>
      <c r="CC157" s="82"/>
      <c r="CD157" s="82"/>
      <c r="CE157" s="82"/>
      <c r="CF157" s="82"/>
      <c r="CG157" s="82"/>
      <c r="CH157" s="82"/>
      <c r="CI157" s="82"/>
      <c r="CJ157" s="82"/>
      <c r="CK157" s="82"/>
      <c r="CL157" s="82"/>
      <c r="CM157" s="82"/>
      <c r="CN157" s="82"/>
      <c r="CO157" s="82"/>
      <c r="CP157" s="82"/>
      <c r="CQ157" s="82"/>
      <c r="CR157" s="82"/>
      <c r="CS157" s="82"/>
      <c r="CT157" s="82"/>
      <c r="CU157" s="82"/>
      <c r="CV157" s="82"/>
      <c r="CW157" s="82"/>
      <c r="CX157" s="82"/>
      <c r="CY157" s="82"/>
      <c r="CZ157" s="82"/>
      <c r="DA157" s="82"/>
      <c r="DF157" s="9"/>
    </row>
    <row r="158" spans="3:110" x14ac:dyDescent="0.2"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  <c r="AL158" s="82"/>
      <c r="AM158" s="82"/>
      <c r="AN158" s="82"/>
      <c r="AO158" s="82"/>
      <c r="AP158" s="82"/>
      <c r="AQ158" s="82"/>
      <c r="AR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  <c r="BJ158" s="82"/>
      <c r="BK158" s="82"/>
      <c r="BL158" s="82"/>
      <c r="BM158" s="82"/>
      <c r="BN158" s="82"/>
      <c r="BO158" s="82"/>
      <c r="BP158" s="82"/>
      <c r="BQ158" s="82"/>
      <c r="BR158" s="82"/>
      <c r="BS158" s="82"/>
      <c r="BT158" s="82"/>
      <c r="BU158" s="82"/>
      <c r="BV158" s="82"/>
      <c r="BW158" s="82"/>
      <c r="BX158" s="82"/>
      <c r="BY158" s="82"/>
      <c r="BZ158" s="82"/>
      <c r="CA158" s="82"/>
      <c r="CB158" s="82"/>
      <c r="CC158" s="82"/>
      <c r="CD158" s="82"/>
      <c r="CE158" s="82"/>
      <c r="CF158" s="82"/>
      <c r="CG158" s="82"/>
      <c r="CH158" s="82"/>
      <c r="CI158" s="82"/>
      <c r="CJ158" s="82"/>
      <c r="CK158" s="82"/>
      <c r="CL158" s="82"/>
      <c r="CM158" s="82"/>
      <c r="CN158" s="82"/>
      <c r="CO158" s="82"/>
      <c r="CP158" s="82"/>
      <c r="CQ158" s="82"/>
      <c r="CR158" s="82"/>
      <c r="CS158" s="82"/>
      <c r="CT158" s="82"/>
      <c r="CU158" s="82"/>
      <c r="CV158" s="82"/>
      <c r="CW158" s="82"/>
      <c r="CX158" s="82"/>
      <c r="CY158" s="82"/>
      <c r="CZ158" s="82"/>
      <c r="DA158" s="82"/>
      <c r="DF158" s="9"/>
    </row>
    <row r="159" spans="3:110" x14ac:dyDescent="0.2"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  <c r="AM159" s="82"/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2"/>
      <c r="BL159" s="82"/>
      <c r="BM159" s="82"/>
      <c r="BN159" s="82"/>
      <c r="BO159" s="82"/>
      <c r="BP159" s="82"/>
      <c r="BQ159" s="82"/>
      <c r="BR159" s="82"/>
      <c r="BS159" s="82"/>
      <c r="BT159" s="82"/>
      <c r="BU159" s="82"/>
      <c r="BV159" s="82"/>
      <c r="BW159" s="82"/>
      <c r="BX159" s="82"/>
      <c r="BY159" s="82"/>
      <c r="BZ159" s="82"/>
      <c r="CA159" s="82"/>
      <c r="CB159" s="82"/>
      <c r="CC159" s="82"/>
      <c r="CD159" s="82"/>
      <c r="CE159" s="82"/>
      <c r="CF159" s="82"/>
      <c r="CG159" s="82"/>
      <c r="CH159" s="82"/>
      <c r="CI159" s="82"/>
      <c r="CJ159" s="82"/>
      <c r="CK159" s="82"/>
      <c r="CL159" s="82"/>
      <c r="CM159" s="82"/>
      <c r="CN159" s="82"/>
      <c r="CO159" s="82"/>
      <c r="CP159" s="82"/>
      <c r="CQ159" s="82"/>
      <c r="CR159" s="82"/>
      <c r="CS159" s="82"/>
      <c r="CT159" s="82"/>
      <c r="CU159" s="82"/>
      <c r="CV159" s="82"/>
      <c r="CW159" s="82"/>
      <c r="CX159" s="82"/>
      <c r="CY159" s="82"/>
      <c r="CZ159" s="82"/>
      <c r="DA159" s="82"/>
      <c r="DF159" s="9"/>
    </row>
    <row r="160" spans="3:110" x14ac:dyDescent="0.2"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  <c r="AK160" s="82"/>
      <c r="AL160" s="82"/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82"/>
      <c r="BC160" s="82"/>
      <c r="BD160" s="82"/>
      <c r="BE160" s="82"/>
      <c r="BF160" s="82"/>
      <c r="BG160" s="82"/>
      <c r="BH160" s="82"/>
      <c r="BI160" s="82"/>
      <c r="BJ160" s="82"/>
      <c r="BK160" s="82"/>
      <c r="BL160" s="82"/>
      <c r="BM160" s="82"/>
      <c r="BN160" s="82"/>
      <c r="BO160" s="82"/>
      <c r="BP160" s="82"/>
      <c r="BQ160" s="82"/>
      <c r="BR160" s="82"/>
      <c r="BS160" s="82"/>
      <c r="BT160" s="82"/>
      <c r="BU160" s="82"/>
      <c r="BV160" s="82"/>
      <c r="BW160" s="82"/>
      <c r="BX160" s="82"/>
      <c r="BY160" s="82"/>
      <c r="BZ160" s="82"/>
      <c r="CA160" s="82"/>
      <c r="CB160" s="82"/>
      <c r="CC160" s="82"/>
      <c r="CD160" s="82"/>
      <c r="CE160" s="82"/>
      <c r="CF160" s="82"/>
      <c r="CG160" s="82"/>
      <c r="CH160" s="82"/>
      <c r="CI160" s="82"/>
      <c r="CJ160" s="82"/>
      <c r="CK160" s="82"/>
      <c r="CL160" s="82"/>
      <c r="CM160" s="82"/>
      <c r="CN160" s="82"/>
      <c r="CO160" s="82"/>
      <c r="CP160" s="82"/>
      <c r="CQ160" s="82"/>
      <c r="CR160" s="82"/>
      <c r="CS160" s="82"/>
      <c r="CT160" s="82"/>
      <c r="CU160" s="82"/>
      <c r="CV160" s="82"/>
      <c r="CW160" s="82"/>
      <c r="CX160" s="82"/>
      <c r="CY160" s="82"/>
      <c r="CZ160" s="82"/>
      <c r="DA160" s="82"/>
      <c r="DF160" s="9"/>
    </row>
    <row r="161" spans="1:110" x14ac:dyDescent="0.2"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  <c r="AL161" s="82"/>
      <c r="AM161" s="82"/>
      <c r="AN161" s="82"/>
      <c r="AO161" s="82"/>
      <c r="AP161" s="82"/>
      <c r="AQ161" s="82"/>
      <c r="AR161" s="82"/>
      <c r="AS161" s="82"/>
      <c r="AT161" s="82"/>
      <c r="AU161" s="82"/>
      <c r="AV161" s="82"/>
      <c r="AW161" s="82"/>
      <c r="AX161" s="82"/>
      <c r="AY161" s="82"/>
      <c r="AZ161" s="82"/>
      <c r="BA161" s="82"/>
      <c r="BB161" s="82"/>
      <c r="BC161" s="82"/>
      <c r="BD161" s="82"/>
      <c r="BE161" s="82"/>
      <c r="BF161" s="82"/>
      <c r="BG161" s="82"/>
      <c r="BH161" s="82"/>
      <c r="BI161" s="82"/>
      <c r="BJ161" s="82"/>
      <c r="BK161" s="82"/>
      <c r="BL161" s="82"/>
      <c r="BM161" s="82"/>
      <c r="BN161" s="82"/>
      <c r="BO161" s="82"/>
      <c r="BP161" s="82"/>
      <c r="BQ161" s="82"/>
      <c r="BR161" s="82"/>
      <c r="BS161" s="82"/>
      <c r="BT161" s="82"/>
      <c r="BU161" s="82"/>
      <c r="BV161" s="82"/>
      <c r="BW161" s="82"/>
      <c r="BX161" s="82"/>
      <c r="BY161" s="82"/>
      <c r="BZ161" s="82"/>
      <c r="CA161" s="82"/>
      <c r="CB161" s="82"/>
      <c r="CC161" s="82"/>
      <c r="CD161" s="82"/>
      <c r="CE161" s="82"/>
      <c r="CF161" s="82"/>
      <c r="CG161" s="82"/>
      <c r="CH161" s="82"/>
      <c r="CI161" s="82"/>
      <c r="CJ161" s="82"/>
      <c r="CK161" s="82"/>
      <c r="CL161" s="82"/>
      <c r="CM161" s="82"/>
      <c r="CN161" s="82"/>
      <c r="CO161" s="82"/>
      <c r="CP161" s="82"/>
      <c r="CQ161" s="82"/>
      <c r="CR161" s="82"/>
      <c r="CS161" s="82"/>
      <c r="CT161" s="82"/>
      <c r="CU161" s="82"/>
      <c r="CV161" s="82"/>
      <c r="CW161" s="82"/>
      <c r="CX161" s="82"/>
      <c r="CY161" s="82"/>
      <c r="CZ161" s="82"/>
      <c r="DA161" s="82"/>
      <c r="DF161" s="9"/>
    </row>
    <row r="162" spans="1:110" x14ac:dyDescent="0.2"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  <c r="AK162" s="82"/>
      <c r="AL162" s="82"/>
      <c r="AM162" s="82"/>
      <c r="AN162" s="82"/>
      <c r="AO162" s="82"/>
      <c r="AP162" s="82"/>
      <c r="AQ162" s="82"/>
      <c r="AR162" s="82"/>
      <c r="AS162" s="82"/>
      <c r="AT162" s="82"/>
      <c r="AU162" s="82"/>
      <c r="AV162" s="82"/>
      <c r="AW162" s="82"/>
      <c r="AX162" s="82"/>
      <c r="AY162" s="82"/>
      <c r="AZ162" s="82"/>
      <c r="BA162" s="82"/>
      <c r="BB162" s="82"/>
      <c r="BC162" s="82"/>
      <c r="BD162" s="82"/>
      <c r="BE162" s="82"/>
      <c r="BF162" s="82"/>
      <c r="BG162" s="82"/>
      <c r="BH162" s="82"/>
      <c r="BI162" s="82"/>
      <c r="BJ162" s="82"/>
      <c r="BK162" s="82"/>
      <c r="BL162" s="82"/>
      <c r="BM162" s="82"/>
      <c r="BN162" s="82"/>
      <c r="BO162" s="82"/>
      <c r="BP162" s="82"/>
      <c r="BQ162" s="82"/>
      <c r="BR162" s="82"/>
      <c r="BS162" s="82"/>
      <c r="BT162" s="82"/>
      <c r="BU162" s="82"/>
      <c r="BV162" s="82"/>
      <c r="BW162" s="82"/>
      <c r="BX162" s="82"/>
      <c r="BY162" s="82"/>
      <c r="BZ162" s="82"/>
      <c r="CA162" s="82"/>
      <c r="CB162" s="82"/>
      <c r="CC162" s="82"/>
      <c r="CD162" s="82"/>
      <c r="CE162" s="82"/>
      <c r="CF162" s="82"/>
      <c r="CG162" s="82"/>
      <c r="CH162" s="82"/>
      <c r="CI162" s="82"/>
      <c r="CJ162" s="82"/>
      <c r="CK162" s="82"/>
      <c r="CL162" s="82"/>
      <c r="CM162" s="82"/>
      <c r="CN162" s="82"/>
      <c r="CO162" s="82"/>
      <c r="CP162" s="82"/>
      <c r="CQ162" s="82"/>
      <c r="CR162" s="82"/>
      <c r="CS162" s="82"/>
      <c r="CT162" s="82"/>
      <c r="CU162" s="82"/>
      <c r="CV162" s="82"/>
      <c r="CW162" s="82"/>
      <c r="CX162" s="82"/>
      <c r="CY162" s="82"/>
      <c r="CZ162" s="82"/>
      <c r="DA162" s="82"/>
      <c r="DF162" s="9"/>
    </row>
    <row r="163" spans="1:110" x14ac:dyDescent="0.2"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2"/>
      <c r="AL163" s="82"/>
      <c r="AM163" s="82"/>
      <c r="AN163" s="82"/>
      <c r="AO163" s="82"/>
      <c r="AP163" s="82"/>
      <c r="AQ163" s="82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2"/>
      <c r="BI163" s="82"/>
      <c r="BJ163" s="82"/>
      <c r="BK163" s="82"/>
      <c r="BL163" s="82"/>
      <c r="BM163" s="82"/>
      <c r="BN163" s="82"/>
      <c r="BO163" s="82"/>
      <c r="BP163" s="82"/>
      <c r="BQ163" s="82"/>
      <c r="BR163" s="82"/>
      <c r="BS163" s="82"/>
      <c r="BT163" s="82"/>
      <c r="BU163" s="82"/>
      <c r="BV163" s="82"/>
      <c r="BW163" s="82"/>
      <c r="BX163" s="82"/>
      <c r="BY163" s="82"/>
      <c r="BZ163" s="82"/>
      <c r="CA163" s="82"/>
      <c r="CB163" s="82"/>
      <c r="CC163" s="82"/>
      <c r="CD163" s="82"/>
      <c r="CE163" s="82"/>
      <c r="CF163" s="82"/>
      <c r="CG163" s="82"/>
      <c r="CH163" s="82"/>
      <c r="CI163" s="82"/>
      <c r="CJ163" s="82"/>
      <c r="CK163" s="82"/>
      <c r="CL163" s="82"/>
      <c r="CM163" s="82"/>
      <c r="CN163" s="82"/>
      <c r="CO163" s="82"/>
      <c r="CP163" s="82"/>
      <c r="CQ163" s="82"/>
      <c r="CR163" s="82"/>
      <c r="CS163" s="82"/>
      <c r="CT163" s="82"/>
      <c r="CU163" s="82"/>
      <c r="CV163" s="82"/>
      <c r="CW163" s="82"/>
      <c r="CX163" s="82"/>
      <c r="CY163" s="82"/>
      <c r="CZ163" s="82"/>
      <c r="DA163" s="82"/>
      <c r="DF163" s="9"/>
    </row>
    <row r="164" spans="1:110" x14ac:dyDescent="0.2"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  <c r="AL164" s="82"/>
      <c r="AM164" s="82"/>
      <c r="AN164" s="82"/>
      <c r="AO164" s="82"/>
      <c r="AP164" s="82"/>
      <c r="AQ164" s="82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  <c r="BB164" s="82"/>
      <c r="BC164" s="82"/>
      <c r="BD164" s="82"/>
      <c r="BE164" s="82"/>
      <c r="BF164" s="82"/>
      <c r="BG164" s="82"/>
      <c r="BH164" s="82"/>
      <c r="BI164" s="82"/>
      <c r="BJ164" s="82"/>
      <c r="BK164" s="82"/>
      <c r="BL164" s="82"/>
      <c r="BM164" s="82"/>
      <c r="BN164" s="82"/>
      <c r="BO164" s="82"/>
      <c r="BP164" s="82"/>
      <c r="BQ164" s="82"/>
      <c r="BR164" s="82"/>
      <c r="BS164" s="82"/>
      <c r="BT164" s="82"/>
      <c r="BU164" s="82"/>
      <c r="BV164" s="82"/>
      <c r="BW164" s="82"/>
      <c r="BX164" s="82"/>
      <c r="BY164" s="82"/>
      <c r="BZ164" s="82"/>
      <c r="CA164" s="82"/>
      <c r="CB164" s="82"/>
      <c r="CC164" s="82"/>
      <c r="CD164" s="82"/>
      <c r="CE164" s="82"/>
      <c r="CF164" s="82"/>
      <c r="CG164" s="82"/>
      <c r="CH164" s="82"/>
      <c r="CI164" s="82"/>
      <c r="CJ164" s="82"/>
      <c r="CK164" s="82"/>
      <c r="CL164" s="82"/>
      <c r="CM164" s="82"/>
      <c r="CN164" s="82"/>
      <c r="CO164" s="82"/>
      <c r="CP164" s="82"/>
      <c r="CQ164" s="82"/>
      <c r="CR164" s="82"/>
      <c r="CS164" s="82"/>
      <c r="CT164" s="82"/>
      <c r="CU164" s="82"/>
      <c r="CV164" s="82"/>
      <c r="CW164" s="82"/>
      <c r="CX164" s="82"/>
      <c r="CY164" s="82"/>
      <c r="CZ164" s="82"/>
      <c r="DA164" s="82"/>
      <c r="DF164" s="9"/>
    </row>
    <row r="165" spans="1:110" x14ac:dyDescent="0.2"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  <c r="AM165" s="82"/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2"/>
      <c r="BM165" s="82"/>
      <c r="BN165" s="82"/>
      <c r="BO165" s="82"/>
      <c r="BP165" s="82"/>
      <c r="BQ165" s="82"/>
      <c r="BR165" s="82"/>
      <c r="BS165" s="82"/>
      <c r="BT165" s="82"/>
      <c r="BU165" s="82"/>
      <c r="BV165" s="82"/>
      <c r="BW165" s="82"/>
      <c r="BX165" s="82"/>
      <c r="BY165" s="82"/>
      <c r="BZ165" s="82"/>
      <c r="CA165" s="82"/>
      <c r="CB165" s="82"/>
      <c r="CC165" s="82"/>
      <c r="CD165" s="82"/>
      <c r="CE165" s="82"/>
      <c r="CF165" s="82"/>
      <c r="CG165" s="82"/>
      <c r="CH165" s="82"/>
      <c r="CI165" s="82"/>
      <c r="CJ165" s="82"/>
      <c r="CK165" s="82"/>
      <c r="CL165" s="82"/>
      <c r="CM165" s="82"/>
      <c r="CN165" s="82"/>
      <c r="CO165" s="82"/>
      <c r="CP165" s="82"/>
      <c r="CQ165" s="82"/>
      <c r="CR165" s="82"/>
      <c r="CS165" s="82"/>
      <c r="CT165" s="82"/>
      <c r="CU165" s="82"/>
      <c r="CV165" s="82"/>
      <c r="CW165" s="82"/>
      <c r="CX165" s="82"/>
      <c r="CY165" s="82"/>
      <c r="CZ165" s="82"/>
      <c r="DA165" s="82"/>
      <c r="DF165" s="9"/>
    </row>
    <row r="166" spans="1:110" x14ac:dyDescent="0.2"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  <c r="BN166" s="82"/>
      <c r="BO166" s="82"/>
      <c r="BP166" s="82"/>
      <c r="BQ166" s="82"/>
      <c r="BR166" s="82"/>
      <c r="BS166" s="82"/>
      <c r="BT166" s="82"/>
      <c r="BU166" s="82"/>
      <c r="BV166" s="82"/>
      <c r="BW166" s="82"/>
      <c r="BX166" s="82"/>
      <c r="BY166" s="82"/>
      <c r="BZ166" s="82"/>
      <c r="CA166" s="82"/>
      <c r="CB166" s="82"/>
      <c r="CC166" s="82"/>
      <c r="CD166" s="82"/>
      <c r="CE166" s="82"/>
      <c r="CF166" s="82"/>
      <c r="CG166" s="82"/>
      <c r="CH166" s="82"/>
      <c r="CI166" s="82"/>
      <c r="CJ166" s="82"/>
      <c r="CK166" s="82"/>
      <c r="CL166" s="82"/>
      <c r="CM166" s="82"/>
      <c r="CN166" s="82"/>
      <c r="CO166" s="82"/>
      <c r="CP166" s="82"/>
      <c r="CQ166" s="82"/>
      <c r="CR166" s="82"/>
      <c r="CS166" s="82"/>
      <c r="CT166" s="82"/>
      <c r="CU166" s="82"/>
      <c r="CV166" s="82"/>
      <c r="CW166" s="82"/>
      <c r="CX166" s="82"/>
      <c r="CY166" s="82"/>
      <c r="CZ166" s="82"/>
      <c r="DA166" s="82"/>
      <c r="DF166" s="9"/>
    </row>
    <row r="167" spans="1:110" x14ac:dyDescent="0.2"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  <c r="BN167" s="82"/>
      <c r="BO167" s="82"/>
      <c r="BP167" s="82"/>
      <c r="BQ167" s="82"/>
      <c r="BR167" s="82"/>
      <c r="BS167" s="82"/>
      <c r="BT167" s="82"/>
      <c r="BU167" s="82"/>
      <c r="BV167" s="82"/>
      <c r="BW167" s="82"/>
      <c r="BX167" s="82"/>
      <c r="BY167" s="82"/>
      <c r="BZ167" s="82"/>
      <c r="CA167" s="82"/>
      <c r="CB167" s="82"/>
      <c r="CC167" s="82"/>
      <c r="CD167" s="82"/>
      <c r="CE167" s="82"/>
      <c r="CF167" s="82"/>
      <c r="CG167" s="82"/>
      <c r="CH167" s="82"/>
      <c r="CI167" s="82"/>
      <c r="CJ167" s="82"/>
      <c r="CK167" s="82"/>
      <c r="CL167" s="82"/>
      <c r="CM167" s="82"/>
      <c r="CN167" s="82"/>
      <c r="CO167" s="82"/>
      <c r="CP167" s="82"/>
      <c r="CQ167" s="82"/>
      <c r="CR167" s="82"/>
      <c r="CS167" s="82"/>
      <c r="CT167" s="82"/>
      <c r="CU167" s="82"/>
      <c r="CV167" s="82"/>
      <c r="CW167" s="82"/>
      <c r="CX167" s="82"/>
      <c r="CY167" s="82"/>
      <c r="CZ167" s="82"/>
      <c r="DA167" s="82"/>
      <c r="DF167" s="9"/>
    </row>
    <row r="168" spans="1:110" x14ac:dyDescent="0.2"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  <c r="AM168" s="82"/>
      <c r="AN168" s="82"/>
      <c r="AO168" s="82"/>
      <c r="AP168" s="82"/>
      <c r="AQ168" s="82"/>
      <c r="AR168" s="82"/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  <c r="BK168" s="82"/>
      <c r="BL168" s="82"/>
      <c r="BM168" s="82"/>
      <c r="BN168" s="82"/>
      <c r="BO168" s="82"/>
      <c r="BP168" s="82"/>
      <c r="BQ168" s="82"/>
      <c r="BR168" s="82"/>
      <c r="BS168" s="82"/>
      <c r="BT168" s="82"/>
      <c r="BU168" s="82"/>
      <c r="BV168" s="82"/>
      <c r="BW168" s="82"/>
      <c r="BX168" s="82"/>
      <c r="BY168" s="82"/>
      <c r="BZ168" s="82"/>
      <c r="CA168" s="82"/>
      <c r="CB168" s="82"/>
      <c r="CC168" s="82"/>
      <c r="CD168" s="82"/>
      <c r="CE168" s="82"/>
      <c r="CF168" s="82"/>
      <c r="CG168" s="82"/>
      <c r="CH168" s="82"/>
      <c r="CI168" s="82"/>
      <c r="CJ168" s="82"/>
      <c r="CK168" s="82"/>
      <c r="CL168" s="82"/>
      <c r="CM168" s="82"/>
      <c r="CN168" s="82"/>
      <c r="CO168" s="82"/>
      <c r="CP168" s="82"/>
      <c r="CQ168" s="82"/>
      <c r="CR168" s="82"/>
      <c r="CS168" s="82"/>
      <c r="CT168" s="82"/>
      <c r="CU168" s="82"/>
      <c r="CV168" s="82"/>
      <c r="CW168" s="82"/>
      <c r="CX168" s="82"/>
      <c r="CY168" s="82"/>
      <c r="CZ168" s="82"/>
      <c r="DA168" s="82"/>
      <c r="DF168" s="9"/>
    </row>
    <row r="169" spans="1:110" x14ac:dyDescent="0.2"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  <c r="AL169" s="82"/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  <c r="BK169" s="82"/>
      <c r="BL169" s="82"/>
      <c r="BM169" s="82"/>
      <c r="BN169" s="82"/>
      <c r="BO169" s="82"/>
      <c r="BP169" s="82"/>
      <c r="BQ169" s="82"/>
      <c r="BR169" s="82"/>
      <c r="BS169" s="82"/>
      <c r="BT169" s="82"/>
      <c r="BU169" s="82"/>
      <c r="BV169" s="82"/>
      <c r="BW169" s="82"/>
      <c r="BX169" s="82"/>
      <c r="BY169" s="82"/>
      <c r="BZ169" s="82"/>
      <c r="CA169" s="82"/>
      <c r="CB169" s="82"/>
      <c r="CC169" s="82"/>
      <c r="CD169" s="82"/>
      <c r="CE169" s="82"/>
      <c r="CF169" s="82"/>
      <c r="CG169" s="82"/>
      <c r="CH169" s="82"/>
      <c r="CI169" s="82"/>
      <c r="CJ169" s="82"/>
      <c r="CK169" s="82"/>
      <c r="CL169" s="82"/>
      <c r="CM169" s="82"/>
      <c r="CN169" s="82"/>
      <c r="CO169" s="82"/>
      <c r="CP169" s="82"/>
      <c r="CQ169" s="82"/>
      <c r="CR169" s="82"/>
      <c r="CS169" s="82"/>
      <c r="CT169" s="82"/>
      <c r="CU169" s="82"/>
      <c r="CV169" s="82"/>
      <c r="CW169" s="82"/>
      <c r="CX169" s="82"/>
      <c r="CY169" s="82"/>
      <c r="CZ169" s="82"/>
      <c r="DA169" s="82"/>
      <c r="DF169" s="9"/>
    </row>
    <row r="170" spans="1:110" x14ac:dyDescent="0.2"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  <c r="AN170" s="82"/>
      <c r="AO170" s="82"/>
      <c r="AP170" s="82"/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  <c r="BT170" s="82"/>
      <c r="BU170" s="82"/>
      <c r="BV170" s="82"/>
      <c r="BW170" s="82"/>
      <c r="BX170" s="82"/>
      <c r="BY170" s="82"/>
      <c r="BZ170" s="82"/>
      <c r="CA170" s="82"/>
      <c r="CB170" s="82"/>
      <c r="CC170" s="82"/>
      <c r="CD170" s="82"/>
      <c r="CE170" s="82"/>
      <c r="CF170" s="82"/>
      <c r="CG170" s="82"/>
      <c r="CH170" s="82"/>
      <c r="CI170" s="82"/>
      <c r="CJ170" s="82"/>
      <c r="CK170" s="82"/>
      <c r="CL170" s="82"/>
      <c r="CM170" s="82"/>
      <c r="CN170" s="82"/>
      <c r="CO170" s="82"/>
      <c r="CP170" s="82"/>
      <c r="CQ170" s="82"/>
      <c r="CR170" s="82"/>
      <c r="CS170" s="82"/>
      <c r="CT170" s="82"/>
      <c r="CU170" s="82"/>
      <c r="CV170" s="82"/>
      <c r="CW170" s="82"/>
      <c r="CX170" s="82"/>
      <c r="CY170" s="82"/>
      <c r="CZ170" s="82"/>
      <c r="DA170" s="82"/>
      <c r="DF170" s="9"/>
    </row>
    <row r="171" spans="1:110" x14ac:dyDescent="0.2">
      <c r="A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  <c r="AM171" s="82"/>
      <c r="AN171" s="82"/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  <c r="BT171" s="82"/>
      <c r="BU171" s="82"/>
      <c r="BV171" s="82"/>
      <c r="BW171" s="82"/>
      <c r="BX171" s="82"/>
      <c r="BY171" s="82"/>
      <c r="BZ171" s="82"/>
      <c r="CA171" s="82"/>
      <c r="CB171" s="82"/>
      <c r="CC171" s="82"/>
      <c r="CD171" s="82"/>
      <c r="CE171" s="82"/>
      <c r="CF171" s="82"/>
      <c r="CG171" s="82"/>
      <c r="CH171" s="82"/>
      <c r="CI171" s="82"/>
      <c r="CJ171" s="82"/>
      <c r="CK171" s="82"/>
      <c r="CL171" s="82"/>
      <c r="CM171" s="82"/>
      <c r="CN171" s="82"/>
      <c r="CO171" s="82"/>
      <c r="CP171" s="82"/>
      <c r="CQ171" s="82"/>
      <c r="CR171" s="82"/>
      <c r="CS171" s="82"/>
      <c r="CT171" s="82"/>
      <c r="CU171" s="82"/>
      <c r="CV171" s="82"/>
      <c r="CW171" s="82"/>
      <c r="CX171" s="82"/>
      <c r="CY171" s="82"/>
      <c r="CZ171"/>
      <c r="DA171"/>
    </row>
    <row r="172" spans="1:110" x14ac:dyDescent="0.2"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82"/>
      <c r="BR172" s="82"/>
      <c r="BS172" s="82"/>
      <c r="BT172" s="82"/>
      <c r="BU172" s="82"/>
      <c r="BV172" s="82"/>
      <c r="BW172" s="82"/>
      <c r="BX172" s="82"/>
      <c r="BY172" s="82"/>
      <c r="BZ172" s="82"/>
      <c r="CA172" s="82"/>
      <c r="CB172" s="82"/>
      <c r="CC172" s="82"/>
      <c r="CD172" s="82"/>
      <c r="CE172" s="82"/>
      <c r="CF172" s="82"/>
      <c r="CG172" s="82"/>
      <c r="CH172" s="82"/>
      <c r="CI172" s="82"/>
      <c r="CJ172" s="82"/>
      <c r="CK172" s="82"/>
      <c r="CL172" s="82"/>
      <c r="CM172" s="82"/>
      <c r="CN172" s="82"/>
      <c r="CO172" s="82"/>
      <c r="CP172" s="82"/>
      <c r="CQ172" s="82"/>
      <c r="CR172" s="82"/>
      <c r="CS172" s="82"/>
      <c r="CT172" s="82"/>
      <c r="CU172" s="82"/>
      <c r="CV172" s="82"/>
      <c r="CW172" s="82"/>
      <c r="CX172" s="82"/>
      <c r="CY172" s="82"/>
      <c r="CZ172" s="82"/>
      <c r="DA172" s="82"/>
    </row>
    <row r="173" spans="1:110" x14ac:dyDescent="0.2">
      <c r="CZ173" s="9"/>
      <c r="DA173" s="9"/>
    </row>
    <row r="174" spans="1:110" x14ac:dyDescent="0.2">
      <c r="CZ174" s="9"/>
      <c r="DA174" s="9"/>
      <c r="DF174" s="9"/>
    </row>
    <row r="175" spans="1:110" x14ac:dyDescent="0.2">
      <c r="CZ175" s="9"/>
      <c r="DA175" s="9"/>
      <c r="DF175" s="9"/>
    </row>
    <row r="176" spans="1:110" x14ac:dyDescent="0.2">
      <c r="CZ176" s="9"/>
      <c r="DA176" s="9"/>
      <c r="DF176" s="9"/>
    </row>
    <row r="177" spans="1:110" x14ac:dyDescent="0.2">
      <c r="CZ177" s="9"/>
      <c r="DA177" s="9"/>
    </row>
    <row r="178" spans="1:110" x14ac:dyDescent="0.2">
      <c r="CZ178" s="9"/>
      <c r="DA178" s="9"/>
    </row>
    <row r="179" spans="1:110" x14ac:dyDescent="0.2">
      <c r="CZ179" s="9"/>
      <c r="DA179" s="9"/>
      <c r="DF179" s="9"/>
    </row>
    <row r="180" spans="1:110" x14ac:dyDescent="0.2">
      <c r="CZ180" s="9"/>
      <c r="DA180" s="9"/>
      <c r="DF180" s="9"/>
    </row>
    <row r="181" spans="1:110" x14ac:dyDescent="0.2"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  <c r="AL181" s="82"/>
      <c r="AM181" s="82"/>
      <c r="AN181" s="82"/>
      <c r="AO181" s="82"/>
      <c r="AP181" s="82"/>
      <c r="AQ181" s="82"/>
      <c r="AR181" s="82"/>
      <c r="AS181" s="82"/>
      <c r="AT181" s="82"/>
      <c r="AU181" s="82"/>
      <c r="AV181" s="82"/>
      <c r="AW181" s="82"/>
      <c r="AX181" s="82"/>
      <c r="AY181" s="82"/>
      <c r="AZ181" s="82"/>
      <c r="BA181" s="82"/>
      <c r="BB181" s="82"/>
      <c r="BC181" s="82"/>
      <c r="BD181" s="82"/>
      <c r="BE181" s="82"/>
      <c r="BF181" s="82"/>
      <c r="BG181" s="82"/>
      <c r="BH181" s="82"/>
      <c r="BI181" s="82"/>
      <c r="BJ181" s="82"/>
      <c r="BK181" s="82"/>
      <c r="BL181" s="82"/>
      <c r="BM181" s="82"/>
      <c r="BN181" s="82"/>
      <c r="BO181" s="82"/>
      <c r="BP181" s="82"/>
      <c r="BQ181" s="82"/>
      <c r="BR181" s="82"/>
      <c r="BS181" s="82"/>
      <c r="BT181" s="82"/>
      <c r="BU181" s="82"/>
      <c r="BV181" s="82"/>
      <c r="BW181" s="82"/>
      <c r="BX181" s="82"/>
      <c r="BY181" s="82"/>
      <c r="BZ181" s="82"/>
      <c r="CA181" s="82"/>
      <c r="CB181" s="82"/>
      <c r="CC181" s="82"/>
      <c r="CD181" s="82"/>
      <c r="CE181" s="82"/>
      <c r="CF181" s="82"/>
      <c r="CG181" s="82"/>
      <c r="CH181" s="82"/>
      <c r="CI181" s="82"/>
      <c r="CJ181" s="82"/>
      <c r="CK181" s="82"/>
      <c r="CL181" s="82"/>
      <c r="CM181" s="82"/>
      <c r="CN181" s="82"/>
      <c r="CO181" s="82"/>
      <c r="CP181" s="82"/>
      <c r="CQ181" s="82"/>
      <c r="CR181" s="82"/>
      <c r="CS181" s="82"/>
      <c r="CT181" s="82"/>
      <c r="CU181" s="82"/>
      <c r="CV181" s="82"/>
      <c r="CW181" s="82"/>
      <c r="CX181" s="82"/>
      <c r="CY181" s="82"/>
      <c r="CZ181" s="82"/>
      <c r="DA181" s="82"/>
      <c r="DF181" s="9"/>
    </row>
    <row r="182" spans="1:110" ht="15" x14ac:dyDescent="0.25">
      <c r="A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115"/>
      <c r="AI182" s="115"/>
      <c r="AJ182" s="115"/>
      <c r="AK182" s="115"/>
      <c r="AL182" s="115"/>
      <c r="AM182" s="115"/>
      <c r="AN182" s="115"/>
      <c r="AO182" s="115"/>
      <c r="AP182" s="115"/>
      <c r="AQ182" s="115"/>
      <c r="AR182" s="115"/>
      <c r="AS182" s="115"/>
      <c r="AT182" s="115"/>
      <c r="AU182" s="115"/>
      <c r="AV182" s="115"/>
      <c r="AW182" s="115"/>
      <c r="AX182" s="115"/>
      <c r="AY182" s="115"/>
      <c r="AZ182" s="115"/>
      <c r="BA182" s="115"/>
      <c r="BB182" s="115"/>
      <c r="BC182" s="115"/>
      <c r="BD182" s="115"/>
      <c r="BE182" s="115"/>
      <c r="BF182" s="115"/>
      <c r="BG182" s="115"/>
      <c r="BH182" s="115"/>
      <c r="BI182" s="115"/>
      <c r="BJ182" s="115"/>
      <c r="BK182" s="115"/>
      <c r="BL182" s="115"/>
      <c r="BM182" s="115"/>
      <c r="BN182" s="115"/>
      <c r="BO182" s="115"/>
      <c r="BP182" s="115"/>
      <c r="BQ182" s="115"/>
      <c r="BR182" s="115"/>
      <c r="BS182" s="115"/>
      <c r="BT182" s="115"/>
      <c r="BU182" s="115"/>
      <c r="BV182" s="115"/>
      <c r="BW182" s="115"/>
      <c r="BX182" s="115"/>
      <c r="BY182" s="115"/>
      <c r="BZ182" s="115"/>
      <c r="CA182" s="115"/>
      <c r="CB182" s="115"/>
      <c r="CC182" s="115"/>
      <c r="CD182" s="115"/>
      <c r="CE182" s="115"/>
      <c r="CF182" s="115"/>
      <c r="CG182" s="115"/>
      <c r="CH182" s="115"/>
      <c r="CI182" s="115"/>
      <c r="CJ182" s="115"/>
      <c r="CK182" s="115"/>
      <c r="CL182" s="115"/>
      <c r="CM182" s="115"/>
      <c r="CN182" s="115"/>
      <c r="CO182" s="115"/>
      <c r="CP182" s="115"/>
      <c r="CQ182" s="115"/>
      <c r="CR182" s="115"/>
      <c r="CS182" s="115"/>
      <c r="CT182" s="115"/>
      <c r="CU182" s="115"/>
      <c r="CV182" s="115"/>
      <c r="CW182" s="115"/>
      <c r="CX182" s="115"/>
      <c r="CY182" s="115"/>
      <c r="CZ182" s="127"/>
      <c r="DA182" s="127"/>
      <c r="DF182" s="9"/>
    </row>
    <row r="183" spans="1:110" x14ac:dyDescent="0.2">
      <c r="DF183" s="9"/>
    </row>
    <row r="184" spans="1:110" x14ac:dyDescent="0.2">
      <c r="DF184" s="9"/>
    </row>
    <row r="193" spans="3:110" x14ac:dyDescent="0.2">
      <c r="DF193" s="9"/>
    </row>
    <row r="194" spans="3:110" x14ac:dyDescent="0.2">
      <c r="DF194" s="9"/>
    </row>
    <row r="195" spans="3:110" x14ac:dyDescent="0.2">
      <c r="DF195" s="9"/>
    </row>
    <row r="196" spans="3:110" x14ac:dyDescent="0.2">
      <c r="DF196" s="9"/>
    </row>
    <row r="206" spans="3:110" x14ac:dyDescent="0.2"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  <c r="AC206" s="120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  <c r="AO206" s="120"/>
      <c r="AP206" s="120"/>
      <c r="AQ206" s="120"/>
      <c r="AR206" s="120"/>
      <c r="AS206" s="120"/>
      <c r="AT206" s="120"/>
      <c r="AU206" s="120"/>
      <c r="AV206" s="120"/>
      <c r="AW206" s="120"/>
      <c r="AX206" s="120"/>
      <c r="AY206" s="120"/>
      <c r="AZ206" s="120"/>
      <c r="BA206" s="120"/>
      <c r="BB206" s="120"/>
      <c r="BC206" s="120"/>
      <c r="BD206" s="120"/>
      <c r="BE206" s="120"/>
      <c r="BF206" s="120"/>
      <c r="BG206" s="120"/>
      <c r="BH206" s="120"/>
      <c r="BI206" s="120"/>
      <c r="BJ206" s="120"/>
      <c r="BK206" s="120"/>
      <c r="BL206" s="120"/>
      <c r="BM206" s="120"/>
      <c r="BN206" s="120"/>
      <c r="BO206" s="120"/>
      <c r="BP206" s="120"/>
      <c r="BQ206" s="120"/>
      <c r="BR206" s="120"/>
      <c r="BS206" s="120"/>
      <c r="BT206" s="120"/>
      <c r="BU206" s="120"/>
      <c r="BV206" s="120"/>
      <c r="BW206" s="120"/>
      <c r="BX206" s="120"/>
      <c r="BY206" s="120"/>
      <c r="BZ206" s="120"/>
      <c r="CA206" s="120"/>
      <c r="CB206" s="120"/>
      <c r="CC206" s="120"/>
      <c r="CD206" s="120"/>
      <c r="CE206" s="120"/>
      <c r="CF206" s="120"/>
      <c r="CG206" s="120"/>
      <c r="CH206" s="120"/>
      <c r="CI206" s="120"/>
      <c r="CJ206" s="120"/>
      <c r="CK206" s="120"/>
      <c r="CL206" s="120"/>
      <c r="CM206" s="120"/>
      <c r="CN206" s="120"/>
      <c r="CO206" s="120"/>
      <c r="CP206" s="120"/>
      <c r="CQ206" s="120"/>
      <c r="CR206" s="120"/>
      <c r="CS206" s="120"/>
      <c r="CT206" s="120"/>
      <c r="CU206" s="120"/>
      <c r="CV206" s="120"/>
      <c r="CW206" s="120"/>
      <c r="CX206" s="120"/>
      <c r="CY206" s="120"/>
      <c r="CZ206" s="120"/>
      <c r="DA206" s="120"/>
    </row>
    <row r="207" spans="3:110" x14ac:dyDescent="0.2"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  <c r="CJ207" s="128"/>
      <c r="CK207" s="128"/>
      <c r="CL207" s="128"/>
      <c r="CM207" s="128"/>
      <c r="CN207" s="128"/>
      <c r="CO207" s="128"/>
      <c r="CP207" s="128"/>
      <c r="CQ207" s="128"/>
      <c r="CR207" s="128"/>
      <c r="CS207" s="128"/>
      <c r="CT207" s="128"/>
      <c r="CU207" s="128"/>
      <c r="CV207" s="128"/>
      <c r="CW207" s="128"/>
      <c r="CX207" s="128"/>
      <c r="CY207" s="128"/>
      <c r="CZ207" s="128"/>
      <c r="DA207" s="128"/>
    </row>
    <row r="208" spans="3:110" x14ac:dyDescent="0.2"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  <c r="CJ208" s="128"/>
      <c r="CK208" s="128"/>
      <c r="CL208" s="128"/>
      <c r="CM208" s="128"/>
      <c r="CN208" s="128"/>
      <c r="CO208" s="128"/>
      <c r="CP208" s="128"/>
      <c r="CQ208" s="128"/>
      <c r="CR208" s="128"/>
      <c r="CS208" s="128"/>
      <c r="CT208" s="128"/>
      <c r="CU208" s="128"/>
      <c r="CV208" s="128"/>
      <c r="CW208" s="128"/>
      <c r="CX208" s="128"/>
      <c r="CY208" s="128"/>
      <c r="CZ208" s="128"/>
      <c r="DA208" s="128"/>
    </row>
    <row r="209" spans="3:105" x14ac:dyDescent="0.2"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  <c r="AA209" s="120"/>
      <c r="AB209" s="120"/>
      <c r="AC209" s="120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  <c r="AO209" s="120"/>
      <c r="AP209" s="120"/>
      <c r="AQ209" s="120"/>
      <c r="AR209" s="120"/>
      <c r="AS209" s="120"/>
      <c r="AT209" s="120"/>
      <c r="AU209" s="120"/>
      <c r="AV209" s="120"/>
      <c r="AW209" s="120"/>
      <c r="AX209" s="120"/>
      <c r="AY209" s="120"/>
      <c r="AZ209" s="120"/>
      <c r="BA209" s="120"/>
      <c r="BB209" s="120"/>
      <c r="BC209" s="120"/>
      <c r="BD209" s="120"/>
      <c r="BE209" s="120"/>
      <c r="BF209" s="120"/>
      <c r="BG209" s="120"/>
      <c r="BH209" s="120"/>
      <c r="BI209" s="120"/>
      <c r="BJ209" s="120"/>
      <c r="BK209" s="120"/>
      <c r="BL209" s="120"/>
      <c r="BM209" s="120"/>
      <c r="BN209" s="120"/>
      <c r="BO209" s="120"/>
      <c r="BP209" s="120"/>
      <c r="BQ209" s="120"/>
      <c r="BR209" s="120"/>
      <c r="BS209" s="120"/>
      <c r="BT209" s="120"/>
      <c r="BU209" s="120"/>
      <c r="BV209" s="120"/>
      <c r="BW209" s="120"/>
      <c r="BX209" s="120"/>
      <c r="BY209" s="120"/>
      <c r="BZ209" s="120"/>
      <c r="CA209" s="120"/>
      <c r="CB209" s="120"/>
      <c r="CC209" s="120"/>
      <c r="CD209" s="120"/>
      <c r="CE209" s="120"/>
      <c r="CF209" s="120"/>
      <c r="CG209" s="120"/>
      <c r="CH209" s="120"/>
      <c r="CI209" s="120"/>
      <c r="CJ209" s="120"/>
      <c r="CK209" s="120"/>
      <c r="CL209" s="120"/>
      <c r="CM209" s="120"/>
      <c r="CN209" s="120"/>
      <c r="CO209" s="120"/>
      <c r="CP209" s="120"/>
      <c r="CQ209" s="120"/>
      <c r="CR209" s="120"/>
      <c r="CS209" s="120"/>
      <c r="CT209" s="120"/>
      <c r="CU209" s="120"/>
      <c r="CV209" s="120"/>
      <c r="CW209" s="120"/>
      <c r="CX209" s="120"/>
      <c r="CY209" s="120"/>
      <c r="CZ209" s="120"/>
      <c r="DA209" s="120"/>
    </row>
    <row r="210" spans="3:105" x14ac:dyDescent="0.2"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  <c r="AA210" s="120"/>
      <c r="AB210" s="120"/>
      <c r="AC210" s="120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  <c r="AO210" s="120"/>
      <c r="AP210" s="120"/>
      <c r="AQ210" s="120"/>
      <c r="AR210" s="120"/>
      <c r="AS210" s="120"/>
      <c r="AT210" s="120"/>
      <c r="AU210" s="120"/>
      <c r="AV210" s="120"/>
      <c r="AW210" s="120"/>
      <c r="AX210" s="120"/>
      <c r="AY210" s="120"/>
      <c r="AZ210" s="120"/>
      <c r="BA210" s="120"/>
      <c r="BB210" s="120"/>
      <c r="BC210" s="120"/>
      <c r="BD210" s="120"/>
      <c r="BE210" s="120"/>
      <c r="BF210" s="120"/>
      <c r="BG210" s="120"/>
      <c r="BH210" s="120"/>
      <c r="BI210" s="120"/>
      <c r="BJ210" s="120"/>
      <c r="BK210" s="120"/>
      <c r="BL210" s="120"/>
      <c r="BM210" s="120"/>
      <c r="BN210" s="120"/>
      <c r="BO210" s="120"/>
      <c r="BP210" s="120"/>
      <c r="BQ210" s="120"/>
      <c r="BR210" s="120"/>
      <c r="BS210" s="120"/>
      <c r="BT210" s="120"/>
      <c r="BU210" s="120"/>
      <c r="BV210" s="120"/>
      <c r="BW210" s="120"/>
      <c r="BX210" s="120"/>
      <c r="BY210" s="120"/>
      <c r="BZ210" s="120"/>
      <c r="CA210" s="120"/>
      <c r="CB210" s="120"/>
      <c r="CC210" s="120"/>
      <c r="CD210" s="120"/>
      <c r="CE210" s="120"/>
      <c r="CF210" s="120"/>
      <c r="CG210" s="120"/>
      <c r="CH210" s="120"/>
      <c r="CI210" s="120"/>
      <c r="CJ210" s="120"/>
      <c r="CK210" s="120"/>
      <c r="CL210" s="120"/>
      <c r="CM210" s="120"/>
      <c r="CN210" s="120"/>
      <c r="CO210" s="120"/>
      <c r="CP210" s="120"/>
      <c r="CQ210" s="120"/>
      <c r="CR210" s="120"/>
      <c r="CS210" s="120"/>
      <c r="CT210" s="120"/>
      <c r="CU210" s="120"/>
      <c r="CV210" s="120"/>
      <c r="CW210" s="120"/>
      <c r="CX210" s="120"/>
      <c r="CY210" s="120"/>
      <c r="CZ210" s="120"/>
      <c r="DA210" s="120"/>
    </row>
    <row r="211" spans="3:105" x14ac:dyDescent="0.2"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  <c r="AA211" s="120"/>
      <c r="AB211" s="120"/>
      <c r="AC211" s="120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  <c r="AO211" s="120"/>
      <c r="AP211" s="120"/>
      <c r="AQ211" s="120"/>
      <c r="AR211" s="120"/>
      <c r="AS211" s="120"/>
      <c r="AT211" s="120"/>
      <c r="AU211" s="120"/>
      <c r="AV211" s="120"/>
      <c r="AW211" s="120"/>
      <c r="AX211" s="120"/>
      <c r="AY211" s="120"/>
      <c r="AZ211" s="120"/>
      <c r="BA211" s="120"/>
      <c r="BB211" s="120"/>
      <c r="BC211" s="120"/>
      <c r="BD211" s="120"/>
      <c r="BE211" s="120"/>
      <c r="BF211" s="120"/>
      <c r="BG211" s="120"/>
      <c r="BH211" s="120"/>
      <c r="BI211" s="120"/>
      <c r="BJ211" s="120"/>
      <c r="BK211" s="120"/>
      <c r="BL211" s="120"/>
      <c r="BM211" s="120"/>
      <c r="BN211" s="120"/>
      <c r="BO211" s="120"/>
      <c r="BP211" s="120"/>
      <c r="BQ211" s="120"/>
      <c r="BR211" s="120"/>
      <c r="BS211" s="120"/>
      <c r="BT211" s="120"/>
      <c r="BU211" s="120"/>
      <c r="BV211" s="120"/>
      <c r="BW211" s="120"/>
      <c r="BX211" s="120"/>
      <c r="BY211" s="120"/>
      <c r="BZ211" s="120"/>
      <c r="CA211" s="120"/>
      <c r="CB211" s="120"/>
      <c r="CC211" s="120"/>
      <c r="CD211" s="120"/>
      <c r="CE211" s="120"/>
      <c r="CF211" s="120"/>
      <c r="CG211" s="120"/>
      <c r="CH211" s="120"/>
      <c r="CI211" s="120"/>
      <c r="CJ211" s="120"/>
      <c r="CK211" s="120"/>
      <c r="CL211" s="120"/>
      <c r="CM211" s="120"/>
      <c r="CN211" s="120"/>
      <c r="CO211" s="120"/>
      <c r="CP211" s="120"/>
      <c r="CQ211" s="120"/>
      <c r="CR211" s="120"/>
      <c r="CS211" s="120"/>
      <c r="CT211" s="120"/>
      <c r="CU211" s="120"/>
      <c r="CV211" s="120"/>
      <c r="CW211" s="120"/>
      <c r="CX211" s="120"/>
      <c r="CY211" s="120"/>
      <c r="CZ211" s="120"/>
      <c r="DA211" s="120"/>
    </row>
    <row r="212" spans="3:105" x14ac:dyDescent="0.2"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  <c r="AB212" s="120"/>
      <c r="AC212" s="120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  <c r="AO212" s="120"/>
      <c r="AP212" s="120"/>
      <c r="AQ212" s="120"/>
      <c r="AR212" s="120"/>
      <c r="AS212" s="120"/>
      <c r="AT212" s="120"/>
      <c r="AU212" s="120"/>
      <c r="AV212" s="120"/>
      <c r="AW212" s="120"/>
      <c r="AX212" s="120"/>
      <c r="AY212" s="120"/>
      <c r="AZ212" s="120"/>
      <c r="BA212" s="120"/>
      <c r="BB212" s="120"/>
      <c r="BC212" s="120"/>
      <c r="BD212" s="120"/>
      <c r="BE212" s="120"/>
      <c r="BF212" s="120"/>
      <c r="BG212" s="120"/>
      <c r="BH212" s="120"/>
      <c r="BI212" s="120"/>
      <c r="BJ212" s="120"/>
      <c r="BK212" s="120"/>
      <c r="BL212" s="120"/>
      <c r="BM212" s="120"/>
      <c r="BN212" s="120"/>
      <c r="BO212" s="120"/>
      <c r="BP212" s="120"/>
      <c r="BQ212" s="120"/>
      <c r="BR212" s="120"/>
      <c r="BS212" s="120"/>
      <c r="BT212" s="120"/>
      <c r="BU212" s="120"/>
      <c r="BV212" s="120"/>
      <c r="BW212" s="120"/>
      <c r="BX212" s="120"/>
      <c r="BY212" s="120"/>
      <c r="BZ212" s="120"/>
      <c r="CA212" s="120"/>
      <c r="CB212" s="120"/>
      <c r="CC212" s="120"/>
      <c r="CD212" s="120"/>
      <c r="CE212" s="120"/>
      <c r="CF212" s="120"/>
      <c r="CG212" s="120"/>
      <c r="CH212" s="120"/>
      <c r="CI212" s="120"/>
      <c r="CJ212" s="120"/>
      <c r="CK212" s="120"/>
      <c r="CL212" s="120"/>
      <c r="CM212" s="120"/>
      <c r="CN212" s="120"/>
      <c r="CO212" s="120"/>
      <c r="CP212" s="120"/>
      <c r="CQ212" s="120"/>
      <c r="CR212" s="120"/>
      <c r="CS212" s="120"/>
      <c r="CT212" s="120"/>
      <c r="CU212" s="120"/>
      <c r="CV212" s="120"/>
      <c r="CW212" s="120"/>
      <c r="CX212" s="120"/>
      <c r="CY212" s="120"/>
      <c r="CZ212" s="120"/>
      <c r="DA212" s="120"/>
    </row>
    <row r="213" spans="3:105" x14ac:dyDescent="0.2"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  <c r="AA213" s="120"/>
      <c r="AB213" s="120"/>
      <c r="AC213" s="120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  <c r="AO213" s="120"/>
      <c r="AP213" s="120"/>
      <c r="AQ213" s="120"/>
      <c r="AR213" s="120"/>
      <c r="AS213" s="120"/>
      <c r="AT213" s="120"/>
      <c r="AU213" s="120"/>
      <c r="AV213" s="120"/>
      <c r="AW213" s="120"/>
      <c r="AX213" s="120"/>
      <c r="AY213" s="120"/>
      <c r="AZ213" s="120"/>
      <c r="BA213" s="120"/>
      <c r="BB213" s="120"/>
      <c r="BC213" s="120"/>
      <c r="BD213" s="120"/>
      <c r="BE213" s="120"/>
      <c r="BF213" s="120"/>
      <c r="BG213" s="120"/>
      <c r="BH213" s="120"/>
      <c r="BI213" s="120"/>
      <c r="BJ213" s="120"/>
      <c r="BK213" s="120"/>
      <c r="BL213" s="120"/>
      <c r="BM213" s="120"/>
      <c r="BN213" s="120"/>
      <c r="BO213" s="120"/>
      <c r="BP213" s="120"/>
      <c r="BQ213" s="120"/>
      <c r="BR213" s="120"/>
      <c r="BS213" s="120"/>
      <c r="BT213" s="120"/>
      <c r="BU213" s="120"/>
      <c r="BV213" s="120"/>
      <c r="BW213" s="120"/>
      <c r="BX213" s="120"/>
      <c r="BY213" s="120"/>
      <c r="BZ213" s="120"/>
      <c r="CA213" s="120"/>
      <c r="CB213" s="120"/>
      <c r="CC213" s="120"/>
      <c r="CD213" s="120"/>
      <c r="CE213" s="120"/>
      <c r="CF213" s="120"/>
      <c r="CG213" s="120"/>
      <c r="CH213" s="120"/>
      <c r="CI213" s="120"/>
      <c r="CJ213" s="120"/>
      <c r="CK213" s="120"/>
      <c r="CL213" s="120"/>
      <c r="CM213" s="120"/>
      <c r="CN213" s="120"/>
      <c r="CO213" s="120"/>
      <c r="CP213" s="120"/>
      <c r="CQ213" s="120"/>
      <c r="CR213" s="120"/>
      <c r="CS213" s="120"/>
      <c r="CT213" s="120"/>
      <c r="CU213" s="120"/>
      <c r="CV213" s="120"/>
      <c r="CW213" s="120"/>
      <c r="CX213" s="120"/>
      <c r="CY213" s="120"/>
      <c r="CZ213" s="120"/>
      <c r="DA213" s="120"/>
    </row>
    <row r="214" spans="3:105" x14ac:dyDescent="0.2"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  <c r="AC214" s="120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  <c r="AO214" s="120"/>
      <c r="AP214" s="120"/>
      <c r="AQ214" s="120"/>
      <c r="AR214" s="120"/>
      <c r="AS214" s="120"/>
      <c r="AT214" s="120"/>
      <c r="AU214" s="120"/>
      <c r="AV214" s="120"/>
      <c r="AW214" s="120"/>
      <c r="AX214" s="120"/>
      <c r="AY214" s="120"/>
      <c r="AZ214" s="120"/>
      <c r="BA214" s="120"/>
      <c r="BB214" s="120"/>
      <c r="BC214" s="120"/>
      <c r="BD214" s="120"/>
      <c r="BE214" s="120"/>
      <c r="BF214" s="120"/>
      <c r="BG214" s="120"/>
      <c r="BH214" s="120"/>
      <c r="BI214" s="120"/>
      <c r="BJ214" s="120"/>
      <c r="BK214" s="120"/>
      <c r="BL214" s="120"/>
      <c r="BM214" s="120"/>
      <c r="BN214" s="120"/>
      <c r="BO214" s="120"/>
      <c r="BP214" s="120"/>
      <c r="BQ214" s="120"/>
      <c r="BR214" s="120"/>
      <c r="BS214" s="120"/>
      <c r="BT214" s="120"/>
      <c r="BU214" s="120"/>
      <c r="BV214" s="120"/>
      <c r="BW214" s="120"/>
      <c r="BX214" s="120"/>
      <c r="BY214" s="120"/>
      <c r="BZ214" s="120"/>
      <c r="CA214" s="120"/>
      <c r="CB214" s="120"/>
      <c r="CC214" s="120"/>
      <c r="CD214" s="120"/>
      <c r="CE214" s="120"/>
      <c r="CF214" s="120"/>
      <c r="CG214" s="120"/>
      <c r="CH214" s="120"/>
      <c r="CI214" s="120"/>
      <c r="CJ214" s="120"/>
      <c r="CK214" s="120"/>
      <c r="CL214" s="120"/>
      <c r="CM214" s="120"/>
      <c r="CN214" s="120"/>
      <c r="CO214" s="120"/>
      <c r="CP214" s="120"/>
      <c r="CQ214" s="120"/>
      <c r="CR214" s="120"/>
      <c r="CS214" s="120"/>
      <c r="CT214" s="120"/>
      <c r="CU214" s="120"/>
      <c r="CV214" s="120"/>
      <c r="CW214" s="120"/>
      <c r="CX214" s="120"/>
      <c r="CY214" s="120"/>
      <c r="CZ214" s="120"/>
      <c r="DA214" s="120"/>
    </row>
  </sheetData>
  <phoneticPr fontId="0" type="noConversion"/>
  <pageMargins left="0.75" right="0.75" top="1" bottom="1" header="0" footer="0"/>
  <pageSetup paperSize="9" orientation="portrait" horizontalDpi="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9"/>
  <sheetViews>
    <sheetView topLeftCell="C49" zoomScaleNormal="100" workbookViewId="0">
      <selection activeCell="L56" sqref="L56"/>
    </sheetView>
  </sheetViews>
  <sheetFormatPr baseColWidth="10" defaultRowHeight="12.75" x14ac:dyDescent="0.2"/>
  <cols>
    <col min="1" max="1" width="14.85546875" customWidth="1"/>
    <col min="3" max="3" width="8.140625" customWidth="1"/>
    <col min="4" max="4" width="21.42578125" customWidth="1"/>
    <col min="5" max="5" width="12.28515625" customWidth="1"/>
    <col min="6" max="6" width="15.28515625" customWidth="1"/>
    <col min="7" max="7" width="15.7109375" customWidth="1"/>
    <col min="11" max="11" width="11.5703125" bestFit="1" customWidth="1"/>
    <col min="13" max="13" width="11.42578125" style="82"/>
    <col min="17" max="19" width="11.42578125" style="82"/>
  </cols>
  <sheetData>
    <row r="1" spans="1:15" x14ac:dyDescent="0.2">
      <c r="A1" s="15"/>
      <c r="B1" s="11"/>
      <c r="C1" s="11"/>
      <c r="D1" s="11"/>
      <c r="E1" s="11"/>
      <c r="F1" s="11"/>
      <c r="G1" s="16"/>
    </row>
    <row r="2" spans="1:15" ht="14.25" x14ac:dyDescent="0.2">
      <c r="A2" s="40" t="s">
        <v>56</v>
      </c>
      <c r="B2" s="17"/>
      <c r="C2" s="17"/>
      <c r="D2" s="17"/>
      <c r="E2" s="18"/>
      <c r="F2" s="17" t="s">
        <v>57</v>
      </c>
      <c r="G2" s="41"/>
    </row>
    <row r="3" spans="1:15" x14ac:dyDescent="0.2">
      <c r="A3" s="42" t="s">
        <v>72</v>
      </c>
      <c r="E3" s="5"/>
      <c r="F3" t="s">
        <v>16</v>
      </c>
      <c r="G3" s="12"/>
    </row>
    <row r="4" spans="1:15" ht="14.25" x14ac:dyDescent="0.2">
      <c r="A4" s="42"/>
      <c r="B4" s="320" t="s">
        <v>62</v>
      </c>
      <c r="C4" s="320"/>
      <c r="D4" s="320"/>
      <c r="E4" s="5"/>
      <c r="F4" s="19" t="s">
        <v>58</v>
      </c>
      <c r="G4" s="12"/>
    </row>
    <row r="5" spans="1:15" x14ac:dyDescent="0.2">
      <c r="A5" s="43" t="s">
        <v>17</v>
      </c>
      <c r="B5" s="321" t="s">
        <v>18</v>
      </c>
      <c r="C5" s="322"/>
      <c r="D5" s="322"/>
      <c r="E5" s="8"/>
      <c r="F5" s="8" t="s">
        <v>19</v>
      </c>
      <c r="G5" s="44" t="s">
        <v>20</v>
      </c>
    </row>
    <row r="6" spans="1:15" ht="14.25" x14ac:dyDescent="0.2">
      <c r="A6" s="45">
        <v>37653</v>
      </c>
      <c r="B6" s="323" t="s">
        <v>59</v>
      </c>
      <c r="C6" s="324"/>
      <c r="D6" s="324"/>
      <c r="E6" s="18"/>
      <c r="F6" s="21" t="s">
        <v>21</v>
      </c>
      <c r="G6" s="46">
        <v>1</v>
      </c>
    </row>
    <row r="7" spans="1:15" x14ac:dyDescent="0.2">
      <c r="A7" s="47" t="s">
        <v>22</v>
      </c>
      <c r="B7" s="321" t="s">
        <v>23</v>
      </c>
      <c r="C7" s="322"/>
      <c r="D7" s="325"/>
      <c r="E7" s="22" t="s">
        <v>24</v>
      </c>
      <c r="F7" s="22" t="s">
        <v>25</v>
      </c>
      <c r="G7" s="12" t="s">
        <v>26</v>
      </c>
    </row>
    <row r="8" spans="1:15" ht="14.25" x14ac:dyDescent="0.2">
      <c r="A8" s="48" t="s">
        <v>70</v>
      </c>
      <c r="B8" s="329" t="s">
        <v>76</v>
      </c>
      <c r="C8" s="330"/>
      <c r="D8" s="331"/>
      <c r="E8" s="24">
        <v>37687</v>
      </c>
      <c r="F8" s="23" t="s">
        <v>27</v>
      </c>
      <c r="G8" s="49">
        <v>37518</v>
      </c>
    </row>
    <row r="9" spans="1:15" x14ac:dyDescent="0.2">
      <c r="A9" s="332" t="s">
        <v>28</v>
      </c>
      <c r="B9" s="333"/>
      <c r="C9" s="333"/>
      <c r="D9" s="333"/>
      <c r="E9" s="8" t="s">
        <v>29</v>
      </c>
      <c r="F9" s="22" t="s">
        <v>30</v>
      </c>
      <c r="G9" s="50" t="s">
        <v>31</v>
      </c>
    </row>
    <row r="10" spans="1:15" x14ac:dyDescent="0.2">
      <c r="A10" s="42"/>
      <c r="E10" s="5"/>
      <c r="F10" s="25"/>
      <c r="G10" s="51"/>
    </row>
    <row r="11" spans="1:15" x14ac:dyDescent="0.2">
      <c r="A11" s="42" t="s">
        <v>32</v>
      </c>
      <c r="E11" s="5"/>
      <c r="F11" s="26">
        <f>374.4</f>
        <v>374.4</v>
      </c>
      <c r="G11" s="51"/>
      <c r="I11" t="s">
        <v>33</v>
      </c>
    </row>
    <row r="12" spans="1:15" ht="15" x14ac:dyDescent="0.25">
      <c r="A12" s="42" t="s">
        <v>34</v>
      </c>
      <c r="E12" s="5">
        <v>15</v>
      </c>
      <c r="F12" s="27">
        <f>+E12*1.26</f>
        <v>18.899999999999999</v>
      </c>
      <c r="G12" s="51"/>
      <c r="I12" s="29">
        <v>6</v>
      </c>
    </row>
    <row r="13" spans="1:15" ht="15" x14ac:dyDescent="0.25">
      <c r="A13" s="42" t="s">
        <v>60</v>
      </c>
      <c r="E13" s="5"/>
      <c r="F13" s="27">
        <f>16.98</f>
        <v>16.98</v>
      </c>
      <c r="G13" s="51"/>
      <c r="I13" s="29">
        <v>5</v>
      </c>
      <c r="J13" t="s">
        <v>35</v>
      </c>
    </row>
    <row r="14" spans="1:15" ht="15" x14ac:dyDescent="0.25">
      <c r="A14" s="42" t="s">
        <v>61</v>
      </c>
      <c r="E14" s="5"/>
      <c r="F14" s="27">
        <f>16.98</f>
        <v>16.98</v>
      </c>
      <c r="G14" s="51"/>
      <c r="I14" s="29">
        <f>+I12*I13</f>
        <v>30</v>
      </c>
    </row>
    <row r="15" spans="1:15" ht="15" x14ac:dyDescent="0.25">
      <c r="A15" s="42" t="s">
        <v>71</v>
      </c>
      <c r="E15" s="5"/>
      <c r="F15" s="27">
        <v>150</v>
      </c>
      <c r="G15" s="51"/>
      <c r="I15" s="78" t="s">
        <v>63</v>
      </c>
      <c r="J15" s="71"/>
      <c r="K15" s="3"/>
      <c r="L15" s="8"/>
      <c r="O15" s="2">
        <f>+H17+109.74</f>
        <v>1832.43</v>
      </c>
    </row>
    <row r="16" spans="1:15" ht="15" x14ac:dyDescent="0.25">
      <c r="A16" s="42" t="s">
        <v>36</v>
      </c>
      <c r="C16" s="2">
        <v>7</v>
      </c>
      <c r="D16" t="s">
        <v>14</v>
      </c>
      <c r="E16" s="5"/>
      <c r="F16" s="28" t="s">
        <v>37</v>
      </c>
      <c r="G16" s="52">
        <f t="shared" ref="G16:G21" si="0">+$H$17*C16/100</f>
        <v>120.5883</v>
      </c>
      <c r="H16" s="2"/>
      <c r="I16" s="72" t="s">
        <v>64</v>
      </c>
      <c r="J16" s="73"/>
      <c r="K16">
        <v>1</v>
      </c>
      <c r="L16" s="76">
        <f>427.26/30*1</f>
        <v>14.241999999999999</v>
      </c>
    </row>
    <row r="17" spans="1:12" ht="15" x14ac:dyDescent="0.25">
      <c r="A17" s="42" t="s">
        <v>38</v>
      </c>
      <c r="C17" s="2">
        <v>3</v>
      </c>
      <c r="D17" t="s">
        <v>14</v>
      </c>
      <c r="E17" s="5"/>
      <c r="F17" s="28" t="s">
        <v>37</v>
      </c>
      <c r="G17" s="52">
        <f t="shared" si="0"/>
        <v>51.680699999999995</v>
      </c>
      <c r="H17" s="2">
        <f>895.36+727.33+100</f>
        <v>1722.69</v>
      </c>
      <c r="I17" s="72" t="s">
        <v>65</v>
      </c>
      <c r="J17" s="73"/>
      <c r="K17">
        <v>24</v>
      </c>
      <c r="L17" s="77">
        <f>427.26/200*2*24</f>
        <v>102.54239999999999</v>
      </c>
    </row>
    <row r="18" spans="1:12" x14ac:dyDescent="0.2">
      <c r="A18" s="42" t="s">
        <v>39</v>
      </c>
      <c r="C18" s="2">
        <v>2.7</v>
      </c>
      <c r="D18" t="s">
        <v>14</v>
      </c>
      <c r="E18" s="5"/>
      <c r="F18" s="28" t="s">
        <v>37</v>
      </c>
      <c r="G18" s="52">
        <f t="shared" si="0"/>
        <v>46.512630000000009</v>
      </c>
      <c r="H18" s="2"/>
      <c r="I18" s="74"/>
      <c r="J18" s="73"/>
      <c r="L18" s="76">
        <f>+L16+L17</f>
        <v>116.78439999999999</v>
      </c>
    </row>
    <row r="19" spans="1:12" x14ac:dyDescent="0.2">
      <c r="A19" s="42" t="s">
        <v>40</v>
      </c>
      <c r="C19" s="2">
        <v>0.3</v>
      </c>
      <c r="D19" t="s">
        <v>14</v>
      </c>
      <c r="E19" s="5"/>
      <c r="F19" s="28" t="s">
        <v>37</v>
      </c>
      <c r="G19" s="52">
        <f t="shared" si="0"/>
        <v>5.1680700000000002</v>
      </c>
      <c r="H19" s="2">
        <f>SUM(G16:G19)</f>
        <v>223.94970000000001</v>
      </c>
      <c r="I19" s="74"/>
      <c r="J19" s="73"/>
      <c r="L19" s="76"/>
    </row>
    <row r="20" spans="1:12" ht="15" x14ac:dyDescent="0.25">
      <c r="A20" s="42" t="s">
        <v>41</v>
      </c>
      <c r="C20" s="2">
        <v>2</v>
      </c>
      <c r="D20" t="s">
        <v>14</v>
      </c>
      <c r="E20" s="5"/>
      <c r="F20" s="28" t="s">
        <v>37</v>
      </c>
      <c r="G20" s="52">
        <f t="shared" si="0"/>
        <v>34.453800000000001</v>
      </c>
      <c r="H20">
        <f>59.38+8.76+25.92+5.2+3.5+31.53</f>
        <v>134.29000000000002</v>
      </c>
      <c r="I20" s="72" t="s">
        <v>66</v>
      </c>
      <c r="J20" s="73"/>
      <c r="L20" s="76"/>
    </row>
    <row r="21" spans="1:12" ht="15" x14ac:dyDescent="0.25">
      <c r="A21" s="42" t="s">
        <v>42</v>
      </c>
      <c r="C21" s="2">
        <v>1</v>
      </c>
      <c r="D21" t="s">
        <v>14</v>
      </c>
      <c r="E21" s="5"/>
      <c r="F21" s="28" t="s">
        <v>37</v>
      </c>
      <c r="G21" s="52">
        <f t="shared" si="0"/>
        <v>17.226900000000001</v>
      </c>
      <c r="H21">
        <f>134.29/583.86</f>
        <v>0.23000376802658171</v>
      </c>
      <c r="I21" s="72" t="s">
        <v>64</v>
      </c>
      <c r="J21" s="73"/>
      <c r="K21">
        <v>2.5</v>
      </c>
      <c r="L21" s="76">
        <f>427.26/30*2.5</f>
        <v>35.604999999999997</v>
      </c>
    </row>
    <row r="22" spans="1:12" x14ac:dyDescent="0.2">
      <c r="A22" s="53"/>
      <c r="B22" s="1"/>
      <c r="C22" s="1"/>
      <c r="D22" s="1"/>
      <c r="E22" s="7"/>
      <c r="F22" s="30"/>
      <c r="G22" s="54"/>
      <c r="H22">
        <f>+H21*H17</f>
        <v>396.22519114171206</v>
      </c>
      <c r="I22" s="75" t="s">
        <v>65</v>
      </c>
      <c r="J22" s="73"/>
      <c r="K22">
        <v>40</v>
      </c>
      <c r="L22" s="77">
        <f>427.26/200*2*40</f>
        <v>170.904</v>
      </c>
    </row>
    <row r="23" spans="1:12" ht="14.25" x14ac:dyDescent="0.2">
      <c r="A23" s="42"/>
      <c r="D23" s="31" t="s">
        <v>43</v>
      </c>
      <c r="E23" s="3"/>
      <c r="F23" s="34">
        <f>SUM(F11:F22)</f>
        <v>577.26</v>
      </c>
      <c r="G23" s="57"/>
      <c r="H23" s="2">
        <f>+H22+H19</f>
        <v>620.17489114171212</v>
      </c>
      <c r="I23" s="4"/>
      <c r="L23" s="5"/>
    </row>
    <row r="24" spans="1:12" ht="14.25" x14ac:dyDescent="0.2">
      <c r="A24" s="42"/>
      <c r="D24" s="32" t="s">
        <v>44</v>
      </c>
      <c r="E24" s="33"/>
      <c r="F24" s="20" t="s">
        <v>37</v>
      </c>
      <c r="G24" s="60">
        <f>SUM(G16:G22)</f>
        <v>275.63040000000001</v>
      </c>
      <c r="I24" s="6"/>
      <c r="J24" s="1"/>
      <c r="K24" s="1"/>
      <c r="L24" s="7"/>
    </row>
    <row r="25" spans="1:12" ht="14.25" x14ac:dyDescent="0.2">
      <c r="A25" s="42"/>
      <c r="D25" s="32" t="s">
        <v>45</v>
      </c>
      <c r="E25" s="33"/>
      <c r="F25" s="20" t="s">
        <v>37</v>
      </c>
      <c r="G25" s="60">
        <f>+F23-G24</f>
        <v>301.62959999999998</v>
      </c>
      <c r="I25" s="2"/>
    </row>
    <row r="26" spans="1:12" ht="14.25" x14ac:dyDescent="0.2">
      <c r="A26" s="42"/>
      <c r="D26" s="32" t="s">
        <v>46</v>
      </c>
      <c r="E26" s="33"/>
      <c r="F26" s="20" t="s">
        <v>37</v>
      </c>
      <c r="G26" s="60">
        <f>ROUND(G25,0)</f>
        <v>302</v>
      </c>
      <c r="H26" s="2"/>
    </row>
    <row r="27" spans="1:12" ht="14.25" x14ac:dyDescent="0.2">
      <c r="A27" s="53"/>
      <c r="B27" s="1"/>
      <c r="C27" s="7"/>
      <c r="D27" s="35" t="s">
        <v>47</v>
      </c>
      <c r="E27" s="36"/>
      <c r="F27" s="36"/>
      <c r="G27" s="63"/>
    </row>
    <row r="28" spans="1:12" ht="14.25" x14ac:dyDescent="0.2">
      <c r="A28" s="326" t="s">
        <v>48</v>
      </c>
      <c r="B28" s="327"/>
      <c r="C28" s="328"/>
      <c r="D28" s="37" t="s">
        <v>75</v>
      </c>
      <c r="E28" s="38"/>
      <c r="F28" s="39"/>
      <c r="G28" s="65"/>
    </row>
    <row r="29" spans="1:12" x14ac:dyDescent="0.2">
      <c r="A29" s="43" t="s">
        <v>49</v>
      </c>
      <c r="B29" s="3"/>
      <c r="C29" s="3"/>
      <c r="D29" s="3"/>
      <c r="E29" s="3"/>
      <c r="F29" s="3"/>
      <c r="G29" s="44"/>
    </row>
    <row r="30" spans="1:12" ht="13.5" thickBot="1" x14ac:dyDescent="0.25">
      <c r="A30" s="68" t="s">
        <v>50</v>
      </c>
      <c r="B30" s="13"/>
      <c r="C30" s="13"/>
      <c r="D30" s="13"/>
      <c r="E30" s="13"/>
      <c r="F30" s="13"/>
      <c r="G30" s="14"/>
    </row>
    <row r="33" spans="1:7" ht="13.5" thickBot="1" x14ac:dyDescent="0.25"/>
    <row r="34" spans="1:7" x14ac:dyDescent="0.2">
      <c r="A34" s="15"/>
      <c r="B34" s="11"/>
      <c r="C34" s="11"/>
      <c r="D34" s="11"/>
      <c r="E34" s="11"/>
      <c r="F34" s="11"/>
      <c r="G34" s="16"/>
    </row>
    <row r="35" spans="1:7" ht="14.25" x14ac:dyDescent="0.2">
      <c r="A35" s="40" t="s">
        <v>56</v>
      </c>
      <c r="B35" s="17"/>
      <c r="C35" s="17"/>
      <c r="D35" s="17"/>
      <c r="E35" s="18"/>
      <c r="F35" s="17" t="s">
        <v>57</v>
      </c>
      <c r="G35" s="41"/>
    </row>
    <row r="36" spans="1:7" x14ac:dyDescent="0.2">
      <c r="A36" s="42" t="s">
        <v>72</v>
      </c>
      <c r="E36" s="5"/>
      <c r="F36" t="s">
        <v>74</v>
      </c>
      <c r="G36" s="12"/>
    </row>
    <row r="37" spans="1:7" ht="14.25" x14ac:dyDescent="0.2">
      <c r="A37" s="42"/>
      <c r="B37" s="301" t="s">
        <v>62</v>
      </c>
      <c r="C37" s="301"/>
      <c r="D37" s="301"/>
      <c r="E37" s="5"/>
      <c r="F37" s="19" t="s">
        <v>58</v>
      </c>
      <c r="G37" s="12"/>
    </row>
    <row r="38" spans="1:7" x14ac:dyDescent="0.2">
      <c r="A38" s="43" t="s">
        <v>17</v>
      </c>
      <c r="B38" s="321" t="s">
        <v>18</v>
      </c>
      <c r="C38" s="322"/>
      <c r="D38" s="322"/>
      <c r="E38" s="8"/>
      <c r="F38" s="8" t="s">
        <v>19</v>
      </c>
      <c r="G38" s="44" t="s">
        <v>20</v>
      </c>
    </row>
    <row r="39" spans="1:7" ht="14.25" x14ac:dyDescent="0.2">
      <c r="A39" s="45">
        <f>+A6</f>
        <v>37653</v>
      </c>
      <c r="B39" s="323" t="s">
        <v>59</v>
      </c>
      <c r="C39" s="324"/>
      <c r="D39" s="324"/>
      <c r="E39" s="18"/>
      <c r="F39" s="21" t="s">
        <v>21</v>
      </c>
      <c r="G39" s="46">
        <v>1</v>
      </c>
    </row>
    <row r="40" spans="1:7" x14ac:dyDescent="0.2">
      <c r="A40" s="47" t="s">
        <v>22</v>
      </c>
      <c r="B40" s="321" t="s">
        <v>23</v>
      </c>
      <c r="C40" s="322"/>
      <c r="D40" s="325"/>
      <c r="E40" s="22" t="s">
        <v>24</v>
      </c>
      <c r="F40" s="22" t="s">
        <v>25</v>
      </c>
      <c r="G40" s="12" t="s">
        <v>26</v>
      </c>
    </row>
    <row r="41" spans="1:7" ht="14.25" x14ac:dyDescent="0.2">
      <c r="A41" s="48" t="s">
        <v>70</v>
      </c>
      <c r="B41" s="329" t="s">
        <v>76</v>
      </c>
      <c r="C41" s="330"/>
      <c r="D41" s="331"/>
      <c r="E41" s="24">
        <f>+E8</f>
        <v>37687</v>
      </c>
      <c r="F41" s="23" t="s">
        <v>27</v>
      </c>
      <c r="G41" s="49">
        <v>37518</v>
      </c>
    </row>
    <row r="42" spans="1:7" x14ac:dyDescent="0.2">
      <c r="A42" s="332" t="s">
        <v>28</v>
      </c>
      <c r="B42" s="333"/>
      <c r="C42" s="333"/>
      <c r="D42" s="333"/>
      <c r="E42" s="8" t="s">
        <v>29</v>
      </c>
      <c r="F42" s="22" t="s">
        <v>30</v>
      </c>
      <c r="G42" s="50" t="s">
        <v>31</v>
      </c>
    </row>
    <row r="43" spans="1:7" x14ac:dyDescent="0.2">
      <c r="A43" s="42"/>
      <c r="E43" s="5"/>
      <c r="F43" s="25"/>
      <c r="G43" s="51"/>
    </row>
    <row r="44" spans="1:7" x14ac:dyDescent="0.2">
      <c r="A44" s="42" t="s">
        <v>32</v>
      </c>
      <c r="E44" s="5"/>
      <c r="F44" s="26">
        <f>374.4</f>
        <v>374.4</v>
      </c>
      <c r="G44" s="51"/>
    </row>
    <row r="45" spans="1:7" x14ac:dyDescent="0.2">
      <c r="A45" s="42" t="s">
        <v>67</v>
      </c>
      <c r="E45" s="5">
        <f>3+3+8+3+8+3+8+3+8</f>
        <v>47</v>
      </c>
      <c r="F45" s="2" t="e">
        <f>+#REF!</f>
        <v>#REF!</v>
      </c>
      <c r="G45" s="51"/>
    </row>
    <row r="46" spans="1:7" x14ac:dyDescent="0.2">
      <c r="A46" s="42" t="e">
        <f>+#REF!</f>
        <v>#REF!</v>
      </c>
      <c r="E46" s="5" t="e">
        <f>+#REF!</f>
        <v>#REF!</v>
      </c>
      <c r="F46" s="2" t="e">
        <f>+#REF!</f>
        <v>#REF!</v>
      </c>
      <c r="G46" s="51"/>
    </row>
    <row r="47" spans="1:7" x14ac:dyDescent="0.2">
      <c r="A47" s="42" t="s">
        <v>34</v>
      </c>
      <c r="E47" s="5">
        <v>15</v>
      </c>
      <c r="F47" s="27">
        <f>+E47*1.26</f>
        <v>18.899999999999999</v>
      </c>
      <c r="G47" s="51"/>
    </row>
    <row r="48" spans="1:7" x14ac:dyDescent="0.2">
      <c r="A48" s="42" t="s">
        <v>60</v>
      </c>
      <c r="E48" s="5"/>
      <c r="F48" s="27">
        <f>16.98</f>
        <v>16.98</v>
      </c>
      <c r="G48" s="51"/>
    </row>
    <row r="49" spans="1:19" x14ac:dyDescent="0.2">
      <c r="A49" s="42" t="s">
        <v>61</v>
      </c>
      <c r="E49" s="5"/>
      <c r="F49" s="27">
        <f>16.98</f>
        <v>16.98</v>
      </c>
      <c r="G49" s="51"/>
    </row>
    <row r="50" spans="1:19" x14ac:dyDescent="0.2">
      <c r="A50" s="42" t="s">
        <v>71</v>
      </c>
      <c r="E50" s="5"/>
      <c r="F50" s="27">
        <f>+F15</f>
        <v>150</v>
      </c>
      <c r="G50" s="51"/>
    </row>
    <row r="51" spans="1:19" x14ac:dyDescent="0.2">
      <c r="A51" s="42" t="s">
        <v>36</v>
      </c>
      <c r="C51" s="2">
        <v>7</v>
      </c>
      <c r="D51" t="s">
        <v>14</v>
      </c>
      <c r="E51" s="5"/>
      <c r="F51" s="28" t="s">
        <v>37</v>
      </c>
      <c r="G51" s="52">
        <f t="shared" ref="G51:G56" si="1">+$H$17*C51/100</f>
        <v>120.5883</v>
      </c>
    </row>
    <row r="52" spans="1:19" x14ac:dyDescent="0.2">
      <c r="A52" s="42" t="s">
        <v>73</v>
      </c>
      <c r="C52" s="2">
        <v>3</v>
      </c>
      <c r="D52" t="s">
        <v>14</v>
      </c>
      <c r="E52" s="5"/>
      <c r="F52" s="28" t="s">
        <v>37</v>
      </c>
      <c r="G52" s="52">
        <f t="shared" si="1"/>
        <v>51.680699999999995</v>
      </c>
      <c r="H52" s="2">
        <f>+G52+G51</f>
        <v>172.26900000000001</v>
      </c>
      <c r="I52" s="2">
        <f>+G51+G52</f>
        <v>172.26900000000001</v>
      </c>
    </row>
    <row r="53" spans="1:19" x14ac:dyDescent="0.2">
      <c r="A53" s="42" t="s">
        <v>39</v>
      </c>
      <c r="C53" s="2">
        <v>2.7</v>
      </c>
      <c r="D53" t="s">
        <v>14</v>
      </c>
      <c r="E53" s="5"/>
      <c r="F53" s="28" t="s">
        <v>37</v>
      </c>
      <c r="G53" s="52">
        <f t="shared" si="1"/>
        <v>46.512630000000009</v>
      </c>
      <c r="H53" s="2">
        <f>+H52+G54</f>
        <v>177.43707000000001</v>
      </c>
    </row>
    <row r="54" spans="1:19" x14ac:dyDescent="0.2">
      <c r="A54" s="42" t="s">
        <v>40</v>
      </c>
      <c r="C54" s="2">
        <v>0.3</v>
      </c>
      <c r="D54" t="s">
        <v>14</v>
      </c>
      <c r="E54" s="5"/>
      <c r="F54" s="28" t="s">
        <v>37</v>
      </c>
      <c r="G54" s="52">
        <f t="shared" si="1"/>
        <v>5.1680700000000002</v>
      </c>
      <c r="K54" t="s">
        <v>365</v>
      </c>
      <c r="L54">
        <f>+LIQ!E21</f>
        <v>1013447.1999999998</v>
      </c>
    </row>
    <row r="55" spans="1:19" x14ac:dyDescent="0.2">
      <c r="A55" s="42" t="s">
        <v>41</v>
      </c>
      <c r="C55" s="2">
        <v>2</v>
      </c>
      <c r="D55" t="s">
        <v>14</v>
      </c>
      <c r="E55" s="5"/>
      <c r="F55" s="28" t="s">
        <v>37</v>
      </c>
      <c r="G55" s="52">
        <f t="shared" si="1"/>
        <v>34.453800000000001</v>
      </c>
      <c r="K55" t="s">
        <v>364</v>
      </c>
      <c r="L55">
        <v>0</v>
      </c>
    </row>
    <row r="56" spans="1:19" x14ac:dyDescent="0.2">
      <c r="A56" s="42" t="s">
        <v>42</v>
      </c>
      <c r="C56" s="2">
        <v>1</v>
      </c>
      <c r="D56" t="s">
        <v>14</v>
      </c>
      <c r="E56" s="5"/>
      <c r="F56" s="28" t="s">
        <v>37</v>
      </c>
      <c r="G56" s="52">
        <f t="shared" si="1"/>
        <v>17.226900000000001</v>
      </c>
      <c r="H56" s="2"/>
      <c r="L56">
        <f>SUM(L54:L55)</f>
        <v>1013447.1999999998</v>
      </c>
    </row>
    <row r="57" spans="1:19" ht="13.5" thickBot="1" x14ac:dyDescent="0.25">
      <c r="A57" s="53"/>
      <c r="B57" s="1"/>
      <c r="C57" s="1"/>
      <c r="D57" s="1"/>
      <c r="E57" s="7"/>
      <c r="F57" s="30"/>
      <c r="G57" s="54"/>
      <c r="K57">
        <f>12066.3+6515.8</f>
        <v>18582.099999999999</v>
      </c>
      <c r="L57">
        <v>0.75</v>
      </c>
      <c r="M57" s="82">
        <f>+K59*L57/100</f>
        <v>7600.8539999999994</v>
      </c>
    </row>
    <row r="58" spans="1:19" ht="15" x14ac:dyDescent="0.25">
      <c r="A58" s="42"/>
      <c r="D58" s="31" t="s">
        <v>43</v>
      </c>
      <c r="E58" s="3"/>
      <c r="F58" s="34" t="e">
        <f>SUM(F44:F57)</f>
        <v>#REF!</v>
      </c>
      <c r="G58" s="57"/>
      <c r="I58" s="55" t="s">
        <v>51</v>
      </c>
      <c r="J58" s="56"/>
      <c r="L58">
        <f>0.75</f>
        <v>0.75</v>
      </c>
      <c r="M58" s="82">
        <f>+K59*L58/100</f>
        <v>7600.8539999999994</v>
      </c>
    </row>
    <row r="59" spans="1:19" ht="15" x14ac:dyDescent="0.25">
      <c r="A59" s="42"/>
      <c r="D59" s="32" t="s">
        <v>44</v>
      </c>
      <c r="E59" s="33"/>
      <c r="F59" s="20" t="s">
        <v>37</v>
      </c>
      <c r="G59" s="60">
        <f>SUM(G51:G57)</f>
        <v>275.63040000000001</v>
      </c>
      <c r="I59" s="58">
        <f>+K59*J59</f>
        <v>15201.707999999997</v>
      </c>
      <c r="J59" s="59">
        <v>1.4999999999999999E-2</v>
      </c>
      <c r="K59" s="130">
        <f>+L56</f>
        <v>1013447.1999999998</v>
      </c>
      <c r="L59">
        <v>0.04</v>
      </c>
      <c r="M59" s="82">
        <f>+N59*L59</f>
        <v>40537.887999999992</v>
      </c>
      <c r="N59" s="130">
        <f>+K59</f>
        <v>1013447.1999999998</v>
      </c>
      <c r="O59">
        <v>5.0000000000000001E-3</v>
      </c>
      <c r="Q59" s="82">
        <f>+O59*0.02</f>
        <v>1E-4</v>
      </c>
      <c r="R59" s="82">
        <f>+O59*0.01</f>
        <v>5.0000000000000002E-5</v>
      </c>
      <c r="S59" s="82">
        <f>+R59+Q59</f>
        <v>1.5000000000000001E-4</v>
      </c>
    </row>
    <row r="60" spans="1:19" ht="15.75" thickBot="1" x14ac:dyDescent="0.3">
      <c r="A60" s="42"/>
      <c r="D60" s="32" t="s">
        <v>45</v>
      </c>
      <c r="E60" s="33"/>
      <c r="F60" s="20" t="s">
        <v>37</v>
      </c>
      <c r="G60" s="60" t="e">
        <f>+F58-G59</f>
        <v>#REF!</v>
      </c>
      <c r="I60" s="61">
        <f>+L54*0.03+L55*0.01</f>
        <v>30403.415999999994</v>
      </c>
      <c r="J60" s="62">
        <f>3/100</f>
        <v>0.03</v>
      </c>
      <c r="L60">
        <v>0.01</v>
      </c>
      <c r="M60" s="82">
        <f>+N59*L60</f>
        <v>10134.471999999998</v>
      </c>
      <c r="Q60" s="82">
        <f>+O60*0.02</f>
        <v>0</v>
      </c>
      <c r="R60" s="82">
        <f>+O60*0.01</f>
        <v>0</v>
      </c>
      <c r="S60" s="82">
        <f>+R60+Q60</f>
        <v>0</v>
      </c>
    </row>
    <row r="61" spans="1:19" ht="14.25" x14ac:dyDescent="0.2">
      <c r="A61" s="42"/>
      <c r="D61" s="32" t="s">
        <v>46</v>
      </c>
      <c r="E61" s="33"/>
      <c r="F61" s="20" t="s">
        <v>37</v>
      </c>
      <c r="G61" s="60" t="e">
        <f>ROUND(G60,0)</f>
        <v>#REF!</v>
      </c>
      <c r="I61" s="272">
        <f>+I59+I60+0.01</f>
        <v>45605.133999999991</v>
      </c>
      <c r="M61" s="273">
        <f>SUM(M57:M60)</f>
        <v>65874.067999999985</v>
      </c>
      <c r="O61" s="274">
        <f>+K59*O59</f>
        <v>5067.235999999999</v>
      </c>
      <c r="Q61" s="82">
        <f>+Q60+Q59</f>
        <v>1E-4</v>
      </c>
      <c r="R61" s="82">
        <f>+R60+R59</f>
        <v>5.0000000000000002E-5</v>
      </c>
      <c r="S61" s="82">
        <f>+Q61+R61</f>
        <v>1.5000000000000001E-4</v>
      </c>
    </row>
    <row r="62" spans="1:19" ht="15" thickBot="1" x14ac:dyDescent="0.25">
      <c r="A62" s="53"/>
      <c r="B62" s="1"/>
      <c r="C62" s="7"/>
      <c r="D62" s="35" t="s">
        <v>47</v>
      </c>
      <c r="E62" s="36"/>
      <c r="F62" s="36"/>
      <c r="G62" s="63"/>
    </row>
    <row r="63" spans="1:19" ht="15" x14ac:dyDescent="0.25">
      <c r="A63" s="326" t="s">
        <v>68</v>
      </c>
      <c r="B63" s="327"/>
      <c r="C63" s="328"/>
      <c r="D63" s="37" t="str">
        <f>+D28</f>
        <v>SEICIENTOS OCHENTA Y OCHO</v>
      </c>
      <c r="E63" s="38"/>
      <c r="F63" s="39"/>
      <c r="G63" s="65"/>
      <c r="I63" s="55" t="s">
        <v>52</v>
      </c>
      <c r="J63" s="64"/>
      <c r="K63" s="56"/>
    </row>
    <row r="64" spans="1:19" ht="15" x14ac:dyDescent="0.25">
      <c r="A64" s="80" t="s">
        <v>49</v>
      </c>
      <c r="B64" s="3"/>
      <c r="C64" s="3"/>
      <c r="D64" s="3"/>
      <c r="E64" s="3"/>
      <c r="F64" s="3"/>
      <c r="G64" s="44"/>
      <c r="I64" s="66" t="s">
        <v>53</v>
      </c>
      <c r="J64" s="29">
        <v>0.6</v>
      </c>
      <c r="K64" s="59">
        <v>0.6</v>
      </c>
    </row>
    <row r="65" spans="1:11" ht="15.75" thickBot="1" x14ac:dyDescent="0.3">
      <c r="A65" s="68" t="s">
        <v>50</v>
      </c>
      <c r="B65" s="13"/>
      <c r="C65" s="13"/>
      <c r="D65" s="13"/>
      <c r="E65" s="13"/>
      <c r="F65" s="13"/>
      <c r="G65" s="14"/>
      <c r="I65" s="66"/>
      <c r="J65" s="29"/>
      <c r="K65" s="59"/>
    </row>
    <row r="66" spans="1:11" ht="15" x14ac:dyDescent="0.25">
      <c r="I66" s="66" t="s">
        <v>54</v>
      </c>
      <c r="J66" s="169">
        <v>2.8000000000000001E-2</v>
      </c>
      <c r="K66" s="67">
        <f>+K59*0.028</f>
        <v>28376.521599999996</v>
      </c>
    </row>
    <row r="67" spans="1:11" ht="15.75" thickBot="1" x14ac:dyDescent="0.3">
      <c r="I67" s="69" t="s">
        <v>55</v>
      </c>
      <c r="J67" s="70"/>
      <c r="K67" s="79">
        <f>+K66+K64</f>
        <v>28377.121599999995</v>
      </c>
    </row>
    <row r="68" spans="1:11" x14ac:dyDescent="0.2">
      <c r="I68" s="2"/>
      <c r="K68" s="2"/>
    </row>
    <row r="69" spans="1:11" x14ac:dyDescent="0.2">
      <c r="J69">
        <f>42.15/1881.8</f>
        <v>2.2398767137846741E-2</v>
      </c>
    </row>
  </sheetData>
  <mergeCells count="14">
    <mergeCell ref="B4:D4"/>
    <mergeCell ref="B5:D5"/>
    <mergeCell ref="B6:D6"/>
    <mergeCell ref="B7:D7"/>
    <mergeCell ref="A63:C63"/>
    <mergeCell ref="B8:D8"/>
    <mergeCell ref="A9:D9"/>
    <mergeCell ref="A28:C28"/>
    <mergeCell ref="B37:D37"/>
    <mergeCell ref="A42:D42"/>
    <mergeCell ref="B38:D38"/>
    <mergeCell ref="B39:D39"/>
    <mergeCell ref="B40:D40"/>
    <mergeCell ref="B41:D41"/>
  </mergeCells>
  <phoneticPr fontId="0" type="noConversion"/>
  <pageMargins left="0.26" right="0.24" top="1" bottom="1" header="0" footer="0"/>
  <pageSetup paperSize="9" scale="95" orientation="portrait" horizontalDpi="4294967292" verticalDpi="0" r:id="rId1"/>
  <headerFooter alignWithMargins="0"/>
  <rowBreaks count="1" manualBreakCount="1">
    <brk id="3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02E8-E1D7-46B3-A568-8954F23D5A09}">
  <dimension ref="A1:J3008"/>
  <sheetViews>
    <sheetView zoomScale="75" zoomScaleNormal="100" workbookViewId="0">
      <selection activeCell="D2" sqref="D2"/>
    </sheetView>
  </sheetViews>
  <sheetFormatPr baseColWidth="10" defaultRowHeight="12.75" x14ac:dyDescent="0.2"/>
  <cols>
    <col min="1" max="1" width="4.7109375" customWidth="1"/>
    <col min="2" max="2" width="28.140625" customWidth="1"/>
    <col min="3" max="3" width="16.140625" customWidth="1"/>
    <col min="4" max="4" width="38.5703125" customWidth="1"/>
    <col min="5" max="5" width="28.7109375" customWidth="1"/>
    <col min="6" max="6" width="21" customWidth="1"/>
    <col min="7" max="7" width="16.28515625" customWidth="1"/>
    <col min="8" max="8" width="26" style="159" customWidth="1"/>
    <col min="9" max="9" width="12.42578125" customWidth="1"/>
    <col min="11" max="11" width="11.28515625" customWidth="1"/>
    <col min="12" max="12" width="14.5703125" customWidth="1"/>
  </cols>
  <sheetData>
    <row r="1" spans="2:8" ht="20.25" x14ac:dyDescent="0.3">
      <c r="B1" s="163">
        <f>+LIQ!H1</f>
        <v>46143</v>
      </c>
      <c r="D1" s="177">
        <v>46188</v>
      </c>
      <c r="E1" t="s">
        <v>221</v>
      </c>
      <c r="F1" t="s">
        <v>265</v>
      </c>
    </row>
    <row r="2" spans="2:8" x14ac:dyDescent="0.2">
      <c r="B2" t="str">
        <f>+'RES CUENTA'!D15</f>
        <v>Casa Lopez</v>
      </c>
      <c r="C2" s="82">
        <f>+'RES CUENTA'!G15</f>
        <v>17.079999999999998</v>
      </c>
      <c r="D2">
        <f>+'RES CUENTA'!B15</f>
        <v>1</v>
      </c>
      <c r="E2" s="82">
        <f>+'RES CUENTA'!H15</f>
        <v>0</v>
      </c>
      <c r="F2" t="s">
        <v>234</v>
      </c>
      <c r="H2" s="187" t="s">
        <v>233</v>
      </c>
    </row>
    <row r="3" spans="2:8" x14ac:dyDescent="0.2">
      <c r="B3" t="str">
        <f>+'RES CUENTA'!D16</f>
        <v>Eduardo Sanchez</v>
      </c>
      <c r="C3" s="82">
        <f>+'RES CUENTA'!G16</f>
        <v>17.079999999999998</v>
      </c>
      <c r="D3">
        <f>+'RES CUENTA'!B16</f>
        <v>2</v>
      </c>
      <c r="E3" s="82">
        <f>+'RES CUENTA'!H16</f>
        <v>0</v>
      </c>
      <c r="F3" s="187" t="s">
        <v>235</v>
      </c>
    </row>
    <row r="4" spans="2:8" x14ac:dyDescent="0.2">
      <c r="B4" t="str">
        <f>+'RES CUENTA'!D17</f>
        <v>Benjamin Fernandez</v>
      </c>
      <c r="C4" s="82">
        <f>+'RES CUENTA'!G17</f>
        <v>8.19</v>
      </c>
      <c r="D4">
        <f>+'RES CUENTA'!B17</f>
        <v>3</v>
      </c>
      <c r="E4" s="82">
        <f>+'RES CUENTA'!H17</f>
        <v>12.44</v>
      </c>
      <c r="F4" t="str">
        <f>+LIQ!G4</f>
        <v>CUIT: 30-53267348-4</v>
      </c>
    </row>
    <row r="5" spans="2:8" x14ac:dyDescent="0.2">
      <c r="B5" t="str">
        <f>+'RES CUENTA'!D18</f>
        <v>Franco Lippi</v>
      </c>
      <c r="C5" s="82">
        <f>+'RES CUENTA'!G18</f>
        <v>8.19</v>
      </c>
      <c r="D5">
        <f>+'RES CUENTA'!B18</f>
        <v>4</v>
      </c>
      <c r="E5" s="82">
        <f>+'RES CUENTA'!H18</f>
        <v>12.44</v>
      </c>
      <c r="F5" s="10"/>
    </row>
    <row r="6" spans="2:8" x14ac:dyDescent="0.2">
      <c r="B6" t="str">
        <f>+'RES CUENTA'!D19</f>
        <v>Antonella Denegri</v>
      </c>
      <c r="C6" s="82">
        <f>+'RES CUENTA'!G19</f>
        <v>8.27</v>
      </c>
      <c r="D6">
        <f>+'RES CUENTA'!B19</f>
        <v>5</v>
      </c>
      <c r="E6" s="82">
        <f>+'RES CUENTA'!H19</f>
        <v>12.56</v>
      </c>
      <c r="F6" s="10"/>
    </row>
    <row r="7" spans="2:8" x14ac:dyDescent="0.2">
      <c r="B7" t="str">
        <f>+'RES CUENTA'!D20</f>
        <v>Ana Isabel Pirro</v>
      </c>
      <c r="C7" s="82">
        <f>+'RES CUENTA'!G20</f>
        <v>8.27</v>
      </c>
      <c r="D7">
        <f>+'RES CUENTA'!B20</f>
        <v>6</v>
      </c>
      <c r="E7" s="82">
        <f>+'RES CUENTA'!H20</f>
        <v>12.56</v>
      </c>
      <c r="F7" s="10"/>
    </row>
    <row r="8" spans="2:8" x14ac:dyDescent="0.2">
      <c r="B8" t="str">
        <f>+'RES CUENTA'!D21</f>
        <v>Leandro Acero</v>
      </c>
      <c r="C8" s="82">
        <f>+'RES CUENTA'!G21</f>
        <v>8.35</v>
      </c>
      <c r="D8">
        <f>+'RES CUENTA'!B21</f>
        <v>7</v>
      </c>
      <c r="E8" s="82">
        <f>+'RES CUENTA'!H21</f>
        <v>12.68</v>
      </c>
      <c r="F8" s="10"/>
    </row>
    <row r="9" spans="2:8" x14ac:dyDescent="0.2">
      <c r="B9" t="str">
        <f>+'RES CUENTA'!D22</f>
        <v>Jose A. Montans</v>
      </c>
      <c r="C9" s="82">
        <f>+'RES CUENTA'!G22</f>
        <v>8.35</v>
      </c>
      <c r="D9">
        <f>+'RES CUENTA'!B22</f>
        <v>8</v>
      </c>
      <c r="E9" s="82">
        <f>+'RES CUENTA'!H22</f>
        <v>12.68</v>
      </c>
      <c r="F9" s="10"/>
    </row>
    <row r="10" spans="2:8" x14ac:dyDescent="0.2">
      <c r="B10" t="str">
        <f>+'RES CUENTA'!D23</f>
        <v>Miguel A. Machinandiarena</v>
      </c>
      <c r="C10" s="82">
        <f>+'RES CUENTA'!G23</f>
        <v>8.11</v>
      </c>
      <c r="D10">
        <f>+'RES CUENTA'!B23</f>
        <v>9</v>
      </c>
      <c r="E10" s="82">
        <f>+'RES CUENTA'!H23</f>
        <v>12.32</v>
      </c>
      <c r="F10" s="10"/>
    </row>
    <row r="11" spans="2:8" x14ac:dyDescent="0.2">
      <c r="B11" t="str">
        <f>+'RES CUENTA'!D24</f>
        <v>Olivier Liem</v>
      </c>
      <c r="C11" s="82">
        <f>+'RES CUENTA'!G24</f>
        <v>8.11</v>
      </c>
      <c r="D11">
        <f>+'RES CUENTA'!B24</f>
        <v>10</v>
      </c>
      <c r="E11" s="82">
        <f>+'RES CUENTA'!H24</f>
        <v>12.32</v>
      </c>
      <c r="F11" s="10"/>
    </row>
    <row r="12" spans="2:8" x14ac:dyDescent="0.2">
      <c r="B12" t="e">
        <f>+'RES CUENTA'!#REF!</f>
        <v>#REF!</v>
      </c>
      <c r="C12" s="82" t="e">
        <f>+'RES CUENTA'!#REF!</f>
        <v>#REF!</v>
      </c>
      <c r="D12" t="e">
        <f>+'RES CUENTA'!#REF!</f>
        <v>#REF!</v>
      </c>
      <c r="E12" s="82" t="e">
        <f>+'RES CUENTA'!#REF!</f>
        <v>#REF!</v>
      </c>
      <c r="F12" s="10"/>
    </row>
    <row r="13" spans="2:8" x14ac:dyDescent="0.2">
      <c r="B13" t="e">
        <f>+'RES CUENTA'!#REF!</f>
        <v>#REF!</v>
      </c>
      <c r="C13" s="82" t="e">
        <f>+'RES CUENTA'!#REF!</f>
        <v>#REF!</v>
      </c>
      <c r="D13" t="e">
        <f>+'RES CUENTA'!#REF!</f>
        <v>#REF!</v>
      </c>
      <c r="E13" s="82" t="e">
        <f>+'RES CUENTA'!#REF!</f>
        <v>#REF!</v>
      </c>
      <c r="F13" s="10"/>
    </row>
    <row r="14" spans="2:8" x14ac:dyDescent="0.2">
      <c r="B14" t="e">
        <f>+'RES CUENTA'!#REF!</f>
        <v>#REF!</v>
      </c>
      <c r="C14" s="82" t="e">
        <f>+'RES CUENTA'!#REF!</f>
        <v>#REF!</v>
      </c>
      <c r="D14" t="e">
        <f>+'RES CUENTA'!#REF!</f>
        <v>#REF!</v>
      </c>
      <c r="E14" s="82" t="e">
        <f>+'RES CUENTA'!#REF!</f>
        <v>#REF!</v>
      </c>
      <c r="F14" s="10"/>
    </row>
    <row r="15" spans="2:8" x14ac:dyDescent="0.2">
      <c r="B15" t="e">
        <f>+'RES CUENTA'!#REF!</f>
        <v>#REF!</v>
      </c>
      <c r="C15" s="82" t="e">
        <f>+'RES CUENTA'!#REF!</f>
        <v>#REF!</v>
      </c>
      <c r="D15" t="e">
        <f>+'RES CUENTA'!#REF!</f>
        <v>#REF!</v>
      </c>
      <c r="E15" s="82" t="e">
        <f>+'RES CUENTA'!#REF!</f>
        <v>#REF!</v>
      </c>
      <c r="F15" s="10"/>
    </row>
    <row r="16" spans="2:8" x14ac:dyDescent="0.2">
      <c r="B16" t="e">
        <f>+'RES CUENTA'!#REF!</f>
        <v>#REF!</v>
      </c>
      <c r="C16" s="82" t="e">
        <f>+'RES CUENTA'!#REF!</f>
        <v>#REF!</v>
      </c>
      <c r="D16" t="e">
        <f>+'RES CUENTA'!#REF!</f>
        <v>#REF!</v>
      </c>
      <c r="E16" s="82" t="e">
        <f>+'RES CUENTA'!#REF!</f>
        <v>#REF!</v>
      </c>
      <c r="F16" s="10"/>
    </row>
    <row r="17" spans="2:10" x14ac:dyDescent="0.2">
      <c r="B17" t="e">
        <f>+'RES CUENTA'!#REF!</f>
        <v>#REF!</v>
      </c>
      <c r="C17" s="82" t="e">
        <f>+'RES CUENTA'!#REF!</f>
        <v>#REF!</v>
      </c>
      <c r="D17" t="e">
        <f>+'RES CUENTA'!#REF!</f>
        <v>#REF!</v>
      </c>
      <c r="E17" s="82" t="e">
        <f>+'RES CUENTA'!#REF!</f>
        <v>#REF!</v>
      </c>
      <c r="F17" s="10"/>
    </row>
    <row r="18" spans="2:10" x14ac:dyDescent="0.2">
      <c r="B18" t="e">
        <f>+'RES CUENTA'!#REF!</f>
        <v>#REF!</v>
      </c>
      <c r="C18" s="82" t="e">
        <f>+'RES CUENTA'!#REF!</f>
        <v>#REF!</v>
      </c>
      <c r="D18" t="e">
        <f>+'RES CUENTA'!#REF!</f>
        <v>#REF!</v>
      </c>
      <c r="E18" s="82" t="e">
        <f>+'RES CUENTA'!#REF!</f>
        <v>#REF!</v>
      </c>
      <c r="F18" s="10"/>
    </row>
    <row r="19" spans="2:10" x14ac:dyDescent="0.2">
      <c r="B19" t="e">
        <f>+'RES CUENTA'!#REF!</f>
        <v>#REF!</v>
      </c>
      <c r="C19" s="82" t="e">
        <f>+'RES CUENTA'!#REF!</f>
        <v>#REF!</v>
      </c>
      <c r="D19" t="e">
        <f>+'RES CUENTA'!#REF!</f>
        <v>#REF!</v>
      </c>
      <c r="E19" s="82" t="e">
        <f>+'RES CUENTA'!#REF!</f>
        <v>#REF!</v>
      </c>
      <c r="F19" s="10"/>
    </row>
    <row r="20" spans="2:10" x14ac:dyDescent="0.2">
      <c r="B20" t="e">
        <f>+'RES CUENTA'!#REF!</f>
        <v>#REF!</v>
      </c>
      <c r="C20" s="82" t="e">
        <f>+'RES CUENTA'!#REF!</f>
        <v>#REF!</v>
      </c>
      <c r="D20" t="e">
        <f>+'RES CUENTA'!#REF!</f>
        <v>#REF!</v>
      </c>
      <c r="E20" s="82" t="e">
        <f>+'RES CUENTA'!#REF!</f>
        <v>#REF!</v>
      </c>
      <c r="F20" s="10"/>
    </row>
    <row r="21" spans="2:10" x14ac:dyDescent="0.2">
      <c r="B21" t="e">
        <f>+'RES CUENTA'!#REF!</f>
        <v>#REF!</v>
      </c>
      <c r="C21" s="82" t="e">
        <f>+'RES CUENTA'!#REF!</f>
        <v>#REF!</v>
      </c>
      <c r="D21" t="e">
        <f>+'RES CUENTA'!#REF!</f>
        <v>#REF!</v>
      </c>
      <c r="E21" s="82" t="e">
        <f>+'RES CUENTA'!#REF!</f>
        <v>#REF!</v>
      </c>
      <c r="F21" s="10"/>
    </row>
    <row r="22" spans="2:10" x14ac:dyDescent="0.2">
      <c r="B22" t="e">
        <f>+'RES CUENTA'!#REF!</f>
        <v>#REF!</v>
      </c>
      <c r="C22" s="82" t="e">
        <f>+'RES CUENTA'!#REF!</f>
        <v>#REF!</v>
      </c>
      <c r="D22" t="e">
        <f>+'RES CUENTA'!#REF!</f>
        <v>#REF!</v>
      </c>
      <c r="E22" s="82" t="e">
        <f>+'RES CUENTA'!#REF!</f>
        <v>#REF!</v>
      </c>
      <c r="F22" s="10"/>
    </row>
    <row r="23" spans="2:10" x14ac:dyDescent="0.2">
      <c r="B23" t="e">
        <f>+'RES CUENTA'!#REF!</f>
        <v>#REF!</v>
      </c>
      <c r="C23" s="82" t="e">
        <f>+'RES CUENTA'!#REF!</f>
        <v>#REF!</v>
      </c>
      <c r="D23" t="e">
        <f>+'RES CUENTA'!#REF!</f>
        <v>#REF!</v>
      </c>
      <c r="E23" s="82" t="e">
        <f>+'RES CUENTA'!#REF!</f>
        <v>#REF!</v>
      </c>
      <c r="F23" s="10"/>
      <c r="I23" s="1"/>
    </row>
    <row r="24" spans="2:10" x14ac:dyDescent="0.2">
      <c r="B24" t="e">
        <f>+'RES CUENTA'!#REF!</f>
        <v>#REF!</v>
      </c>
      <c r="C24" s="82" t="e">
        <f>+'RES CUENTA'!#REF!</f>
        <v>#REF!</v>
      </c>
      <c r="D24" t="e">
        <f>+'RES CUENTA'!#REF!</f>
        <v>#REF!</v>
      </c>
      <c r="E24" s="82" t="e">
        <f>+'RES CUENTA'!#REF!</f>
        <v>#REF!</v>
      </c>
      <c r="F24" s="10"/>
    </row>
    <row r="25" spans="2:10" x14ac:dyDescent="0.2">
      <c r="C25" s="82" t="e">
        <f>SUM(C2:C24)</f>
        <v>#REF!</v>
      </c>
      <c r="E25" s="82" t="e">
        <f>SUM(E2:E24)</f>
        <v>#REF!</v>
      </c>
      <c r="F25" s="10"/>
    </row>
    <row r="26" spans="2:10" x14ac:dyDescent="0.2">
      <c r="C26" s="82"/>
      <c r="E26" s="10"/>
      <c r="F26" s="10"/>
    </row>
    <row r="27" spans="2:10" x14ac:dyDescent="0.2">
      <c r="C27" s="82"/>
      <c r="E27" s="10"/>
      <c r="F27" s="10"/>
    </row>
    <row r="28" spans="2:10" ht="15" customHeight="1" x14ac:dyDescent="0.2">
      <c r="B28" s="183"/>
      <c r="C28" s="10"/>
      <c r="D28" s="10"/>
      <c r="E28" s="10"/>
      <c r="F28" s="10"/>
    </row>
    <row r="29" spans="2:10" ht="14.25" customHeight="1" x14ac:dyDescent="0.25">
      <c r="B29" s="334"/>
      <c r="C29" s="334"/>
      <c r="D29" s="334"/>
      <c r="E29" s="85"/>
      <c r="F29" s="85"/>
      <c r="G29" s="335"/>
      <c r="H29" s="335"/>
      <c r="I29" s="81"/>
      <c r="J29" s="81"/>
    </row>
    <row r="30" spans="2:10" ht="18" x14ac:dyDescent="0.25">
      <c r="B30" s="334"/>
      <c r="C30" s="334"/>
      <c r="D30" s="334"/>
      <c r="E30" s="336">
        <f>+$B$1</f>
        <v>46143</v>
      </c>
      <c r="F30" s="85"/>
      <c r="G30" s="337">
        <f>+$D$1</f>
        <v>46188</v>
      </c>
      <c r="H30" s="90"/>
      <c r="I30" s="81"/>
      <c r="J30" s="81"/>
    </row>
    <row r="31" spans="2:10" ht="18" x14ac:dyDescent="0.25">
      <c r="B31" s="147"/>
      <c r="C31" s="147"/>
      <c r="D31" s="100"/>
      <c r="E31" s="336"/>
      <c r="F31" s="85"/>
      <c r="G31" s="337"/>
      <c r="H31" s="90"/>
      <c r="I31" s="81"/>
      <c r="J31" s="81"/>
    </row>
    <row r="32" spans="2:10" ht="18" x14ac:dyDescent="0.25">
      <c r="B32" s="85"/>
      <c r="C32" s="85"/>
      <c r="D32" s="85"/>
      <c r="E32" s="85"/>
      <c r="F32" s="85"/>
      <c r="G32" s="85"/>
      <c r="H32" s="90"/>
      <c r="I32" s="81"/>
      <c r="J32" s="81"/>
    </row>
    <row r="33" spans="2:10" ht="24.75" customHeight="1" x14ac:dyDescent="0.25">
      <c r="B33" s="194"/>
      <c r="C33" s="85"/>
      <c r="D33" s="85"/>
      <c r="E33" s="85"/>
      <c r="F33" s="85"/>
      <c r="G33" s="85"/>
      <c r="H33" s="90"/>
      <c r="I33" s="81"/>
      <c r="J33" s="81"/>
    </row>
    <row r="34" spans="2:10" ht="21.75" customHeight="1" x14ac:dyDescent="0.25">
      <c r="B34" s="85" t="str">
        <f>+B2</f>
        <v>Casa Lopez</v>
      </c>
      <c r="C34" s="85"/>
      <c r="D34" s="85"/>
      <c r="E34" s="85" t="str">
        <f>+E1</f>
        <v>Lima 461 C:A:B:A:</v>
      </c>
      <c r="F34" s="85"/>
      <c r="G34" s="85"/>
      <c r="H34" s="90" t="s">
        <v>84</v>
      </c>
      <c r="I34" s="81"/>
      <c r="J34" s="81"/>
    </row>
    <row r="35" spans="2:10" ht="18" x14ac:dyDescent="0.25">
      <c r="B35" s="85"/>
      <c r="C35" s="85"/>
      <c r="D35" s="85"/>
      <c r="E35" s="85"/>
      <c r="F35" s="85"/>
      <c r="G35" s="85"/>
      <c r="H35" s="90" t="str">
        <f>+'RES CUENTA'!A15</f>
        <v>Local</v>
      </c>
      <c r="I35" s="81"/>
      <c r="J35" s="81"/>
    </row>
    <row r="36" spans="2:10" ht="18" x14ac:dyDescent="0.25">
      <c r="B36" s="90"/>
      <c r="C36" s="85"/>
      <c r="D36" s="90"/>
      <c r="E36" s="85"/>
      <c r="F36" s="85"/>
      <c r="G36" s="85"/>
      <c r="H36" s="90"/>
      <c r="I36" s="81"/>
      <c r="J36" s="81"/>
    </row>
    <row r="37" spans="2:10" ht="17.25" customHeight="1" x14ac:dyDescent="0.25">
      <c r="B37" s="90"/>
      <c r="C37" s="85"/>
      <c r="D37" s="90"/>
      <c r="E37" s="85"/>
      <c r="F37" s="85"/>
      <c r="G37" s="85"/>
      <c r="H37" s="90"/>
      <c r="I37" s="81"/>
      <c r="J37" s="81"/>
    </row>
    <row r="38" spans="2:10" ht="18" x14ac:dyDescent="0.25">
      <c r="B38" s="85" t="s">
        <v>222</v>
      </c>
      <c r="C38" s="85"/>
      <c r="D38" s="103">
        <f>+'RES CUENTA'!L25</f>
        <v>10859801.41</v>
      </c>
      <c r="E38" s="88">
        <f>+'RES CUENTA'!G15</f>
        <v>17.079999999999998</v>
      </c>
      <c r="F38" s="103">
        <f>+D38*E38/100</f>
        <v>1854854.0808279996</v>
      </c>
      <c r="G38" s="338"/>
      <c r="H38" s="338"/>
      <c r="I38" s="81"/>
      <c r="J38" s="81"/>
    </row>
    <row r="39" spans="2:10" ht="18" x14ac:dyDescent="0.25">
      <c r="B39" s="85" t="s">
        <v>202</v>
      </c>
      <c r="C39" s="85"/>
      <c r="D39" s="103">
        <v>0</v>
      </c>
      <c r="E39" s="88">
        <v>0</v>
      </c>
      <c r="F39" s="103">
        <f>+D39*E39/100</f>
        <v>0</v>
      </c>
      <c r="G39" s="341"/>
      <c r="H39" s="341"/>
      <c r="I39" s="81"/>
      <c r="J39" s="81"/>
    </row>
    <row r="40" spans="2:10" ht="18" x14ac:dyDescent="0.25">
      <c r="B40" s="85" t="s">
        <v>269</v>
      </c>
      <c r="C40" s="85"/>
      <c r="D40" s="103">
        <v>0</v>
      </c>
      <c r="E40" s="88">
        <v>0</v>
      </c>
      <c r="F40" s="103">
        <v>0</v>
      </c>
      <c r="G40" s="341"/>
      <c r="H40" s="341"/>
      <c r="I40" s="81"/>
      <c r="J40" s="81"/>
    </row>
    <row r="41" spans="2:10" ht="18" x14ac:dyDescent="0.25">
      <c r="B41" s="85" t="s">
        <v>79</v>
      </c>
      <c r="C41" s="85"/>
      <c r="D41" s="103">
        <f>+'RES CUENTA'!Q15</f>
        <v>16679327.107961515</v>
      </c>
      <c r="E41" s="85">
        <v>0</v>
      </c>
      <c r="F41" s="103">
        <f>+D41</f>
        <v>16679327.107961515</v>
      </c>
      <c r="G41" s="341"/>
      <c r="H41" s="341"/>
      <c r="I41" s="81"/>
      <c r="J41" s="81"/>
    </row>
    <row r="42" spans="2:10" ht="18" x14ac:dyDescent="0.25">
      <c r="B42" s="85" t="s">
        <v>80</v>
      </c>
      <c r="C42" s="85"/>
      <c r="D42" s="103">
        <f>+'RES CUENTA'!R15</f>
        <v>8967099.7465136293</v>
      </c>
      <c r="E42" s="85">
        <v>0</v>
      </c>
      <c r="F42" s="165">
        <f>+D42+E42</f>
        <v>8967099.7465136293</v>
      </c>
      <c r="G42" s="341"/>
      <c r="H42" s="341"/>
      <c r="I42" s="81"/>
      <c r="J42" s="81"/>
    </row>
    <row r="43" spans="2:10" ht="18" x14ac:dyDescent="0.25">
      <c r="B43" s="85"/>
      <c r="C43" s="85"/>
      <c r="D43" s="85"/>
      <c r="E43" s="92"/>
      <c r="F43" s="103">
        <f>SUM(F38:F42)</f>
        <v>27501280.935303144</v>
      </c>
      <c r="G43" s="89"/>
      <c r="H43" s="89"/>
      <c r="I43" s="81"/>
      <c r="J43" s="81"/>
    </row>
    <row r="44" spans="2:10" ht="18" x14ac:dyDescent="0.25">
      <c r="B44" s="85"/>
      <c r="C44" s="85"/>
      <c r="D44" s="85"/>
      <c r="E44" s="85"/>
      <c r="F44" s="194"/>
      <c r="G44" s="338"/>
      <c r="H44" s="338"/>
      <c r="I44" s="81"/>
      <c r="J44" s="81"/>
    </row>
    <row r="45" spans="2:10" ht="18" x14ac:dyDescent="0.25">
      <c r="B45" s="85"/>
      <c r="C45" s="85"/>
      <c r="D45" s="85"/>
      <c r="E45" s="85"/>
      <c r="F45" s="194"/>
      <c r="G45" s="90"/>
      <c r="H45" s="90"/>
      <c r="I45" s="81"/>
      <c r="J45" s="81"/>
    </row>
    <row r="46" spans="2:10" ht="18" x14ac:dyDescent="0.25">
      <c r="B46" s="85"/>
      <c r="C46" s="85"/>
      <c r="D46" s="85"/>
      <c r="E46" s="85"/>
      <c r="F46" s="87"/>
      <c r="G46" s="90"/>
      <c r="H46" s="90"/>
      <c r="I46" s="81"/>
      <c r="J46" s="81"/>
    </row>
    <row r="47" spans="2:10" ht="18" x14ac:dyDescent="0.25">
      <c r="B47" s="85"/>
      <c r="C47" s="85"/>
      <c r="D47" s="85"/>
      <c r="E47" s="85"/>
      <c r="F47" s="92"/>
      <c r="G47" s="85"/>
      <c r="H47" s="90"/>
      <c r="I47" s="81"/>
      <c r="J47" s="81"/>
    </row>
    <row r="48" spans="2:10" ht="10.5" customHeight="1" x14ac:dyDescent="0.25">
      <c r="B48" s="85"/>
      <c r="C48" s="85"/>
      <c r="D48" s="85"/>
      <c r="E48" s="85"/>
      <c r="F48" s="92"/>
      <c r="G48" s="85"/>
      <c r="H48" s="90"/>
      <c r="I48" s="81"/>
      <c r="J48" s="81"/>
    </row>
    <row r="49" spans="2:10" ht="24.75" customHeight="1" x14ac:dyDescent="0.25">
      <c r="B49" s="85" t="str">
        <f>+B2</f>
        <v>Casa Lopez</v>
      </c>
      <c r="C49" s="339"/>
      <c r="D49" s="339"/>
      <c r="E49" s="85" t="str">
        <f>+B2</f>
        <v>Casa Lopez</v>
      </c>
      <c r="F49" s="92"/>
      <c r="G49" s="85"/>
      <c r="H49" s="90"/>
      <c r="I49" s="81"/>
      <c r="J49" s="81"/>
    </row>
    <row r="50" spans="2:10" ht="18" x14ac:dyDescent="0.25">
      <c r="B50" s="194"/>
      <c r="C50" s="85"/>
      <c r="D50" s="85"/>
      <c r="E50" s="194"/>
      <c r="F50" s="339"/>
      <c r="G50" s="339"/>
      <c r="H50" s="339"/>
      <c r="I50" s="81"/>
      <c r="J50" s="81"/>
    </row>
    <row r="51" spans="2:10" ht="18" x14ac:dyDescent="0.25">
      <c r="B51" s="85" t="str">
        <f>+E1</f>
        <v>Lima 461 C:A:B:A:</v>
      </c>
      <c r="C51" s="85"/>
      <c r="D51" s="90" t="str">
        <f>+H34</f>
        <v>Unid. 1</v>
      </c>
      <c r="E51" s="85" t="str">
        <f>+E1</f>
        <v>Lima 461 C:A:B:A:</v>
      </c>
      <c r="F51" s="85"/>
      <c r="G51" s="85"/>
      <c r="H51" s="90" t="str">
        <f>+D51</f>
        <v>Unid. 1</v>
      </c>
      <c r="I51" s="81"/>
      <c r="J51" s="81"/>
    </row>
    <row r="52" spans="2:10" ht="18" x14ac:dyDescent="0.25">
      <c r="B52" s="194"/>
      <c r="C52" s="194"/>
      <c r="D52" s="90" t="str">
        <f>+H52</f>
        <v>Local</v>
      </c>
      <c r="E52" s="194"/>
      <c r="F52" s="194"/>
      <c r="G52" s="194"/>
      <c r="H52" s="90" t="str">
        <f>+H35</f>
        <v>Local</v>
      </c>
      <c r="I52" s="81"/>
      <c r="J52" s="81"/>
    </row>
    <row r="53" spans="2:10" ht="10.5" customHeight="1" x14ac:dyDescent="0.25">
      <c r="B53" s="85"/>
      <c r="C53" s="85"/>
      <c r="D53" s="85"/>
      <c r="E53" s="85"/>
      <c r="F53" s="85"/>
      <c r="G53" s="85"/>
      <c r="H53" s="254"/>
      <c r="I53" s="81"/>
      <c r="J53" s="81"/>
    </row>
    <row r="54" spans="2:10" ht="18" x14ac:dyDescent="0.25">
      <c r="B54" s="85" t="str">
        <f>+F1</f>
        <v>P/Depósito/transferencia en Bco Santander Rio</v>
      </c>
      <c r="C54" s="85"/>
      <c r="D54" s="85"/>
      <c r="E54" s="85"/>
      <c r="F54" s="85"/>
      <c r="G54" s="85"/>
      <c r="H54" s="90"/>
      <c r="I54" s="81"/>
      <c r="J54" s="81"/>
    </row>
    <row r="55" spans="2:10" ht="17.25" customHeight="1" x14ac:dyDescent="0.25">
      <c r="B55" s="85" t="str">
        <f>+F2</f>
        <v>Cta. Cte. $ N° 210-1950/3</v>
      </c>
      <c r="C55" s="85"/>
      <c r="D55" s="85"/>
      <c r="E55" s="148"/>
      <c r="F55" s="85"/>
      <c r="G55" s="90"/>
      <c r="H55" s="90"/>
      <c r="I55" s="81"/>
      <c r="J55" s="81"/>
    </row>
    <row r="56" spans="2:10" ht="18" x14ac:dyDescent="0.25">
      <c r="B56" s="85" t="str">
        <f>+F3</f>
        <v>CBU 0720210220000000195036</v>
      </c>
      <c r="C56" s="85"/>
      <c r="D56" s="85"/>
      <c r="E56" s="85" t="s">
        <v>223</v>
      </c>
      <c r="F56" s="106">
        <f>+F38</f>
        <v>1854854.0808279996</v>
      </c>
      <c r="G56" s="194"/>
      <c r="H56" s="99">
        <f>+D1</f>
        <v>46188</v>
      </c>
      <c r="I56" s="81"/>
      <c r="J56" s="81"/>
    </row>
    <row r="57" spans="2:10" ht="18" x14ac:dyDescent="0.25">
      <c r="B57" s="85" t="str">
        <f>+F4</f>
        <v>CUIT: 30-53267348-4</v>
      </c>
      <c r="C57" s="85"/>
      <c r="D57" s="85"/>
      <c r="E57" s="85" t="s">
        <v>201</v>
      </c>
      <c r="F57" s="106">
        <f>+F39</f>
        <v>0</v>
      </c>
      <c r="G57" s="194"/>
      <c r="H57" s="254"/>
      <c r="I57" s="81"/>
      <c r="J57" s="81"/>
    </row>
    <row r="58" spans="2:10" ht="18" x14ac:dyDescent="0.25">
      <c r="B58" s="194"/>
      <c r="C58" s="85"/>
      <c r="D58" s="85"/>
      <c r="E58" s="85" t="s">
        <v>81</v>
      </c>
      <c r="F58" s="106">
        <f>+F41</f>
        <v>16679327.107961515</v>
      </c>
      <c r="G58" s="85"/>
      <c r="H58" s="90"/>
      <c r="I58" s="81"/>
      <c r="J58" s="81"/>
    </row>
    <row r="59" spans="2:10" ht="18" x14ac:dyDescent="0.25">
      <c r="B59" s="85"/>
      <c r="C59" s="85"/>
      <c r="D59" s="85"/>
      <c r="E59" s="85" t="s">
        <v>82</v>
      </c>
      <c r="F59" s="106">
        <f>+F42</f>
        <v>8967099.7465136293</v>
      </c>
      <c r="G59" s="85"/>
      <c r="H59" s="90"/>
      <c r="I59" s="81"/>
      <c r="J59" s="81"/>
    </row>
    <row r="60" spans="2:10" ht="18" x14ac:dyDescent="0.25">
      <c r="B60" s="148"/>
      <c r="C60" s="148"/>
      <c r="D60" s="148"/>
      <c r="E60" s="85" t="s">
        <v>188</v>
      </c>
      <c r="F60" s="166">
        <f>+F40</f>
        <v>0</v>
      </c>
      <c r="G60" s="85"/>
      <c r="H60" s="90"/>
      <c r="I60" s="81"/>
      <c r="J60" s="81"/>
    </row>
    <row r="61" spans="2:10" ht="18" x14ac:dyDescent="0.25">
      <c r="B61" s="99">
        <f>+$G$30</f>
        <v>46188</v>
      </c>
      <c r="C61" s="105">
        <f>+F43</f>
        <v>27501280.935303144</v>
      </c>
      <c r="D61" s="85"/>
      <c r="E61" s="85" t="s">
        <v>83</v>
      </c>
      <c r="F61" s="106">
        <f>+F43</f>
        <v>27501280.935303144</v>
      </c>
      <c r="G61" s="85"/>
      <c r="H61" s="90"/>
      <c r="I61" s="81"/>
      <c r="J61" s="81"/>
    </row>
    <row r="62" spans="2:10" ht="18" x14ac:dyDescent="0.25">
      <c r="B62" s="85"/>
      <c r="C62" s="85"/>
      <c r="D62" s="85"/>
      <c r="E62" s="102"/>
      <c r="F62" s="85"/>
      <c r="G62" s="85"/>
      <c r="H62" s="90"/>
      <c r="I62" s="81"/>
      <c r="J62" s="81"/>
    </row>
    <row r="63" spans="2:10" ht="18" x14ac:dyDescent="0.25">
      <c r="B63" s="85"/>
      <c r="C63" s="85"/>
      <c r="D63" s="85"/>
      <c r="E63" s="102"/>
      <c r="F63" s="85"/>
      <c r="G63" s="85"/>
      <c r="H63" s="90"/>
      <c r="I63" s="81"/>
      <c r="J63" s="81"/>
    </row>
    <row r="64" spans="2:10" ht="18" x14ac:dyDescent="0.25">
      <c r="B64" s="85"/>
      <c r="C64" s="85"/>
      <c r="D64" s="85"/>
      <c r="E64" s="194"/>
      <c r="F64" s="85"/>
      <c r="G64" s="85"/>
      <c r="H64" s="90"/>
      <c r="I64" s="81"/>
      <c r="J64" s="81"/>
    </row>
    <row r="65" spans="2:10" ht="18" x14ac:dyDescent="0.25">
      <c r="B65" s="85"/>
      <c r="C65" s="85"/>
      <c r="D65" s="85"/>
      <c r="E65" s="194"/>
      <c r="F65" s="85"/>
      <c r="G65" s="85"/>
      <c r="H65" s="90"/>
      <c r="I65" s="81"/>
      <c r="J65" s="81"/>
    </row>
    <row r="66" spans="2:10" ht="18" x14ac:dyDescent="0.25">
      <c r="B66" s="85"/>
      <c r="C66" s="85"/>
      <c r="D66" s="85"/>
      <c r="E66" s="85"/>
      <c r="F66" s="85"/>
      <c r="G66" s="85"/>
      <c r="H66" s="90"/>
      <c r="I66" s="81"/>
      <c r="J66" s="81"/>
    </row>
    <row r="67" spans="2:10" ht="22.5" customHeight="1" x14ac:dyDescent="0.25">
      <c r="B67" s="85"/>
      <c r="C67" s="85"/>
      <c r="D67" s="85"/>
      <c r="E67" s="85"/>
      <c r="F67" s="85"/>
      <c r="G67" s="338"/>
      <c r="H67" s="338"/>
      <c r="I67" s="81"/>
      <c r="J67" s="81"/>
    </row>
    <row r="68" spans="2:10" ht="18" x14ac:dyDescent="0.25">
      <c r="B68" s="85"/>
      <c r="C68" s="85"/>
      <c r="D68" s="85"/>
      <c r="E68" s="85"/>
      <c r="F68" s="85"/>
      <c r="G68" s="85"/>
      <c r="H68" s="90"/>
      <c r="I68" s="81"/>
      <c r="J68" s="81"/>
    </row>
    <row r="69" spans="2:10" ht="21" customHeight="1" x14ac:dyDescent="0.25">
      <c r="B69" s="85"/>
      <c r="C69" s="85"/>
      <c r="D69" s="85"/>
      <c r="E69" s="85"/>
      <c r="F69" s="85"/>
      <c r="G69" s="194"/>
      <c r="H69" s="90"/>
      <c r="I69" s="81"/>
      <c r="J69" s="81"/>
    </row>
    <row r="70" spans="2:10" ht="18" x14ac:dyDescent="0.25">
      <c r="B70" s="334"/>
      <c r="C70" s="334"/>
      <c r="D70" s="334"/>
      <c r="E70" s="98">
        <f>+$B$1</f>
        <v>46143</v>
      </c>
      <c r="F70" s="85"/>
      <c r="G70" s="99">
        <f>+$D$1</f>
        <v>46188</v>
      </c>
      <c r="H70" s="162"/>
      <c r="I70" s="81"/>
      <c r="J70" s="81"/>
    </row>
    <row r="71" spans="2:10" ht="18" x14ac:dyDescent="0.25">
      <c r="B71" s="147"/>
      <c r="C71" s="147"/>
      <c r="D71" s="100"/>
      <c r="E71" s="98"/>
      <c r="F71" s="85"/>
      <c r="G71" s="194"/>
      <c r="H71" s="254"/>
    </row>
    <row r="72" spans="2:10" ht="24" customHeight="1" x14ac:dyDescent="0.25">
      <c r="B72" s="194"/>
      <c r="C72" s="85"/>
      <c r="D72" s="85"/>
      <c r="E72" s="194"/>
      <c r="F72" s="85"/>
      <c r="G72" s="194"/>
      <c r="H72" s="254"/>
    </row>
    <row r="73" spans="2:10" ht="18" x14ac:dyDescent="0.25">
      <c r="B73" s="85" t="str">
        <f>+B3</f>
        <v>Eduardo Sanchez</v>
      </c>
      <c r="C73" s="85"/>
      <c r="D73" s="85"/>
      <c r="E73" s="85" t="str">
        <f>+E1</f>
        <v>Lima 461 C:A:B:A:</v>
      </c>
      <c r="F73" s="85"/>
      <c r="G73" s="194"/>
      <c r="H73" s="90" t="s">
        <v>85</v>
      </c>
    </row>
    <row r="74" spans="2:10" ht="18" x14ac:dyDescent="0.25">
      <c r="B74" s="85"/>
      <c r="C74" s="85"/>
      <c r="D74" s="85"/>
      <c r="E74" s="194"/>
      <c r="F74" s="85"/>
      <c r="G74" s="85"/>
      <c r="H74" s="90" t="str">
        <f>+'RES CUENTA'!A16</f>
        <v>Local</v>
      </c>
    </row>
    <row r="75" spans="2:10" ht="18" x14ac:dyDescent="0.25">
      <c r="B75" s="85"/>
      <c r="C75" s="85"/>
      <c r="D75" s="85"/>
      <c r="E75" s="85"/>
      <c r="F75" s="85"/>
      <c r="G75" s="85"/>
      <c r="H75" s="90"/>
    </row>
    <row r="76" spans="2:10" ht="17.25" customHeight="1" x14ac:dyDescent="0.25">
      <c r="B76" s="90"/>
      <c r="C76" s="85"/>
      <c r="D76" s="90"/>
      <c r="E76" s="85"/>
      <c r="F76" s="85"/>
      <c r="G76" s="85"/>
      <c r="H76" s="90"/>
    </row>
    <row r="77" spans="2:10" ht="18" x14ac:dyDescent="0.25">
      <c r="B77" s="85" t="s">
        <v>222</v>
      </c>
      <c r="C77" s="85"/>
      <c r="D77" s="103">
        <f>+'RES CUENTA'!L25</f>
        <v>10859801.41</v>
      </c>
      <c r="E77" s="88">
        <f>+'RES CUENTA'!G16</f>
        <v>17.079999999999998</v>
      </c>
      <c r="F77" s="103">
        <f>+D77*E77/100</f>
        <v>1854854.0808279996</v>
      </c>
      <c r="G77" s="85"/>
      <c r="H77" s="90"/>
    </row>
    <row r="78" spans="2:10" ht="18" x14ac:dyDescent="0.25">
      <c r="B78" s="85" t="s">
        <v>202</v>
      </c>
      <c r="C78" s="85"/>
      <c r="D78" s="103">
        <f>+'RES CUENTA'!N16</f>
        <v>0</v>
      </c>
      <c r="E78" s="88">
        <v>0</v>
      </c>
      <c r="F78" s="103">
        <f>+D78</f>
        <v>0</v>
      </c>
      <c r="G78" s="90"/>
      <c r="H78" s="89"/>
    </row>
    <row r="79" spans="2:10" ht="18" x14ac:dyDescent="0.25">
      <c r="B79" s="85" t="s">
        <v>269</v>
      </c>
      <c r="C79" s="85"/>
      <c r="D79" s="103">
        <v>0</v>
      </c>
      <c r="E79" s="88">
        <v>0</v>
      </c>
      <c r="F79" s="103">
        <v>0</v>
      </c>
      <c r="G79" s="90"/>
      <c r="H79" s="89"/>
    </row>
    <row r="80" spans="2:10" ht="18" x14ac:dyDescent="0.25">
      <c r="B80" s="85" t="s">
        <v>79</v>
      </c>
      <c r="C80" s="85"/>
      <c r="D80" s="103">
        <f>+'RES CUENTA'!Q16</f>
        <v>0</v>
      </c>
      <c r="E80" s="85">
        <v>0</v>
      </c>
      <c r="F80" s="103">
        <f>+D80</f>
        <v>0</v>
      </c>
      <c r="G80" s="89"/>
      <c r="H80" s="89"/>
    </row>
    <row r="81" spans="2:8" ht="18" x14ac:dyDescent="0.25">
      <c r="B81" s="85" t="s">
        <v>80</v>
      </c>
      <c r="C81" s="85"/>
      <c r="D81" s="103">
        <f>+'RES CUENTA'!R16</f>
        <v>0</v>
      </c>
      <c r="E81" s="85">
        <v>0</v>
      </c>
      <c r="F81" s="165">
        <f>+'RES CUENTA'!R16</f>
        <v>0</v>
      </c>
      <c r="G81" s="89"/>
      <c r="H81" s="89"/>
    </row>
    <row r="82" spans="2:8" ht="18" x14ac:dyDescent="0.25">
      <c r="B82" s="85"/>
      <c r="C82" s="85"/>
      <c r="D82" s="85"/>
      <c r="E82" s="194"/>
      <c r="F82" s="103">
        <f>SUM(F77:F81)</f>
        <v>1854854.0808279996</v>
      </c>
      <c r="G82" s="89"/>
      <c r="H82" s="90"/>
    </row>
    <row r="83" spans="2:8" ht="18" x14ac:dyDescent="0.25">
      <c r="B83" s="85"/>
      <c r="C83" s="85"/>
      <c r="D83" s="85"/>
      <c r="E83" s="85"/>
      <c r="F83" s="92"/>
      <c r="G83" s="90"/>
      <c r="H83" s="90"/>
    </row>
    <row r="84" spans="2:8" ht="18" x14ac:dyDescent="0.25">
      <c r="B84" s="85"/>
      <c r="C84" s="85"/>
      <c r="D84" s="85"/>
      <c r="E84" s="85"/>
      <c r="F84" s="92"/>
      <c r="G84" s="90"/>
      <c r="H84" s="90"/>
    </row>
    <row r="85" spans="2:8" ht="7.5" customHeight="1" x14ac:dyDescent="0.25">
      <c r="B85" s="85"/>
      <c r="C85" s="85"/>
      <c r="D85" s="85"/>
      <c r="E85" s="85"/>
      <c r="F85" s="92"/>
      <c r="G85" s="90"/>
      <c r="H85" s="90"/>
    </row>
    <row r="86" spans="2:8" ht="12.75" customHeight="1" x14ac:dyDescent="0.25">
      <c r="B86" s="85"/>
      <c r="C86" s="85"/>
      <c r="D86" s="85"/>
      <c r="E86" s="85"/>
      <c r="F86" s="92"/>
      <c r="G86" s="90"/>
      <c r="H86" s="90"/>
    </row>
    <row r="87" spans="2:8" ht="19.5" customHeight="1" x14ac:dyDescent="0.25">
      <c r="B87" s="85"/>
      <c r="C87" s="85"/>
      <c r="D87" s="85"/>
      <c r="E87" s="85"/>
      <c r="F87" s="92"/>
      <c r="G87" s="90"/>
      <c r="H87" s="90"/>
    </row>
    <row r="88" spans="2:8" ht="18" x14ac:dyDescent="0.25">
      <c r="B88" s="85" t="str">
        <f>+B73</f>
        <v>Eduardo Sanchez</v>
      </c>
      <c r="C88" s="85"/>
      <c r="D88" s="85"/>
      <c r="E88" s="85" t="str">
        <f>+B73</f>
        <v>Eduardo Sanchez</v>
      </c>
      <c r="F88" s="85"/>
      <c r="G88" s="85"/>
      <c r="H88" s="90"/>
    </row>
    <row r="89" spans="2:8" ht="18" x14ac:dyDescent="0.25">
      <c r="B89" s="85"/>
      <c r="C89" s="85"/>
      <c r="D89" s="85"/>
      <c r="E89" s="194"/>
      <c r="F89" s="85"/>
      <c r="G89" s="92"/>
      <c r="H89" s="90" t="str">
        <f>+D90</f>
        <v>Unid. 2</v>
      </c>
    </row>
    <row r="90" spans="2:8" ht="18" x14ac:dyDescent="0.25">
      <c r="B90" s="85" t="str">
        <f>+E1</f>
        <v>Lima 461 C:A:B:A:</v>
      </c>
      <c r="C90" s="85"/>
      <c r="D90" s="90" t="s">
        <v>85</v>
      </c>
      <c r="E90" s="85" t="str">
        <f>+E1</f>
        <v>Lima 461 C:A:B:A:</v>
      </c>
      <c r="F90" s="85"/>
      <c r="G90" s="85"/>
      <c r="H90" s="90" t="str">
        <f>+H74</f>
        <v>Local</v>
      </c>
    </row>
    <row r="91" spans="2:8" ht="18" x14ac:dyDescent="0.25">
      <c r="B91" s="85"/>
      <c r="C91" s="85"/>
      <c r="D91" s="90" t="str">
        <f>+H74</f>
        <v>Local</v>
      </c>
      <c r="E91" s="194"/>
      <c r="F91" s="85"/>
      <c r="G91" s="85"/>
      <c r="H91" s="254"/>
    </row>
    <row r="92" spans="2:8" ht="6.75" customHeight="1" x14ac:dyDescent="0.25">
      <c r="B92" s="85"/>
      <c r="C92" s="85"/>
      <c r="D92" s="85"/>
      <c r="E92" s="85"/>
      <c r="F92" s="85"/>
      <c r="G92" s="85"/>
      <c r="H92" s="90"/>
    </row>
    <row r="93" spans="2:8" ht="18" x14ac:dyDescent="0.25">
      <c r="B93" s="85" t="str">
        <f>+F1</f>
        <v>P/Depósito/transferencia en Bco Santander Rio</v>
      </c>
      <c r="C93" s="85"/>
      <c r="D93" s="85"/>
      <c r="E93" s="85"/>
      <c r="F93" s="148"/>
      <c r="G93" s="85"/>
      <c r="H93" s="90"/>
    </row>
    <row r="94" spans="2:8" ht="18.75" customHeight="1" x14ac:dyDescent="0.25">
      <c r="B94" s="85" t="str">
        <f>+F2</f>
        <v>Cta. Cte. $ N° 210-1950/3</v>
      </c>
      <c r="C94" s="85"/>
      <c r="D94" s="85"/>
      <c r="E94" s="148"/>
      <c r="F94" s="194"/>
      <c r="G94" s="90"/>
      <c r="H94" s="148"/>
    </row>
    <row r="95" spans="2:8" ht="18" x14ac:dyDescent="0.25">
      <c r="B95" s="85" t="str">
        <f>+F3</f>
        <v>CBU 0720210220000000195036</v>
      </c>
      <c r="C95" s="85"/>
      <c r="D95" s="85"/>
      <c r="E95" s="85" t="s">
        <v>200</v>
      </c>
      <c r="F95" s="106">
        <f>+F77</f>
        <v>1854854.0808279996</v>
      </c>
      <c r="G95" s="149"/>
      <c r="H95" s="99">
        <f>+D1</f>
        <v>46188</v>
      </c>
    </row>
    <row r="96" spans="2:8" ht="18" x14ac:dyDescent="0.25">
      <c r="B96" s="85" t="str">
        <f>+F4</f>
        <v>CUIT: 30-53267348-4</v>
      </c>
      <c r="C96" s="85"/>
      <c r="D96" s="85"/>
      <c r="E96" s="85" t="s">
        <v>201</v>
      </c>
      <c r="F96" s="106">
        <f>+F78</f>
        <v>0</v>
      </c>
      <c r="G96" s="194"/>
      <c r="H96" s="90"/>
    </row>
    <row r="97" spans="1:9" ht="18" x14ac:dyDescent="0.25">
      <c r="B97" s="85"/>
      <c r="C97" s="85"/>
      <c r="D97" s="85"/>
      <c r="E97" s="85" t="s">
        <v>81</v>
      </c>
      <c r="F97" s="106">
        <f>+F80</f>
        <v>0</v>
      </c>
      <c r="G97" s="85"/>
      <c r="H97" s="90"/>
    </row>
    <row r="98" spans="1:9" ht="18" x14ac:dyDescent="0.25">
      <c r="B98" s="148"/>
      <c r="C98" s="148"/>
      <c r="D98" s="148"/>
      <c r="E98" s="85" t="s">
        <v>82</v>
      </c>
      <c r="F98" s="106">
        <f>+'RES CUENTA'!R16</f>
        <v>0</v>
      </c>
      <c r="G98" s="85"/>
      <c r="H98" s="90"/>
    </row>
    <row r="99" spans="1:9" ht="18" x14ac:dyDescent="0.25">
      <c r="B99" s="194"/>
      <c r="C99" s="194"/>
      <c r="D99" s="85"/>
      <c r="E99" s="85" t="s">
        <v>188</v>
      </c>
      <c r="F99" s="166">
        <f>+F79</f>
        <v>0</v>
      </c>
      <c r="G99" s="85"/>
      <c r="H99" s="90"/>
    </row>
    <row r="100" spans="1:9" ht="18" x14ac:dyDescent="0.25">
      <c r="B100" s="99">
        <f>+$G$30</f>
        <v>46188</v>
      </c>
      <c r="C100" s="105">
        <f>+F82</f>
        <v>1854854.0808279996</v>
      </c>
      <c r="D100" s="85"/>
      <c r="E100" s="85" t="s">
        <v>83</v>
      </c>
      <c r="F100" s="106">
        <f>+F82</f>
        <v>1854854.0808279996</v>
      </c>
      <c r="G100" s="85"/>
      <c r="H100" s="90"/>
    </row>
    <row r="101" spans="1:9" ht="18" x14ac:dyDescent="0.25">
      <c r="B101" s="85"/>
      <c r="C101" s="85"/>
      <c r="D101" s="85"/>
      <c r="E101" s="85"/>
      <c r="F101" s="85"/>
      <c r="G101" s="85"/>
      <c r="H101" s="90"/>
    </row>
    <row r="102" spans="1:9" ht="18" x14ac:dyDescent="0.25">
      <c r="B102" s="85"/>
      <c r="C102" s="85"/>
      <c r="D102" s="85"/>
      <c r="E102" s="102"/>
      <c r="F102" s="85"/>
      <c r="G102" s="85"/>
      <c r="H102" s="90"/>
    </row>
    <row r="103" spans="1:9" ht="18" x14ac:dyDescent="0.25">
      <c r="B103" s="85"/>
      <c r="C103" s="85"/>
      <c r="D103" s="85"/>
      <c r="E103" s="85"/>
      <c r="F103" s="85"/>
      <c r="G103" s="85"/>
      <c r="H103" s="94"/>
    </row>
    <row r="104" spans="1:9" ht="18" x14ac:dyDescent="0.25">
      <c r="E104" s="85"/>
      <c r="G104" s="94"/>
      <c r="H104" s="90"/>
    </row>
    <row r="105" spans="1:9" ht="18" x14ac:dyDescent="0.25">
      <c r="A105" s="183"/>
      <c r="G105" s="85"/>
    </row>
    <row r="106" spans="1:9" ht="14.25" customHeight="1" x14ac:dyDescent="0.2">
      <c r="B106" s="194"/>
      <c r="C106" s="194"/>
      <c r="D106" s="194"/>
      <c r="E106" s="194"/>
      <c r="F106" s="194"/>
      <c r="G106" s="194"/>
      <c r="H106" s="254"/>
    </row>
    <row r="107" spans="1:9" ht="18" x14ac:dyDescent="0.25">
      <c r="B107" s="334"/>
      <c r="C107" s="334"/>
      <c r="D107" s="334"/>
      <c r="E107" s="340">
        <f>+$B$1</f>
        <v>46143</v>
      </c>
      <c r="F107" s="85"/>
      <c r="G107" s="337">
        <f>+$D$1</f>
        <v>46188</v>
      </c>
      <c r="H107" s="90"/>
      <c r="I107" s="81"/>
    </row>
    <row r="108" spans="1:9" ht="18" x14ac:dyDescent="0.25">
      <c r="B108" s="147"/>
      <c r="C108" s="147"/>
      <c r="D108" s="100"/>
      <c r="E108" s="340"/>
      <c r="F108" s="85"/>
      <c r="G108" s="337"/>
      <c r="H108" s="90"/>
      <c r="I108" s="81"/>
    </row>
    <row r="109" spans="1:9" ht="18.75" customHeight="1" x14ac:dyDescent="0.25">
      <c r="B109" s="85"/>
      <c r="C109" s="85"/>
      <c r="D109" s="85"/>
      <c r="E109" s="85"/>
      <c r="F109" s="85"/>
      <c r="G109" s="85"/>
      <c r="H109" s="90"/>
      <c r="I109" s="81"/>
    </row>
    <row r="110" spans="1:9" ht="24" customHeight="1" x14ac:dyDescent="0.25">
      <c r="B110" s="194"/>
      <c r="C110" s="85"/>
      <c r="D110" s="85"/>
      <c r="E110" s="85"/>
      <c r="F110" s="85"/>
      <c r="G110" s="85"/>
      <c r="H110" s="90"/>
      <c r="I110" s="81"/>
    </row>
    <row r="111" spans="1:9" ht="20.25" customHeight="1" x14ac:dyDescent="0.25">
      <c r="B111" s="85" t="str">
        <f>+B4</f>
        <v>Benjamin Fernandez</v>
      </c>
      <c r="C111" s="85"/>
      <c r="D111" s="85"/>
      <c r="E111" s="85" t="str">
        <f>+E34</f>
        <v>Lima 461 C:A:B:A:</v>
      </c>
      <c r="F111" s="85"/>
      <c r="G111" s="85"/>
      <c r="H111" s="90" t="s">
        <v>86</v>
      </c>
      <c r="I111" s="81"/>
    </row>
    <row r="112" spans="1:9" ht="18" x14ac:dyDescent="0.25">
      <c r="B112" s="85"/>
      <c r="C112" s="85"/>
      <c r="D112" s="85"/>
      <c r="E112" s="85"/>
      <c r="F112" s="85"/>
      <c r="G112" s="85"/>
      <c r="H112" s="161" t="str">
        <f>+'RES CUENTA'!A17</f>
        <v>1A</v>
      </c>
      <c r="I112" s="81"/>
    </row>
    <row r="113" spans="2:9" ht="18" x14ac:dyDescent="0.25">
      <c r="B113" s="90"/>
      <c r="C113" s="85"/>
      <c r="D113" s="90"/>
      <c r="E113" s="85"/>
      <c r="F113" s="85"/>
      <c r="G113" s="85"/>
      <c r="H113" s="90"/>
      <c r="I113" s="81"/>
    </row>
    <row r="114" spans="2:9" ht="18" x14ac:dyDescent="0.25">
      <c r="B114" s="90"/>
      <c r="C114" s="85"/>
      <c r="D114" s="90"/>
      <c r="E114" s="85"/>
      <c r="F114" s="85"/>
      <c r="G114" s="85"/>
      <c r="H114" s="90"/>
      <c r="I114" s="81"/>
    </row>
    <row r="115" spans="2:9" ht="18" x14ac:dyDescent="0.25">
      <c r="B115" s="85" t="s">
        <v>225</v>
      </c>
      <c r="C115" s="85"/>
      <c r="D115" s="103">
        <f>+'RES CUENTA'!L25</f>
        <v>10859801.41</v>
      </c>
      <c r="E115" s="88">
        <f>+'RES CUENTA'!G17</f>
        <v>8.19</v>
      </c>
      <c r="F115" s="103">
        <f>+D115*E115/100</f>
        <v>889417.73547899991</v>
      </c>
      <c r="G115" s="338"/>
      <c r="H115" s="338"/>
      <c r="I115" s="81"/>
    </row>
    <row r="116" spans="2:9" ht="18" x14ac:dyDescent="0.25">
      <c r="B116" s="85" t="s">
        <v>226</v>
      </c>
      <c r="C116" s="85"/>
      <c r="D116" s="103">
        <f>+'RES CUENTA'!M25</f>
        <v>125000</v>
      </c>
      <c r="E116" s="88">
        <f>+'RES CUENTA'!H17</f>
        <v>12.44</v>
      </c>
      <c r="F116" s="103">
        <f>+D116*E116/100</f>
        <v>15550</v>
      </c>
      <c r="G116" s="341"/>
      <c r="H116" s="341"/>
      <c r="I116" s="81"/>
    </row>
    <row r="117" spans="2:9" ht="18" x14ac:dyDescent="0.25">
      <c r="B117" s="85" t="s">
        <v>202</v>
      </c>
      <c r="C117" s="194"/>
      <c r="D117" s="103">
        <f>+'RES CUENTA'!N17</f>
        <v>0</v>
      </c>
      <c r="E117" s="88">
        <v>0</v>
      </c>
      <c r="F117" s="103">
        <f>+D117</f>
        <v>0</v>
      </c>
      <c r="G117" s="341"/>
      <c r="H117" s="341"/>
      <c r="I117" s="81"/>
    </row>
    <row r="118" spans="2:9" ht="18" x14ac:dyDescent="0.25">
      <c r="B118" s="85" t="s">
        <v>269</v>
      </c>
      <c r="C118" s="194"/>
      <c r="D118" s="103">
        <v>0</v>
      </c>
      <c r="E118" s="88">
        <v>0</v>
      </c>
      <c r="F118" s="103">
        <v>0</v>
      </c>
      <c r="G118" s="341"/>
      <c r="H118" s="341"/>
      <c r="I118" s="81"/>
    </row>
    <row r="119" spans="2:9" ht="18" x14ac:dyDescent="0.25">
      <c r="B119" s="85" t="s">
        <v>79</v>
      </c>
      <c r="C119" s="85"/>
      <c r="D119" s="103">
        <f>+'RES CUENTA'!Q17</f>
        <v>-29700</v>
      </c>
      <c r="E119" s="85">
        <v>0</v>
      </c>
      <c r="F119" s="103">
        <f>+D119</f>
        <v>-29700</v>
      </c>
      <c r="G119" s="341"/>
      <c r="H119" s="341"/>
      <c r="I119" s="81"/>
    </row>
    <row r="120" spans="2:9" ht="18" x14ac:dyDescent="0.25">
      <c r="B120" s="85" t="s">
        <v>80</v>
      </c>
      <c r="C120" s="85"/>
      <c r="D120" s="103">
        <f>+'RES CUENTA'!R17</f>
        <v>0</v>
      </c>
      <c r="E120" s="85">
        <v>0</v>
      </c>
      <c r="F120" s="165">
        <f>+D120</f>
        <v>0</v>
      </c>
      <c r="G120" s="338"/>
      <c r="H120" s="338"/>
      <c r="I120" s="81"/>
    </row>
    <row r="121" spans="2:9" ht="18" x14ac:dyDescent="0.25">
      <c r="B121" s="85"/>
      <c r="C121" s="85"/>
      <c r="D121" s="85"/>
      <c r="E121" s="92"/>
      <c r="F121" s="103">
        <f>SUM(F115:F120)</f>
        <v>875267.73547899991</v>
      </c>
      <c r="G121" s="90"/>
      <c r="H121" s="90"/>
      <c r="I121" s="81"/>
    </row>
    <row r="122" spans="2:9" ht="18.75" customHeight="1" x14ac:dyDescent="0.25">
      <c r="B122" s="85"/>
      <c r="C122" s="85"/>
      <c r="D122" s="85"/>
      <c r="E122" s="85"/>
      <c r="F122" s="87"/>
      <c r="G122" s="90"/>
      <c r="H122" s="90"/>
      <c r="I122" s="81"/>
    </row>
    <row r="123" spans="2:9" ht="18.75" customHeight="1" x14ac:dyDescent="0.25">
      <c r="B123" s="85"/>
      <c r="C123" s="85"/>
      <c r="D123" s="85"/>
      <c r="E123" s="85"/>
      <c r="F123" s="87"/>
      <c r="G123" s="90"/>
      <c r="H123" s="90"/>
      <c r="I123" s="81"/>
    </row>
    <row r="124" spans="2:9" ht="18" x14ac:dyDescent="0.25">
      <c r="B124" s="85"/>
      <c r="C124" s="85"/>
      <c r="D124" s="85"/>
      <c r="E124" s="85"/>
      <c r="F124" s="92"/>
      <c r="G124" s="85"/>
      <c r="H124" s="90"/>
      <c r="I124" s="81"/>
    </row>
    <row r="125" spans="2:9" ht="6.75" customHeight="1" x14ac:dyDescent="0.25">
      <c r="B125" s="85"/>
      <c r="C125" s="85"/>
      <c r="D125" s="85"/>
      <c r="E125" s="85"/>
      <c r="F125" s="92"/>
      <c r="G125" s="85"/>
      <c r="H125" s="90"/>
      <c r="I125" s="81"/>
    </row>
    <row r="126" spans="2:9" ht="15.75" customHeight="1" x14ac:dyDescent="0.25">
      <c r="B126" s="85"/>
      <c r="C126" s="85"/>
      <c r="D126" s="85"/>
      <c r="E126" s="85"/>
      <c r="F126" s="92"/>
      <c r="G126" s="85"/>
      <c r="H126" s="90"/>
      <c r="I126" s="81"/>
    </row>
    <row r="127" spans="2:9" ht="18" x14ac:dyDescent="0.25">
      <c r="B127" s="85" t="str">
        <f>+B111</f>
        <v>Benjamin Fernandez</v>
      </c>
      <c r="C127" s="339"/>
      <c r="D127" s="339"/>
      <c r="E127" s="85" t="str">
        <f>+B127</f>
        <v>Benjamin Fernandez</v>
      </c>
      <c r="F127" s="92"/>
      <c r="G127" s="85"/>
      <c r="H127" s="90"/>
      <c r="I127" s="81"/>
    </row>
    <row r="128" spans="2:9" ht="18" x14ac:dyDescent="0.25">
      <c r="B128" s="194"/>
      <c r="C128" s="85"/>
      <c r="D128" s="85"/>
      <c r="E128" s="194"/>
      <c r="F128" s="339"/>
      <c r="G128" s="339"/>
      <c r="H128" s="339"/>
      <c r="I128" s="81"/>
    </row>
    <row r="129" spans="2:9" ht="18" x14ac:dyDescent="0.25">
      <c r="B129" s="85" t="str">
        <f>+E1</f>
        <v>Lima 461 C:A:B:A:</v>
      </c>
      <c r="C129" s="85"/>
      <c r="D129" s="90" t="str">
        <f>+H111</f>
        <v>Unid. 3</v>
      </c>
      <c r="E129" s="85" t="str">
        <f>+E1</f>
        <v>Lima 461 C:A:B:A:</v>
      </c>
      <c r="F129" s="85"/>
      <c r="G129" s="85"/>
      <c r="H129" s="90" t="str">
        <f>+D129</f>
        <v>Unid. 3</v>
      </c>
      <c r="I129" s="81"/>
    </row>
    <row r="130" spans="2:9" ht="18" x14ac:dyDescent="0.25">
      <c r="B130" s="194"/>
      <c r="C130" s="194"/>
      <c r="D130" s="161" t="str">
        <f>+H130</f>
        <v>1A</v>
      </c>
      <c r="E130" s="194"/>
      <c r="F130" s="194"/>
      <c r="G130" s="194"/>
      <c r="H130" s="161" t="str">
        <f>+H112</f>
        <v>1A</v>
      </c>
      <c r="I130" s="81"/>
    </row>
    <row r="131" spans="2:9" ht="8.25" customHeight="1" x14ac:dyDescent="0.25">
      <c r="B131" s="85"/>
      <c r="C131" s="85"/>
      <c r="D131" s="85"/>
      <c r="E131" s="85"/>
      <c r="F131" s="85"/>
      <c r="G131" s="85"/>
      <c r="H131" s="254"/>
      <c r="I131" s="81"/>
    </row>
    <row r="132" spans="2:9" ht="18" x14ac:dyDescent="0.25">
      <c r="B132" s="85" t="str">
        <f>+F1</f>
        <v>P/Depósito/transferencia en Bco Santander Rio</v>
      </c>
      <c r="C132" s="85"/>
      <c r="D132" s="85"/>
      <c r="E132" s="85"/>
      <c r="F132" s="85"/>
      <c r="G132" s="85"/>
      <c r="H132" s="90"/>
      <c r="I132" s="81"/>
    </row>
    <row r="133" spans="2:9" ht="19.5" customHeight="1" x14ac:dyDescent="0.25">
      <c r="B133" s="85" t="str">
        <f>+F2</f>
        <v>Cta. Cte. $ N° 210-1950/3</v>
      </c>
      <c r="C133" s="85"/>
      <c r="D133" s="85"/>
      <c r="E133" s="148"/>
      <c r="F133" s="85"/>
      <c r="G133" s="90"/>
      <c r="H133" s="90"/>
      <c r="I133" s="81"/>
    </row>
    <row r="134" spans="2:9" ht="18" x14ac:dyDescent="0.25">
      <c r="B134" s="85" t="str">
        <f>+F3</f>
        <v>CBU 0720210220000000195036</v>
      </c>
      <c r="C134" s="85"/>
      <c r="D134" s="85"/>
      <c r="E134" s="85" t="s">
        <v>223</v>
      </c>
      <c r="F134" s="106">
        <f>+F115</f>
        <v>889417.73547899991</v>
      </c>
      <c r="G134" s="194"/>
      <c r="H134" s="99">
        <f>+D1</f>
        <v>46188</v>
      </c>
      <c r="I134" s="81"/>
    </row>
    <row r="135" spans="2:9" ht="18" x14ac:dyDescent="0.25">
      <c r="B135" s="85" t="str">
        <f>+F4</f>
        <v>CUIT: 30-53267348-4</v>
      </c>
      <c r="C135" s="85"/>
      <c r="D135" s="85"/>
      <c r="E135" s="85" t="s">
        <v>227</v>
      </c>
      <c r="F135" s="106">
        <f>+F116</f>
        <v>15550</v>
      </c>
      <c r="G135" s="194"/>
      <c r="H135" s="254"/>
      <c r="I135" s="81"/>
    </row>
    <row r="136" spans="2:9" ht="18" x14ac:dyDescent="0.25">
      <c r="B136" s="85"/>
      <c r="C136" s="85"/>
      <c r="D136" s="85"/>
      <c r="E136" s="85" t="s">
        <v>81</v>
      </c>
      <c r="F136" s="106">
        <f>+F119</f>
        <v>-29700</v>
      </c>
      <c r="G136" s="85"/>
      <c r="H136" s="90"/>
      <c r="I136" s="81"/>
    </row>
    <row r="137" spans="2:9" ht="18" x14ac:dyDescent="0.25">
      <c r="B137" s="85"/>
      <c r="C137" s="85"/>
      <c r="D137" s="85"/>
      <c r="E137" s="85" t="s">
        <v>82</v>
      </c>
      <c r="F137" s="106">
        <f>+'RES CUENTA'!R17</f>
        <v>0</v>
      </c>
      <c r="G137" s="85"/>
      <c r="H137" s="90"/>
      <c r="I137" s="81"/>
    </row>
    <row r="138" spans="2:9" ht="18" x14ac:dyDescent="0.25">
      <c r="B138" s="148"/>
      <c r="C138" s="148"/>
      <c r="D138" s="148"/>
      <c r="E138" s="85" t="s">
        <v>188</v>
      </c>
      <c r="F138" s="166">
        <f>+F117+F118</f>
        <v>0</v>
      </c>
      <c r="G138" s="85"/>
      <c r="H138" s="90"/>
      <c r="I138" s="81"/>
    </row>
    <row r="139" spans="2:9" ht="18" x14ac:dyDescent="0.25">
      <c r="B139" s="99">
        <f>+$G$30</f>
        <v>46188</v>
      </c>
      <c r="C139" s="105">
        <f>+F121</f>
        <v>875267.73547899991</v>
      </c>
      <c r="D139" s="85"/>
      <c r="E139" s="85" t="s">
        <v>83</v>
      </c>
      <c r="F139" s="106">
        <f>+F121</f>
        <v>875267.73547899991</v>
      </c>
      <c r="G139" s="85"/>
      <c r="H139" s="90"/>
      <c r="I139" s="81"/>
    </row>
    <row r="140" spans="2:9" ht="18" x14ac:dyDescent="0.25">
      <c r="B140" s="85"/>
      <c r="C140" s="85"/>
      <c r="D140" s="85"/>
      <c r="E140" s="102"/>
      <c r="F140" s="85"/>
      <c r="G140" s="85"/>
      <c r="H140" s="90"/>
      <c r="I140" s="81"/>
    </row>
    <row r="141" spans="2:9" ht="18" x14ac:dyDescent="0.25">
      <c r="B141" s="85"/>
      <c r="C141" s="85"/>
      <c r="D141" s="85"/>
      <c r="E141" s="194"/>
      <c r="F141" s="85"/>
      <c r="G141" s="85"/>
      <c r="H141" s="90"/>
      <c r="I141" s="81"/>
    </row>
    <row r="142" spans="2:9" ht="18" x14ac:dyDescent="0.25">
      <c r="B142" s="85"/>
      <c r="C142" s="85"/>
      <c r="D142" s="85"/>
      <c r="E142" s="194"/>
      <c r="F142" s="85"/>
      <c r="G142" s="85"/>
      <c r="H142" s="90"/>
      <c r="I142" s="81"/>
    </row>
    <row r="143" spans="2:9" ht="18" x14ac:dyDescent="0.25">
      <c r="B143" s="85"/>
      <c r="C143" s="85"/>
      <c r="D143" s="85"/>
      <c r="E143" s="85"/>
      <c r="F143" s="85"/>
      <c r="G143" s="338"/>
      <c r="H143" s="338"/>
      <c r="I143" s="81"/>
    </row>
    <row r="144" spans="2:9" ht="18" x14ac:dyDescent="0.25">
      <c r="B144" s="85"/>
      <c r="C144" s="85"/>
      <c r="D144" s="85"/>
      <c r="E144" s="85"/>
      <c r="F144" s="85"/>
      <c r="G144" s="85"/>
      <c r="H144" s="90"/>
      <c r="I144" s="81"/>
    </row>
    <row r="145" spans="2:9" ht="18" x14ac:dyDescent="0.25">
      <c r="B145" s="85"/>
      <c r="C145" s="85"/>
      <c r="D145" s="85"/>
      <c r="E145" s="85"/>
      <c r="F145" s="85"/>
      <c r="G145" s="85"/>
      <c r="H145" s="90"/>
      <c r="I145" s="81"/>
    </row>
    <row r="146" spans="2:9" ht="18" x14ac:dyDescent="0.25">
      <c r="B146" s="85"/>
      <c r="C146" s="85"/>
      <c r="D146" s="85"/>
      <c r="E146" s="85"/>
      <c r="F146" s="85"/>
      <c r="G146" s="85"/>
      <c r="H146" s="90"/>
      <c r="I146" s="81"/>
    </row>
    <row r="147" spans="2:9" ht="27" customHeight="1" x14ac:dyDescent="0.25">
      <c r="B147" s="85"/>
      <c r="C147" s="85"/>
      <c r="D147" s="85"/>
      <c r="E147" s="85"/>
      <c r="F147" s="85"/>
      <c r="G147" s="85"/>
      <c r="H147" s="90"/>
      <c r="I147" s="81"/>
    </row>
    <row r="148" spans="2:9" ht="18" x14ac:dyDescent="0.25">
      <c r="B148" s="334"/>
      <c r="C148" s="334"/>
      <c r="D148" s="334"/>
      <c r="E148" s="85"/>
      <c r="F148" s="85"/>
      <c r="G148" s="194"/>
      <c r="H148" s="90"/>
      <c r="I148" s="81"/>
    </row>
    <row r="149" spans="2:9" ht="18" x14ac:dyDescent="0.25">
      <c r="B149" s="334"/>
      <c r="C149" s="334"/>
      <c r="D149" s="334"/>
      <c r="E149" s="98">
        <f>+$B$1</f>
        <v>46143</v>
      </c>
      <c r="F149" s="85"/>
      <c r="G149" s="99">
        <f>+$D$1</f>
        <v>46188</v>
      </c>
      <c r="H149" s="162"/>
      <c r="I149" s="81"/>
    </row>
    <row r="150" spans="2:9" ht="15.75" customHeight="1" x14ac:dyDescent="0.25">
      <c r="B150" s="147"/>
      <c r="C150" s="147"/>
      <c r="D150" s="100"/>
      <c r="E150" s="98"/>
      <c r="F150" s="85"/>
      <c r="G150" s="194"/>
      <c r="H150" s="254"/>
    </row>
    <row r="151" spans="2:9" ht="15" customHeight="1" x14ac:dyDescent="0.25">
      <c r="B151" s="194"/>
      <c r="C151" s="85"/>
      <c r="D151" s="85"/>
      <c r="E151" s="194"/>
      <c r="F151" s="85"/>
      <c r="G151" s="194"/>
      <c r="H151" s="254"/>
    </row>
    <row r="152" spans="2:9" ht="15" customHeight="1" x14ac:dyDescent="0.25">
      <c r="B152" s="85" t="str">
        <f>+B5</f>
        <v>Franco Lippi</v>
      </c>
      <c r="C152" s="85"/>
      <c r="D152" s="85"/>
      <c r="E152" s="85" t="str">
        <f>+E1</f>
        <v>Lima 461 C:A:B:A:</v>
      </c>
      <c r="F152" s="85"/>
      <c r="G152" s="194"/>
      <c r="H152" s="90" t="s">
        <v>87</v>
      </c>
    </row>
    <row r="153" spans="2:9" ht="18" x14ac:dyDescent="0.25">
      <c r="B153" s="85"/>
      <c r="C153" s="85"/>
      <c r="D153" s="85"/>
      <c r="E153" s="194"/>
      <c r="F153" s="85"/>
      <c r="G153" s="85"/>
      <c r="H153" s="90" t="str">
        <f>+'RES CUENTA'!A18</f>
        <v>1B</v>
      </c>
    </row>
    <row r="154" spans="2:9" ht="18" x14ac:dyDescent="0.25">
      <c r="B154" s="85"/>
      <c r="C154" s="85"/>
      <c r="D154" s="85"/>
      <c r="E154" s="85"/>
      <c r="F154" s="85"/>
      <c r="G154" s="85"/>
      <c r="H154" s="90"/>
    </row>
    <row r="155" spans="2:9" ht="18" x14ac:dyDescent="0.25">
      <c r="B155" s="90"/>
      <c r="C155" s="85"/>
      <c r="D155" s="90"/>
      <c r="E155" s="85"/>
      <c r="F155" s="85"/>
      <c r="G155" s="85"/>
      <c r="H155" s="90"/>
    </row>
    <row r="156" spans="2:9" ht="18" x14ac:dyDescent="0.25">
      <c r="B156" s="85" t="s">
        <v>222</v>
      </c>
      <c r="C156" s="85"/>
      <c r="D156" s="107">
        <f>+'RES CUENTA'!L25</f>
        <v>10859801.41</v>
      </c>
      <c r="E156" s="108">
        <f>+'RES CUENTA'!G18</f>
        <v>8.19</v>
      </c>
      <c r="F156" s="103">
        <f>+D156*E156/100</f>
        <v>889417.73547899991</v>
      </c>
      <c r="G156" s="85"/>
      <c r="H156" s="90"/>
    </row>
    <row r="157" spans="2:9" ht="18" x14ac:dyDescent="0.25">
      <c r="B157" s="85" t="s">
        <v>226</v>
      </c>
      <c r="C157" s="85"/>
      <c r="D157" s="107">
        <f>+'RES CUENTA'!M25</f>
        <v>125000</v>
      </c>
      <c r="E157" s="108">
        <f>+'RES CUENTA'!H18</f>
        <v>12.44</v>
      </c>
      <c r="F157" s="103">
        <f>+D157*E157/100</f>
        <v>15550</v>
      </c>
      <c r="G157" s="90"/>
      <c r="H157" s="89"/>
    </row>
    <row r="158" spans="2:9" ht="18" x14ac:dyDescent="0.25">
      <c r="B158" s="85" t="s">
        <v>202</v>
      </c>
      <c r="C158" s="85"/>
      <c r="D158" s="107">
        <f>+'RES CUENTA'!N18</f>
        <v>0</v>
      </c>
      <c r="E158" s="108">
        <v>0</v>
      </c>
      <c r="F158" s="103">
        <f>+D158</f>
        <v>0</v>
      </c>
      <c r="G158" s="90"/>
      <c r="H158" s="89"/>
    </row>
    <row r="159" spans="2:9" ht="18" x14ac:dyDescent="0.25">
      <c r="B159" s="85" t="s">
        <v>269</v>
      </c>
      <c r="C159" s="85"/>
      <c r="D159" s="107">
        <v>0</v>
      </c>
      <c r="E159" s="108">
        <v>0</v>
      </c>
      <c r="F159" s="103">
        <v>0</v>
      </c>
      <c r="G159" s="90"/>
      <c r="H159" s="89"/>
    </row>
    <row r="160" spans="2:9" ht="18" x14ac:dyDescent="0.25">
      <c r="B160" s="85" t="s">
        <v>79</v>
      </c>
      <c r="C160" s="85"/>
      <c r="D160" s="107">
        <f>+'RES CUENTA'!Q18</f>
        <v>0</v>
      </c>
      <c r="E160" s="90">
        <v>0</v>
      </c>
      <c r="F160" s="103">
        <f>+D160</f>
        <v>0</v>
      </c>
      <c r="G160" s="89"/>
      <c r="H160" s="89"/>
    </row>
    <row r="161" spans="2:8" ht="18" x14ac:dyDescent="0.25">
      <c r="B161" s="85" t="s">
        <v>80</v>
      </c>
      <c r="C161" s="85"/>
      <c r="D161" s="107">
        <f>+'RES CUENTA'!R18</f>
        <v>0</v>
      </c>
      <c r="E161" s="90">
        <v>0</v>
      </c>
      <c r="F161" s="165">
        <f>+D161</f>
        <v>0</v>
      </c>
      <c r="G161" s="89"/>
      <c r="H161" s="90"/>
    </row>
    <row r="162" spans="2:8" ht="18" x14ac:dyDescent="0.25">
      <c r="B162" s="85"/>
      <c r="C162" s="85"/>
      <c r="D162" s="85"/>
      <c r="E162" s="194"/>
      <c r="F162" s="103">
        <f>SUM(F156:F161)</f>
        <v>904967.73547899991</v>
      </c>
      <c r="G162" s="89"/>
      <c r="H162" s="90"/>
    </row>
    <row r="163" spans="2:8" ht="18" x14ac:dyDescent="0.25">
      <c r="B163" s="85"/>
      <c r="C163" s="85"/>
      <c r="D163" s="85"/>
      <c r="E163" s="85"/>
      <c r="F163" s="92"/>
      <c r="G163" s="90"/>
      <c r="H163" s="90"/>
    </row>
    <row r="164" spans="2:8" ht="18" x14ac:dyDescent="0.25">
      <c r="B164" s="85"/>
      <c r="C164" s="85"/>
      <c r="D164" s="85"/>
      <c r="E164" s="85"/>
      <c r="F164" s="92"/>
      <c r="G164" s="90"/>
      <c r="H164" s="90"/>
    </row>
    <row r="165" spans="2:8" ht="12.75" customHeight="1" x14ac:dyDescent="0.25">
      <c r="B165" s="85"/>
      <c r="C165" s="85"/>
      <c r="D165" s="85"/>
      <c r="E165" s="85"/>
      <c r="F165" s="92"/>
      <c r="G165" s="90"/>
      <c r="H165" s="90"/>
    </row>
    <row r="166" spans="2:8" ht="12.75" customHeight="1" x14ac:dyDescent="0.25">
      <c r="B166" s="85"/>
      <c r="C166" s="85"/>
      <c r="D166" s="85"/>
      <c r="E166" s="85"/>
      <c r="F166" s="92"/>
      <c r="G166" s="90"/>
      <c r="H166" s="90"/>
    </row>
    <row r="167" spans="2:8" ht="18" x14ac:dyDescent="0.25">
      <c r="B167" s="85" t="str">
        <f>+B152</f>
        <v>Franco Lippi</v>
      </c>
      <c r="C167" s="85"/>
      <c r="D167" s="85"/>
      <c r="E167" s="85" t="str">
        <f>+B152</f>
        <v>Franco Lippi</v>
      </c>
      <c r="F167" s="85"/>
      <c r="G167" s="85"/>
      <c r="H167" s="90"/>
    </row>
    <row r="168" spans="2:8" ht="18" x14ac:dyDescent="0.25">
      <c r="B168" s="85"/>
      <c r="C168" s="85"/>
      <c r="D168" s="85"/>
      <c r="E168" s="194"/>
      <c r="F168" s="85"/>
      <c r="G168" s="92"/>
      <c r="H168" s="90" t="s">
        <v>87</v>
      </c>
    </row>
    <row r="169" spans="2:8" ht="21" customHeight="1" x14ac:dyDescent="0.25">
      <c r="B169" s="85" t="str">
        <f>+E1</f>
        <v>Lima 461 C:A:B:A:</v>
      </c>
      <c r="C169" s="85"/>
      <c r="D169" s="90" t="s">
        <v>87</v>
      </c>
      <c r="E169" s="85" t="str">
        <f>+E1</f>
        <v>Lima 461 C:A:B:A:</v>
      </c>
      <c r="F169" s="85"/>
      <c r="G169" s="85"/>
      <c r="H169" s="90" t="str">
        <f>+H153</f>
        <v>1B</v>
      </c>
    </row>
    <row r="170" spans="2:8" ht="18" x14ac:dyDescent="0.25">
      <c r="B170" s="85"/>
      <c r="C170" s="85"/>
      <c r="D170" s="90" t="str">
        <f>+H169</f>
        <v>1B</v>
      </c>
      <c r="E170" s="194"/>
      <c r="F170" s="85"/>
      <c r="G170" s="85"/>
      <c r="H170" s="254"/>
    </row>
    <row r="171" spans="2:8" ht="27" customHeight="1" x14ac:dyDescent="0.25">
      <c r="B171" s="85" t="str">
        <f>+F1</f>
        <v>P/Depósito/transferencia en Bco Santander Rio</v>
      </c>
      <c r="C171" s="85"/>
      <c r="D171" s="85"/>
      <c r="E171" s="85"/>
      <c r="F171" s="85"/>
      <c r="G171" s="85"/>
      <c r="H171" s="90"/>
    </row>
    <row r="172" spans="2:8" ht="18" x14ac:dyDescent="0.25">
      <c r="B172" s="85" t="str">
        <f>+F2</f>
        <v>Cta. Cte. $ N° 210-1950/3</v>
      </c>
      <c r="C172" s="85"/>
      <c r="D172" s="85"/>
      <c r="E172" s="85"/>
      <c r="F172" s="148"/>
      <c r="G172" s="85"/>
      <c r="H172" s="90"/>
    </row>
    <row r="173" spans="2:8" ht="18" x14ac:dyDescent="0.25">
      <c r="B173" s="85" t="str">
        <f>+F3</f>
        <v>CBU 0720210220000000195036</v>
      </c>
      <c r="C173" s="85"/>
      <c r="D173" s="85"/>
      <c r="E173" s="85" t="s">
        <v>223</v>
      </c>
      <c r="F173" s="106">
        <f>+F156</f>
        <v>889417.73547899991</v>
      </c>
      <c r="G173" s="149"/>
      <c r="H173" s="99">
        <f>+D1</f>
        <v>46188</v>
      </c>
    </row>
    <row r="174" spans="2:8" ht="18" x14ac:dyDescent="0.25">
      <c r="B174" s="85" t="str">
        <f>+F4</f>
        <v>CUIT: 30-53267348-4</v>
      </c>
      <c r="C174" s="85"/>
      <c r="D174" s="85"/>
      <c r="E174" s="85" t="s">
        <v>227</v>
      </c>
      <c r="F174" s="106">
        <f>+F157</f>
        <v>15550</v>
      </c>
      <c r="G174" s="194"/>
      <c r="H174" s="90"/>
    </row>
    <row r="175" spans="2:8" ht="18" x14ac:dyDescent="0.25">
      <c r="B175" s="194"/>
      <c r="C175" s="85"/>
      <c r="D175" s="85"/>
      <c r="E175" s="85" t="s">
        <v>81</v>
      </c>
      <c r="F175" s="106">
        <f>+F160</f>
        <v>0</v>
      </c>
      <c r="G175" s="85"/>
      <c r="H175" s="90"/>
    </row>
    <row r="176" spans="2:8" ht="18" x14ac:dyDescent="0.25">
      <c r="B176" s="148"/>
      <c r="C176" s="148"/>
      <c r="D176" s="148"/>
      <c r="E176" s="85" t="s">
        <v>82</v>
      </c>
      <c r="F176" s="106">
        <f>+'RES CUENTA'!R18</f>
        <v>0</v>
      </c>
      <c r="G176" s="85"/>
      <c r="H176" s="90"/>
    </row>
    <row r="177" spans="1:8" ht="18" x14ac:dyDescent="0.25">
      <c r="B177" s="194"/>
      <c r="C177" s="194"/>
      <c r="D177" s="85"/>
      <c r="E177" s="85" t="s">
        <v>188</v>
      </c>
      <c r="F177" s="166">
        <f>+F158+F159</f>
        <v>0</v>
      </c>
      <c r="G177" s="85"/>
      <c r="H177" s="90"/>
    </row>
    <row r="178" spans="1:8" ht="18" x14ac:dyDescent="0.25">
      <c r="B178" s="99">
        <f>+$G$30</f>
        <v>46188</v>
      </c>
      <c r="C178" s="105">
        <f>+F162</f>
        <v>904967.73547899991</v>
      </c>
      <c r="D178" s="85"/>
      <c r="E178" s="85" t="s">
        <v>83</v>
      </c>
      <c r="F178" s="106">
        <f>+F162</f>
        <v>904967.73547899991</v>
      </c>
      <c r="G178" s="85"/>
      <c r="H178" s="90"/>
    </row>
    <row r="179" spans="1:8" ht="18" x14ac:dyDescent="0.25">
      <c r="B179" s="85"/>
      <c r="C179" s="85"/>
      <c r="D179" s="85"/>
      <c r="E179" s="85"/>
      <c r="F179" s="85"/>
      <c r="G179" s="85"/>
      <c r="H179" s="90"/>
    </row>
    <row r="180" spans="1:8" ht="18" x14ac:dyDescent="0.25">
      <c r="B180" s="85"/>
      <c r="C180" s="85"/>
      <c r="D180" s="85"/>
      <c r="E180" s="102"/>
      <c r="F180" s="85"/>
      <c r="G180" s="85"/>
      <c r="H180" s="90"/>
    </row>
    <row r="181" spans="1:8" ht="18" x14ac:dyDescent="0.25">
      <c r="B181" s="85"/>
      <c r="C181" s="85"/>
      <c r="D181" s="85"/>
      <c r="E181" s="85"/>
      <c r="F181" s="85"/>
      <c r="G181" s="85"/>
      <c r="H181" s="94"/>
    </row>
    <row r="182" spans="1:8" ht="18" x14ac:dyDescent="0.25">
      <c r="A182" s="188"/>
      <c r="E182" s="85"/>
      <c r="G182" s="94"/>
      <c r="H182" s="90"/>
    </row>
    <row r="183" spans="1:8" ht="9.75" customHeight="1" x14ac:dyDescent="0.2">
      <c r="B183" s="194"/>
      <c r="C183" s="194"/>
      <c r="D183" s="194"/>
      <c r="E183" s="194"/>
      <c r="F183" s="194"/>
      <c r="G183" s="194"/>
      <c r="H183" s="254"/>
    </row>
    <row r="184" spans="1:8" ht="7.5" customHeight="1" x14ac:dyDescent="0.2">
      <c r="B184" s="194"/>
      <c r="C184" s="194"/>
      <c r="D184" s="194"/>
      <c r="E184" s="194"/>
      <c r="F184" s="194"/>
      <c r="G184" s="194"/>
      <c r="H184" s="254"/>
    </row>
    <row r="185" spans="1:8" ht="18" x14ac:dyDescent="0.25">
      <c r="B185" s="334"/>
      <c r="C185" s="334"/>
      <c r="D185" s="334"/>
      <c r="E185" s="336">
        <f>+$B$1</f>
        <v>46143</v>
      </c>
      <c r="F185" s="85"/>
      <c r="G185" s="337">
        <f>+$D$1</f>
        <v>46188</v>
      </c>
      <c r="H185" s="90"/>
    </row>
    <row r="186" spans="1:8" ht="18" x14ac:dyDescent="0.25">
      <c r="B186" s="147"/>
      <c r="C186" s="147"/>
      <c r="D186" s="100"/>
      <c r="E186" s="336"/>
      <c r="F186" s="85"/>
      <c r="G186" s="337"/>
      <c r="H186" s="90"/>
    </row>
    <row r="187" spans="1:8" ht="18" x14ac:dyDescent="0.25">
      <c r="B187" s="85"/>
      <c r="C187" s="85"/>
      <c r="D187" s="85"/>
      <c r="E187" s="85"/>
      <c r="F187" s="85"/>
      <c r="G187" s="85"/>
      <c r="H187" s="90"/>
    </row>
    <row r="188" spans="1:8" ht="26.25" customHeight="1" x14ac:dyDescent="0.25">
      <c r="B188" s="194"/>
      <c r="C188" s="85"/>
      <c r="D188" s="85"/>
      <c r="E188" s="85"/>
      <c r="F188" s="85"/>
      <c r="G188" s="85"/>
      <c r="H188" s="90"/>
    </row>
    <row r="189" spans="1:8" ht="18" x14ac:dyDescent="0.25">
      <c r="B189" s="85" t="str">
        <f>+B6</f>
        <v>Antonella Denegri</v>
      </c>
      <c r="C189" s="85"/>
      <c r="D189" s="85"/>
      <c r="E189" s="85" t="str">
        <f>+E34</f>
        <v>Lima 461 C:A:B:A:</v>
      </c>
      <c r="F189" s="85"/>
      <c r="G189" s="85"/>
      <c r="H189" s="90" t="s">
        <v>88</v>
      </c>
    </row>
    <row r="190" spans="1:8" ht="18" x14ac:dyDescent="0.25">
      <c r="B190" s="85"/>
      <c r="C190" s="85"/>
      <c r="D190" s="85"/>
      <c r="E190" s="85"/>
      <c r="F190" s="85"/>
      <c r="G190" s="85"/>
      <c r="H190" s="90" t="str">
        <f>+'RES CUENTA'!A19</f>
        <v>2C</v>
      </c>
    </row>
    <row r="191" spans="1:8" ht="18" x14ac:dyDescent="0.25">
      <c r="B191" s="90"/>
      <c r="C191" s="85"/>
      <c r="D191" s="90"/>
      <c r="E191" s="85"/>
      <c r="F191" s="85"/>
      <c r="G191" s="85"/>
      <c r="H191" s="90"/>
    </row>
    <row r="192" spans="1:8" ht="18" x14ac:dyDescent="0.25">
      <c r="B192" s="90"/>
      <c r="C192" s="85"/>
      <c r="D192" s="90"/>
      <c r="E192" s="85"/>
      <c r="F192" s="85"/>
      <c r="G192" s="85"/>
      <c r="H192" s="90"/>
    </row>
    <row r="193" spans="2:8" ht="18" x14ac:dyDescent="0.25">
      <c r="B193" s="85" t="s">
        <v>222</v>
      </c>
      <c r="C193" s="85"/>
      <c r="D193" s="107">
        <f>+'RES CUENTA'!L25</f>
        <v>10859801.41</v>
      </c>
      <c r="E193" s="108">
        <f>+'RES CUENTA'!G19</f>
        <v>8.27</v>
      </c>
      <c r="F193" s="103">
        <f>+D193*E193/100</f>
        <v>898105.57660699997</v>
      </c>
      <c r="G193" s="338"/>
      <c r="H193" s="338"/>
    </row>
    <row r="194" spans="2:8" ht="18" x14ac:dyDescent="0.25">
      <c r="B194" s="85" t="s">
        <v>226</v>
      </c>
      <c r="C194" s="85"/>
      <c r="D194" s="107">
        <f>+'RES CUENTA'!M25</f>
        <v>125000</v>
      </c>
      <c r="E194" s="108">
        <f>+'RES CUENTA'!H19</f>
        <v>12.56</v>
      </c>
      <c r="F194" s="103">
        <f>+D194*E194/100</f>
        <v>15700</v>
      </c>
      <c r="G194" s="341"/>
      <c r="H194" s="341"/>
    </row>
    <row r="195" spans="2:8" ht="18" x14ac:dyDescent="0.25">
      <c r="B195" s="85" t="s">
        <v>202</v>
      </c>
      <c r="C195" s="85"/>
      <c r="D195" s="107">
        <f>+'RES CUENTA'!N19</f>
        <v>0</v>
      </c>
      <c r="E195" s="108">
        <v>0</v>
      </c>
      <c r="F195" s="103">
        <f>+D195</f>
        <v>0</v>
      </c>
      <c r="G195" s="341"/>
      <c r="H195" s="341"/>
    </row>
    <row r="196" spans="2:8" ht="18" x14ac:dyDescent="0.25">
      <c r="B196" s="85" t="s">
        <v>296</v>
      </c>
      <c r="C196" s="85"/>
      <c r="D196" s="107">
        <v>0</v>
      </c>
      <c r="E196" s="90">
        <v>0</v>
      </c>
      <c r="F196" s="103">
        <f>+'RES CUENTA'!O19</f>
        <v>0</v>
      </c>
      <c r="G196" s="341"/>
      <c r="H196" s="341"/>
    </row>
    <row r="197" spans="2:8" ht="18" x14ac:dyDescent="0.25">
      <c r="B197" s="85" t="s">
        <v>79</v>
      </c>
      <c r="C197" s="85"/>
      <c r="D197" s="107">
        <f>+'RES CUENTA'!Q19</f>
        <v>0</v>
      </c>
      <c r="E197" s="90">
        <v>0</v>
      </c>
      <c r="F197" s="103">
        <f>+'RES CUENTA'!Q19</f>
        <v>0</v>
      </c>
      <c r="G197" s="341"/>
      <c r="H197" s="341"/>
    </row>
    <row r="198" spans="2:8" ht="18" x14ac:dyDescent="0.25">
      <c r="B198" s="85" t="s">
        <v>80</v>
      </c>
      <c r="C198" s="85"/>
      <c r="D198" s="107">
        <v>0</v>
      </c>
      <c r="E198" s="90">
        <v>0</v>
      </c>
      <c r="F198" s="165">
        <f>+'RES CUENTA'!R19</f>
        <v>0</v>
      </c>
      <c r="G198" s="338"/>
      <c r="H198" s="338"/>
    </row>
    <row r="199" spans="2:8" ht="18" x14ac:dyDescent="0.25">
      <c r="B199" s="85"/>
      <c r="C199" s="85"/>
      <c r="D199" s="85"/>
      <c r="E199" s="92"/>
      <c r="F199" s="103">
        <f>SUM(F193:F198)</f>
        <v>913805.57660699997</v>
      </c>
      <c r="G199" s="90"/>
      <c r="H199" s="90"/>
    </row>
    <row r="200" spans="2:8" ht="18" x14ac:dyDescent="0.25">
      <c r="B200" s="85"/>
      <c r="C200" s="85"/>
      <c r="D200" s="85"/>
      <c r="E200" s="85"/>
      <c r="F200" s="92"/>
      <c r="G200" s="85"/>
      <c r="H200" s="90"/>
    </row>
    <row r="201" spans="2:8" ht="18" x14ac:dyDescent="0.25">
      <c r="B201" s="85"/>
      <c r="C201" s="85"/>
      <c r="D201" s="85"/>
      <c r="E201" s="85"/>
      <c r="F201" s="92"/>
      <c r="G201" s="85"/>
      <c r="H201" s="90"/>
    </row>
    <row r="202" spans="2:8" ht="9" customHeight="1" x14ac:dyDescent="0.25">
      <c r="B202" s="85"/>
      <c r="C202" s="85"/>
      <c r="D202" s="85"/>
      <c r="E202" s="85"/>
      <c r="F202" s="92"/>
      <c r="G202" s="85"/>
      <c r="H202" s="90"/>
    </row>
    <row r="203" spans="2:8" ht="9" customHeight="1" x14ac:dyDescent="0.25">
      <c r="B203" s="85"/>
      <c r="C203" s="85"/>
      <c r="D203" s="85"/>
      <c r="E203" s="85"/>
      <c r="F203" s="92"/>
      <c r="G203" s="85"/>
      <c r="H203" s="90"/>
    </row>
    <row r="204" spans="2:8" ht="9" customHeight="1" x14ac:dyDescent="0.25">
      <c r="B204" s="85"/>
      <c r="C204" s="85"/>
      <c r="D204" s="85"/>
      <c r="E204" s="85"/>
      <c r="F204" s="92"/>
      <c r="G204" s="85"/>
      <c r="H204" s="90"/>
    </row>
    <row r="205" spans="2:8" ht="18" x14ac:dyDescent="0.25">
      <c r="B205" s="85" t="str">
        <f>+B189</f>
        <v>Antonella Denegri</v>
      </c>
      <c r="C205" s="339"/>
      <c r="D205" s="339"/>
      <c r="E205" s="85" t="str">
        <f>+B205</f>
        <v>Antonella Denegri</v>
      </c>
      <c r="F205" s="92"/>
      <c r="G205" s="85"/>
      <c r="H205" s="90"/>
    </row>
    <row r="206" spans="2:8" ht="18" x14ac:dyDescent="0.25">
      <c r="B206" s="194"/>
      <c r="C206" s="85"/>
      <c r="D206" s="85"/>
      <c r="E206" s="194"/>
      <c r="F206" s="339"/>
      <c r="G206" s="339"/>
      <c r="H206" s="339"/>
    </row>
    <row r="207" spans="2:8" ht="18" x14ac:dyDescent="0.25">
      <c r="B207" s="85" t="str">
        <f>+E1</f>
        <v>Lima 461 C:A:B:A:</v>
      </c>
      <c r="C207" s="85"/>
      <c r="D207" s="90" t="str">
        <f>+H189</f>
        <v>Unid. 5</v>
      </c>
      <c r="E207" s="85" t="str">
        <f>+E1</f>
        <v>Lima 461 C:A:B:A:</v>
      </c>
      <c r="F207" s="85"/>
      <c r="G207" s="85"/>
      <c r="H207" s="90" t="str">
        <f>+D207</f>
        <v>Unid. 5</v>
      </c>
    </row>
    <row r="208" spans="2:8" ht="18" x14ac:dyDescent="0.25">
      <c r="B208" s="194"/>
      <c r="C208" s="194"/>
      <c r="D208" s="90" t="str">
        <f>+H208</f>
        <v>2C</v>
      </c>
      <c r="E208" s="194"/>
      <c r="F208" s="194"/>
      <c r="G208" s="194"/>
      <c r="H208" s="90" t="str">
        <f>+H190</f>
        <v>2C</v>
      </c>
    </row>
    <row r="209" spans="2:8" ht="11.25" customHeight="1" x14ac:dyDescent="0.25">
      <c r="B209" s="85"/>
      <c r="C209" s="85"/>
      <c r="D209" s="90"/>
      <c r="E209" s="85"/>
      <c r="F209" s="85"/>
      <c r="G209" s="85"/>
      <c r="H209" s="254"/>
    </row>
    <row r="210" spans="2:8" ht="18" x14ac:dyDescent="0.25">
      <c r="B210" s="85" t="str">
        <f>+F1</f>
        <v>P/Depósito/transferencia en Bco Santander Rio</v>
      </c>
      <c r="C210" s="85"/>
      <c r="D210" s="85"/>
      <c r="E210" s="85"/>
      <c r="F210" s="85"/>
      <c r="G210" s="85"/>
      <c r="H210" s="90"/>
    </row>
    <row r="211" spans="2:8" ht="18.75" customHeight="1" x14ac:dyDescent="0.25">
      <c r="B211" s="85" t="str">
        <f>+F2</f>
        <v>Cta. Cte. $ N° 210-1950/3</v>
      </c>
      <c r="C211" s="85"/>
      <c r="D211" s="85"/>
      <c r="E211" s="148"/>
      <c r="F211" s="85"/>
      <c r="G211" s="90"/>
      <c r="H211" s="90"/>
    </row>
    <row r="212" spans="2:8" ht="18" x14ac:dyDescent="0.25">
      <c r="B212" s="85" t="str">
        <f>+F3</f>
        <v>CBU 0720210220000000195036</v>
      </c>
      <c r="C212" s="85"/>
      <c r="D212" s="85"/>
      <c r="E212" s="85" t="s">
        <v>223</v>
      </c>
      <c r="F212" s="106">
        <f>+F193</f>
        <v>898105.57660699997</v>
      </c>
      <c r="G212" s="194"/>
      <c r="H212" s="99">
        <f>+D1</f>
        <v>46188</v>
      </c>
    </row>
    <row r="213" spans="2:8" ht="18" x14ac:dyDescent="0.25">
      <c r="B213" s="85" t="str">
        <f>+F4</f>
        <v>CUIT: 30-53267348-4</v>
      </c>
      <c r="C213" s="85"/>
      <c r="D213" s="85"/>
      <c r="E213" s="85" t="s">
        <v>227</v>
      </c>
      <c r="F213" s="106">
        <f>+F194</f>
        <v>15700</v>
      </c>
      <c r="G213" s="194"/>
      <c r="H213" s="254"/>
    </row>
    <row r="214" spans="2:8" ht="18" x14ac:dyDescent="0.25">
      <c r="B214" s="85"/>
      <c r="C214" s="85"/>
      <c r="D214" s="85"/>
      <c r="E214" s="85" t="s">
        <v>81</v>
      </c>
      <c r="F214" s="106">
        <f>+F197</f>
        <v>0</v>
      </c>
      <c r="G214" s="85"/>
      <c r="H214" s="90"/>
    </row>
    <row r="215" spans="2:8" ht="18" x14ac:dyDescent="0.25">
      <c r="B215" s="85"/>
      <c r="C215" s="85"/>
      <c r="D215" s="85"/>
      <c r="E215" s="85" t="s">
        <v>82</v>
      </c>
      <c r="F215" s="106">
        <f>+F198</f>
        <v>0</v>
      </c>
      <c r="G215" s="85"/>
      <c r="H215" s="90"/>
    </row>
    <row r="216" spans="2:8" ht="18" x14ac:dyDescent="0.25">
      <c r="B216" s="148"/>
      <c r="C216" s="148"/>
      <c r="D216" s="148"/>
      <c r="E216" s="85" t="s">
        <v>188</v>
      </c>
      <c r="F216" s="166">
        <f>+F195+F196</f>
        <v>0</v>
      </c>
      <c r="G216" s="85"/>
      <c r="H216" s="90"/>
    </row>
    <row r="217" spans="2:8" ht="18" x14ac:dyDescent="0.25">
      <c r="B217" s="99">
        <f>+$G$30</f>
        <v>46188</v>
      </c>
      <c r="C217" s="105">
        <f>+F199</f>
        <v>913805.57660699997</v>
      </c>
      <c r="D217" s="85"/>
      <c r="E217" s="85" t="s">
        <v>83</v>
      </c>
      <c r="F217" s="106">
        <f>SUM(F212:F216)</f>
        <v>913805.57660699997</v>
      </c>
      <c r="G217" s="85"/>
      <c r="H217" s="90"/>
    </row>
    <row r="218" spans="2:8" ht="18" x14ac:dyDescent="0.25">
      <c r="B218" s="85"/>
      <c r="C218" s="85"/>
      <c r="D218" s="85"/>
      <c r="E218" s="85"/>
      <c r="F218" s="85"/>
      <c r="G218" s="85"/>
      <c r="H218" s="90"/>
    </row>
    <row r="219" spans="2:8" ht="18" x14ac:dyDescent="0.25">
      <c r="B219" s="85"/>
      <c r="C219" s="85"/>
      <c r="D219" s="85"/>
      <c r="E219" s="85"/>
      <c r="F219" s="85"/>
      <c r="G219" s="338"/>
      <c r="H219" s="338"/>
    </row>
    <row r="220" spans="2:8" ht="18" x14ac:dyDescent="0.25">
      <c r="B220" s="85"/>
      <c r="C220" s="85"/>
      <c r="D220" s="85"/>
      <c r="E220" s="85"/>
      <c r="F220" s="85"/>
      <c r="G220" s="90"/>
      <c r="H220" s="90"/>
    </row>
    <row r="221" spans="2:8" ht="18" x14ac:dyDescent="0.25">
      <c r="B221" s="85"/>
      <c r="C221" s="85"/>
      <c r="D221" s="85"/>
      <c r="E221" s="85"/>
      <c r="F221" s="85"/>
      <c r="G221" s="85"/>
      <c r="H221" s="90"/>
    </row>
    <row r="222" spans="2:8" ht="18" x14ac:dyDescent="0.25">
      <c r="B222" s="85"/>
      <c r="C222" s="85"/>
      <c r="D222" s="85"/>
      <c r="E222" s="85"/>
      <c r="F222" s="85"/>
      <c r="G222" s="85"/>
      <c r="H222" s="90"/>
    </row>
    <row r="223" spans="2:8" ht="15" customHeight="1" x14ac:dyDescent="0.25">
      <c r="B223" s="85"/>
      <c r="C223" s="85"/>
      <c r="D223" s="85"/>
      <c r="E223" s="85"/>
      <c r="F223" s="85"/>
      <c r="G223" s="85"/>
      <c r="H223" s="90"/>
    </row>
    <row r="224" spans="2:8" ht="18" x14ac:dyDescent="0.25">
      <c r="B224" s="85"/>
      <c r="C224" s="85"/>
      <c r="D224" s="85"/>
      <c r="E224" s="85"/>
      <c r="F224" s="85"/>
      <c r="G224" s="85"/>
      <c r="H224" s="90"/>
    </row>
    <row r="225" spans="2:8" ht="15" customHeight="1" x14ac:dyDescent="0.25">
      <c r="B225" s="85"/>
      <c r="C225" s="85"/>
      <c r="D225" s="85"/>
      <c r="E225" s="85"/>
      <c r="F225" s="85"/>
      <c r="G225" s="85"/>
      <c r="H225" s="90"/>
    </row>
    <row r="226" spans="2:8" ht="18" x14ac:dyDescent="0.25">
      <c r="B226" s="85"/>
      <c r="C226" s="85"/>
      <c r="D226" s="85"/>
      <c r="E226" s="85"/>
      <c r="F226" s="85"/>
      <c r="G226" s="194"/>
      <c r="H226" s="90"/>
    </row>
    <row r="227" spans="2:8" ht="18" x14ac:dyDescent="0.25">
      <c r="B227" s="334"/>
      <c r="C227" s="334"/>
      <c r="D227" s="334"/>
      <c r="E227" s="109">
        <f>+$B$1</f>
        <v>46143</v>
      </c>
      <c r="F227" s="85"/>
      <c r="G227" s="99">
        <f>+$D$1</f>
        <v>46188</v>
      </c>
      <c r="H227" s="162"/>
    </row>
    <row r="228" spans="2:8" ht="18" x14ac:dyDescent="0.25">
      <c r="B228" s="147"/>
      <c r="C228" s="147"/>
      <c r="D228" s="100"/>
      <c r="E228" s="98"/>
      <c r="F228" s="85"/>
      <c r="G228" s="194"/>
      <c r="H228" s="254"/>
    </row>
    <row r="229" spans="2:8" ht="23.25" customHeight="1" x14ac:dyDescent="0.25">
      <c r="B229" s="194"/>
      <c r="C229" s="85"/>
      <c r="D229" s="85"/>
      <c r="E229" s="194"/>
      <c r="F229" s="85"/>
      <c r="G229" s="194"/>
      <c r="H229" s="254"/>
    </row>
    <row r="230" spans="2:8" ht="21" customHeight="1" x14ac:dyDescent="0.25">
      <c r="B230" s="85" t="str">
        <f>+B7</f>
        <v>Ana Isabel Pirro</v>
      </c>
      <c r="C230" s="85"/>
      <c r="D230" s="85"/>
      <c r="E230" s="85" t="str">
        <f>+E1</f>
        <v>Lima 461 C:A:B:A:</v>
      </c>
      <c r="F230" s="85"/>
      <c r="G230" s="194"/>
      <c r="H230" s="90" t="s">
        <v>89</v>
      </c>
    </row>
    <row r="231" spans="2:8" ht="18" x14ac:dyDescent="0.25">
      <c r="B231" s="85"/>
      <c r="C231" s="85"/>
      <c r="D231" s="85"/>
      <c r="E231" s="194"/>
      <c r="F231" s="85"/>
      <c r="G231" s="85"/>
      <c r="H231" s="90" t="str">
        <f>+'RES CUENTA'!A20</f>
        <v>2D</v>
      </c>
    </row>
    <row r="232" spans="2:8" ht="30.75" customHeight="1" x14ac:dyDescent="0.25">
      <c r="B232" s="85"/>
      <c r="C232" s="85"/>
      <c r="D232" s="85"/>
      <c r="E232" s="85"/>
      <c r="F232" s="85"/>
      <c r="G232" s="85"/>
      <c r="H232" s="90"/>
    </row>
    <row r="233" spans="2:8" ht="18" x14ac:dyDescent="0.25">
      <c r="B233" s="85" t="s">
        <v>222</v>
      </c>
      <c r="C233" s="85"/>
      <c r="D233" s="107">
        <f>+'RES CUENTA'!$L$25</f>
        <v>10859801.41</v>
      </c>
      <c r="E233" s="108">
        <f>+'RES CUENTA'!G20</f>
        <v>8.27</v>
      </c>
      <c r="F233" s="103">
        <f>+D233*E233/100</f>
        <v>898105.57660699997</v>
      </c>
      <c r="G233" s="85"/>
      <c r="H233" s="90"/>
    </row>
    <row r="234" spans="2:8" ht="18" x14ac:dyDescent="0.25">
      <c r="B234" s="85" t="s">
        <v>226</v>
      </c>
      <c r="C234" s="85"/>
      <c r="D234" s="107">
        <f>+'RES CUENTA'!M25</f>
        <v>125000</v>
      </c>
      <c r="E234" s="108">
        <f>+'RES CUENTA'!H20</f>
        <v>12.56</v>
      </c>
      <c r="F234" s="103">
        <f>+D234*E234/100</f>
        <v>15700</v>
      </c>
      <c r="G234" s="90"/>
      <c r="H234" s="89"/>
    </row>
    <row r="235" spans="2:8" ht="18" x14ac:dyDescent="0.25">
      <c r="B235" s="85" t="s">
        <v>202</v>
      </c>
      <c r="C235" s="85"/>
      <c r="D235" s="107">
        <v>0</v>
      </c>
      <c r="E235" s="108">
        <v>0</v>
      </c>
      <c r="F235" s="103">
        <f>+'RES CUENTA'!N20</f>
        <v>0</v>
      </c>
      <c r="G235" s="90"/>
      <c r="H235" s="89"/>
    </row>
    <row r="236" spans="2:8" ht="18" x14ac:dyDescent="0.25">
      <c r="B236" s="85" t="s">
        <v>269</v>
      </c>
      <c r="C236" s="85"/>
      <c r="D236" s="107">
        <v>0</v>
      </c>
      <c r="E236" s="108">
        <v>0</v>
      </c>
      <c r="F236" s="103">
        <v>0</v>
      </c>
      <c r="G236" s="90"/>
      <c r="H236" s="89"/>
    </row>
    <row r="237" spans="2:8" ht="18" x14ac:dyDescent="0.25">
      <c r="B237" s="85" t="s">
        <v>79</v>
      </c>
      <c r="C237" s="85"/>
      <c r="D237" s="107">
        <f>+'RES CUENTA'!Q20</f>
        <v>0</v>
      </c>
      <c r="E237" s="90">
        <v>0</v>
      </c>
      <c r="F237" s="103">
        <f>+D237</f>
        <v>0</v>
      </c>
      <c r="G237" s="89"/>
      <c r="H237" s="90"/>
    </row>
    <row r="238" spans="2:8" ht="18" x14ac:dyDescent="0.25">
      <c r="B238" s="85" t="s">
        <v>80</v>
      </c>
      <c r="C238" s="85"/>
      <c r="D238" s="107">
        <f>+'RES CUENTA'!R20</f>
        <v>0</v>
      </c>
      <c r="E238" s="90">
        <v>0</v>
      </c>
      <c r="F238" s="165">
        <f>+D238</f>
        <v>0</v>
      </c>
      <c r="G238" s="90"/>
      <c r="H238" s="90"/>
    </row>
    <row r="239" spans="2:8" ht="18" x14ac:dyDescent="0.25">
      <c r="B239" s="85"/>
      <c r="C239" s="85"/>
      <c r="D239" s="85"/>
      <c r="E239" s="194"/>
      <c r="F239" s="103">
        <f>SUM(F233:F238)</f>
        <v>913805.57660699997</v>
      </c>
      <c r="G239" s="90"/>
      <c r="H239" s="90"/>
    </row>
    <row r="240" spans="2:8" ht="18" x14ac:dyDescent="0.25">
      <c r="B240" s="85"/>
      <c r="C240" s="85"/>
      <c r="D240" s="85"/>
      <c r="E240" s="85"/>
      <c r="F240" s="92"/>
      <c r="G240" s="90"/>
      <c r="H240" s="90"/>
    </row>
    <row r="241" spans="2:8" ht="14.25" customHeight="1" x14ac:dyDescent="0.25">
      <c r="B241" s="85"/>
      <c r="C241" s="85"/>
      <c r="D241" s="85"/>
      <c r="E241" s="85"/>
      <c r="F241" s="92"/>
      <c r="G241" s="90"/>
      <c r="H241" s="90"/>
    </row>
    <row r="242" spans="2:8" ht="14.25" customHeight="1" x14ac:dyDescent="0.25">
      <c r="B242" s="85"/>
      <c r="C242" s="85"/>
      <c r="D242" s="85"/>
      <c r="E242" s="85"/>
      <c r="F242" s="92"/>
      <c r="G242" s="90"/>
      <c r="H242" s="90"/>
    </row>
    <row r="243" spans="2:8" ht="15.75" customHeight="1" x14ac:dyDescent="0.25">
      <c r="B243" s="85"/>
      <c r="C243" s="85"/>
      <c r="D243" s="85"/>
      <c r="E243" s="85"/>
      <c r="F243" s="92"/>
      <c r="G243" s="90"/>
      <c r="H243" s="90"/>
    </row>
    <row r="244" spans="2:8" ht="21.75" customHeight="1" x14ac:dyDescent="0.25">
      <c r="B244" s="85" t="str">
        <f>+B230</f>
        <v>Ana Isabel Pirro</v>
      </c>
      <c r="C244" s="85"/>
      <c r="D244" s="85"/>
      <c r="E244" s="85" t="str">
        <f>+B230</f>
        <v>Ana Isabel Pirro</v>
      </c>
      <c r="F244" s="85"/>
      <c r="G244" s="85"/>
      <c r="H244" s="90"/>
    </row>
    <row r="245" spans="2:8" ht="18" x14ac:dyDescent="0.25">
      <c r="B245" s="85"/>
      <c r="C245" s="85"/>
      <c r="D245" s="85"/>
      <c r="E245" s="194"/>
      <c r="F245" s="85"/>
      <c r="G245" s="92"/>
      <c r="H245" s="90" t="s">
        <v>89</v>
      </c>
    </row>
    <row r="246" spans="2:8" ht="18" x14ac:dyDescent="0.25">
      <c r="B246" s="85" t="str">
        <f>+E1</f>
        <v>Lima 461 C:A:B:A:</v>
      </c>
      <c r="C246" s="85"/>
      <c r="D246" s="90" t="s">
        <v>89</v>
      </c>
      <c r="E246" s="85" t="str">
        <f>+E1</f>
        <v>Lima 461 C:A:B:A:</v>
      </c>
      <c r="F246" s="85"/>
      <c r="G246" s="85"/>
      <c r="H246" s="90" t="str">
        <f>+H231</f>
        <v>2D</v>
      </c>
    </row>
    <row r="247" spans="2:8" ht="18" x14ac:dyDescent="0.25">
      <c r="B247" s="85"/>
      <c r="C247" s="85"/>
      <c r="D247" s="90" t="str">
        <f>+H246</f>
        <v>2D</v>
      </c>
      <c r="E247" s="194"/>
      <c r="F247" s="85"/>
      <c r="G247" s="85"/>
      <c r="H247" s="254"/>
    </row>
    <row r="248" spans="2:8" ht="32.25" customHeight="1" x14ac:dyDescent="0.25">
      <c r="B248" s="85" t="str">
        <f>+F1</f>
        <v>P/Depósito/transferencia en Bco Santander Rio</v>
      </c>
      <c r="C248" s="85"/>
      <c r="D248" s="85"/>
      <c r="E248" s="85"/>
      <c r="F248" s="85"/>
      <c r="G248" s="85"/>
      <c r="H248" s="90"/>
    </row>
    <row r="249" spans="2:8" ht="18" x14ac:dyDescent="0.25">
      <c r="B249" s="85" t="str">
        <f>+F2</f>
        <v>Cta. Cte. $ N° 210-1950/3</v>
      </c>
      <c r="C249" s="85"/>
      <c r="D249" s="85"/>
      <c r="E249" s="148"/>
      <c r="F249" s="194"/>
      <c r="G249" s="90"/>
      <c r="H249" s="148"/>
    </row>
    <row r="250" spans="2:8" ht="18" x14ac:dyDescent="0.25">
      <c r="B250" s="85" t="str">
        <f>+F3</f>
        <v>CBU 0720210220000000195036</v>
      </c>
      <c r="C250" s="85"/>
      <c r="D250" s="85"/>
      <c r="E250" s="85" t="s">
        <v>223</v>
      </c>
      <c r="F250" s="106">
        <f>+F233</f>
        <v>898105.57660699997</v>
      </c>
      <c r="G250" s="149"/>
      <c r="H250" s="99">
        <f>+G227</f>
        <v>46188</v>
      </c>
    </row>
    <row r="251" spans="2:8" ht="18" x14ac:dyDescent="0.25">
      <c r="B251" s="85" t="str">
        <f>+F4</f>
        <v>CUIT: 30-53267348-4</v>
      </c>
      <c r="C251" s="85"/>
      <c r="D251" s="85"/>
      <c r="E251" s="85" t="s">
        <v>227</v>
      </c>
      <c r="F251" s="106">
        <f>+F234</f>
        <v>15700</v>
      </c>
      <c r="G251" s="194"/>
      <c r="H251" s="90"/>
    </row>
    <row r="252" spans="2:8" ht="18" x14ac:dyDescent="0.25">
      <c r="B252" s="194"/>
      <c r="C252" s="85"/>
      <c r="D252" s="85"/>
      <c r="E252" s="85" t="s">
        <v>81</v>
      </c>
      <c r="F252" s="106">
        <f>+F237</f>
        <v>0</v>
      </c>
      <c r="G252" s="85"/>
      <c r="H252" s="90"/>
    </row>
    <row r="253" spans="2:8" ht="18" x14ac:dyDescent="0.25">
      <c r="B253" s="148"/>
      <c r="C253" s="148"/>
      <c r="D253" s="148"/>
      <c r="E253" s="85" t="s">
        <v>82</v>
      </c>
      <c r="F253" s="106">
        <f>+F238</f>
        <v>0</v>
      </c>
      <c r="G253" s="85"/>
      <c r="H253" s="90"/>
    </row>
    <row r="254" spans="2:8" ht="18" x14ac:dyDescent="0.25">
      <c r="B254" s="194"/>
      <c r="C254" s="194"/>
      <c r="D254" s="85"/>
      <c r="E254" s="85" t="s">
        <v>188</v>
      </c>
      <c r="F254" s="166">
        <f>+F235+F236</f>
        <v>0</v>
      </c>
      <c r="G254" s="85"/>
      <c r="H254" s="90"/>
    </row>
    <row r="255" spans="2:8" ht="18" x14ac:dyDescent="0.25">
      <c r="B255" s="99">
        <f>+$G$30</f>
        <v>46188</v>
      </c>
      <c r="C255" s="105">
        <f>+F239</f>
        <v>913805.57660699997</v>
      </c>
      <c r="D255" s="85"/>
      <c r="E255" s="85" t="s">
        <v>83</v>
      </c>
      <c r="F255" s="106">
        <f>+F239</f>
        <v>913805.57660699997</v>
      </c>
      <c r="G255" s="85"/>
      <c r="H255" s="90"/>
    </row>
    <row r="256" spans="2:8" ht="18" x14ac:dyDescent="0.25">
      <c r="B256" s="85"/>
      <c r="C256" s="85"/>
      <c r="D256" s="85"/>
      <c r="E256" s="85"/>
      <c r="F256" s="85"/>
      <c r="G256" s="85"/>
      <c r="H256" s="90"/>
    </row>
    <row r="257" spans="1:8" ht="18" x14ac:dyDescent="0.25">
      <c r="B257" s="85"/>
      <c r="C257" s="85"/>
      <c r="D257" s="85"/>
      <c r="E257" s="102"/>
      <c r="F257" s="85"/>
      <c r="G257" s="85"/>
      <c r="H257" s="90"/>
    </row>
    <row r="258" spans="1:8" ht="18" x14ac:dyDescent="0.25">
      <c r="B258" s="85"/>
      <c r="C258" s="85"/>
      <c r="D258" s="85"/>
      <c r="E258" s="85"/>
      <c r="F258" s="85"/>
      <c r="G258" s="85"/>
      <c r="H258" s="94"/>
    </row>
    <row r="259" spans="1:8" ht="18" x14ac:dyDescent="0.25">
      <c r="E259" s="85"/>
      <c r="G259" s="94"/>
      <c r="H259" s="90"/>
    </row>
    <row r="260" spans="1:8" ht="18" x14ac:dyDescent="0.25">
      <c r="E260" s="85"/>
      <c r="G260" s="94"/>
      <c r="H260" s="90"/>
    </row>
    <row r="261" spans="1:8" ht="12.75" customHeight="1" x14ac:dyDescent="0.25">
      <c r="A261" s="184"/>
      <c r="B261" s="81"/>
      <c r="C261" s="81"/>
      <c r="D261" s="81"/>
      <c r="E261" s="85"/>
      <c r="F261" s="81"/>
      <c r="G261" s="90"/>
      <c r="H261" s="90"/>
    </row>
    <row r="262" spans="1:8" ht="12.75" customHeight="1" x14ac:dyDescent="0.2">
      <c r="B262" s="81"/>
      <c r="C262" s="81"/>
      <c r="D262" s="81"/>
      <c r="E262" s="81"/>
      <c r="F262" s="81"/>
      <c r="G262" s="81"/>
      <c r="H262" s="133"/>
    </row>
    <row r="263" spans="1:8" ht="18" x14ac:dyDescent="0.25">
      <c r="B263" s="334"/>
      <c r="C263" s="334"/>
      <c r="D263" s="334"/>
      <c r="E263" s="336">
        <f>+$B$1</f>
        <v>46143</v>
      </c>
      <c r="F263" s="85"/>
      <c r="G263" s="337">
        <f>+$D$1</f>
        <v>46188</v>
      </c>
      <c r="H263" s="90"/>
    </row>
    <row r="264" spans="1:8" ht="18" x14ac:dyDescent="0.25">
      <c r="B264" s="147"/>
      <c r="C264" s="147"/>
      <c r="D264" s="100"/>
      <c r="E264" s="336"/>
      <c r="F264" s="85"/>
      <c r="G264" s="337"/>
      <c r="H264" s="90"/>
    </row>
    <row r="265" spans="1:8" ht="21" customHeight="1" x14ac:dyDescent="0.25">
      <c r="B265" s="85"/>
      <c r="C265" s="85"/>
      <c r="D265" s="85"/>
      <c r="E265" s="85"/>
      <c r="F265" s="85"/>
      <c r="G265" s="85"/>
      <c r="H265" s="90"/>
    </row>
    <row r="266" spans="1:8" ht="25.5" customHeight="1" x14ac:dyDescent="0.25">
      <c r="B266" s="85" t="str">
        <f>+B8</f>
        <v>Leandro Acero</v>
      </c>
      <c r="C266" s="85"/>
      <c r="D266" s="85"/>
      <c r="E266" s="85" t="str">
        <f>+E34</f>
        <v>Lima 461 C:A:B:A:</v>
      </c>
      <c r="F266" s="85"/>
      <c r="G266" s="85"/>
      <c r="H266" s="90"/>
    </row>
    <row r="267" spans="1:8" ht="23.25" customHeight="1" x14ac:dyDescent="0.25">
      <c r="F267" s="85"/>
      <c r="G267" s="85"/>
      <c r="H267" s="90" t="s">
        <v>90</v>
      </c>
    </row>
    <row r="268" spans="1:8" ht="18" x14ac:dyDescent="0.25">
      <c r="B268" s="85"/>
      <c r="C268" s="85"/>
      <c r="D268" s="85"/>
      <c r="E268" s="85"/>
      <c r="F268" s="85"/>
      <c r="G268" s="85"/>
      <c r="H268" s="90" t="str">
        <f>+'RES CUENTA'!A21</f>
        <v>3E</v>
      </c>
    </row>
    <row r="269" spans="1:8" ht="9.75" customHeight="1" x14ac:dyDescent="0.25">
      <c r="B269" s="90"/>
      <c r="C269" s="85"/>
      <c r="D269" s="90"/>
      <c r="E269" s="85"/>
      <c r="F269" s="85"/>
      <c r="G269" s="85"/>
      <c r="H269" s="90"/>
    </row>
    <row r="270" spans="1:8" ht="12" customHeight="1" x14ac:dyDescent="0.25">
      <c r="B270" s="90"/>
      <c r="C270" s="85"/>
      <c r="D270" s="90"/>
      <c r="E270" s="85"/>
      <c r="F270" s="85"/>
      <c r="G270" s="85"/>
      <c r="H270" s="90"/>
    </row>
    <row r="271" spans="1:8" ht="18" x14ac:dyDescent="0.25">
      <c r="B271" s="85" t="s">
        <v>222</v>
      </c>
      <c r="C271" s="85"/>
      <c r="D271" s="107">
        <f>+'RES CUENTA'!L25</f>
        <v>10859801.41</v>
      </c>
      <c r="E271" s="108">
        <f>+'RES CUENTA'!G21</f>
        <v>8.35</v>
      </c>
      <c r="F271" s="103">
        <f>+D271*E271/100</f>
        <v>906793.41773499991</v>
      </c>
      <c r="G271" s="338"/>
      <c r="H271" s="338"/>
    </row>
    <row r="272" spans="1:8" ht="18" x14ac:dyDescent="0.25">
      <c r="B272" s="85" t="s">
        <v>226</v>
      </c>
      <c r="C272" s="85"/>
      <c r="D272" s="107">
        <f>+'RES CUENTA'!M25</f>
        <v>125000</v>
      </c>
      <c r="E272" s="108">
        <f>+'RES CUENTA'!H21</f>
        <v>12.68</v>
      </c>
      <c r="F272" s="103">
        <f>+D272*E272/100</f>
        <v>15850</v>
      </c>
      <c r="G272" s="341"/>
      <c r="H272" s="341"/>
    </row>
    <row r="273" spans="2:8" ht="18" x14ac:dyDescent="0.25">
      <c r="B273" s="85" t="s">
        <v>202</v>
      </c>
      <c r="D273" s="107">
        <f>+'RES CUENTA'!N21</f>
        <v>0</v>
      </c>
      <c r="E273" s="108">
        <v>0</v>
      </c>
      <c r="F273" s="103">
        <f>+D273</f>
        <v>0</v>
      </c>
      <c r="G273" s="341"/>
      <c r="H273" s="341"/>
    </row>
    <row r="274" spans="2:8" ht="18" x14ac:dyDescent="0.25">
      <c r="B274" s="85" t="s">
        <v>269</v>
      </c>
      <c r="D274" s="107">
        <v>0</v>
      </c>
      <c r="E274" s="108">
        <v>0</v>
      </c>
      <c r="F274" s="103">
        <v>0</v>
      </c>
      <c r="G274" s="341"/>
      <c r="H274" s="341"/>
    </row>
    <row r="275" spans="2:8" ht="18" x14ac:dyDescent="0.25">
      <c r="B275" s="85" t="s">
        <v>79</v>
      </c>
      <c r="C275" s="85"/>
      <c r="D275" s="107">
        <f>+'RES CUENTA'!Q21</f>
        <v>0</v>
      </c>
      <c r="E275" s="90">
        <v>0</v>
      </c>
      <c r="F275" s="103">
        <f>+D275</f>
        <v>0</v>
      </c>
      <c r="G275" s="341"/>
      <c r="H275" s="341"/>
    </row>
    <row r="276" spans="2:8" ht="18" x14ac:dyDescent="0.25">
      <c r="B276" s="85" t="s">
        <v>80</v>
      </c>
      <c r="C276" s="85"/>
      <c r="D276" s="107">
        <f>+'RES CUENTA'!R21</f>
        <v>0</v>
      </c>
      <c r="E276" s="90">
        <v>0</v>
      </c>
      <c r="F276" s="165">
        <f>+D276</f>
        <v>0</v>
      </c>
      <c r="G276" s="338"/>
      <c r="H276" s="338"/>
    </row>
    <row r="277" spans="2:8" ht="18" x14ac:dyDescent="0.25">
      <c r="B277" s="85"/>
      <c r="C277" s="85"/>
      <c r="D277" s="85"/>
      <c r="E277" s="92"/>
      <c r="F277" s="103">
        <f>SUM(F271:F276)</f>
        <v>922643.41773499991</v>
      </c>
      <c r="G277" s="90"/>
      <c r="H277" s="90"/>
    </row>
    <row r="278" spans="2:8" ht="18" x14ac:dyDescent="0.25">
      <c r="B278" s="85"/>
      <c r="C278" s="85"/>
      <c r="D278" s="85"/>
      <c r="E278" s="85"/>
      <c r="F278" s="92"/>
      <c r="G278" s="85"/>
      <c r="H278" s="90"/>
    </row>
    <row r="279" spans="2:8" ht="18" x14ac:dyDescent="0.25">
      <c r="B279" s="85"/>
      <c r="C279" s="85"/>
      <c r="D279" s="85"/>
      <c r="E279" s="85"/>
      <c r="F279" s="92"/>
      <c r="G279" s="85"/>
      <c r="H279" s="90"/>
    </row>
    <row r="280" spans="2:8" ht="18" x14ac:dyDescent="0.25">
      <c r="B280" s="85"/>
      <c r="C280" s="85"/>
      <c r="D280" s="85"/>
      <c r="E280" s="85"/>
      <c r="F280" s="92"/>
      <c r="G280" s="85"/>
      <c r="H280" s="90"/>
    </row>
    <row r="281" spans="2:8" ht="12.75" customHeight="1" x14ac:dyDescent="0.25">
      <c r="B281" s="85"/>
      <c r="C281" s="85"/>
      <c r="D281" s="85"/>
      <c r="E281" s="85"/>
      <c r="F281" s="92"/>
      <c r="G281" s="85"/>
      <c r="H281" s="90"/>
    </row>
    <row r="282" spans="2:8" ht="20.25" customHeight="1" x14ac:dyDescent="0.25">
      <c r="B282" s="85" t="str">
        <f>+B266</f>
        <v>Leandro Acero</v>
      </c>
      <c r="C282" s="339"/>
      <c r="D282" s="339"/>
      <c r="E282" s="85" t="str">
        <f>+B282</f>
        <v>Leandro Acero</v>
      </c>
      <c r="F282" s="92"/>
      <c r="G282" s="85"/>
      <c r="H282" s="90"/>
    </row>
    <row r="283" spans="2:8" ht="18" x14ac:dyDescent="0.25">
      <c r="B283" s="81"/>
      <c r="C283" s="85"/>
      <c r="D283" s="85"/>
      <c r="E283" s="81"/>
      <c r="F283" s="339"/>
      <c r="G283" s="339"/>
      <c r="H283" s="339"/>
    </row>
    <row r="284" spans="2:8" ht="18" x14ac:dyDescent="0.25">
      <c r="B284" s="85" t="str">
        <f>+E1</f>
        <v>Lima 461 C:A:B:A:</v>
      </c>
      <c r="C284" s="85"/>
      <c r="D284" s="90" t="str">
        <f>+H267</f>
        <v>Unid. 7</v>
      </c>
      <c r="E284" s="85" t="str">
        <f>+E1</f>
        <v>Lima 461 C:A:B:A:</v>
      </c>
      <c r="F284" s="85"/>
      <c r="G284" s="85"/>
      <c r="H284" s="90" t="str">
        <f>+D284</f>
        <v>Unid. 7</v>
      </c>
    </row>
    <row r="285" spans="2:8" ht="18" x14ac:dyDescent="0.25">
      <c r="B285" s="81"/>
      <c r="C285" s="81"/>
      <c r="D285" s="90" t="str">
        <f>+H285</f>
        <v>3E</v>
      </c>
      <c r="E285" s="81"/>
      <c r="F285" s="81"/>
      <c r="G285" s="81"/>
      <c r="H285" s="90" t="str">
        <f>+H268</f>
        <v>3E</v>
      </c>
    </row>
    <row r="286" spans="2:8" ht="14.25" customHeight="1" x14ac:dyDescent="0.25">
      <c r="B286" s="85"/>
      <c r="C286" s="85"/>
      <c r="D286" s="85"/>
      <c r="E286" s="85"/>
      <c r="F286" s="85"/>
      <c r="G286" s="85"/>
      <c r="H286" s="133"/>
    </row>
    <row r="287" spans="2:8" ht="18" x14ac:dyDescent="0.25">
      <c r="B287" s="85" t="str">
        <f>+F1</f>
        <v>P/Depósito/transferencia en Bco Santander Rio</v>
      </c>
      <c r="C287" s="85"/>
      <c r="D287" s="85"/>
      <c r="E287" s="85"/>
      <c r="F287" s="85"/>
      <c r="G287" s="85"/>
      <c r="H287" s="90"/>
    </row>
    <row r="288" spans="2:8" ht="19.5" customHeight="1" x14ac:dyDescent="0.25">
      <c r="B288" s="85" t="str">
        <f>+F2</f>
        <v>Cta. Cte. $ N° 210-1950/3</v>
      </c>
      <c r="C288" s="85"/>
      <c r="D288" s="85"/>
      <c r="E288" s="148"/>
      <c r="F288" s="85"/>
      <c r="G288" s="90"/>
      <c r="H288" s="90"/>
    </row>
    <row r="289" spans="2:8" ht="18" x14ac:dyDescent="0.25">
      <c r="B289" s="85" t="str">
        <f>+F3</f>
        <v>CBU 0720210220000000195036</v>
      </c>
      <c r="C289" s="85"/>
      <c r="D289" s="85"/>
      <c r="E289" s="85" t="s">
        <v>223</v>
      </c>
      <c r="F289" s="106">
        <f>+F271</f>
        <v>906793.41773499991</v>
      </c>
      <c r="G289" s="81"/>
      <c r="H289" s="99">
        <f>+D1</f>
        <v>46188</v>
      </c>
    </row>
    <row r="290" spans="2:8" ht="18" x14ac:dyDescent="0.25">
      <c r="B290" s="85" t="str">
        <f>+F4</f>
        <v>CUIT: 30-53267348-4</v>
      </c>
      <c r="C290" s="85"/>
      <c r="D290" s="85"/>
      <c r="E290" s="85" t="s">
        <v>227</v>
      </c>
      <c r="F290" s="106">
        <f>+F272</f>
        <v>15850</v>
      </c>
      <c r="G290" s="81"/>
      <c r="H290" s="133"/>
    </row>
    <row r="291" spans="2:8" ht="18" x14ac:dyDescent="0.25">
      <c r="B291" s="85"/>
      <c r="C291" s="85"/>
      <c r="D291" s="85"/>
      <c r="E291" s="85" t="s">
        <v>81</v>
      </c>
      <c r="F291" s="106">
        <f>+F275</f>
        <v>0</v>
      </c>
      <c r="G291" s="85"/>
      <c r="H291" s="90"/>
    </row>
    <row r="292" spans="2:8" ht="18" x14ac:dyDescent="0.25">
      <c r="B292" s="85"/>
      <c r="C292" s="85"/>
      <c r="D292" s="85"/>
      <c r="E292" s="85" t="s">
        <v>82</v>
      </c>
      <c r="F292" s="106">
        <f>+F276</f>
        <v>0</v>
      </c>
      <c r="G292" s="85"/>
      <c r="H292" s="90"/>
    </row>
    <row r="293" spans="2:8" ht="18" x14ac:dyDescent="0.25">
      <c r="B293" s="148"/>
      <c r="C293" s="148"/>
      <c r="D293" s="148"/>
      <c r="E293" s="85" t="s">
        <v>188</v>
      </c>
      <c r="F293" s="166">
        <f>+F274</f>
        <v>0</v>
      </c>
      <c r="G293" s="85"/>
      <c r="H293" s="90"/>
    </row>
    <row r="294" spans="2:8" ht="18" x14ac:dyDescent="0.25">
      <c r="B294" s="99">
        <f>+$G$30</f>
        <v>46188</v>
      </c>
      <c r="C294" s="105">
        <f>+F277</f>
        <v>922643.41773499991</v>
      </c>
      <c r="D294" s="85"/>
      <c r="E294" s="85" t="s">
        <v>83</v>
      </c>
      <c r="F294" s="106">
        <f>+F277</f>
        <v>922643.41773499991</v>
      </c>
      <c r="G294" s="85"/>
      <c r="H294" s="90"/>
    </row>
    <row r="295" spans="2:8" ht="18" x14ac:dyDescent="0.25">
      <c r="B295" s="85"/>
      <c r="C295" s="85"/>
      <c r="D295" s="85"/>
      <c r="E295" s="102"/>
      <c r="F295" s="85"/>
      <c r="G295" s="85"/>
      <c r="H295" s="90"/>
    </row>
    <row r="296" spans="2:8" ht="18" x14ac:dyDescent="0.25">
      <c r="B296" s="85"/>
      <c r="C296" s="85"/>
      <c r="D296" s="85"/>
      <c r="E296" s="81"/>
      <c r="F296" s="85"/>
      <c r="G296" s="85"/>
      <c r="H296" s="90"/>
    </row>
    <row r="297" spans="2:8" ht="18" x14ac:dyDescent="0.25">
      <c r="B297" s="85"/>
      <c r="C297" s="85"/>
      <c r="D297" s="85"/>
      <c r="E297" s="85"/>
      <c r="F297" s="85"/>
      <c r="G297" s="85"/>
      <c r="H297" s="90"/>
    </row>
    <row r="298" spans="2:8" ht="18" x14ac:dyDescent="0.25">
      <c r="B298" s="85"/>
      <c r="C298" s="85"/>
      <c r="D298" s="85"/>
      <c r="E298" s="85"/>
      <c r="F298" s="85"/>
      <c r="G298" s="85"/>
      <c r="H298" s="90"/>
    </row>
    <row r="299" spans="2:8" ht="18" x14ac:dyDescent="0.25">
      <c r="B299" s="85"/>
      <c r="C299" s="85"/>
      <c r="D299" s="85"/>
      <c r="E299" s="85"/>
      <c r="F299" s="85"/>
      <c r="G299" s="338"/>
      <c r="H299" s="338"/>
    </row>
    <row r="300" spans="2:8" ht="18" x14ac:dyDescent="0.25">
      <c r="B300" s="85"/>
      <c r="C300" s="85"/>
      <c r="D300" s="85"/>
      <c r="E300" s="85"/>
      <c r="F300" s="85"/>
      <c r="G300" s="85"/>
      <c r="H300" s="90"/>
    </row>
    <row r="301" spans="2:8" ht="18" x14ac:dyDescent="0.25">
      <c r="B301" s="85"/>
      <c r="C301" s="85"/>
      <c r="D301" s="85"/>
      <c r="E301" s="85"/>
      <c r="F301" s="85"/>
      <c r="G301" s="85"/>
      <c r="H301" s="90"/>
    </row>
    <row r="302" spans="2:8" ht="18" x14ac:dyDescent="0.25">
      <c r="B302" s="85"/>
      <c r="C302" s="85"/>
      <c r="D302" s="85"/>
      <c r="E302" s="85"/>
      <c r="F302" s="85"/>
      <c r="G302" s="85"/>
      <c r="H302" s="90"/>
    </row>
    <row r="303" spans="2:8" ht="18" x14ac:dyDescent="0.25">
      <c r="B303" s="85"/>
      <c r="C303" s="85"/>
      <c r="D303" s="85"/>
      <c r="E303" s="85"/>
      <c r="F303" s="85"/>
      <c r="G303" s="81"/>
      <c r="H303" s="90"/>
    </row>
    <row r="304" spans="2:8" ht="18" x14ac:dyDescent="0.25">
      <c r="B304" s="334"/>
      <c r="C304" s="334"/>
      <c r="D304" s="334"/>
      <c r="E304" s="109">
        <f>+$B$1</f>
        <v>46143</v>
      </c>
      <c r="F304" s="85"/>
      <c r="G304" s="99">
        <f>+$D$1</f>
        <v>46188</v>
      </c>
      <c r="H304" s="90"/>
    </row>
    <row r="305" spans="2:8" ht="18" x14ac:dyDescent="0.25">
      <c r="B305" s="334"/>
      <c r="C305" s="334"/>
      <c r="D305" s="334"/>
      <c r="E305" s="109"/>
      <c r="F305" s="85"/>
      <c r="H305" s="162"/>
    </row>
    <row r="306" spans="2:8" ht="12" customHeight="1" x14ac:dyDescent="0.25">
      <c r="C306" s="85"/>
      <c r="D306" s="85"/>
      <c r="E306" s="81"/>
      <c r="F306" s="85"/>
      <c r="G306" s="81"/>
      <c r="H306" s="133"/>
    </row>
    <row r="307" spans="2:8" ht="15.75" customHeight="1" x14ac:dyDescent="0.25">
      <c r="B307" s="85" t="str">
        <f>+B9</f>
        <v>Jose A. Montans</v>
      </c>
      <c r="C307" s="85"/>
      <c r="D307" s="85"/>
      <c r="E307" s="85" t="str">
        <f>+E1</f>
        <v>Lima 461 C:A:B:A:</v>
      </c>
      <c r="F307" s="85"/>
      <c r="G307" s="81"/>
      <c r="H307" s="90" t="s">
        <v>91</v>
      </c>
    </row>
    <row r="308" spans="2:8" ht="18" x14ac:dyDescent="0.25">
      <c r="F308" s="85"/>
      <c r="G308" s="85"/>
      <c r="H308" s="90" t="str">
        <f>+'RES CUENTA'!A22</f>
        <v>3F</v>
      </c>
    </row>
    <row r="309" spans="2:8" ht="18" x14ac:dyDescent="0.25">
      <c r="B309" s="85"/>
      <c r="C309" s="85"/>
      <c r="D309" s="85"/>
      <c r="E309" s="85"/>
      <c r="F309" s="85"/>
      <c r="G309" s="85"/>
      <c r="H309" s="90"/>
    </row>
    <row r="310" spans="2:8" ht="18" x14ac:dyDescent="0.25">
      <c r="B310" s="90"/>
      <c r="C310" s="85"/>
      <c r="D310" s="90"/>
      <c r="E310" s="85"/>
      <c r="F310" s="85"/>
      <c r="G310" s="85"/>
      <c r="H310" s="90"/>
    </row>
    <row r="311" spans="2:8" ht="18" x14ac:dyDescent="0.25">
      <c r="B311" s="85" t="s">
        <v>222</v>
      </c>
      <c r="C311" s="85"/>
      <c r="D311" s="107">
        <f>+'RES CUENTA'!$L$25</f>
        <v>10859801.41</v>
      </c>
      <c r="E311" s="108">
        <f>+'RES CUENTA'!G22</f>
        <v>8.35</v>
      </c>
      <c r="F311" s="103">
        <f>+D311*E311/100</f>
        <v>906793.41773499991</v>
      </c>
      <c r="G311" s="85"/>
      <c r="H311" s="90"/>
    </row>
    <row r="312" spans="2:8" ht="18" x14ac:dyDescent="0.25">
      <c r="B312" s="85" t="s">
        <v>222</v>
      </c>
      <c r="C312" s="85"/>
      <c r="D312" s="107">
        <f>+'RES CUENTA'!M25</f>
        <v>125000</v>
      </c>
      <c r="E312" s="108">
        <f>+'RES CUENTA'!H22</f>
        <v>12.68</v>
      </c>
      <c r="F312" s="103">
        <f>+D312*E312/100</f>
        <v>15850</v>
      </c>
      <c r="G312" s="90"/>
      <c r="H312" s="89"/>
    </row>
    <row r="313" spans="2:8" ht="18" x14ac:dyDescent="0.25">
      <c r="B313" s="85" t="s">
        <v>202</v>
      </c>
      <c r="C313" s="85"/>
      <c r="D313" s="107">
        <f>+'RES CUENTA'!N22</f>
        <v>0</v>
      </c>
      <c r="E313" s="108">
        <v>0</v>
      </c>
      <c r="F313" s="103">
        <f>+D313</f>
        <v>0</v>
      </c>
      <c r="G313" s="90"/>
      <c r="H313" s="89"/>
    </row>
    <row r="314" spans="2:8" ht="18" x14ac:dyDescent="0.25">
      <c r="B314" s="85" t="s">
        <v>269</v>
      </c>
      <c r="C314" s="85"/>
      <c r="D314" s="107">
        <v>0</v>
      </c>
      <c r="E314" s="108">
        <v>0</v>
      </c>
      <c r="F314" s="103">
        <v>0</v>
      </c>
      <c r="G314" s="90"/>
      <c r="H314" s="89"/>
    </row>
    <row r="315" spans="2:8" ht="18" x14ac:dyDescent="0.25">
      <c r="B315" s="85" t="s">
        <v>79</v>
      </c>
      <c r="C315" s="85"/>
      <c r="D315" s="107">
        <f>+'RES CUENTA'!Q22</f>
        <v>0</v>
      </c>
      <c r="E315" s="108">
        <v>0</v>
      </c>
      <c r="F315" s="103">
        <f>+D315</f>
        <v>0</v>
      </c>
      <c r="G315" s="89"/>
      <c r="H315" s="89"/>
    </row>
    <row r="316" spans="2:8" ht="18" x14ac:dyDescent="0.25">
      <c r="B316" s="85" t="s">
        <v>80</v>
      </c>
      <c r="C316" s="85"/>
      <c r="D316" s="107">
        <f>+'RES CUENTA'!R22</f>
        <v>0</v>
      </c>
      <c r="E316" s="108">
        <v>0</v>
      </c>
      <c r="F316" s="165">
        <f>+D316</f>
        <v>0</v>
      </c>
      <c r="G316" s="89"/>
      <c r="H316" s="90"/>
    </row>
    <row r="317" spans="2:8" ht="18" x14ac:dyDescent="0.25">
      <c r="B317" s="85"/>
      <c r="C317" s="85"/>
      <c r="D317" s="85"/>
      <c r="E317" s="81"/>
      <c r="F317" s="103">
        <f>SUM(F311:F316)</f>
        <v>922643.41773499991</v>
      </c>
      <c r="G317" s="90"/>
      <c r="H317" s="90"/>
    </row>
    <row r="318" spans="2:8" ht="18" x14ac:dyDescent="0.25">
      <c r="B318" s="85"/>
      <c r="C318" s="85"/>
      <c r="D318" s="85"/>
      <c r="E318" s="85"/>
      <c r="F318" s="92"/>
      <c r="G318" s="90"/>
      <c r="H318" s="90"/>
    </row>
    <row r="319" spans="2:8" ht="18" x14ac:dyDescent="0.25">
      <c r="B319" s="85"/>
      <c r="C319" s="85"/>
      <c r="D319" s="85"/>
      <c r="E319" s="85"/>
      <c r="F319" s="92"/>
      <c r="G319" s="90"/>
      <c r="H319" s="90"/>
    </row>
    <row r="320" spans="2:8" ht="18" x14ac:dyDescent="0.25">
      <c r="B320" s="85"/>
      <c r="C320" s="85"/>
      <c r="D320" s="85"/>
      <c r="E320" s="85"/>
      <c r="F320" s="92"/>
      <c r="G320" s="90"/>
      <c r="H320" s="90"/>
    </row>
    <row r="321" spans="2:8" ht="15" customHeight="1" x14ac:dyDescent="0.25">
      <c r="B321" s="85"/>
      <c r="C321" s="85"/>
      <c r="D321" s="85"/>
      <c r="E321" s="85"/>
      <c r="F321" s="92"/>
      <c r="G321" s="90"/>
      <c r="H321" s="90"/>
    </row>
    <row r="322" spans="2:8" ht="21.75" customHeight="1" x14ac:dyDescent="0.25">
      <c r="B322" s="85" t="str">
        <f>+B307</f>
        <v>Jose A. Montans</v>
      </c>
      <c r="C322" s="85"/>
      <c r="D322" s="85"/>
      <c r="E322" s="85" t="str">
        <f>+B307</f>
        <v>Jose A. Montans</v>
      </c>
      <c r="F322" s="85"/>
      <c r="G322" s="85"/>
      <c r="H322" s="90"/>
    </row>
    <row r="323" spans="2:8" ht="18" x14ac:dyDescent="0.25">
      <c r="B323" s="85"/>
      <c r="C323" s="85"/>
      <c r="D323" s="85"/>
      <c r="E323" s="81"/>
      <c r="F323" s="85"/>
      <c r="G323" s="92"/>
      <c r="H323" s="90" t="s">
        <v>91</v>
      </c>
    </row>
    <row r="324" spans="2:8" ht="18" x14ac:dyDescent="0.25">
      <c r="B324" s="85" t="str">
        <f>+E1</f>
        <v>Lima 461 C:A:B:A:</v>
      </c>
      <c r="C324" s="85"/>
      <c r="D324" s="90" t="str">
        <f>+H323</f>
        <v>Unid. 8</v>
      </c>
      <c r="E324" s="85" t="str">
        <f>+E1</f>
        <v>Lima 461 C:A:B:A:</v>
      </c>
      <c r="F324" s="85"/>
      <c r="G324" s="85"/>
      <c r="H324" s="90" t="str">
        <f>+H308</f>
        <v>3F</v>
      </c>
    </row>
    <row r="325" spans="2:8" ht="18" x14ac:dyDescent="0.25">
      <c r="B325" s="85"/>
      <c r="C325" s="85"/>
      <c r="D325" s="90" t="str">
        <f>+H324</f>
        <v>3F</v>
      </c>
      <c r="E325" s="81"/>
      <c r="F325" s="85"/>
      <c r="G325" s="85"/>
      <c r="H325" s="133"/>
    </row>
    <row r="326" spans="2:8" ht="18" x14ac:dyDescent="0.25">
      <c r="B326" s="85"/>
      <c r="C326" s="85"/>
      <c r="D326" s="85"/>
      <c r="E326" s="85"/>
      <c r="F326" s="85"/>
      <c r="G326" s="85"/>
      <c r="H326" s="90"/>
    </row>
    <row r="327" spans="2:8" ht="15.75" customHeight="1" x14ac:dyDescent="0.25">
      <c r="B327" s="85" t="str">
        <f>+F1</f>
        <v>P/Depósito/transferencia en Bco Santander Rio</v>
      </c>
      <c r="C327" s="85"/>
      <c r="D327" s="85"/>
      <c r="E327" s="85"/>
      <c r="F327" s="148"/>
      <c r="G327" s="85"/>
      <c r="H327" s="90"/>
    </row>
    <row r="328" spans="2:8" ht="18" x14ac:dyDescent="0.25">
      <c r="B328" s="85" t="str">
        <f>+F2</f>
        <v>Cta. Cte. $ N° 210-1950/3</v>
      </c>
      <c r="C328" s="85"/>
      <c r="D328" s="85"/>
      <c r="E328" s="148"/>
      <c r="F328" s="81"/>
      <c r="G328" s="90"/>
      <c r="H328" s="148"/>
    </row>
    <row r="329" spans="2:8" ht="18" x14ac:dyDescent="0.25">
      <c r="B329" s="85" t="str">
        <f>+F3</f>
        <v>CBU 0720210220000000195036</v>
      </c>
      <c r="C329" s="85"/>
      <c r="D329" s="85"/>
      <c r="E329" s="85" t="s">
        <v>223</v>
      </c>
      <c r="F329" s="106">
        <f>+F311</f>
        <v>906793.41773499991</v>
      </c>
      <c r="G329" s="149"/>
      <c r="H329" s="99">
        <f>+D1</f>
        <v>46188</v>
      </c>
    </row>
    <row r="330" spans="2:8" ht="18" x14ac:dyDescent="0.25">
      <c r="B330" s="85" t="str">
        <f>+F4</f>
        <v>CUIT: 30-53267348-4</v>
      </c>
      <c r="C330" s="85"/>
      <c r="D330" s="85"/>
      <c r="E330" s="85" t="s">
        <v>227</v>
      </c>
      <c r="F330" s="106">
        <f>+F312</f>
        <v>15850</v>
      </c>
      <c r="G330" s="81"/>
      <c r="H330" s="90"/>
    </row>
    <row r="331" spans="2:8" ht="18" x14ac:dyDescent="0.25">
      <c r="B331" s="85"/>
      <c r="C331" s="85"/>
      <c r="D331" s="85"/>
      <c r="E331" s="85" t="s">
        <v>81</v>
      </c>
      <c r="F331" s="106">
        <f>+F315</f>
        <v>0</v>
      </c>
      <c r="G331" s="85"/>
      <c r="H331" s="90"/>
    </row>
    <row r="332" spans="2:8" ht="18" x14ac:dyDescent="0.25">
      <c r="B332" s="148"/>
      <c r="C332" s="148"/>
      <c r="D332" s="148"/>
      <c r="E332" s="85" t="s">
        <v>82</v>
      </c>
      <c r="F332" s="106">
        <f>+F316</f>
        <v>0</v>
      </c>
      <c r="G332" s="85"/>
      <c r="H332" s="90"/>
    </row>
    <row r="333" spans="2:8" ht="18" x14ac:dyDescent="0.25">
      <c r="D333" s="85"/>
      <c r="E333" s="85" t="s">
        <v>188</v>
      </c>
      <c r="F333" s="166">
        <f>+F313+F314</f>
        <v>0</v>
      </c>
      <c r="G333" s="85"/>
      <c r="H333" s="90"/>
    </row>
    <row r="334" spans="2:8" ht="18" x14ac:dyDescent="0.25">
      <c r="B334" s="99">
        <f>+$G$30</f>
        <v>46188</v>
      </c>
      <c r="C334" s="105">
        <f>+F317</f>
        <v>922643.41773499991</v>
      </c>
      <c r="D334" s="85"/>
      <c r="E334" s="85" t="s">
        <v>83</v>
      </c>
      <c r="F334" s="106">
        <f>+F317</f>
        <v>922643.41773499991</v>
      </c>
      <c r="G334" s="85"/>
      <c r="H334" s="90"/>
    </row>
    <row r="335" spans="2:8" ht="18" x14ac:dyDescent="0.25">
      <c r="B335" s="85"/>
      <c r="C335" s="85"/>
      <c r="D335" s="85"/>
      <c r="E335" s="85"/>
      <c r="F335" s="85"/>
      <c r="G335" s="85"/>
      <c r="H335" s="90"/>
    </row>
    <row r="336" spans="2:8" ht="18" x14ac:dyDescent="0.25">
      <c r="B336" s="85"/>
      <c r="C336" s="85"/>
      <c r="D336" s="85"/>
      <c r="E336" s="102"/>
      <c r="F336" s="85"/>
      <c r="G336" s="85"/>
      <c r="H336" s="90"/>
    </row>
    <row r="337" spans="2:8" ht="18" x14ac:dyDescent="0.25">
      <c r="B337" s="85"/>
      <c r="C337" s="85"/>
      <c r="D337" s="85"/>
      <c r="E337" s="85"/>
      <c r="F337" s="85"/>
      <c r="G337" s="85"/>
      <c r="H337" s="94"/>
    </row>
    <row r="338" spans="2:8" ht="18" x14ac:dyDescent="0.25">
      <c r="E338" s="85"/>
      <c r="G338" s="94"/>
      <c r="H338" s="90"/>
    </row>
    <row r="339" spans="2:8" x14ac:dyDescent="0.2">
      <c r="B339" s="183"/>
    </row>
    <row r="340" spans="2:8" ht="13.5" customHeight="1" x14ac:dyDescent="0.2">
      <c r="B340" s="194"/>
      <c r="C340" s="194"/>
      <c r="D340" s="194"/>
      <c r="E340" s="194"/>
      <c r="F340" s="194"/>
      <c r="G340" s="194"/>
      <c r="H340" s="254"/>
    </row>
    <row r="341" spans="2:8" ht="18" x14ac:dyDescent="0.25">
      <c r="B341" s="334"/>
      <c r="C341" s="334"/>
      <c r="D341" s="334"/>
      <c r="E341" s="342">
        <f>+$B$1</f>
        <v>46143</v>
      </c>
      <c r="F341" s="85"/>
      <c r="G341" s="337">
        <f>+$D$1</f>
        <v>46188</v>
      </c>
      <c r="H341" s="90"/>
    </row>
    <row r="342" spans="2:8" ht="20.25" customHeight="1" x14ac:dyDescent="0.25">
      <c r="B342" s="147"/>
      <c r="C342" s="147"/>
      <c r="D342" s="100"/>
      <c r="E342" s="342"/>
      <c r="F342" s="85"/>
      <c r="G342" s="337"/>
      <c r="H342" s="90"/>
    </row>
    <row r="343" spans="2:8" ht="18" x14ac:dyDescent="0.25">
      <c r="B343" s="85"/>
      <c r="C343" s="85"/>
      <c r="D343" s="85"/>
      <c r="E343" s="85"/>
      <c r="F343" s="85"/>
      <c r="G343" s="85"/>
      <c r="H343" s="90"/>
    </row>
    <row r="344" spans="2:8" ht="26.25" customHeight="1" x14ac:dyDescent="0.25">
      <c r="B344" s="194"/>
      <c r="C344" s="85"/>
      <c r="D344" s="85"/>
      <c r="E344" s="85"/>
      <c r="F344" s="85"/>
      <c r="G344" s="85"/>
      <c r="H344" s="90"/>
    </row>
    <row r="345" spans="2:8" ht="23.25" customHeight="1" x14ac:dyDescent="0.25">
      <c r="B345" s="85" t="str">
        <f>+B10</f>
        <v>Miguel A. Machinandiarena</v>
      </c>
      <c r="C345" s="85"/>
      <c r="D345" s="85"/>
      <c r="E345" s="85" t="str">
        <f>+E34</f>
        <v>Lima 461 C:A:B:A:</v>
      </c>
      <c r="F345" s="85"/>
      <c r="G345" s="85"/>
      <c r="H345" s="90" t="s">
        <v>92</v>
      </c>
    </row>
    <row r="346" spans="2:8" ht="18" x14ac:dyDescent="0.25">
      <c r="B346" s="85"/>
      <c r="C346" s="85"/>
      <c r="D346" s="85"/>
      <c r="E346" s="85"/>
      <c r="F346" s="85"/>
      <c r="G346" s="85"/>
      <c r="H346" s="90" t="str">
        <f>+'RES CUENTA'!A23</f>
        <v>4G</v>
      </c>
    </row>
    <row r="347" spans="2:8" ht="18" x14ac:dyDescent="0.25">
      <c r="B347" s="90"/>
      <c r="C347" s="85"/>
      <c r="D347" s="90"/>
      <c r="E347" s="85"/>
      <c r="F347" s="85"/>
      <c r="G347" s="85"/>
      <c r="H347" s="90"/>
    </row>
    <row r="348" spans="2:8" ht="14.25" customHeight="1" x14ac:dyDescent="0.25">
      <c r="B348" s="90"/>
      <c r="C348" s="85"/>
      <c r="D348" s="90"/>
      <c r="E348" s="85"/>
      <c r="F348" s="85"/>
      <c r="G348" s="85"/>
      <c r="H348" s="90"/>
    </row>
    <row r="349" spans="2:8" ht="18" x14ac:dyDescent="0.25">
      <c r="B349" s="85" t="s">
        <v>222</v>
      </c>
      <c r="C349" s="85"/>
      <c r="D349" s="107">
        <f>+'RES CUENTA'!$L$25</f>
        <v>10859801.41</v>
      </c>
      <c r="E349" s="108">
        <f>+'RES CUENTA'!G23</f>
        <v>8.11</v>
      </c>
      <c r="F349" s="103">
        <f>+D349*E349/100</f>
        <v>880729.89435099985</v>
      </c>
      <c r="G349" s="338"/>
      <c r="H349" s="338"/>
    </row>
    <row r="350" spans="2:8" ht="18" x14ac:dyDescent="0.25">
      <c r="B350" s="85" t="s">
        <v>226</v>
      </c>
      <c r="C350" s="85"/>
      <c r="D350" s="107">
        <f>+'RES CUENTA'!M25</f>
        <v>125000</v>
      </c>
      <c r="E350" s="108">
        <f>+'RES CUENTA'!H23</f>
        <v>12.32</v>
      </c>
      <c r="F350" s="103">
        <f>+D350*E350/100</f>
        <v>15400</v>
      </c>
      <c r="G350" s="341"/>
      <c r="H350" s="341"/>
    </row>
    <row r="351" spans="2:8" ht="18" x14ac:dyDescent="0.25">
      <c r="B351" s="85" t="s">
        <v>202</v>
      </c>
      <c r="C351" s="194"/>
      <c r="D351" s="107">
        <f>+'RES CUENTA'!N23</f>
        <v>0</v>
      </c>
      <c r="E351" s="108">
        <v>0</v>
      </c>
      <c r="F351" s="103">
        <f>+D351</f>
        <v>0</v>
      </c>
      <c r="G351" s="341"/>
      <c r="H351" s="341"/>
    </row>
    <row r="352" spans="2:8" ht="18" x14ac:dyDescent="0.25">
      <c r="B352" s="85" t="s">
        <v>269</v>
      </c>
      <c r="C352" s="194"/>
      <c r="D352" s="107">
        <v>0</v>
      </c>
      <c r="E352" s="108">
        <v>0</v>
      </c>
      <c r="F352" s="103">
        <v>0</v>
      </c>
      <c r="G352" s="341"/>
      <c r="H352" s="341"/>
    </row>
    <row r="353" spans="2:8" ht="18" x14ac:dyDescent="0.25">
      <c r="B353" s="85" t="s">
        <v>79</v>
      </c>
      <c r="C353" s="85"/>
      <c r="D353" s="107">
        <f>+'RES CUENTA'!Q23</f>
        <v>0</v>
      </c>
      <c r="E353" s="108">
        <v>0</v>
      </c>
      <c r="F353" s="103">
        <f>+D353</f>
        <v>0</v>
      </c>
      <c r="G353" s="341"/>
      <c r="H353" s="341"/>
    </row>
    <row r="354" spans="2:8" ht="18" x14ac:dyDescent="0.25">
      <c r="B354" s="85" t="s">
        <v>80</v>
      </c>
      <c r="C354" s="85"/>
      <c r="D354" s="107">
        <f>+'RES CUENTA'!R23</f>
        <v>0</v>
      </c>
      <c r="E354" s="108">
        <v>0</v>
      </c>
      <c r="F354" s="165">
        <f>+D354</f>
        <v>0</v>
      </c>
      <c r="G354" s="338"/>
      <c r="H354" s="338"/>
    </row>
    <row r="355" spans="2:8" ht="18" x14ac:dyDescent="0.25">
      <c r="B355" s="85"/>
      <c r="C355" s="85"/>
      <c r="D355" s="85"/>
      <c r="E355" s="92"/>
      <c r="F355" s="103">
        <f>SUM(F349:F354)</f>
        <v>896129.89435099985</v>
      </c>
      <c r="G355" s="90"/>
      <c r="H355" s="90"/>
    </row>
    <row r="356" spans="2:8" ht="11.25" customHeight="1" x14ac:dyDescent="0.25">
      <c r="B356" s="85"/>
      <c r="C356" s="85"/>
      <c r="D356" s="85"/>
      <c r="E356" s="85"/>
      <c r="F356" s="92"/>
      <c r="G356" s="85"/>
      <c r="H356" s="90"/>
    </row>
    <row r="357" spans="2:8" ht="14.25" customHeight="1" x14ac:dyDescent="0.25">
      <c r="B357" s="85"/>
      <c r="C357" s="85"/>
      <c r="D357" s="85"/>
      <c r="E357" s="85"/>
      <c r="F357" s="92"/>
      <c r="G357" s="85"/>
      <c r="H357" s="90"/>
    </row>
    <row r="358" spans="2:8" ht="12.75" customHeight="1" x14ac:dyDescent="0.25">
      <c r="B358" s="85"/>
      <c r="C358" s="85"/>
      <c r="D358" s="85"/>
      <c r="E358" s="85"/>
      <c r="F358" s="92"/>
      <c r="G358" s="85"/>
      <c r="H358" s="90"/>
    </row>
    <row r="359" spans="2:8" ht="14.25" customHeight="1" x14ac:dyDescent="0.25">
      <c r="B359" s="85"/>
      <c r="C359" s="85"/>
      <c r="D359" s="85"/>
      <c r="E359" s="85"/>
      <c r="F359" s="92"/>
      <c r="G359" s="85"/>
      <c r="H359" s="90"/>
    </row>
    <row r="360" spans="2:8" ht="21.75" customHeight="1" x14ac:dyDescent="0.25">
      <c r="B360" s="85" t="str">
        <f>+B345</f>
        <v>Miguel A. Machinandiarena</v>
      </c>
      <c r="C360" s="85"/>
      <c r="D360" s="85"/>
      <c r="E360" s="85" t="str">
        <f>+B360</f>
        <v>Miguel A. Machinandiarena</v>
      </c>
      <c r="F360" s="92"/>
      <c r="G360" s="85"/>
      <c r="H360" s="90"/>
    </row>
    <row r="361" spans="2:8" ht="18" x14ac:dyDescent="0.25">
      <c r="B361" s="194"/>
      <c r="C361" s="85"/>
      <c r="D361" s="85"/>
      <c r="E361" s="194"/>
      <c r="F361" s="339"/>
      <c r="G361" s="339"/>
      <c r="H361" s="339"/>
    </row>
    <row r="362" spans="2:8" ht="18" x14ac:dyDescent="0.25">
      <c r="B362" s="85" t="str">
        <f>+E1</f>
        <v>Lima 461 C:A:B:A:</v>
      </c>
      <c r="C362" s="85"/>
      <c r="D362" s="90" t="str">
        <f>+H345</f>
        <v>Unid. 9</v>
      </c>
      <c r="E362" s="85" t="str">
        <f>+E1</f>
        <v>Lima 461 C:A:B:A:</v>
      </c>
      <c r="F362" s="85"/>
      <c r="G362" s="85"/>
      <c r="H362" s="90" t="str">
        <f>+D362</f>
        <v>Unid. 9</v>
      </c>
    </row>
    <row r="363" spans="2:8" ht="18" x14ac:dyDescent="0.25">
      <c r="B363" s="194"/>
      <c r="C363" s="194"/>
      <c r="D363" s="90" t="str">
        <f>+H363</f>
        <v>4G</v>
      </c>
      <c r="E363" s="194"/>
      <c r="F363" s="194"/>
      <c r="G363" s="194"/>
      <c r="H363" s="90" t="str">
        <f>+H346</f>
        <v>4G</v>
      </c>
    </row>
    <row r="364" spans="2:8" ht="18" x14ac:dyDescent="0.25">
      <c r="B364" s="85"/>
      <c r="C364" s="85"/>
      <c r="D364" s="85"/>
      <c r="E364" s="85"/>
      <c r="F364" s="85"/>
      <c r="G364" s="85"/>
      <c r="H364" s="254"/>
    </row>
    <row r="365" spans="2:8" ht="18" x14ac:dyDescent="0.25">
      <c r="B365" s="85" t="str">
        <f>+F1</f>
        <v>P/Depósito/transferencia en Bco Santander Rio</v>
      </c>
      <c r="C365" s="85"/>
      <c r="D365" s="85"/>
      <c r="E365" s="85"/>
      <c r="F365" s="85"/>
      <c r="G365" s="85"/>
      <c r="H365" s="90"/>
    </row>
    <row r="366" spans="2:8" ht="14.25" customHeight="1" x14ac:dyDescent="0.25">
      <c r="B366" s="85" t="str">
        <f>+F2</f>
        <v>Cta. Cte. $ N° 210-1950/3</v>
      </c>
      <c r="C366" s="85"/>
      <c r="D366" s="85"/>
      <c r="E366" s="148"/>
      <c r="F366" s="85"/>
      <c r="G366" s="90"/>
      <c r="H366" s="90"/>
    </row>
    <row r="367" spans="2:8" ht="18" x14ac:dyDescent="0.25">
      <c r="B367" s="85" t="str">
        <f>+F3</f>
        <v>CBU 0720210220000000195036</v>
      </c>
      <c r="C367" s="85"/>
      <c r="D367" s="85"/>
      <c r="E367" s="85" t="s">
        <v>223</v>
      </c>
      <c r="F367" s="106">
        <f>+F349</f>
        <v>880729.89435099985</v>
      </c>
      <c r="G367" s="194"/>
      <c r="H367" s="99">
        <f>+D1</f>
        <v>46188</v>
      </c>
    </row>
    <row r="368" spans="2:8" ht="18" x14ac:dyDescent="0.25">
      <c r="B368" s="85" t="str">
        <f>+F4</f>
        <v>CUIT: 30-53267348-4</v>
      </c>
      <c r="C368" s="85"/>
      <c r="D368" s="85"/>
      <c r="E368" s="85" t="s">
        <v>227</v>
      </c>
      <c r="F368" s="106">
        <f>+F350</f>
        <v>15400</v>
      </c>
      <c r="G368" s="194"/>
      <c r="H368" s="254"/>
    </row>
    <row r="369" spans="2:8" ht="18" x14ac:dyDescent="0.25">
      <c r="B369" s="85"/>
      <c r="C369" s="85"/>
      <c r="D369" s="85"/>
      <c r="E369" s="85" t="s">
        <v>81</v>
      </c>
      <c r="F369" s="106">
        <f>+F353</f>
        <v>0</v>
      </c>
      <c r="G369" s="85"/>
      <c r="H369" s="90"/>
    </row>
    <row r="370" spans="2:8" ht="18" x14ac:dyDescent="0.25">
      <c r="B370" s="85"/>
      <c r="C370" s="85"/>
      <c r="D370" s="85"/>
      <c r="E370" s="85" t="s">
        <v>82</v>
      </c>
      <c r="F370" s="106">
        <f>+F354</f>
        <v>0</v>
      </c>
      <c r="G370" s="85"/>
      <c r="H370" s="90"/>
    </row>
    <row r="371" spans="2:8" ht="18" x14ac:dyDescent="0.25">
      <c r="B371" s="148"/>
      <c r="C371" s="148"/>
      <c r="D371" s="148"/>
      <c r="E371" s="85" t="s">
        <v>188</v>
      </c>
      <c r="F371" s="166">
        <f>+F352</f>
        <v>0</v>
      </c>
      <c r="G371" s="85"/>
      <c r="H371" s="90"/>
    </row>
    <row r="372" spans="2:8" ht="18" x14ac:dyDescent="0.25">
      <c r="B372" s="99">
        <f>+$G$30</f>
        <v>46188</v>
      </c>
      <c r="C372" s="105">
        <f>+F355</f>
        <v>896129.89435099985</v>
      </c>
      <c r="D372" s="85"/>
      <c r="E372" s="85" t="s">
        <v>83</v>
      </c>
      <c r="F372" s="106">
        <f>+F355</f>
        <v>896129.89435099985</v>
      </c>
      <c r="G372" s="85"/>
      <c r="H372" s="90"/>
    </row>
    <row r="373" spans="2:8" ht="18" x14ac:dyDescent="0.25">
      <c r="B373" s="85"/>
      <c r="C373" s="85"/>
      <c r="D373" s="85"/>
      <c r="E373" s="102"/>
      <c r="F373" s="85"/>
      <c r="G373" s="85"/>
      <c r="H373" s="90"/>
    </row>
    <row r="374" spans="2:8" ht="18" x14ac:dyDescent="0.25">
      <c r="B374" s="85"/>
      <c r="C374" s="85"/>
      <c r="D374" s="85"/>
      <c r="E374" s="102"/>
      <c r="F374" s="85"/>
      <c r="G374" s="85"/>
      <c r="H374" s="90"/>
    </row>
    <row r="375" spans="2:8" ht="18" x14ac:dyDescent="0.25">
      <c r="B375" s="85"/>
      <c r="C375" s="85"/>
      <c r="D375" s="85"/>
      <c r="E375" s="194"/>
      <c r="F375" s="85"/>
      <c r="G375" s="85"/>
      <c r="H375" s="90"/>
    </row>
    <row r="376" spans="2:8" ht="18" x14ac:dyDescent="0.25">
      <c r="B376" s="85"/>
      <c r="C376" s="85"/>
      <c r="D376" s="85"/>
      <c r="E376" s="85"/>
      <c r="F376" s="85"/>
      <c r="G376" s="85"/>
      <c r="H376" s="90"/>
    </row>
    <row r="377" spans="2:8" ht="18" x14ac:dyDescent="0.25">
      <c r="B377" s="85"/>
      <c r="C377" s="85"/>
      <c r="D377" s="85"/>
      <c r="E377" s="85"/>
      <c r="F377" s="85"/>
      <c r="G377" s="338"/>
      <c r="H377" s="338"/>
    </row>
    <row r="378" spans="2:8" ht="18" x14ac:dyDescent="0.25">
      <c r="B378" s="85"/>
      <c r="C378" s="85"/>
      <c r="D378" s="85"/>
      <c r="E378" s="85"/>
      <c r="F378" s="85"/>
      <c r="G378" s="85"/>
      <c r="H378" s="90"/>
    </row>
    <row r="379" spans="2:8" ht="18" x14ac:dyDescent="0.25">
      <c r="B379" s="85"/>
      <c r="C379" s="85"/>
      <c r="D379" s="85"/>
      <c r="E379" s="85"/>
      <c r="F379" s="85"/>
      <c r="G379" s="85"/>
      <c r="H379" s="90"/>
    </row>
    <row r="380" spans="2:8" ht="18" x14ac:dyDescent="0.25">
      <c r="B380" s="85"/>
      <c r="C380" s="85"/>
      <c r="D380" s="85"/>
      <c r="E380" s="85"/>
      <c r="F380" s="85"/>
      <c r="G380" s="85"/>
      <c r="H380" s="90"/>
    </row>
    <row r="381" spans="2:8" ht="18" x14ac:dyDescent="0.25">
      <c r="B381" s="85"/>
      <c r="C381" s="85"/>
      <c r="D381" s="85"/>
      <c r="E381" s="85"/>
      <c r="F381" s="85"/>
      <c r="G381" s="85"/>
      <c r="H381" s="90"/>
    </row>
    <row r="382" spans="2:8" ht="18" x14ac:dyDescent="0.25">
      <c r="B382" s="334"/>
      <c r="C382" s="334"/>
      <c r="D382" s="334"/>
      <c r="E382" s="98">
        <f>+$B$1</f>
        <v>46143</v>
      </c>
      <c r="F382" s="85"/>
      <c r="G382" s="99">
        <f>+$D$1</f>
        <v>46188</v>
      </c>
      <c r="H382" s="162"/>
    </row>
    <row r="383" spans="2:8" ht="18" x14ac:dyDescent="0.25">
      <c r="B383" s="147"/>
      <c r="C383" s="147"/>
      <c r="D383" s="100"/>
      <c r="E383" s="98"/>
      <c r="F383" s="85"/>
      <c r="G383" s="194"/>
      <c r="H383" s="254"/>
    </row>
    <row r="384" spans="2:8" ht="15" customHeight="1" x14ac:dyDescent="0.25">
      <c r="B384" s="194"/>
      <c r="C384" s="85"/>
      <c r="D384" s="85"/>
      <c r="E384" s="194"/>
      <c r="F384" s="85"/>
      <c r="G384" s="194"/>
      <c r="H384" s="254"/>
    </row>
    <row r="385" spans="2:8" ht="18" x14ac:dyDescent="0.25">
      <c r="B385" s="85" t="str">
        <f>+B11</f>
        <v>Olivier Liem</v>
      </c>
      <c r="C385" s="85"/>
      <c r="D385" s="85"/>
      <c r="E385" s="85" t="str">
        <f>+E73</f>
        <v>Lima 461 C:A:B:A:</v>
      </c>
      <c r="F385" s="85"/>
      <c r="G385" s="194"/>
      <c r="H385" s="90" t="s">
        <v>93</v>
      </c>
    </row>
    <row r="386" spans="2:8" ht="18" x14ac:dyDescent="0.25">
      <c r="B386" s="85"/>
      <c r="C386" s="85"/>
      <c r="D386" s="85"/>
      <c r="E386" s="194"/>
      <c r="F386" s="85"/>
      <c r="G386" s="85"/>
      <c r="H386" s="90" t="str">
        <f>+'RES CUENTA'!A24</f>
        <v>4H</v>
      </c>
    </row>
    <row r="387" spans="2:8" ht="18" x14ac:dyDescent="0.25">
      <c r="B387" s="85"/>
      <c r="C387" s="85"/>
      <c r="D387" s="85"/>
      <c r="E387" s="85"/>
      <c r="F387" s="85"/>
      <c r="G387" s="85"/>
      <c r="H387" s="90"/>
    </row>
    <row r="388" spans="2:8" ht="18" x14ac:dyDescent="0.25">
      <c r="B388" s="85"/>
      <c r="C388" s="85"/>
      <c r="D388" s="85"/>
      <c r="E388" s="85"/>
      <c r="F388" s="85"/>
      <c r="G388" s="85"/>
      <c r="H388" s="90"/>
    </row>
    <row r="389" spans="2:8" ht="18" x14ac:dyDescent="0.25">
      <c r="B389" s="85" t="s">
        <v>222</v>
      </c>
      <c r="C389" s="85"/>
      <c r="D389" s="107">
        <f>+'RES CUENTA'!$L$25</f>
        <v>10859801.41</v>
      </c>
      <c r="E389" s="108">
        <f>+'RES CUENTA'!G24</f>
        <v>8.11</v>
      </c>
      <c r="F389" s="103">
        <f>+D389*E389/100</f>
        <v>880729.89435099985</v>
      </c>
      <c r="G389" s="85"/>
      <c r="H389" s="90"/>
    </row>
    <row r="390" spans="2:8" ht="18" x14ac:dyDescent="0.25">
      <c r="B390" s="85" t="s">
        <v>226</v>
      </c>
      <c r="C390" s="85"/>
      <c r="D390" s="107">
        <f>+'RES CUENTA'!M25</f>
        <v>125000</v>
      </c>
      <c r="E390" s="108">
        <f>+'RES CUENTA'!H24</f>
        <v>12.32</v>
      </c>
      <c r="F390" s="103">
        <f>+D390*E390/100</f>
        <v>15400</v>
      </c>
      <c r="G390" s="90"/>
      <c r="H390" s="89"/>
    </row>
    <row r="391" spans="2:8" ht="18" x14ac:dyDescent="0.25">
      <c r="B391" s="85" t="s">
        <v>202</v>
      </c>
      <c r="C391" s="85"/>
      <c r="D391" s="107">
        <f>+'RES CUENTA'!N24</f>
        <v>0</v>
      </c>
      <c r="E391" s="108">
        <v>0</v>
      </c>
      <c r="F391" s="103">
        <f>+D391</f>
        <v>0</v>
      </c>
      <c r="G391" s="90"/>
      <c r="H391" s="89"/>
    </row>
    <row r="392" spans="2:8" ht="18" x14ac:dyDescent="0.25">
      <c r="B392" s="85" t="s">
        <v>296</v>
      </c>
      <c r="C392" s="85"/>
      <c r="D392" s="107">
        <v>0</v>
      </c>
      <c r="E392" s="108">
        <v>0</v>
      </c>
      <c r="F392" s="103">
        <v>0</v>
      </c>
      <c r="G392" s="90"/>
      <c r="H392" s="89"/>
    </row>
    <row r="393" spans="2:8" ht="18" x14ac:dyDescent="0.25">
      <c r="B393" s="85" t="s">
        <v>79</v>
      </c>
      <c r="C393" s="85"/>
      <c r="D393" s="107">
        <f>+'RES CUENTA'!Q24</f>
        <v>1046410.4599369997</v>
      </c>
      <c r="E393" s="108">
        <v>0</v>
      </c>
      <c r="F393" s="103">
        <f>+D393</f>
        <v>1046410.4599369997</v>
      </c>
      <c r="G393" s="89"/>
      <c r="H393" s="89"/>
    </row>
    <row r="394" spans="2:8" ht="18" x14ac:dyDescent="0.25">
      <c r="B394" s="85" t="s">
        <v>80</v>
      </c>
      <c r="C394" s="85"/>
      <c r="D394" s="107">
        <f>+'RES CUENTA'!R24</f>
        <v>51872.390965319981</v>
      </c>
      <c r="E394" s="108">
        <v>0</v>
      </c>
      <c r="F394" s="165">
        <f>+D394</f>
        <v>51872.390965319981</v>
      </c>
      <c r="G394" s="89"/>
      <c r="H394" s="90"/>
    </row>
    <row r="395" spans="2:8" ht="18" x14ac:dyDescent="0.25">
      <c r="B395" s="85"/>
      <c r="C395" s="85"/>
      <c r="D395" s="85"/>
      <c r="E395" s="194"/>
      <c r="F395" s="103">
        <f>SUM(F389:F394)</f>
        <v>1994412.7452533196</v>
      </c>
      <c r="G395" s="90"/>
      <c r="H395" s="90"/>
    </row>
    <row r="396" spans="2:8" ht="18" x14ac:dyDescent="0.25">
      <c r="B396" s="85"/>
      <c r="C396" s="85"/>
      <c r="D396" s="85"/>
      <c r="E396" s="85"/>
      <c r="F396" s="92"/>
      <c r="G396" s="90"/>
      <c r="H396" s="90"/>
    </row>
    <row r="397" spans="2:8" ht="18" x14ac:dyDescent="0.25">
      <c r="B397" s="85"/>
      <c r="C397" s="85"/>
      <c r="D397" s="85"/>
      <c r="E397" s="85"/>
      <c r="F397" s="92"/>
      <c r="G397" s="90"/>
      <c r="H397" s="90"/>
    </row>
    <row r="398" spans="2:8" ht="12.75" customHeight="1" x14ac:dyDescent="0.25">
      <c r="B398" s="85"/>
      <c r="C398" s="85"/>
      <c r="D398" s="85"/>
      <c r="E398" s="85"/>
      <c r="F398" s="92"/>
      <c r="G398" s="90"/>
      <c r="H398" s="90"/>
    </row>
    <row r="399" spans="2:8" ht="17.25" customHeight="1" x14ac:dyDescent="0.25">
      <c r="B399" s="85"/>
      <c r="C399" s="85"/>
      <c r="D399" s="85"/>
      <c r="E399" s="85"/>
      <c r="F399" s="92"/>
      <c r="G399" s="90"/>
      <c r="H399" s="90"/>
    </row>
    <row r="400" spans="2:8" ht="24" customHeight="1" x14ac:dyDescent="0.25">
      <c r="B400" s="85" t="str">
        <f>+B385</f>
        <v>Olivier Liem</v>
      </c>
      <c r="C400" s="85"/>
      <c r="D400" s="85"/>
      <c r="E400" s="85" t="str">
        <f>+B385</f>
        <v>Olivier Liem</v>
      </c>
      <c r="F400" s="85"/>
      <c r="G400" s="85"/>
      <c r="H400" s="90"/>
    </row>
    <row r="401" spans="2:8" ht="18" x14ac:dyDescent="0.25">
      <c r="B401" s="85"/>
      <c r="C401" s="85"/>
      <c r="D401" s="85"/>
      <c r="E401" s="194"/>
      <c r="F401" s="85"/>
      <c r="G401" s="92"/>
      <c r="H401" s="90" t="str">
        <f>+H385</f>
        <v>Unid. 10</v>
      </c>
    </row>
    <row r="402" spans="2:8" ht="18" x14ac:dyDescent="0.25">
      <c r="B402" s="85" t="str">
        <f>+E1</f>
        <v>Lima 461 C:A:B:A:</v>
      </c>
      <c r="C402" s="85"/>
      <c r="D402" s="90" t="str">
        <f>+H401</f>
        <v>Unid. 10</v>
      </c>
      <c r="E402" s="85" t="str">
        <f>+E1</f>
        <v>Lima 461 C:A:B:A:</v>
      </c>
      <c r="F402" s="85"/>
      <c r="G402" s="85"/>
      <c r="H402" s="90" t="str">
        <f>+H386</f>
        <v>4H</v>
      </c>
    </row>
    <row r="403" spans="2:8" ht="18" x14ac:dyDescent="0.25">
      <c r="B403" s="85"/>
      <c r="C403" s="85"/>
      <c r="D403" s="90" t="str">
        <f>+H402</f>
        <v>4H</v>
      </c>
      <c r="E403" s="194"/>
      <c r="F403" s="85"/>
      <c r="G403" s="85"/>
      <c r="H403" s="254"/>
    </row>
    <row r="404" spans="2:8" ht="12" customHeight="1" x14ac:dyDescent="0.25">
      <c r="B404" s="85"/>
      <c r="C404" s="85"/>
      <c r="D404" s="85"/>
      <c r="E404" s="85"/>
      <c r="F404" s="85"/>
      <c r="G404" s="85"/>
      <c r="H404" s="90"/>
    </row>
    <row r="405" spans="2:8" ht="18" x14ac:dyDescent="0.25">
      <c r="B405" s="85" t="str">
        <f>+F1</f>
        <v>P/Depósito/transferencia en Bco Santander Rio</v>
      </c>
      <c r="C405" s="85"/>
      <c r="D405" s="85"/>
      <c r="E405" s="85"/>
      <c r="F405" s="148"/>
      <c r="G405" s="85"/>
      <c r="H405" s="90"/>
    </row>
    <row r="406" spans="2:8" ht="21" customHeight="1" x14ac:dyDescent="0.25">
      <c r="B406" s="85" t="str">
        <f>+F2</f>
        <v>Cta. Cte. $ N° 210-1950/3</v>
      </c>
      <c r="C406" s="85"/>
      <c r="D406" s="85"/>
      <c r="E406" s="148"/>
      <c r="F406" s="194"/>
      <c r="G406" s="90"/>
      <c r="H406" s="148"/>
    </row>
    <row r="407" spans="2:8" ht="18" x14ac:dyDescent="0.25">
      <c r="B407" s="85" t="str">
        <f>+F3</f>
        <v>CBU 0720210220000000195036</v>
      </c>
      <c r="C407" s="85"/>
      <c r="D407" s="85"/>
      <c r="E407" s="85" t="s">
        <v>223</v>
      </c>
      <c r="F407" s="106">
        <f>+F389</f>
        <v>880729.89435099985</v>
      </c>
      <c r="G407" s="149"/>
      <c r="H407" s="99">
        <f>+D1</f>
        <v>46188</v>
      </c>
    </row>
    <row r="408" spans="2:8" ht="18" x14ac:dyDescent="0.25">
      <c r="B408" s="85" t="str">
        <f>+F4</f>
        <v>CUIT: 30-53267348-4</v>
      </c>
      <c r="C408" s="85"/>
      <c r="D408" s="85"/>
      <c r="E408" s="85" t="s">
        <v>227</v>
      </c>
      <c r="F408" s="106">
        <f>+F390</f>
        <v>15400</v>
      </c>
      <c r="G408" s="194"/>
      <c r="H408" s="90"/>
    </row>
    <row r="409" spans="2:8" ht="18" x14ac:dyDescent="0.25">
      <c r="B409" s="85"/>
      <c r="C409" s="85"/>
      <c r="D409" s="85"/>
      <c r="E409" s="85" t="s">
        <v>81</v>
      </c>
      <c r="F409" s="106">
        <f>+F393</f>
        <v>1046410.4599369997</v>
      </c>
      <c r="G409" s="85"/>
      <c r="H409" s="90"/>
    </row>
    <row r="410" spans="2:8" ht="18" x14ac:dyDescent="0.25">
      <c r="B410" s="148"/>
      <c r="C410" s="148"/>
      <c r="D410" s="148"/>
      <c r="E410" s="85" t="s">
        <v>82</v>
      </c>
      <c r="F410" s="106">
        <f>+F394</f>
        <v>51872.390965319981</v>
      </c>
      <c r="G410" s="85"/>
      <c r="H410" s="90"/>
    </row>
    <row r="411" spans="2:8" ht="18" x14ac:dyDescent="0.25">
      <c r="B411" s="194"/>
      <c r="C411" s="194"/>
      <c r="D411" s="85"/>
      <c r="E411" s="85" t="s">
        <v>188</v>
      </c>
      <c r="F411" s="166">
        <f>+F392</f>
        <v>0</v>
      </c>
      <c r="G411" s="85"/>
      <c r="H411" s="90"/>
    </row>
    <row r="412" spans="2:8" ht="18" x14ac:dyDescent="0.25">
      <c r="B412" s="99">
        <f>+$G$30</f>
        <v>46188</v>
      </c>
      <c r="C412" s="105">
        <f>+F395</f>
        <v>1994412.7452533196</v>
      </c>
      <c r="D412" s="85"/>
      <c r="E412" s="85" t="s">
        <v>83</v>
      </c>
      <c r="F412" s="106">
        <f>+F395</f>
        <v>1994412.7452533196</v>
      </c>
      <c r="G412" s="85"/>
      <c r="H412" s="90"/>
    </row>
    <row r="413" spans="2:8" ht="18" x14ac:dyDescent="0.25">
      <c r="B413" s="85"/>
      <c r="C413" s="85"/>
      <c r="D413" s="85"/>
      <c r="E413" s="85"/>
      <c r="F413" s="85"/>
      <c r="G413" s="85"/>
      <c r="H413" s="90"/>
    </row>
    <row r="414" spans="2:8" ht="18" x14ac:dyDescent="0.25">
      <c r="B414" s="85"/>
      <c r="C414" s="85"/>
      <c r="D414" s="85"/>
      <c r="E414" s="102"/>
      <c r="F414" s="85"/>
      <c r="G414" s="85"/>
      <c r="H414" s="90"/>
    </row>
    <row r="415" spans="2:8" ht="18" customHeight="1" x14ac:dyDescent="0.25">
      <c r="B415" s="85"/>
      <c r="C415" s="85"/>
      <c r="D415" s="85"/>
      <c r="E415" s="85"/>
      <c r="F415" s="85"/>
      <c r="G415" s="85"/>
      <c r="H415" s="94"/>
    </row>
    <row r="416" spans="2:8" ht="15.75" customHeight="1" x14ac:dyDescent="0.25">
      <c r="E416" s="85"/>
      <c r="G416" s="94"/>
      <c r="H416" s="90"/>
    </row>
    <row r="417" spans="2:8" ht="10.5" customHeight="1" x14ac:dyDescent="0.25">
      <c r="E417" s="85"/>
      <c r="G417" s="94"/>
      <c r="H417" s="90"/>
    </row>
    <row r="419" spans="2:8" ht="18" x14ac:dyDescent="0.25">
      <c r="B419" s="343"/>
      <c r="C419" s="343"/>
      <c r="D419" s="343"/>
      <c r="E419" s="342">
        <f>+$B$1</f>
        <v>46143</v>
      </c>
      <c r="F419" s="85"/>
      <c r="G419" s="337">
        <f>+$D$1</f>
        <v>46188</v>
      </c>
      <c r="H419" s="90"/>
    </row>
    <row r="420" spans="2:8" ht="18" x14ac:dyDescent="0.25">
      <c r="B420" s="84"/>
      <c r="C420" s="84"/>
      <c r="D420" s="100"/>
      <c r="E420" s="342"/>
      <c r="F420" s="85"/>
      <c r="G420" s="337"/>
      <c r="H420" s="90"/>
    </row>
    <row r="421" spans="2:8" ht="9.75" customHeight="1" x14ac:dyDescent="0.25">
      <c r="B421" s="85"/>
      <c r="C421" s="85"/>
      <c r="D421" s="85"/>
      <c r="E421" s="86"/>
      <c r="F421" s="85"/>
      <c r="G421" s="86"/>
      <c r="H421" s="90"/>
    </row>
    <row r="422" spans="2:8" ht="12.75" customHeight="1" x14ac:dyDescent="0.25">
      <c r="B422" s="85"/>
      <c r="C422" s="85"/>
      <c r="D422" s="85"/>
      <c r="E422" s="86"/>
      <c r="F422" s="85"/>
      <c r="G422" s="86"/>
      <c r="H422" s="90"/>
    </row>
    <row r="423" spans="2:8" ht="25.5" customHeight="1" x14ac:dyDescent="0.25">
      <c r="B423" s="85" t="e">
        <f>+B12</f>
        <v>#REF!</v>
      </c>
      <c r="C423" s="85"/>
      <c r="D423" s="85"/>
      <c r="E423" s="86"/>
      <c r="F423" s="85"/>
      <c r="G423" s="86"/>
      <c r="H423" s="90"/>
    </row>
    <row r="424" spans="2:8" ht="21" customHeight="1" x14ac:dyDescent="0.25">
      <c r="B424" s="86"/>
      <c r="C424" s="85"/>
      <c r="D424" s="85"/>
      <c r="E424" s="85" t="str">
        <f>+E34</f>
        <v>Lima 461 C:A:B:A:</v>
      </c>
      <c r="F424" s="85"/>
      <c r="G424" s="85"/>
      <c r="H424" s="90" t="s">
        <v>94</v>
      </c>
    </row>
    <row r="425" spans="2:8" ht="18" x14ac:dyDescent="0.25">
      <c r="B425" s="85"/>
      <c r="C425" s="85"/>
      <c r="D425" s="85"/>
      <c r="E425" s="86"/>
      <c r="F425" s="86"/>
      <c r="G425" s="85"/>
      <c r="H425" s="90" t="e">
        <f>+'RES CUENTA'!#REF!</f>
        <v>#REF!</v>
      </c>
    </row>
    <row r="426" spans="2:8" ht="18" x14ac:dyDescent="0.25">
      <c r="B426" s="94"/>
      <c r="C426" s="85"/>
      <c r="D426" s="94"/>
      <c r="E426" s="85"/>
      <c r="F426" s="85"/>
      <c r="G426" s="85"/>
      <c r="H426" s="90"/>
    </row>
    <row r="427" spans="2:8" ht="21.75" customHeight="1" x14ac:dyDescent="0.25">
      <c r="B427" s="94"/>
      <c r="C427" s="85"/>
      <c r="D427" s="94"/>
      <c r="E427" s="85"/>
      <c r="F427" s="85"/>
      <c r="G427" s="85"/>
      <c r="H427" s="90"/>
    </row>
    <row r="428" spans="2:8" ht="18" x14ac:dyDescent="0.25">
      <c r="B428" s="85" t="s">
        <v>198</v>
      </c>
      <c r="C428" s="85"/>
      <c r="D428" s="107">
        <f>+'RES CUENTA'!$L$25</f>
        <v>10859801.41</v>
      </c>
      <c r="E428" s="108" t="e">
        <f>+'RES CUENTA'!#REF!</f>
        <v>#REF!</v>
      </c>
      <c r="F428" s="103" t="e">
        <f>+D428*E428/100</f>
        <v>#REF!</v>
      </c>
      <c r="G428" s="345"/>
      <c r="H428" s="345"/>
    </row>
    <row r="429" spans="2:8" ht="18" x14ac:dyDescent="0.25">
      <c r="B429" s="85" t="s">
        <v>199</v>
      </c>
      <c r="C429" s="85"/>
      <c r="D429" s="107" t="e">
        <f>+'RES CUENTA'!#REF!</f>
        <v>#REF!</v>
      </c>
      <c r="E429" s="108" t="e">
        <f>+'RES CUENTA'!#REF!</f>
        <v>#REF!</v>
      </c>
      <c r="F429" s="103" t="e">
        <f>+D429*E429/100</f>
        <v>#REF!</v>
      </c>
      <c r="G429" s="341"/>
      <c r="H429" s="341"/>
    </row>
    <row r="430" spans="2:8" ht="18" x14ac:dyDescent="0.25">
      <c r="B430" s="85" t="s">
        <v>79</v>
      </c>
      <c r="C430" s="85"/>
      <c r="D430" s="107" t="e">
        <f>+'RES CUENTA'!#REF!</f>
        <v>#REF!</v>
      </c>
      <c r="E430" s="108">
        <v>0</v>
      </c>
      <c r="F430" s="103" t="e">
        <f>+D430</f>
        <v>#REF!</v>
      </c>
      <c r="G430" s="341"/>
      <c r="H430" s="341"/>
    </row>
    <row r="431" spans="2:8" ht="18" x14ac:dyDescent="0.25">
      <c r="B431" s="85" t="s">
        <v>80</v>
      </c>
      <c r="C431" s="85"/>
      <c r="D431" s="107" t="e">
        <f>+'RES CUENTA'!#REF!</f>
        <v>#REF!</v>
      </c>
      <c r="E431" s="108">
        <v>0</v>
      </c>
      <c r="F431" s="165" t="e">
        <f>+D431</f>
        <v>#REF!</v>
      </c>
      <c r="G431" s="341"/>
      <c r="H431" s="341"/>
    </row>
    <row r="432" spans="2:8" ht="18" x14ac:dyDescent="0.25">
      <c r="B432" s="86"/>
      <c r="C432" s="85"/>
      <c r="D432" s="85"/>
      <c r="E432" s="92"/>
      <c r="F432" s="104" t="e">
        <f>SUM(F428:F431)</f>
        <v>#REF!</v>
      </c>
      <c r="G432" s="341"/>
      <c r="H432" s="341"/>
    </row>
    <row r="433" spans="2:8" ht="18" x14ac:dyDescent="0.25">
      <c r="B433" s="86"/>
      <c r="C433" s="85"/>
      <c r="D433" s="85"/>
      <c r="E433" s="85"/>
      <c r="G433" s="338"/>
      <c r="H433" s="338"/>
    </row>
    <row r="434" spans="2:8" ht="18" x14ac:dyDescent="0.25">
      <c r="B434" s="85"/>
      <c r="C434" s="85"/>
      <c r="D434" s="85"/>
      <c r="E434" s="85"/>
      <c r="F434" s="91"/>
      <c r="G434" s="90"/>
      <c r="H434" s="90"/>
    </row>
    <row r="435" spans="2:8" ht="18" x14ac:dyDescent="0.25">
      <c r="B435" s="85"/>
      <c r="C435" s="85"/>
      <c r="D435" s="85"/>
      <c r="E435" s="85"/>
      <c r="F435" s="91"/>
      <c r="G435" s="90"/>
      <c r="H435" s="90"/>
    </row>
    <row r="436" spans="2:8" ht="18" x14ac:dyDescent="0.25">
      <c r="B436" s="85"/>
      <c r="C436" s="85"/>
      <c r="D436" s="85"/>
      <c r="E436" s="85"/>
      <c r="F436" s="92"/>
      <c r="G436" s="85"/>
      <c r="H436" s="90"/>
    </row>
    <row r="437" spans="2:8" ht="18" x14ac:dyDescent="0.25">
      <c r="B437" s="85"/>
      <c r="C437" s="85"/>
      <c r="D437" s="85"/>
      <c r="E437" s="85"/>
      <c r="F437" s="92"/>
      <c r="G437" s="85"/>
      <c r="H437" s="90"/>
    </row>
    <row r="438" spans="2:8" ht="6" customHeight="1" x14ac:dyDescent="0.25">
      <c r="B438" s="85"/>
      <c r="C438" s="85"/>
      <c r="D438" s="85"/>
      <c r="E438" s="85"/>
      <c r="F438" s="92"/>
      <c r="G438" s="85"/>
      <c r="H438" s="90"/>
    </row>
    <row r="439" spans="2:8" ht="18" x14ac:dyDescent="0.25">
      <c r="B439" s="85" t="e">
        <f>+B423</f>
        <v>#REF!</v>
      </c>
      <c r="C439" s="344"/>
      <c r="D439" s="344"/>
      <c r="E439" s="85" t="e">
        <f>+B439</f>
        <v>#REF!</v>
      </c>
      <c r="F439" s="92"/>
      <c r="G439" s="85"/>
      <c r="H439" s="90"/>
    </row>
    <row r="440" spans="2:8" ht="18" x14ac:dyDescent="0.25">
      <c r="C440" s="85"/>
      <c r="D440" s="85"/>
      <c r="F440" s="344"/>
      <c r="G440" s="344"/>
      <c r="H440" s="344"/>
    </row>
    <row r="441" spans="2:8" ht="18" x14ac:dyDescent="0.25">
      <c r="B441" s="85" t="str">
        <f>+E1</f>
        <v>Lima 461 C:A:B:A:</v>
      </c>
      <c r="C441" s="85"/>
      <c r="D441" s="90" t="str">
        <f>+H424</f>
        <v>Unid. 11</v>
      </c>
      <c r="E441" s="85" t="str">
        <f>+E1</f>
        <v>Lima 461 C:A:B:A:</v>
      </c>
      <c r="F441" s="85"/>
      <c r="G441" s="85"/>
      <c r="H441" s="90" t="str">
        <f>+D441</f>
        <v>Unid. 11</v>
      </c>
    </row>
    <row r="442" spans="2:8" ht="18" x14ac:dyDescent="0.25">
      <c r="D442" s="90" t="e">
        <f>+H442</f>
        <v>#REF!</v>
      </c>
      <c r="H442" s="90" t="e">
        <f>+H425</f>
        <v>#REF!</v>
      </c>
    </row>
    <row r="443" spans="2:8" ht="18" x14ac:dyDescent="0.25">
      <c r="B443" s="86"/>
      <c r="C443" s="86"/>
      <c r="D443" s="86"/>
      <c r="E443" s="86"/>
      <c r="F443" s="85"/>
      <c r="G443" s="85"/>
    </row>
    <row r="444" spans="2:8" ht="18" x14ac:dyDescent="0.25">
      <c r="B444" s="85"/>
      <c r="C444" s="85"/>
      <c r="D444" s="85"/>
      <c r="E444" s="85"/>
      <c r="F444" s="85"/>
      <c r="G444" s="86"/>
      <c r="H444" s="94"/>
    </row>
    <row r="445" spans="2:8" ht="18" x14ac:dyDescent="0.25">
      <c r="C445" s="85"/>
      <c r="D445" s="85"/>
      <c r="E445" s="85" t="s">
        <v>200</v>
      </c>
      <c r="F445" s="106" t="e">
        <f>+F428</f>
        <v>#REF!</v>
      </c>
      <c r="H445" s="99">
        <f>+D1</f>
        <v>46188</v>
      </c>
    </row>
    <row r="446" spans="2:8" ht="18" x14ac:dyDescent="0.25">
      <c r="B446" s="86"/>
      <c r="C446" s="85"/>
      <c r="D446" s="85"/>
      <c r="E446" s="85" t="s">
        <v>201</v>
      </c>
      <c r="F446" s="106" t="e">
        <f>+F429</f>
        <v>#REF!</v>
      </c>
    </row>
    <row r="447" spans="2:8" ht="18" x14ac:dyDescent="0.25">
      <c r="B447" s="86"/>
      <c r="C447" s="85"/>
      <c r="D447" s="85"/>
      <c r="E447" s="85" t="s">
        <v>81</v>
      </c>
      <c r="F447" s="106" t="e">
        <f>+F430</f>
        <v>#REF!</v>
      </c>
      <c r="G447" s="85"/>
      <c r="H447" s="90"/>
    </row>
    <row r="448" spans="2:8" ht="18" x14ac:dyDescent="0.25">
      <c r="B448" s="85"/>
      <c r="C448" s="85"/>
      <c r="D448" s="85"/>
      <c r="E448" s="85" t="s">
        <v>82</v>
      </c>
      <c r="F448" s="106" t="e">
        <f>+F431</f>
        <v>#REF!</v>
      </c>
      <c r="G448" s="85"/>
      <c r="H448" s="90"/>
    </row>
    <row r="449" spans="2:8" ht="18" x14ac:dyDescent="0.25">
      <c r="B449" s="96"/>
      <c r="C449" s="96"/>
      <c r="D449" s="96"/>
      <c r="E449" s="85" t="s">
        <v>188</v>
      </c>
      <c r="F449" s="166">
        <v>0</v>
      </c>
      <c r="G449" s="85"/>
      <c r="H449" s="90"/>
    </row>
    <row r="450" spans="2:8" ht="18" x14ac:dyDescent="0.25">
      <c r="B450" s="99">
        <f>+$G$30</f>
        <v>46188</v>
      </c>
      <c r="C450" s="105" t="e">
        <f>+F432</f>
        <v>#REF!</v>
      </c>
      <c r="D450" s="85"/>
      <c r="E450" s="85" t="s">
        <v>83</v>
      </c>
      <c r="F450" s="106" t="e">
        <f>+F432</f>
        <v>#REF!</v>
      </c>
      <c r="G450" s="85"/>
      <c r="H450" s="90"/>
    </row>
    <row r="451" spans="2:8" ht="18" x14ac:dyDescent="0.25">
      <c r="B451" s="99"/>
      <c r="C451" s="105"/>
      <c r="D451" s="85"/>
      <c r="E451" s="85"/>
      <c r="F451" s="97"/>
      <c r="G451" s="85"/>
      <c r="H451" s="90"/>
    </row>
    <row r="452" spans="2:8" ht="18" x14ac:dyDescent="0.25">
      <c r="B452" s="85"/>
      <c r="C452" s="85"/>
      <c r="D452" s="85"/>
      <c r="E452" s="102"/>
      <c r="F452" s="85"/>
      <c r="G452" s="85"/>
      <c r="H452" s="90"/>
    </row>
    <row r="453" spans="2:8" ht="18" x14ac:dyDescent="0.25">
      <c r="B453" s="85"/>
      <c r="C453" s="85"/>
      <c r="D453" s="85"/>
      <c r="F453" s="85"/>
      <c r="G453" s="85"/>
      <c r="H453" s="90"/>
    </row>
    <row r="454" spans="2:8" ht="18" x14ac:dyDescent="0.25">
      <c r="B454" s="85"/>
      <c r="C454" s="85"/>
      <c r="D454" s="85"/>
      <c r="E454" s="85"/>
      <c r="F454" s="85"/>
      <c r="G454" s="85"/>
      <c r="H454" s="90"/>
    </row>
    <row r="455" spans="2:8" ht="18" x14ac:dyDescent="0.25">
      <c r="B455" s="85"/>
      <c r="C455" s="85"/>
      <c r="D455" s="85"/>
      <c r="E455" s="85"/>
      <c r="F455" s="85"/>
      <c r="G455" s="345"/>
      <c r="H455" s="345"/>
    </row>
    <row r="456" spans="2:8" ht="18" x14ac:dyDescent="0.25">
      <c r="B456" s="85"/>
      <c r="C456" s="85"/>
      <c r="D456" s="85"/>
      <c r="E456" s="85"/>
      <c r="F456" s="85"/>
      <c r="G456" s="85"/>
      <c r="H456" s="90"/>
    </row>
    <row r="457" spans="2:8" ht="16.5" customHeight="1" x14ac:dyDescent="0.25">
      <c r="B457" s="85"/>
      <c r="C457" s="85"/>
      <c r="D457" s="85"/>
      <c r="E457" s="85"/>
      <c r="F457" s="85"/>
      <c r="G457" s="85"/>
      <c r="H457" s="90"/>
    </row>
    <row r="458" spans="2:8" ht="18" x14ac:dyDescent="0.25">
      <c r="B458" s="343"/>
      <c r="C458" s="343"/>
      <c r="D458" s="343"/>
      <c r="E458" s="85"/>
      <c r="F458" s="85"/>
      <c r="H458" s="90"/>
    </row>
    <row r="459" spans="2:8" ht="18" x14ac:dyDescent="0.25">
      <c r="B459" s="343"/>
      <c r="C459" s="343"/>
      <c r="D459" s="343"/>
      <c r="E459" s="98">
        <f>+$B$1</f>
        <v>46143</v>
      </c>
      <c r="F459" s="85"/>
      <c r="G459" s="99">
        <f>+$D$1</f>
        <v>46188</v>
      </c>
      <c r="H459" s="160"/>
    </row>
    <row r="460" spans="2:8" ht="28.5" customHeight="1" x14ac:dyDescent="0.25">
      <c r="B460" s="84"/>
      <c r="C460" s="84"/>
      <c r="D460" s="100"/>
      <c r="E460" s="98"/>
      <c r="F460" s="85"/>
    </row>
    <row r="461" spans="2:8" ht="18" x14ac:dyDescent="0.25">
      <c r="B461" s="85" t="e">
        <f>+B13</f>
        <v>#REF!</v>
      </c>
      <c r="C461" s="85"/>
      <c r="D461" s="85"/>
      <c r="F461" s="85"/>
    </row>
    <row r="462" spans="2:8" ht="21.75" customHeight="1" x14ac:dyDescent="0.25">
      <c r="C462" s="85"/>
      <c r="D462" s="85"/>
      <c r="E462" s="85" t="str">
        <f>+E73</f>
        <v>Lima 461 C:A:B:A:</v>
      </c>
      <c r="F462" s="85"/>
      <c r="H462" s="90" t="s">
        <v>95</v>
      </c>
    </row>
    <row r="463" spans="2:8" ht="18" x14ac:dyDescent="0.25">
      <c r="B463" s="86"/>
      <c r="C463" s="85"/>
      <c r="D463" s="85"/>
      <c r="F463" s="85"/>
      <c r="G463" s="86"/>
      <c r="H463" s="90" t="e">
        <f>+'RES CUENTA'!#REF!</f>
        <v>#REF!</v>
      </c>
    </row>
    <row r="464" spans="2:8" ht="18" x14ac:dyDescent="0.25">
      <c r="B464" s="85"/>
      <c r="C464" s="85"/>
      <c r="D464" s="85"/>
      <c r="E464" s="86"/>
      <c r="F464" s="86"/>
      <c r="G464" s="85"/>
      <c r="H464" s="94"/>
    </row>
    <row r="465" spans="2:8" ht="15.75" customHeight="1" x14ac:dyDescent="0.25">
      <c r="B465" s="94"/>
      <c r="C465" s="85"/>
      <c r="D465" s="94"/>
      <c r="E465" s="85"/>
      <c r="F465" s="85"/>
      <c r="G465" s="85"/>
      <c r="H465" s="90"/>
    </row>
    <row r="466" spans="2:8" ht="18" x14ac:dyDescent="0.25">
      <c r="B466" s="85" t="s">
        <v>198</v>
      </c>
      <c r="C466" s="85"/>
      <c r="D466" s="107">
        <f>+'RES CUENTA'!$L$25</f>
        <v>10859801.41</v>
      </c>
      <c r="E466" s="108" t="e">
        <f>+'RES CUENTA'!#REF!</f>
        <v>#REF!</v>
      </c>
      <c r="F466" s="103" t="e">
        <f>+D466*E466/100</f>
        <v>#REF!</v>
      </c>
      <c r="G466" s="85"/>
      <c r="H466" s="94"/>
    </row>
    <row r="467" spans="2:8" ht="18" x14ac:dyDescent="0.25">
      <c r="B467" s="85" t="s">
        <v>199</v>
      </c>
      <c r="C467" s="85"/>
      <c r="D467" s="107" t="e">
        <f>+'RES CUENTA'!#REF!</f>
        <v>#REF!</v>
      </c>
      <c r="E467" s="108" t="e">
        <f>+'RES CUENTA'!#REF!</f>
        <v>#REF!</v>
      </c>
      <c r="F467" s="103" t="e">
        <f>+D467*E467/100</f>
        <v>#REF!</v>
      </c>
      <c r="G467" s="94"/>
      <c r="H467" s="89"/>
    </row>
    <row r="468" spans="2:8" ht="18" x14ac:dyDescent="0.25">
      <c r="B468" s="85" t="s">
        <v>202</v>
      </c>
      <c r="C468" s="85"/>
      <c r="D468" s="107" t="e">
        <f>+'RES CUENTA'!#REF!</f>
        <v>#REF!</v>
      </c>
      <c r="E468" s="108">
        <v>0</v>
      </c>
      <c r="F468" s="103" t="e">
        <f>+D468</f>
        <v>#REF!</v>
      </c>
      <c r="G468" s="94"/>
      <c r="H468" s="89"/>
    </row>
    <row r="469" spans="2:8" ht="18" x14ac:dyDescent="0.25">
      <c r="B469" s="85" t="s">
        <v>79</v>
      </c>
      <c r="C469" s="85"/>
      <c r="D469" s="107" t="e">
        <f>+'RES CUENTA'!#REF!</f>
        <v>#REF!</v>
      </c>
      <c r="E469" s="108">
        <v>0</v>
      </c>
      <c r="F469" s="103" t="e">
        <f>+D469</f>
        <v>#REF!</v>
      </c>
      <c r="G469" s="89"/>
      <c r="H469" s="89"/>
    </row>
    <row r="470" spans="2:8" ht="18" x14ac:dyDescent="0.25">
      <c r="B470" s="85" t="s">
        <v>80</v>
      </c>
      <c r="C470" s="85"/>
      <c r="D470" s="107" t="e">
        <f>+'RES CUENTA'!#REF!</f>
        <v>#REF!</v>
      </c>
      <c r="E470" s="108">
        <v>0</v>
      </c>
      <c r="F470" s="165" t="e">
        <f>+D470</f>
        <v>#REF!</v>
      </c>
      <c r="G470" s="89"/>
      <c r="H470" s="89"/>
    </row>
    <row r="471" spans="2:8" ht="18" x14ac:dyDescent="0.25">
      <c r="B471" s="86"/>
      <c r="C471" s="85"/>
      <c r="D471" s="85"/>
      <c r="F471" s="104" t="e">
        <f>SUM(F466:F470)</f>
        <v>#REF!</v>
      </c>
      <c r="G471" s="89"/>
      <c r="H471" s="90"/>
    </row>
    <row r="472" spans="2:8" ht="18" x14ac:dyDescent="0.25">
      <c r="B472" s="85"/>
      <c r="C472" s="85"/>
      <c r="D472" s="85"/>
      <c r="E472" s="85"/>
      <c r="F472" s="92"/>
      <c r="G472" s="90"/>
      <c r="H472" s="90"/>
    </row>
    <row r="473" spans="2:8" ht="18" x14ac:dyDescent="0.25">
      <c r="B473" s="85"/>
      <c r="C473" s="85"/>
      <c r="D473" s="85"/>
      <c r="E473" s="85"/>
      <c r="F473" s="92"/>
      <c r="G473" s="90"/>
      <c r="H473" s="90"/>
    </row>
    <row r="474" spans="2:8" ht="18" x14ac:dyDescent="0.25">
      <c r="B474" s="85"/>
      <c r="C474" s="85"/>
      <c r="D474" s="85"/>
      <c r="E474" s="85"/>
      <c r="F474" s="92"/>
      <c r="G474" s="90"/>
      <c r="H474" s="90"/>
    </row>
    <row r="475" spans="2:8" ht="24.75" customHeight="1" x14ac:dyDescent="0.25">
      <c r="B475" s="85"/>
      <c r="C475" s="85"/>
      <c r="D475" s="85"/>
      <c r="E475" s="85"/>
      <c r="F475" s="92"/>
      <c r="G475" s="90"/>
      <c r="H475" s="90"/>
    </row>
    <row r="476" spans="2:8" ht="18" x14ac:dyDescent="0.25">
      <c r="B476" s="85" t="e">
        <f>+B461</f>
        <v>#REF!</v>
      </c>
      <c r="C476" s="85"/>
      <c r="D476" s="85"/>
      <c r="E476" s="85" t="e">
        <f>+B461</f>
        <v>#REF!</v>
      </c>
      <c r="F476" s="85"/>
      <c r="G476" s="85"/>
      <c r="H476" s="94"/>
    </row>
    <row r="477" spans="2:8" ht="18" x14ac:dyDescent="0.25">
      <c r="B477" s="86"/>
      <c r="C477" s="85"/>
      <c r="D477" s="85"/>
      <c r="F477" s="85"/>
      <c r="G477" s="101"/>
      <c r="H477" s="90" t="str">
        <f>+H462</f>
        <v>Unid. 12</v>
      </c>
    </row>
    <row r="478" spans="2:8" ht="18" x14ac:dyDescent="0.25">
      <c r="B478" s="85" t="str">
        <f>+E1</f>
        <v>Lima 461 C:A:B:A:</v>
      </c>
      <c r="C478" s="85"/>
      <c r="D478" s="90" t="str">
        <f>+H477</f>
        <v>Unid. 12</v>
      </c>
      <c r="E478" s="85" t="str">
        <f>+E1</f>
        <v>Lima 461 C:A:B:A:</v>
      </c>
      <c r="F478" s="85"/>
      <c r="G478" s="85"/>
      <c r="H478" s="90" t="e">
        <f>+H463</f>
        <v>#REF!</v>
      </c>
    </row>
    <row r="479" spans="2:8" ht="18" x14ac:dyDescent="0.25">
      <c r="B479" s="86"/>
      <c r="C479" s="86"/>
      <c r="D479" s="90" t="e">
        <f>+H478</f>
        <v>#REF!</v>
      </c>
      <c r="F479" s="85"/>
      <c r="G479" s="85"/>
    </row>
    <row r="480" spans="2:8" ht="18" x14ac:dyDescent="0.25">
      <c r="B480" s="85"/>
      <c r="C480" s="85"/>
      <c r="D480" s="85"/>
      <c r="E480" s="86"/>
      <c r="F480" s="85"/>
      <c r="G480" s="85"/>
      <c r="H480" s="94"/>
    </row>
    <row r="481" spans="2:8" ht="11.25" customHeight="1" x14ac:dyDescent="0.25">
      <c r="B481" s="85"/>
      <c r="C481" s="85"/>
      <c r="D481" s="85"/>
      <c r="E481" s="85"/>
      <c r="F481" s="96"/>
      <c r="G481" s="86"/>
      <c r="H481" s="90"/>
    </row>
    <row r="482" spans="2:8" ht="18" x14ac:dyDescent="0.25">
      <c r="B482" s="85"/>
      <c r="C482" s="85"/>
      <c r="D482" s="85"/>
      <c r="E482" s="96"/>
      <c r="G482" s="94"/>
      <c r="H482" s="96"/>
    </row>
    <row r="483" spans="2:8" ht="18" x14ac:dyDescent="0.25">
      <c r="B483" s="86"/>
      <c r="C483" s="85"/>
      <c r="D483" s="85"/>
      <c r="E483" s="85" t="s">
        <v>200</v>
      </c>
      <c r="F483" s="106" t="e">
        <f>+F466</f>
        <v>#REF!</v>
      </c>
      <c r="G483" s="95"/>
      <c r="H483" s="99">
        <f>+D1</f>
        <v>46188</v>
      </c>
    </row>
    <row r="484" spans="2:8" ht="18" x14ac:dyDescent="0.25">
      <c r="B484" s="86"/>
      <c r="C484" s="85"/>
      <c r="D484" s="85"/>
      <c r="E484" s="85" t="s">
        <v>201</v>
      </c>
      <c r="F484" s="106" t="e">
        <f>+F467</f>
        <v>#REF!</v>
      </c>
      <c r="H484" s="90"/>
    </row>
    <row r="485" spans="2:8" ht="18" x14ac:dyDescent="0.25">
      <c r="B485" s="85"/>
      <c r="C485" s="85"/>
      <c r="D485" s="85"/>
      <c r="E485" s="85" t="s">
        <v>81</v>
      </c>
      <c r="F485" s="106" t="e">
        <f>+F469</f>
        <v>#REF!</v>
      </c>
      <c r="G485" s="85"/>
      <c r="H485" s="90"/>
    </row>
    <row r="486" spans="2:8" ht="18" x14ac:dyDescent="0.25">
      <c r="B486" s="96"/>
      <c r="C486" s="96"/>
      <c r="D486" s="96"/>
      <c r="E486" s="85" t="s">
        <v>82</v>
      </c>
      <c r="F486" s="106" t="e">
        <f>+F470</f>
        <v>#REF!</v>
      </c>
      <c r="G486" s="85"/>
      <c r="H486" s="90"/>
    </row>
    <row r="487" spans="2:8" ht="18" x14ac:dyDescent="0.25">
      <c r="B487" s="99">
        <f>+$G$30</f>
        <v>46188</v>
      </c>
      <c r="C487" s="105" t="e">
        <f>+F471</f>
        <v>#REF!</v>
      </c>
      <c r="D487" s="85"/>
      <c r="E487" s="85" t="s">
        <v>188</v>
      </c>
      <c r="F487" s="166" t="e">
        <f>+F468</f>
        <v>#REF!</v>
      </c>
      <c r="G487" s="85"/>
      <c r="H487" s="90"/>
    </row>
    <row r="488" spans="2:8" ht="18" x14ac:dyDescent="0.25">
      <c r="B488" s="85"/>
      <c r="C488" s="85"/>
      <c r="D488" s="85"/>
      <c r="E488" s="85" t="s">
        <v>83</v>
      </c>
      <c r="F488" s="106" t="e">
        <f>+F471</f>
        <v>#REF!</v>
      </c>
      <c r="G488" s="85"/>
      <c r="H488" s="90"/>
    </row>
    <row r="489" spans="2:8" ht="18" x14ac:dyDescent="0.25">
      <c r="B489" s="85"/>
      <c r="C489" s="85"/>
      <c r="D489" s="85"/>
      <c r="E489" s="85"/>
      <c r="F489" s="85"/>
      <c r="G489" s="85"/>
      <c r="H489" s="90"/>
    </row>
    <row r="490" spans="2:8" ht="18" x14ac:dyDescent="0.25">
      <c r="B490" s="85"/>
      <c r="C490" s="85"/>
      <c r="D490" s="85"/>
      <c r="E490" s="102"/>
      <c r="F490" s="85"/>
      <c r="G490" s="85"/>
      <c r="H490" s="90"/>
    </row>
    <row r="491" spans="2:8" ht="18" x14ac:dyDescent="0.25">
      <c r="B491" s="85"/>
      <c r="C491" s="85"/>
      <c r="D491" s="85"/>
      <c r="E491" s="85"/>
      <c r="F491" s="85"/>
      <c r="G491" s="85"/>
      <c r="H491" s="94"/>
    </row>
    <row r="492" spans="2:8" ht="11.25" customHeight="1" x14ac:dyDescent="0.25">
      <c r="E492" s="85"/>
      <c r="G492" s="94"/>
      <c r="H492" s="90"/>
    </row>
    <row r="494" spans="2:8" ht="18" x14ac:dyDescent="0.25">
      <c r="B494" s="343"/>
      <c r="C494" s="343"/>
      <c r="D494" s="343"/>
      <c r="E494" s="342">
        <f>+$B$1</f>
        <v>46143</v>
      </c>
      <c r="F494" s="85"/>
      <c r="G494" s="337">
        <f>+$D$1</f>
        <v>46188</v>
      </c>
      <c r="H494" s="90"/>
    </row>
    <row r="495" spans="2:8" ht="18" x14ac:dyDescent="0.25">
      <c r="B495" s="84"/>
      <c r="C495" s="84"/>
      <c r="D495" s="100"/>
      <c r="E495" s="342"/>
      <c r="F495" s="85"/>
      <c r="G495" s="337"/>
      <c r="H495" s="90"/>
    </row>
    <row r="496" spans="2:8" ht="21" customHeight="1" x14ac:dyDescent="0.25">
      <c r="B496" s="85"/>
      <c r="C496" s="85"/>
      <c r="D496" s="85"/>
      <c r="E496" s="86"/>
      <c r="F496" s="85"/>
      <c r="G496" s="86"/>
      <c r="H496" s="90"/>
    </row>
    <row r="497" spans="2:8" ht="25.5" customHeight="1" x14ac:dyDescent="0.25">
      <c r="B497" s="85" t="e">
        <f>+B14</f>
        <v>#REF!</v>
      </c>
      <c r="C497" s="85"/>
      <c r="D497" s="85"/>
      <c r="E497" s="86"/>
      <c r="F497" s="85"/>
      <c r="G497" s="86"/>
      <c r="H497" s="90"/>
    </row>
    <row r="498" spans="2:8" ht="21" customHeight="1" x14ac:dyDescent="0.25">
      <c r="B498" s="86"/>
      <c r="C498" s="85"/>
      <c r="D498" s="85"/>
      <c r="E498" s="85" t="str">
        <f>+E34</f>
        <v>Lima 461 C:A:B:A:</v>
      </c>
      <c r="F498" s="85"/>
      <c r="G498" s="85"/>
      <c r="H498" s="90" t="s">
        <v>96</v>
      </c>
    </row>
    <row r="499" spans="2:8" ht="18" x14ac:dyDescent="0.25">
      <c r="B499" s="85"/>
      <c r="C499" s="85"/>
      <c r="D499" s="85"/>
      <c r="E499" s="86"/>
      <c r="F499" s="86"/>
      <c r="G499" s="85"/>
      <c r="H499" s="90" t="e">
        <f>+'RES CUENTA'!#REF!</f>
        <v>#REF!</v>
      </c>
    </row>
    <row r="500" spans="2:8" ht="18" x14ac:dyDescent="0.25">
      <c r="B500" s="94"/>
      <c r="C500" s="85"/>
      <c r="D500" s="94"/>
      <c r="E500" s="85"/>
      <c r="F500" s="85"/>
      <c r="G500" s="85"/>
      <c r="H500" s="90"/>
    </row>
    <row r="501" spans="2:8" ht="18" x14ac:dyDescent="0.25">
      <c r="B501" s="94"/>
      <c r="C501" s="85"/>
      <c r="D501" s="94"/>
      <c r="E501" s="85"/>
      <c r="F501" s="85"/>
      <c r="G501" s="85"/>
      <c r="H501" s="90"/>
    </row>
    <row r="502" spans="2:8" ht="18" x14ac:dyDescent="0.25">
      <c r="B502" s="85" t="s">
        <v>198</v>
      </c>
      <c r="C502" s="85"/>
      <c r="D502" s="107">
        <f>+'RES CUENTA'!$L$25</f>
        <v>10859801.41</v>
      </c>
      <c r="E502" s="108" t="e">
        <f>+'RES CUENTA'!#REF!</f>
        <v>#REF!</v>
      </c>
      <c r="F502" s="103" t="e">
        <f>+D502*E502/100</f>
        <v>#REF!</v>
      </c>
      <c r="G502" s="345"/>
      <c r="H502" s="345"/>
    </row>
    <row r="503" spans="2:8" ht="18" x14ac:dyDescent="0.25">
      <c r="B503" s="85" t="s">
        <v>199</v>
      </c>
      <c r="C503" s="85"/>
      <c r="D503" s="107" t="e">
        <f>+'RES CUENTA'!#REF!</f>
        <v>#REF!</v>
      </c>
      <c r="E503" s="108" t="e">
        <f>+'RES CUENTA'!#REF!</f>
        <v>#REF!</v>
      </c>
      <c r="F503" s="103" t="e">
        <f>+D503*E503/100</f>
        <v>#REF!</v>
      </c>
      <c r="G503" s="341"/>
      <c r="H503" s="341"/>
    </row>
    <row r="504" spans="2:8" ht="18" x14ac:dyDescent="0.25">
      <c r="B504" s="85" t="s">
        <v>202</v>
      </c>
      <c r="C504" s="85"/>
      <c r="D504" s="107" t="e">
        <f>+'RES CUENTA'!#REF!</f>
        <v>#REF!</v>
      </c>
      <c r="E504" s="108">
        <v>0</v>
      </c>
      <c r="F504" s="103" t="e">
        <f>+D504</f>
        <v>#REF!</v>
      </c>
      <c r="G504" s="341"/>
      <c r="H504" s="341"/>
    </row>
    <row r="505" spans="2:8" ht="18" x14ac:dyDescent="0.25">
      <c r="B505" s="85" t="s">
        <v>79</v>
      </c>
      <c r="C505" s="85"/>
      <c r="D505" s="107" t="e">
        <f>+'RES CUENTA'!#REF!</f>
        <v>#REF!</v>
      </c>
      <c r="E505" s="108">
        <v>0</v>
      </c>
      <c r="F505" s="103" t="e">
        <f>+D505</f>
        <v>#REF!</v>
      </c>
      <c r="G505" s="341"/>
      <c r="H505" s="341"/>
    </row>
    <row r="506" spans="2:8" ht="18" x14ac:dyDescent="0.25">
      <c r="B506" s="85" t="s">
        <v>80</v>
      </c>
      <c r="C506" s="85"/>
      <c r="D506" s="107" t="e">
        <f>+'RES CUENTA'!#REF!</f>
        <v>#REF!</v>
      </c>
      <c r="E506" s="108">
        <v>0</v>
      </c>
      <c r="F506" s="165" t="e">
        <f>+D506</f>
        <v>#REF!</v>
      </c>
      <c r="G506" s="341"/>
      <c r="H506" s="341"/>
    </row>
    <row r="507" spans="2:8" ht="18" x14ac:dyDescent="0.25">
      <c r="B507" s="86"/>
      <c r="C507" s="85"/>
      <c r="D507" s="85"/>
      <c r="E507" s="92"/>
      <c r="F507" s="104" t="e">
        <f>SUM(F502:F506)</f>
        <v>#REF!</v>
      </c>
      <c r="G507" s="338"/>
      <c r="H507" s="338"/>
    </row>
    <row r="508" spans="2:8" ht="18" x14ac:dyDescent="0.25">
      <c r="B508" s="86"/>
      <c r="C508" s="85"/>
      <c r="D508" s="85"/>
      <c r="E508" s="85"/>
      <c r="G508" s="90"/>
      <c r="H508" s="90"/>
    </row>
    <row r="509" spans="2:8" ht="18" x14ac:dyDescent="0.25">
      <c r="B509" s="85"/>
      <c r="C509" s="85"/>
      <c r="D509" s="85"/>
      <c r="E509" s="85"/>
      <c r="F509" s="91"/>
      <c r="G509" s="90"/>
      <c r="H509" s="90"/>
    </row>
    <row r="510" spans="2:8" ht="18" x14ac:dyDescent="0.25">
      <c r="B510" s="85"/>
      <c r="C510" s="85"/>
      <c r="D510" s="85"/>
      <c r="E510" s="85"/>
      <c r="F510" s="92"/>
      <c r="G510" s="85"/>
      <c r="H510" s="90"/>
    </row>
    <row r="511" spans="2:8" ht="25.5" customHeight="1" x14ac:dyDescent="0.25">
      <c r="B511" s="85"/>
      <c r="C511" s="85"/>
      <c r="D511" s="85"/>
      <c r="E511" s="85"/>
      <c r="F511" s="92"/>
      <c r="G511" s="85"/>
      <c r="H511" s="90"/>
    </row>
    <row r="512" spans="2:8" ht="18" x14ac:dyDescent="0.25">
      <c r="B512" s="85" t="e">
        <f>+B497</f>
        <v>#REF!</v>
      </c>
      <c r="C512" s="344"/>
      <c r="D512" s="344"/>
      <c r="E512" s="85" t="e">
        <f>+B512</f>
        <v>#REF!</v>
      </c>
      <c r="F512" s="92"/>
      <c r="G512" s="85"/>
      <c r="H512" s="90"/>
    </row>
    <row r="513" spans="2:8" ht="18" x14ac:dyDescent="0.25">
      <c r="C513" s="85"/>
      <c r="D513" s="85"/>
      <c r="F513" s="344"/>
      <c r="G513" s="344"/>
      <c r="H513" s="344"/>
    </row>
    <row r="514" spans="2:8" ht="18" x14ac:dyDescent="0.25">
      <c r="B514" s="85" t="str">
        <f>+E1</f>
        <v>Lima 461 C:A:B:A:</v>
      </c>
      <c r="C514" s="85"/>
      <c r="D514" s="90" t="str">
        <f>+H498</f>
        <v>Unid. 13</v>
      </c>
      <c r="E514" s="85" t="str">
        <f>+E1</f>
        <v>Lima 461 C:A:B:A:</v>
      </c>
      <c r="F514" s="85"/>
      <c r="G514" s="85"/>
      <c r="H514" s="90" t="str">
        <f>+D514</f>
        <v>Unid. 13</v>
      </c>
    </row>
    <row r="515" spans="2:8" ht="18" x14ac:dyDescent="0.25">
      <c r="D515" s="90" t="e">
        <f>+H515</f>
        <v>#REF!</v>
      </c>
      <c r="H515" s="90" t="e">
        <f>+H499</f>
        <v>#REF!</v>
      </c>
    </row>
    <row r="516" spans="2:8" ht="18" x14ac:dyDescent="0.25">
      <c r="B516" s="86"/>
      <c r="C516" s="86"/>
      <c r="D516" s="86"/>
      <c r="E516" s="86"/>
      <c r="F516" s="85"/>
      <c r="G516" s="85"/>
    </row>
    <row r="517" spans="2:8" ht="12.75" customHeight="1" x14ac:dyDescent="0.25">
      <c r="B517" s="85"/>
      <c r="C517" s="85"/>
      <c r="D517" s="85"/>
      <c r="E517" s="85"/>
      <c r="F517" s="85"/>
      <c r="G517" s="86"/>
      <c r="H517" s="94"/>
    </row>
    <row r="518" spans="2:8" ht="14.25" customHeight="1" x14ac:dyDescent="0.25">
      <c r="B518" s="85"/>
      <c r="C518" s="85"/>
      <c r="D518" s="85"/>
      <c r="E518" s="96"/>
      <c r="F518" s="85"/>
      <c r="G518" s="94"/>
      <c r="H518" s="90"/>
    </row>
    <row r="519" spans="2:8" ht="18" x14ac:dyDescent="0.25">
      <c r="C519" s="85"/>
      <c r="D519" s="85"/>
      <c r="E519" s="85" t="s">
        <v>200</v>
      </c>
      <c r="F519" s="106" t="e">
        <f>+F502</f>
        <v>#REF!</v>
      </c>
      <c r="H519" s="99">
        <f>+B524</f>
        <v>46188</v>
      </c>
    </row>
    <row r="520" spans="2:8" ht="18" x14ac:dyDescent="0.25">
      <c r="B520" s="86"/>
      <c r="C520" s="85"/>
      <c r="D520" s="85"/>
      <c r="E520" s="85" t="s">
        <v>201</v>
      </c>
      <c r="F520" s="106" t="e">
        <f>+F503</f>
        <v>#REF!</v>
      </c>
    </row>
    <row r="521" spans="2:8" ht="18" x14ac:dyDescent="0.25">
      <c r="B521" s="86"/>
      <c r="C521" s="85"/>
      <c r="D521" s="85"/>
      <c r="E521" s="85" t="s">
        <v>81</v>
      </c>
      <c r="F521" s="106" t="e">
        <f>+F505</f>
        <v>#REF!</v>
      </c>
      <c r="G521" s="85"/>
      <c r="H521" s="90"/>
    </row>
    <row r="522" spans="2:8" ht="18" x14ac:dyDescent="0.25">
      <c r="B522" s="85"/>
      <c r="C522" s="85"/>
      <c r="D522" s="85"/>
      <c r="E522" s="85" t="s">
        <v>82</v>
      </c>
      <c r="F522" s="106" t="e">
        <f>+F506</f>
        <v>#REF!</v>
      </c>
      <c r="G522" s="85"/>
      <c r="H522" s="90"/>
    </row>
    <row r="523" spans="2:8" ht="18" x14ac:dyDescent="0.25">
      <c r="B523" s="96"/>
      <c r="C523" s="96"/>
      <c r="D523" s="96"/>
      <c r="E523" s="85" t="s">
        <v>188</v>
      </c>
      <c r="F523" s="166" t="e">
        <f>+F504</f>
        <v>#REF!</v>
      </c>
      <c r="G523" s="85"/>
      <c r="H523" s="90"/>
    </row>
    <row r="524" spans="2:8" ht="18" x14ac:dyDescent="0.25">
      <c r="B524" s="99">
        <f>+$G$30</f>
        <v>46188</v>
      </c>
      <c r="C524" s="105" t="e">
        <f>+F507</f>
        <v>#REF!</v>
      </c>
      <c r="D524" s="85"/>
      <c r="E524" s="85" t="s">
        <v>83</v>
      </c>
      <c r="F524" s="106" t="e">
        <f>+F507</f>
        <v>#REF!</v>
      </c>
      <c r="G524" s="85"/>
      <c r="H524" s="90"/>
    </row>
    <row r="525" spans="2:8" ht="18" x14ac:dyDescent="0.25">
      <c r="B525" s="85"/>
      <c r="C525" s="85"/>
      <c r="D525" s="85"/>
      <c r="E525" s="102"/>
      <c r="F525" s="85"/>
      <c r="G525" s="85"/>
      <c r="H525" s="90"/>
    </row>
    <row r="526" spans="2:8" ht="18" x14ac:dyDescent="0.25">
      <c r="B526" s="85"/>
      <c r="C526" s="85"/>
      <c r="D526" s="85"/>
      <c r="F526" s="85"/>
      <c r="G526" s="85"/>
      <c r="H526" s="90"/>
    </row>
    <row r="527" spans="2:8" ht="18" x14ac:dyDescent="0.25">
      <c r="B527" s="85"/>
      <c r="C527" s="85"/>
      <c r="D527" s="85"/>
      <c r="E527" s="85"/>
      <c r="F527" s="85"/>
      <c r="G527" s="85"/>
      <c r="H527" s="90"/>
    </row>
    <row r="528" spans="2:8" ht="18" x14ac:dyDescent="0.25">
      <c r="B528" s="85"/>
      <c r="C528" s="85"/>
      <c r="D528" s="85"/>
      <c r="E528" s="85"/>
      <c r="F528" s="85"/>
      <c r="G528" s="85"/>
      <c r="H528" s="90"/>
    </row>
    <row r="529" spans="2:8" ht="18" x14ac:dyDescent="0.25">
      <c r="B529" s="85"/>
      <c r="C529" s="85"/>
      <c r="D529" s="85"/>
      <c r="E529" s="85"/>
      <c r="F529" s="85"/>
      <c r="G529" s="345"/>
      <c r="H529" s="345"/>
    </row>
    <row r="530" spans="2:8" ht="18" x14ac:dyDescent="0.25">
      <c r="B530" s="85"/>
      <c r="C530" s="85"/>
      <c r="D530" s="85"/>
      <c r="E530" s="85"/>
      <c r="F530" s="85"/>
      <c r="G530" s="85"/>
      <c r="H530" s="90"/>
    </row>
    <row r="531" spans="2:8" ht="18" x14ac:dyDescent="0.25">
      <c r="B531" s="85"/>
      <c r="C531" s="85"/>
      <c r="D531" s="85"/>
      <c r="E531" s="85"/>
      <c r="F531" s="85"/>
      <c r="G531" s="85"/>
      <c r="H531" s="90"/>
    </row>
    <row r="532" spans="2:8" ht="18" x14ac:dyDescent="0.25">
      <c r="B532" s="343"/>
      <c r="C532" s="343"/>
      <c r="D532" s="343"/>
      <c r="E532" s="85"/>
      <c r="F532" s="85"/>
      <c r="H532" s="90"/>
    </row>
    <row r="533" spans="2:8" ht="18" x14ac:dyDescent="0.25">
      <c r="B533" s="343"/>
      <c r="C533" s="343"/>
      <c r="D533" s="343"/>
      <c r="E533" s="98">
        <f>+$B$1</f>
        <v>46143</v>
      </c>
      <c r="F533" s="85"/>
      <c r="G533" s="99">
        <f>+$D$1</f>
        <v>46188</v>
      </c>
      <c r="H533" s="160"/>
    </row>
    <row r="534" spans="2:8" ht="18" x14ac:dyDescent="0.25">
      <c r="B534" s="84"/>
      <c r="C534" s="84"/>
      <c r="D534" s="100"/>
      <c r="E534" s="98"/>
      <c r="F534" s="85"/>
    </row>
    <row r="535" spans="2:8" ht="18.75" customHeight="1" x14ac:dyDescent="0.25">
      <c r="B535" s="85" t="e">
        <f>+B15</f>
        <v>#REF!</v>
      </c>
      <c r="C535" s="85"/>
      <c r="D535" s="85"/>
      <c r="F535" s="85"/>
    </row>
    <row r="536" spans="2:8" ht="18.75" customHeight="1" x14ac:dyDescent="0.25">
      <c r="C536" s="85"/>
      <c r="D536" s="85"/>
      <c r="E536" s="85" t="str">
        <f>+E1</f>
        <v>Lima 461 C:A:B:A:</v>
      </c>
      <c r="F536" s="85"/>
      <c r="H536" s="90" t="s">
        <v>97</v>
      </c>
    </row>
    <row r="537" spans="2:8" ht="18" x14ac:dyDescent="0.25">
      <c r="B537" s="86"/>
      <c r="C537" s="85"/>
      <c r="D537" s="85"/>
      <c r="F537" s="85"/>
      <c r="G537" s="86"/>
      <c r="H537" s="90" t="e">
        <f>+'RES CUENTA'!#REF!</f>
        <v>#REF!</v>
      </c>
    </row>
    <row r="538" spans="2:8" ht="18" x14ac:dyDescent="0.25">
      <c r="B538" s="85"/>
      <c r="C538" s="85"/>
      <c r="D538" s="85"/>
      <c r="E538" s="86"/>
      <c r="F538" s="86"/>
      <c r="G538" s="85"/>
      <c r="H538" s="94"/>
    </row>
    <row r="539" spans="2:8" ht="18" x14ac:dyDescent="0.25">
      <c r="B539" s="94"/>
      <c r="C539" s="85"/>
      <c r="D539" s="94"/>
      <c r="E539" s="85"/>
      <c r="F539" s="85"/>
      <c r="G539" s="85"/>
      <c r="H539" s="90"/>
    </row>
    <row r="540" spans="2:8" ht="18" x14ac:dyDescent="0.25">
      <c r="B540" s="85" t="s">
        <v>198</v>
      </c>
      <c r="C540" s="85"/>
      <c r="D540" s="107">
        <f>+'RES CUENTA'!$L$25</f>
        <v>10859801.41</v>
      </c>
      <c r="E540" s="108" t="e">
        <f>+'RES CUENTA'!#REF!</f>
        <v>#REF!</v>
      </c>
      <c r="F540" s="103" t="e">
        <f>+D540*E540/100</f>
        <v>#REF!</v>
      </c>
      <c r="G540" s="85"/>
      <c r="H540" s="94"/>
    </row>
    <row r="541" spans="2:8" ht="18" x14ac:dyDescent="0.25">
      <c r="B541" s="85" t="s">
        <v>199</v>
      </c>
      <c r="C541" s="85"/>
      <c r="D541" s="107" t="e">
        <f>+'RES CUENTA'!#REF!</f>
        <v>#REF!</v>
      </c>
      <c r="E541" s="108" t="e">
        <f>+'RES CUENTA'!#REF!</f>
        <v>#REF!</v>
      </c>
      <c r="F541" s="103" t="e">
        <f>+D541*E541/100</f>
        <v>#REF!</v>
      </c>
      <c r="G541" s="94"/>
      <c r="H541" s="89"/>
    </row>
    <row r="542" spans="2:8" ht="18" x14ac:dyDescent="0.25">
      <c r="B542" s="85" t="s">
        <v>79</v>
      </c>
      <c r="C542" s="85"/>
      <c r="D542" s="107" t="e">
        <f>+'RES CUENTA'!#REF!</f>
        <v>#REF!</v>
      </c>
      <c r="E542" s="108">
        <v>0</v>
      </c>
      <c r="F542" s="103" t="e">
        <f>+D542</f>
        <v>#REF!</v>
      </c>
      <c r="G542" s="89"/>
      <c r="H542" s="89"/>
    </row>
    <row r="543" spans="2:8" ht="18" x14ac:dyDescent="0.25">
      <c r="B543" s="85" t="s">
        <v>80</v>
      </c>
      <c r="C543" s="85"/>
      <c r="D543" s="107" t="e">
        <f>+'RES CUENTA'!#REF!</f>
        <v>#REF!</v>
      </c>
      <c r="E543" s="108">
        <v>0</v>
      </c>
      <c r="F543" s="165" t="e">
        <f>+D543+E543</f>
        <v>#REF!</v>
      </c>
      <c r="G543" s="89"/>
      <c r="H543" s="89"/>
    </row>
    <row r="544" spans="2:8" ht="18" x14ac:dyDescent="0.25">
      <c r="B544" s="86"/>
      <c r="C544" s="85"/>
      <c r="D544" s="85"/>
      <c r="F544" s="104" t="e">
        <f>SUM(F540:F543)</f>
        <v>#REF!</v>
      </c>
      <c r="G544" s="89"/>
      <c r="H544" s="89"/>
    </row>
    <row r="545" spans="2:8" ht="18" x14ac:dyDescent="0.25">
      <c r="B545" s="86"/>
      <c r="C545" s="85"/>
      <c r="D545" s="85"/>
      <c r="F545" s="91"/>
      <c r="G545" s="89"/>
      <c r="H545" s="90"/>
    </row>
    <row r="546" spans="2:8" ht="18" x14ac:dyDescent="0.25">
      <c r="B546" s="85"/>
      <c r="C546" s="85"/>
      <c r="D546" s="85"/>
      <c r="E546" s="85"/>
      <c r="F546" s="92"/>
      <c r="G546" s="90"/>
      <c r="H546" s="90"/>
    </row>
    <row r="547" spans="2:8" ht="18" x14ac:dyDescent="0.25">
      <c r="B547" s="85"/>
      <c r="C547" s="85"/>
      <c r="D547" s="85"/>
      <c r="E547" s="85"/>
      <c r="F547" s="92"/>
      <c r="G547" s="90"/>
      <c r="H547" s="90"/>
    </row>
    <row r="548" spans="2:8" ht="18" x14ac:dyDescent="0.25">
      <c r="B548" s="85"/>
      <c r="C548" s="85"/>
      <c r="D548" s="85"/>
      <c r="E548" s="85"/>
      <c r="F548" s="92"/>
      <c r="G548" s="90"/>
      <c r="H548" s="90"/>
    </row>
    <row r="549" spans="2:8" ht="22.5" customHeight="1" x14ac:dyDescent="0.25">
      <c r="B549" s="85"/>
      <c r="C549" s="85"/>
      <c r="D549" s="85"/>
      <c r="E549" s="85"/>
      <c r="F549" s="92"/>
      <c r="G549" s="90"/>
      <c r="H549" s="90"/>
    </row>
    <row r="550" spans="2:8" ht="23.25" customHeight="1" x14ac:dyDescent="0.25">
      <c r="B550" s="85" t="e">
        <f>+B535</f>
        <v>#REF!</v>
      </c>
      <c r="C550" s="85"/>
      <c r="D550" s="85"/>
      <c r="E550" s="85" t="e">
        <f>+B535</f>
        <v>#REF!</v>
      </c>
      <c r="F550" s="85"/>
      <c r="G550" s="85"/>
      <c r="H550" s="94"/>
    </row>
    <row r="551" spans="2:8" ht="18" x14ac:dyDescent="0.25">
      <c r="B551" s="86"/>
      <c r="C551" s="85"/>
      <c r="D551" s="85"/>
      <c r="F551" s="85"/>
      <c r="G551" s="101"/>
      <c r="H551" s="90" t="str">
        <f>+H536</f>
        <v>Unid. 14</v>
      </c>
    </row>
    <row r="552" spans="2:8" ht="18" x14ac:dyDescent="0.25">
      <c r="B552" s="85" t="str">
        <f>+E1</f>
        <v>Lima 461 C:A:B:A:</v>
      </c>
      <c r="C552" s="85"/>
      <c r="D552" s="90" t="str">
        <f>+H551</f>
        <v>Unid. 14</v>
      </c>
      <c r="E552" s="85" t="str">
        <f>+E1</f>
        <v>Lima 461 C:A:B:A:</v>
      </c>
      <c r="F552" s="85"/>
      <c r="G552" s="85"/>
      <c r="H552" s="90" t="e">
        <f>+H537</f>
        <v>#REF!</v>
      </c>
    </row>
    <row r="553" spans="2:8" ht="18" x14ac:dyDescent="0.25">
      <c r="B553" s="86"/>
      <c r="C553" s="86"/>
      <c r="D553" s="90" t="e">
        <f>+H552</f>
        <v>#REF!</v>
      </c>
      <c r="F553" s="85"/>
      <c r="G553" s="85"/>
    </row>
    <row r="554" spans="2:8" ht="18" x14ac:dyDescent="0.25">
      <c r="B554" s="85"/>
      <c r="C554" s="85"/>
      <c r="D554" s="85"/>
      <c r="E554" s="86"/>
      <c r="F554" s="85"/>
      <c r="G554" s="85"/>
      <c r="H554" s="94"/>
    </row>
    <row r="555" spans="2:8" ht="24.75" customHeight="1" x14ac:dyDescent="0.25">
      <c r="B555" s="85"/>
      <c r="C555" s="85"/>
      <c r="D555" s="85"/>
      <c r="E555" s="85"/>
      <c r="F555" s="96"/>
      <c r="G555" s="86"/>
      <c r="H555" s="90"/>
    </row>
    <row r="556" spans="2:8" ht="18" x14ac:dyDescent="0.25">
      <c r="B556" s="86"/>
      <c r="C556" s="85"/>
      <c r="D556" s="85"/>
      <c r="E556" s="85" t="s">
        <v>200</v>
      </c>
      <c r="F556" s="106" t="e">
        <f>+F540</f>
        <v>#REF!</v>
      </c>
      <c r="G556" s="95"/>
      <c r="H556" s="99">
        <f>+B560</f>
        <v>46188</v>
      </c>
    </row>
    <row r="557" spans="2:8" ht="18" x14ac:dyDescent="0.25">
      <c r="B557" s="86"/>
      <c r="C557" s="85"/>
      <c r="D557" s="85"/>
      <c r="E557" s="85" t="s">
        <v>201</v>
      </c>
      <c r="F557" s="106" t="e">
        <f>+F541</f>
        <v>#REF!</v>
      </c>
      <c r="H557" s="90"/>
    </row>
    <row r="558" spans="2:8" ht="18" x14ac:dyDescent="0.25">
      <c r="B558" s="85"/>
      <c r="C558" s="85"/>
      <c r="D558" s="85"/>
      <c r="E558" s="85" t="s">
        <v>81</v>
      </c>
      <c r="F558" s="106" t="e">
        <f>+F542</f>
        <v>#REF!</v>
      </c>
      <c r="G558" s="85"/>
      <c r="H558" s="90"/>
    </row>
    <row r="559" spans="2:8" ht="18" x14ac:dyDescent="0.25">
      <c r="B559" s="96"/>
      <c r="C559" s="96"/>
      <c r="D559" s="96"/>
      <c r="E559" s="85" t="s">
        <v>82</v>
      </c>
      <c r="F559" s="106" t="e">
        <f>+F543</f>
        <v>#REF!</v>
      </c>
      <c r="G559" s="85"/>
      <c r="H559" s="90"/>
    </row>
    <row r="560" spans="2:8" ht="18" x14ac:dyDescent="0.25">
      <c r="B560" s="99">
        <f>+$G$30</f>
        <v>46188</v>
      </c>
      <c r="C560" s="105" t="e">
        <f>+F544</f>
        <v>#REF!</v>
      </c>
      <c r="D560" s="85"/>
      <c r="E560" s="85" t="s">
        <v>188</v>
      </c>
      <c r="F560" s="166">
        <v>0</v>
      </c>
      <c r="G560" s="85"/>
      <c r="H560" s="90"/>
    </row>
    <row r="561" spans="2:8" ht="18" x14ac:dyDescent="0.25">
      <c r="B561" s="85"/>
      <c r="C561" s="85"/>
      <c r="D561" s="85"/>
      <c r="E561" s="85" t="s">
        <v>83</v>
      </c>
      <c r="F561" s="106" t="e">
        <f>+F544</f>
        <v>#REF!</v>
      </c>
      <c r="G561" s="85"/>
      <c r="H561" s="90"/>
    </row>
    <row r="562" spans="2:8" ht="18" x14ac:dyDescent="0.25">
      <c r="B562" s="85"/>
      <c r="C562" s="85"/>
      <c r="D562" s="85"/>
      <c r="E562" s="85"/>
      <c r="F562" s="85"/>
      <c r="G562" s="85"/>
      <c r="H562" s="90"/>
    </row>
    <row r="563" spans="2:8" ht="18" x14ac:dyDescent="0.25">
      <c r="B563" s="85"/>
      <c r="C563" s="85"/>
      <c r="D563" s="85"/>
      <c r="E563" s="102"/>
      <c r="F563" s="85"/>
      <c r="G563" s="85"/>
      <c r="H563" s="90"/>
    </row>
    <row r="564" spans="2:8" ht="18" x14ac:dyDescent="0.25">
      <c r="B564" s="85"/>
      <c r="C564" s="85"/>
      <c r="D564" s="85"/>
      <c r="E564" s="85"/>
      <c r="F564" s="85"/>
      <c r="G564" s="85"/>
      <c r="H564" s="94"/>
    </row>
    <row r="565" spans="2:8" ht="11.25" customHeight="1" x14ac:dyDescent="0.25">
      <c r="E565" s="85"/>
      <c r="G565" s="94"/>
      <c r="H565" s="90"/>
    </row>
    <row r="567" spans="2:8" ht="18" x14ac:dyDescent="0.25">
      <c r="B567" s="343"/>
      <c r="C567" s="343"/>
      <c r="D567" s="343"/>
      <c r="E567" s="342">
        <f>+$B$1</f>
        <v>46143</v>
      </c>
      <c r="F567" s="85"/>
      <c r="G567" s="337">
        <f>+$D$1</f>
        <v>46188</v>
      </c>
      <c r="H567" s="90"/>
    </row>
    <row r="568" spans="2:8" ht="18" x14ac:dyDescent="0.25">
      <c r="B568" s="84"/>
      <c r="C568" s="84"/>
      <c r="D568" s="100"/>
      <c r="E568" s="342"/>
      <c r="F568" s="85"/>
      <c r="G568" s="337"/>
      <c r="H568" s="90"/>
    </row>
    <row r="569" spans="2:8" ht="23.25" customHeight="1" x14ac:dyDescent="0.25">
      <c r="B569" s="85"/>
      <c r="C569" s="85"/>
      <c r="D569" s="85"/>
      <c r="E569" s="86"/>
      <c r="F569" s="85"/>
      <c r="G569" s="86"/>
      <c r="H569" s="90"/>
    </row>
    <row r="570" spans="2:8" ht="26.25" customHeight="1" x14ac:dyDescent="0.25">
      <c r="B570" s="85" t="e">
        <f>+B16</f>
        <v>#REF!</v>
      </c>
      <c r="C570" s="85"/>
      <c r="D570" s="85"/>
      <c r="E570" s="86"/>
      <c r="F570" s="85"/>
      <c r="G570" s="86"/>
      <c r="H570" s="90"/>
    </row>
    <row r="571" spans="2:8" ht="21" customHeight="1" x14ac:dyDescent="0.25">
      <c r="B571" s="86"/>
      <c r="C571" s="85"/>
      <c r="D571" s="85"/>
      <c r="E571" s="85" t="str">
        <f>+E34</f>
        <v>Lima 461 C:A:B:A:</v>
      </c>
      <c r="F571" s="85"/>
      <c r="G571" s="85"/>
      <c r="H571" s="90" t="s">
        <v>98</v>
      </c>
    </row>
    <row r="572" spans="2:8" ht="18" x14ac:dyDescent="0.25">
      <c r="B572" s="85"/>
      <c r="C572" s="85"/>
      <c r="D572" s="85"/>
      <c r="E572" s="86"/>
      <c r="F572" s="86"/>
      <c r="G572" s="85"/>
      <c r="H572" s="90" t="e">
        <f>+'RES CUENTA'!#REF!</f>
        <v>#REF!</v>
      </c>
    </row>
    <row r="573" spans="2:8" ht="18" x14ac:dyDescent="0.25">
      <c r="B573" s="94"/>
      <c r="C573" s="85"/>
      <c r="D573" s="94"/>
      <c r="E573" s="85"/>
      <c r="F573" s="85"/>
      <c r="G573" s="85"/>
      <c r="H573" s="90"/>
    </row>
    <row r="574" spans="2:8" ht="18" x14ac:dyDescent="0.25">
      <c r="B574" s="94"/>
      <c r="C574" s="85"/>
      <c r="D574" s="94"/>
      <c r="E574" s="85"/>
      <c r="F574" s="85"/>
      <c r="G574" s="85"/>
      <c r="H574" s="90"/>
    </row>
    <row r="575" spans="2:8" ht="18" x14ac:dyDescent="0.25">
      <c r="B575" s="85" t="s">
        <v>198</v>
      </c>
      <c r="C575" s="85"/>
      <c r="D575" s="107">
        <f>+'RES CUENTA'!$L$25</f>
        <v>10859801.41</v>
      </c>
      <c r="E575" s="108" t="e">
        <f>+'RES CUENTA'!#REF!</f>
        <v>#REF!</v>
      </c>
      <c r="F575" s="103" t="e">
        <f>+D575*E575/100</f>
        <v>#REF!</v>
      </c>
      <c r="G575" s="345"/>
      <c r="H575" s="345"/>
    </row>
    <row r="576" spans="2:8" ht="18" x14ac:dyDescent="0.25">
      <c r="B576" s="85" t="s">
        <v>199</v>
      </c>
      <c r="C576" s="85"/>
      <c r="D576" s="107" t="e">
        <f>+'RES CUENTA'!#REF!</f>
        <v>#REF!</v>
      </c>
      <c r="E576" s="108" t="e">
        <f>+'RES CUENTA'!#REF!</f>
        <v>#REF!</v>
      </c>
      <c r="F576" s="103" t="e">
        <f>+D576*E576/100</f>
        <v>#REF!</v>
      </c>
      <c r="G576" s="341"/>
      <c r="H576" s="341"/>
    </row>
    <row r="577" spans="2:8" ht="18" x14ac:dyDescent="0.25">
      <c r="B577" s="85" t="s">
        <v>202</v>
      </c>
      <c r="C577" s="85"/>
      <c r="D577" s="107" t="e">
        <f>+'RES CUENTA'!#REF!</f>
        <v>#REF!</v>
      </c>
      <c r="E577" s="108">
        <v>0</v>
      </c>
      <c r="F577" s="103" t="e">
        <f>+D577</f>
        <v>#REF!</v>
      </c>
      <c r="G577" s="341"/>
      <c r="H577" s="341"/>
    </row>
    <row r="578" spans="2:8" ht="18" x14ac:dyDescent="0.25">
      <c r="B578" s="85" t="s">
        <v>79</v>
      </c>
      <c r="C578" s="85"/>
      <c r="D578" s="107" t="e">
        <f>+'RES CUENTA'!#REF!</f>
        <v>#REF!</v>
      </c>
      <c r="E578" s="108">
        <v>0</v>
      </c>
      <c r="F578" s="103" t="e">
        <f>+D578</f>
        <v>#REF!</v>
      </c>
      <c r="G578" s="341"/>
      <c r="H578" s="341"/>
    </row>
    <row r="579" spans="2:8" ht="18" x14ac:dyDescent="0.25">
      <c r="B579" s="85" t="s">
        <v>80</v>
      </c>
      <c r="C579" s="85"/>
      <c r="D579" s="107" t="e">
        <f>+'RES CUENTA'!#REF!</f>
        <v>#REF!</v>
      </c>
      <c r="E579" s="108">
        <v>0</v>
      </c>
      <c r="F579" s="165" t="e">
        <f>+D579</f>
        <v>#REF!</v>
      </c>
      <c r="G579" s="341"/>
      <c r="H579" s="341"/>
    </row>
    <row r="580" spans="2:8" ht="18" x14ac:dyDescent="0.25">
      <c r="B580" s="86"/>
      <c r="C580" s="85"/>
      <c r="D580" s="85"/>
      <c r="E580" s="92"/>
      <c r="F580" s="104" t="e">
        <f>SUM(F575:F579)</f>
        <v>#REF!</v>
      </c>
      <c r="G580" s="338"/>
      <c r="H580" s="338"/>
    </row>
    <row r="581" spans="2:8" ht="18" x14ac:dyDescent="0.25">
      <c r="B581" s="86"/>
      <c r="C581" s="85"/>
      <c r="D581" s="85"/>
      <c r="E581" s="85"/>
      <c r="G581" s="90"/>
      <c r="H581" s="90"/>
    </row>
    <row r="582" spans="2:8" ht="18" x14ac:dyDescent="0.25">
      <c r="B582" s="85"/>
      <c r="C582" s="85"/>
      <c r="D582" s="85"/>
      <c r="E582" s="85"/>
      <c r="F582" s="91"/>
      <c r="G582" s="90"/>
      <c r="H582" s="90"/>
    </row>
    <row r="583" spans="2:8" ht="18" x14ac:dyDescent="0.25">
      <c r="B583" s="85"/>
      <c r="C583" s="85"/>
      <c r="D583" s="85"/>
      <c r="E583" s="85"/>
      <c r="F583" s="92"/>
      <c r="G583" s="85"/>
      <c r="H583" s="90"/>
    </row>
    <row r="584" spans="2:8" ht="25.5" customHeight="1" x14ac:dyDescent="0.25">
      <c r="B584" s="85"/>
      <c r="C584" s="85"/>
      <c r="D584" s="85"/>
      <c r="E584" s="85"/>
      <c r="F584" s="92"/>
      <c r="G584" s="85"/>
      <c r="H584" s="90"/>
    </row>
    <row r="585" spans="2:8" ht="18" x14ac:dyDescent="0.25">
      <c r="B585" s="85" t="e">
        <f>+B570</f>
        <v>#REF!</v>
      </c>
      <c r="C585" s="344"/>
      <c r="D585" s="344"/>
      <c r="E585" s="85" t="e">
        <f>+B585</f>
        <v>#REF!</v>
      </c>
      <c r="F585" s="92"/>
      <c r="G585" s="85"/>
      <c r="H585" s="90"/>
    </row>
    <row r="586" spans="2:8" ht="21" customHeight="1" x14ac:dyDescent="0.25">
      <c r="C586" s="85"/>
      <c r="D586" s="85"/>
      <c r="F586" s="344"/>
      <c r="G586" s="344"/>
      <c r="H586" s="344"/>
    </row>
    <row r="587" spans="2:8" ht="18" x14ac:dyDescent="0.25">
      <c r="B587" s="85" t="str">
        <f>+E1</f>
        <v>Lima 461 C:A:B:A:</v>
      </c>
      <c r="C587" s="85"/>
      <c r="D587" s="90" t="str">
        <f>+H571</f>
        <v>Unid. 15</v>
      </c>
      <c r="E587" s="85" t="str">
        <f>+E1</f>
        <v>Lima 461 C:A:B:A:</v>
      </c>
      <c r="F587" s="85"/>
      <c r="G587" s="85"/>
      <c r="H587" s="90" t="str">
        <f>+D587</f>
        <v>Unid. 15</v>
      </c>
    </row>
    <row r="588" spans="2:8" ht="18" x14ac:dyDescent="0.25">
      <c r="D588" s="90" t="e">
        <f>+H588</f>
        <v>#REF!</v>
      </c>
      <c r="H588" s="90" t="e">
        <f>+H572</f>
        <v>#REF!</v>
      </c>
    </row>
    <row r="589" spans="2:8" ht="18" x14ac:dyDescent="0.25">
      <c r="B589" s="86"/>
      <c r="C589" s="86"/>
      <c r="D589" s="86"/>
      <c r="E589" s="86"/>
      <c r="F589" s="85"/>
      <c r="G589" s="85"/>
    </row>
    <row r="590" spans="2:8" ht="12.75" customHeight="1" x14ac:dyDescent="0.25">
      <c r="B590" s="85"/>
      <c r="C590" s="85"/>
      <c r="D590" s="85"/>
      <c r="E590" s="85"/>
      <c r="F590" s="85"/>
      <c r="G590" s="86"/>
      <c r="H590" s="94"/>
    </row>
    <row r="591" spans="2:8" ht="9" customHeight="1" x14ac:dyDescent="0.25">
      <c r="B591" s="85"/>
      <c r="C591" s="85"/>
      <c r="D591" s="85"/>
      <c r="E591" s="96"/>
      <c r="F591" s="85"/>
      <c r="G591" s="94"/>
      <c r="H591" s="90"/>
    </row>
    <row r="592" spans="2:8" ht="18" x14ac:dyDescent="0.25">
      <c r="C592" s="85"/>
      <c r="D592" s="85"/>
      <c r="E592" s="85" t="s">
        <v>200</v>
      </c>
      <c r="F592" s="106" t="e">
        <f>+F575</f>
        <v>#REF!</v>
      </c>
      <c r="H592" s="99">
        <f>+B597</f>
        <v>46188</v>
      </c>
    </row>
    <row r="593" spans="2:8" ht="18" x14ac:dyDescent="0.25">
      <c r="B593" s="86"/>
      <c r="C593" s="85"/>
      <c r="D593" s="85"/>
      <c r="E593" s="85" t="s">
        <v>201</v>
      </c>
      <c r="F593" s="106" t="e">
        <f>+F576</f>
        <v>#REF!</v>
      </c>
    </row>
    <row r="594" spans="2:8" ht="18" x14ac:dyDescent="0.25">
      <c r="B594" s="86"/>
      <c r="C594" s="85"/>
      <c r="D594" s="85"/>
      <c r="E594" s="85" t="s">
        <v>81</v>
      </c>
      <c r="F594" s="106" t="e">
        <f>+F578</f>
        <v>#REF!</v>
      </c>
      <c r="G594" s="85"/>
      <c r="H594" s="90"/>
    </row>
    <row r="595" spans="2:8" ht="18" x14ac:dyDescent="0.25">
      <c r="B595" s="85"/>
      <c r="C595" s="85"/>
      <c r="D595" s="85"/>
      <c r="E595" s="85" t="s">
        <v>82</v>
      </c>
      <c r="F595" s="106" t="e">
        <f>+F579</f>
        <v>#REF!</v>
      </c>
      <c r="G595" s="85"/>
      <c r="H595" s="90"/>
    </row>
    <row r="596" spans="2:8" ht="18" x14ac:dyDescent="0.25">
      <c r="B596" s="96"/>
      <c r="C596" s="96"/>
      <c r="D596" s="96"/>
      <c r="E596" s="85" t="s">
        <v>188</v>
      </c>
      <c r="F596" s="166" t="e">
        <f>+F577</f>
        <v>#REF!</v>
      </c>
      <c r="G596" s="85"/>
      <c r="H596" s="90"/>
    </row>
    <row r="597" spans="2:8" ht="18" x14ac:dyDescent="0.25">
      <c r="B597" s="99">
        <f>+$G$30</f>
        <v>46188</v>
      </c>
      <c r="C597" s="105" t="e">
        <f>+F580</f>
        <v>#REF!</v>
      </c>
      <c r="D597" s="85"/>
      <c r="E597" s="85" t="s">
        <v>83</v>
      </c>
      <c r="F597" s="106" t="e">
        <f>+F580</f>
        <v>#REF!</v>
      </c>
      <c r="G597" s="85"/>
      <c r="H597" s="90"/>
    </row>
    <row r="598" spans="2:8" ht="18" x14ac:dyDescent="0.25">
      <c r="B598" s="85"/>
      <c r="C598" s="85"/>
      <c r="D598" s="85"/>
      <c r="E598" s="102"/>
      <c r="F598" s="85"/>
      <c r="G598" s="85"/>
      <c r="H598" s="90"/>
    </row>
    <row r="599" spans="2:8" ht="18" x14ac:dyDescent="0.25">
      <c r="B599" s="85"/>
      <c r="C599" s="85"/>
      <c r="D599" s="85"/>
      <c r="F599" s="85"/>
      <c r="G599" s="85"/>
      <c r="H599" s="90"/>
    </row>
    <row r="600" spans="2:8" ht="18" x14ac:dyDescent="0.25">
      <c r="B600" s="85"/>
      <c r="C600" s="85"/>
      <c r="D600" s="85"/>
      <c r="E600" s="85"/>
      <c r="F600" s="85"/>
      <c r="G600" s="85"/>
      <c r="H600" s="90"/>
    </row>
    <row r="601" spans="2:8" ht="18" x14ac:dyDescent="0.25">
      <c r="B601" s="85"/>
      <c r="C601" s="85"/>
      <c r="D601" s="85"/>
      <c r="E601" s="85"/>
      <c r="F601" s="85"/>
      <c r="G601" s="345"/>
      <c r="H601" s="345"/>
    </row>
    <row r="602" spans="2:8" ht="18" x14ac:dyDescent="0.25">
      <c r="B602" s="85"/>
      <c r="C602" s="85"/>
      <c r="D602" s="85"/>
      <c r="E602" s="85"/>
      <c r="F602" s="85"/>
      <c r="G602" s="94"/>
      <c r="H602" s="94"/>
    </row>
    <row r="603" spans="2:8" ht="18" x14ac:dyDescent="0.25">
      <c r="B603" s="85"/>
      <c r="C603" s="85"/>
      <c r="D603" s="85"/>
      <c r="E603" s="85"/>
      <c r="F603" s="85"/>
      <c r="G603" s="85"/>
      <c r="H603" s="90"/>
    </row>
    <row r="604" spans="2:8" ht="18" x14ac:dyDescent="0.25">
      <c r="B604" s="85"/>
      <c r="C604" s="85"/>
      <c r="D604" s="85"/>
      <c r="E604" s="85"/>
      <c r="F604" s="85"/>
      <c r="G604" s="85"/>
      <c r="H604" s="90"/>
    </row>
    <row r="605" spans="2:8" ht="18" x14ac:dyDescent="0.25">
      <c r="B605" s="343"/>
      <c r="C605" s="343"/>
      <c r="D605" s="343"/>
      <c r="E605" s="85"/>
      <c r="F605" s="85"/>
      <c r="H605" s="90"/>
    </row>
    <row r="606" spans="2:8" ht="18" x14ac:dyDescent="0.25">
      <c r="B606" s="343"/>
      <c r="C606" s="343"/>
      <c r="D606" s="343"/>
      <c r="E606" s="98">
        <f>+$B$1</f>
        <v>46143</v>
      </c>
      <c r="F606" s="85"/>
      <c r="G606" s="99">
        <f>+$D$1</f>
        <v>46188</v>
      </c>
      <c r="H606" s="160"/>
    </row>
    <row r="607" spans="2:8" ht="18" x14ac:dyDescent="0.25">
      <c r="B607" s="84"/>
      <c r="C607" s="84"/>
      <c r="D607" s="100"/>
      <c r="E607" s="98"/>
      <c r="F607" s="85"/>
    </row>
    <row r="608" spans="2:8" ht="18" x14ac:dyDescent="0.25">
      <c r="B608" s="85" t="e">
        <f>+B17</f>
        <v>#REF!</v>
      </c>
      <c r="C608" s="85"/>
      <c r="D608" s="85"/>
      <c r="F608" s="85"/>
    </row>
    <row r="609" spans="2:8" ht="20.25" customHeight="1" x14ac:dyDescent="0.25">
      <c r="C609" s="85"/>
      <c r="D609" s="85"/>
      <c r="E609" s="85" t="str">
        <f>+$E$1</f>
        <v>Lima 461 C:A:B:A:</v>
      </c>
      <c r="F609" s="85"/>
      <c r="H609" s="90" t="s">
        <v>99</v>
      </c>
    </row>
    <row r="610" spans="2:8" ht="18" x14ac:dyDescent="0.25">
      <c r="B610" s="86"/>
      <c r="C610" s="85"/>
      <c r="D610" s="85"/>
      <c r="F610" s="85"/>
      <c r="G610" s="86"/>
      <c r="H610" s="90" t="e">
        <f>+'RES CUENTA'!#REF!</f>
        <v>#REF!</v>
      </c>
    </row>
    <row r="611" spans="2:8" ht="18" x14ac:dyDescent="0.25">
      <c r="B611" s="85"/>
      <c r="C611" s="85"/>
      <c r="D611" s="85"/>
      <c r="E611" s="86"/>
      <c r="F611" s="86"/>
      <c r="G611" s="85"/>
      <c r="H611" s="94"/>
    </row>
    <row r="612" spans="2:8" ht="18" x14ac:dyDescent="0.25">
      <c r="B612" s="94"/>
      <c r="C612" s="85"/>
      <c r="D612" s="94"/>
      <c r="E612" s="85"/>
      <c r="F612" s="85"/>
      <c r="G612" s="85"/>
      <c r="H612" s="90"/>
    </row>
    <row r="613" spans="2:8" ht="18" x14ac:dyDescent="0.25">
      <c r="B613" s="85" t="s">
        <v>198</v>
      </c>
      <c r="C613" s="85"/>
      <c r="D613" s="107">
        <f>+'RES CUENTA'!$L$25</f>
        <v>10859801.41</v>
      </c>
      <c r="E613" s="108" t="e">
        <f>+'RES CUENTA'!#REF!</f>
        <v>#REF!</v>
      </c>
      <c r="F613" s="103" t="e">
        <f>+D613*E613/100</f>
        <v>#REF!</v>
      </c>
      <c r="G613" s="85"/>
      <c r="H613" s="94"/>
    </row>
    <row r="614" spans="2:8" ht="18" x14ac:dyDescent="0.25">
      <c r="B614" s="85" t="s">
        <v>199</v>
      </c>
      <c r="C614" s="85"/>
      <c r="D614" s="107" t="e">
        <f>+'RES CUENTA'!#REF!</f>
        <v>#REF!</v>
      </c>
      <c r="E614" s="108" t="e">
        <f>+'RES CUENTA'!#REF!</f>
        <v>#REF!</v>
      </c>
      <c r="F614" s="103" t="e">
        <f>+D614*E614/100</f>
        <v>#REF!</v>
      </c>
      <c r="G614" s="94"/>
      <c r="H614" s="89"/>
    </row>
    <row r="615" spans="2:8" ht="18" x14ac:dyDescent="0.25">
      <c r="B615" s="85" t="s">
        <v>202</v>
      </c>
      <c r="C615" s="85"/>
      <c r="D615" s="107" t="e">
        <f>+'RES CUENTA'!#REF!</f>
        <v>#REF!</v>
      </c>
      <c r="E615" s="108">
        <v>0</v>
      </c>
      <c r="F615" s="103" t="e">
        <f>+D615</f>
        <v>#REF!</v>
      </c>
      <c r="G615" s="94"/>
      <c r="H615" s="89"/>
    </row>
    <row r="616" spans="2:8" ht="18" x14ac:dyDescent="0.25">
      <c r="B616" s="85" t="s">
        <v>79</v>
      </c>
      <c r="C616" s="85"/>
      <c r="D616" s="107" t="e">
        <f>+'RES CUENTA'!#REF!</f>
        <v>#REF!</v>
      </c>
      <c r="E616" s="108">
        <v>0</v>
      </c>
      <c r="F616" s="103" t="e">
        <f>+D616</f>
        <v>#REF!</v>
      </c>
      <c r="G616" s="89"/>
      <c r="H616" s="89"/>
    </row>
    <row r="617" spans="2:8" ht="18" x14ac:dyDescent="0.25">
      <c r="B617" s="85" t="s">
        <v>80</v>
      </c>
      <c r="C617" s="85"/>
      <c r="D617" s="107" t="e">
        <f>+'RES CUENTA'!#REF!</f>
        <v>#REF!</v>
      </c>
      <c r="E617" s="108">
        <v>0</v>
      </c>
      <c r="F617" s="165" t="e">
        <f>+D617+E617</f>
        <v>#REF!</v>
      </c>
      <c r="G617" s="89"/>
      <c r="H617" s="89"/>
    </row>
    <row r="618" spans="2:8" ht="18" x14ac:dyDescent="0.25">
      <c r="B618" s="86"/>
      <c r="C618" s="85"/>
      <c r="D618" s="107"/>
      <c r="E618" s="107"/>
      <c r="F618" s="104" t="e">
        <f>SUM(F613:F617)</f>
        <v>#REF!</v>
      </c>
      <c r="G618" s="89"/>
      <c r="H618" s="90"/>
    </row>
    <row r="619" spans="2:8" ht="18" x14ac:dyDescent="0.25">
      <c r="B619" s="85"/>
      <c r="C619" s="85"/>
      <c r="D619" s="107"/>
      <c r="E619" s="107"/>
      <c r="F619" s="92"/>
      <c r="G619" s="90"/>
      <c r="H619" s="90"/>
    </row>
    <row r="620" spans="2:8" ht="18" x14ac:dyDescent="0.25">
      <c r="B620" s="85"/>
      <c r="C620" s="85"/>
      <c r="D620" s="85"/>
      <c r="E620" s="85"/>
      <c r="F620" s="92"/>
      <c r="G620" s="90"/>
      <c r="H620" s="90"/>
    </row>
    <row r="621" spans="2:8" ht="18" x14ac:dyDescent="0.25">
      <c r="B621" s="85"/>
      <c r="C621" s="85"/>
      <c r="D621" s="85"/>
      <c r="E621" s="85"/>
      <c r="F621" s="92"/>
      <c r="G621" s="90"/>
      <c r="H621" s="90"/>
    </row>
    <row r="622" spans="2:8" ht="23.25" customHeight="1" x14ac:dyDescent="0.25">
      <c r="B622" s="85"/>
      <c r="C622" s="85"/>
      <c r="D622" s="85"/>
      <c r="E622" s="85"/>
      <c r="F622" s="92"/>
      <c r="G622" s="90"/>
      <c r="H622" s="90"/>
    </row>
    <row r="623" spans="2:8" ht="18" x14ac:dyDescent="0.25">
      <c r="B623" s="85" t="e">
        <f>+B608</f>
        <v>#REF!</v>
      </c>
      <c r="C623" s="85"/>
      <c r="D623" s="85"/>
      <c r="E623" s="85" t="e">
        <f>+B608</f>
        <v>#REF!</v>
      </c>
      <c r="F623" s="85"/>
      <c r="G623" s="85"/>
      <c r="H623" s="94"/>
    </row>
    <row r="624" spans="2:8" ht="18" x14ac:dyDescent="0.25">
      <c r="B624" s="86"/>
      <c r="C624" s="85"/>
      <c r="D624" s="85"/>
      <c r="F624" s="85"/>
      <c r="G624" s="101"/>
      <c r="H624" s="90" t="str">
        <f>+H609</f>
        <v>Unid. 16</v>
      </c>
    </row>
    <row r="625" spans="2:8" ht="21.75" customHeight="1" x14ac:dyDescent="0.25">
      <c r="B625" s="85" t="str">
        <f>+E1</f>
        <v>Lima 461 C:A:B:A:</v>
      </c>
      <c r="C625" s="85"/>
      <c r="D625" s="90" t="str">
        <f>+H624</f>
        <v>Unid. 16</v>
      </c>
      <c r="E625" s="85" t="str">
        <f>+$E$1</f>
        <v>Lima 461 C:A:B:A:</v>
      </c>
      <c r="F625" s="85"/>
      <c r="G625" s="85"/>
      <c r="H625" s="90" t="e">
        <f>+H610</f>
        <v>#REF!</v>
      </c>
    </row>
    <row r="626" spans="2:8" ht="18" x14ac:dyDescent="0.25">
      <c r="B626" s="86"/>
      <c r="C626" s="86"/>
      <c r="D626" s="90" t="e">
        <f>+H625</f>
        <v>#REF!</v>
      </c>
      <c r="F626" s="85"/>
      <c r="G626" s="85"/>
    </row>
    <row r="627" spans="2:8" ht="18" x14ac:dyDescent="0.25">
      <c r="B627" s="85"/>
      <c r="C627" s="85"/>
      <c r="D627" s="85"/>
      <c r="E627" s="86"/>
      <c r="F627" s="85"/>
      <c r="G627" s="85"/>
      <c r="H627" s="94"/>
    </row>
    <row r="628" spans="2:8" ht="11.25" customHeight="1" x14ac:dyDescent="0.25">
      <c r="B628" s="85"/>
      <c r="C628" s="85"/>
      <c r="D628" s="85"/>
      <c r="E628" s="85"/>
      <c r="F628" s="96"/>
      <c r="G628" s="86"/>
      <c r="H628" s="90"/>
    </row>
    <row r="629" spans="2:8" ht="14.25" customHeight="1" x14ac:dyDescent="0.25">
      <c r="B629" s="85"/>
      <c r="C629" s="85"/>
      <c r="D629" s="85"/>
      <c r="E629" s="96"/>
      <c r="G629" s="94"/>
      <c r="H629" s="96"/>
    </row>
    <row r="630" spans="2:8" ht="18" x14ac:dyDescent="0.25">
      <c r="B630" s="86"/>
      <c r="C630" s="85"/>
      <c r="D630" s="85"/>
      <c r="E630" s="85" t="s">
        <v>200</v>
      </c>
      <c r="F630" s="106" t="e">
        <f>+F613</f>
        <v>#REF!</v>
      </c>
      <c r="G630" s="95"/>
      <c r="H630" s="99">
        <f>+B634</f>
        <v>46188</v>
      </c>
    </row>
    <row r="631" spans="2:8" ht="18" x14ac:dyDescent="0.25">
      <c r="B631" s="86"/>
      <c r="C631" s="85"/>
      <c r="D631" s="85"/>
      <c r="E631" s="85" t="s">
        <v>201</v>
      </c>
      <c r="F631" s="106" t="e">
        <f>+F614</f>
        <v>#REF!</v>
      </c>
      <c r="H631" s="90"/>
    </row>
    <row r="632" spans="2:8" ht="18" x14ac:dyDescent="0.25">
      <c r="B632" s="85"/>
      <c r="C632" s="85"/>
      <c r="D632" s="85"/>
      <c r="E632" s="85" t="s">
        <v>81</v>
      </c>
      <c r="F632" s="106" t="e">
        <f>+F616</f>
        <v>#REF!</v>
      </c>
      <c r="G632" s="85"/>
      <c r="H632" s="90"/>
    </row>
    <row r="633" spans="2:8" ht="18" x14ac:dyDescent="0.25">
      <c r="B633" s="96"/>
      <c r="C633" s="96"/>
      <c r="D633" s="96"/>
      <c r="E633" s="85" t="s">
        <v>82</v>
      </c>
      <c r="F633" s="106" t="e">
        <f>+F617</f>
        <v>#REF!</v>
      </c>
      <c r="G633" s="85"/>
      <c r="H633" s="90"/>
    </row>
    <row r="634" spans="2:8" ht="18" x14ac:dyDescent="0.25">
      <c r="B634" s="99">
        <f>+$G$30</f>
        <v>46188</v>
      </c>
      <c r="C634" s="105" t="e">
        <f>+F618</f>
        <v>#REF!</v>
      </c>
      <c r="D634" s="85"/>
      <c r="E634" s="85" t="s">
        <v>188</v>
      </c>
      <c r="F634" s="166" t="e">
        <f>+F615</f>
        <v>#REF!</v>
      </c>
      <c r="G634" s="85"/>
      <c r="H634" s="90"/>
    </row>
    <row r="635" spans="2:8" ht="18" x14ac:dyDescent="0.25">
      <c r="B635" s="85"/>
      <c r="C635" s="85"/>
      <c r="D635" s="85"/>
      <c r="E635" s="85" t="s">
        <v>83</v>
      </c>
      <c r="F635" s="106" t="e">
        <f>+F618</f>
        <v>#REF!</v>
      </c>
      <c r="G635" s="85"/>
      <c r="H635" s="90"/>
    </row>
    <row r="636" spans="2:8" ht="18" x14ac:dyDescent="0.25">
      <c r="B636" s="85"/>
      <c r="C636" s="85"/>
      <c r="D636" s="85"/>
      <c r="E636" s="85"/>
      <c r="F636" s="85"/>
      <c r="G636" s="85"/>
      <c r="H636" s="90"/>
    </row>
    <row r="637" spans="2:8" ht="18" x14ac:dyDescent="0.25">
      <c r="B637" s="85"/>
      <c r="C637" s="85"/>
      <c r="D637" s="85"/>
      <c r="E637" s="102"/>
      <c r="F637" s="85"/>
      <c r="G637" s="85"/>
      <c r="H637" s="90"/>
    </row>
    <row r="638" spans="2:8" ht="27" customHeight="1" x14ac:dyDescent="0.25">
      <c r="B638" s="85"/>
      <c r="C638" s="85"/>
      <c r="D638" s="85"/>
      <c r="E638" s="85"/>
      <c r="F638" s="85"/>
      <c r="G638" s="85"/>
      <c r="H638" s="94"/>
    </row>
    <row r="639" spans="2:8" ht="11.25" customHeight="1" x14ac:dyDescent="0.25">
      <c r="E639" s="85"/>
      <c r="G639" s="94"/>
      <c r="H639" s="90"/>
    </row>
    <row r="641" spans="2:8" ht="18" x14ac:dyDescent="0.25">
      <c r="B641" s="343"/>
      <c r="C641" s="343"/>
      <c r="D641" s="343"/>
      <c r="E641" s="342">
        <f>+$B$1</f>
        <v>46143</v>
      </c>
      <c r="F641" s="85"/>
      <c r="G641" s="337">
        <f>+$D$1</f>
        <v>46188</v>
      </c>
      <c r="H641" s="90"/>
    </row>
    <row r="642" spans="2:8" ht="18" x14ac:dyDescent="0.25">
      <c r="B642" s="84"/>
      <c r="C642" s="84"/>
      <c r="D642" s="100"/>
      <c r="E642" s="342"/>
      <c r="F642" s="85"/>
      <c r="G642" s="337"/>
      <c r="H642" s="90"/>
    </row>
    <row r="643" spans="2:8" ht="18" x14ac:dyDescent="0.25">
      <c r="B643" s="85"/>
      <c r="C643" s="85"/>
      <c r="D643" s="85"/>
      <c r="E643" s="86"/>
      <c r="F643" s="85"/>
      <c r="G643" s="86"/>
      <c r="H643" s="90"/>
    </row>
    <row r="644" spans="2:8" ht="32.25" customHeight="1" x14ac:dyDescent="0.25">
      <c r="B644" s="85" t="e">
        <f>+B18</f>
        <v>#REF!</v>
      </c>
      <c r="C644" s="85"/>
      <c r="D644" s="85"/>
      <c r="E644" s="86"/>
      <c r="F644" s="85"/>
      <c r="G644" s="86"/>
      <c r="H644" s="90"/>
    </row>
    <row r="645" spans="2:8" ht="24" customHeight="1" x14ac:dyDescent="0.25">
      <c r="B645" s="86"/>
      <c r="C645" s="85"/>
      <c r="D645" s="85"/>
      <c r="E645" s="85" t="str">
        <f>+E34</f>
        <v>Lima 461 C:A:B:A:</v>
      </c>
      <c r="F645" s="85"/>
      <c r="G645" s="85"/>
      <c r="H645" s="90" t="s">
        <v>100</v>
      </c>
    </row>
    <row r="646" spans="2:8" ht="18" x14ac:dyDescent="0.25">
      <c r="B646" s="85"/>
      <c r="C646" s="85"/>
      <c r="D646" s="85"/>
      <c r="E646" s="86"/>
      <c r="F646" s="86"/>
      <c r="G646" s="85"/>
      <c r="H646" s="90" t="e">
        <f>+'RES CUENTA'!#REF!</f>
        <v>#REF!</v>
      </c>
    </row>
    <row r="647" spans="2:8" ht="18" x14ac:dyDescent="0.25">
      <c r="B647" s="94"/>
      <c r="C647" s="85"/>
      <c r="D647" s="94"/>
      <c r="E647" s="85"/>
      <c r="F647" s="85"/>
      <c r="G647" s="85"/>
      <c r="H647" s="90"/>
    </row>
    <row r="648" spans="2:8" ht="12.75" customHeight="1" x14ac:dyDescent="0.25">
      <c r="B648" s="94"/>
      <c r="C648" s="85"/>
      <c r="D648" s="94"/>
      <c r="E648" s="85"/>
      <c r="F648" s="85"/>
      <c r="G648" s="85"/>
      <c r="H648" s="90"/>
    </row>
    <row r="649" spans="2:8" ht="18" x14ac:dyDescent="0.25">
      <c r="B649" s="85" t="s">
        <v>198</v>
      </c>
      <c r="C649" s="85"/>
      <c r="D649" s="107">
        <f>+'RES CUENTA'!$L$25</f>
        <v>10859801.41</v>
      </c>
      <c r="E649" s="108" t="e">
        <f>+'RES CUENTA'!#REF!</f>
        <v>#REF!</v>
      </c>
      <c r="F649" s="103" t="e">
        <f>+D649*E649/100</f>
        <v>#REF!</v>
      </c>
      <c r="G649" s="345"/>
      <c r="H649" s="345"/>
    </row>
    <row r="650" spans="2:8" ht="18" x14ac:dyDescent="0.25">
      <c r="B650" s="85" t="s">
        <v>199</v>
      </c>
      <c r="C650" s="85"/>
      <c r="D650" s="107" t="e">
        <f>+'RES CUENTA'!#REF!</f>
        <v>#REF!</v>
      </c>
      <c r="E650" s="108" t="e">
        <f>+'RES CUENTA'!#REF!</f>
        <v>#REF!</v>
      </c>
      <c r="F650" s="103" t="e">
        <f>+D650*E650/100</f>
        <v>#REF!</v>
      </c>
      <c r="G650" s="341"/>
      <c r="H650" s="341"/>
    </row>
    <row r="651" spans="2:8" ht="18" x14ac:dyDescent="0.25">
      <c r="B651" s="85" t="s">
        <v>202</v>
      </c>
      <c r="C651" s="85"/>
      <c r="D651" s="107" t="e">
        <f>+'RES CUENTA'!#REF!</f>
        <v>#REF!</v>
      </c>
      <c r="E651" s="108">
        <v>0</v>
      </c>
      <c r="F651" s="103" t="e">
        <f>+D651</f>
        <v>#REF!</v>
      </c>
      <c r="G651" s="341"/>
      <c r="H651" s="341"/>
    </row>
    <row r="652" spans="2:8" ht="18" x14ac:dyDescent="0.25">
      <c r="B652" s="85" t="s">
        <v>79</v>
      </c>
      <c r="C652" s="85"/>
      <c r="D652" s="107" t="e">
        <f>+'RES CUENTA'!#REF!</f>
        <v>#REF!</v>
      </c>
      <c r="E652" s="108">
        <v>0</v>
      </c>
      <c r="F652" s="103" t="e">
        <f>+D652</f>
        <v>#REF!</v>
      </c>
      <c r="G652" s="341"/>
      <c r="H652" s="341"/>
    </row>
    <row r="653" spans="2:8" ht="18" x14ac:dyDescent="0.25">
      <c r="B653" s="85" t="s">
        <v>80</v>
      </c>
      <c r="C653" s="85"/>
      <c r="D653" s="107" t="e">
        <f>+'RES CUENTA'!#REF!</f>
        <v>#REF!</v>
      </c>
      <c r="E653" s="108">
        <v>0</v>
      </c>
      <c r="F653" s="165" t="e">
        <f>+D653</f>
        <v>#REF!</v>
      </c>
      <c r="G653" s="341"/>
      <c r="H653" s="341"/>
    </row>
    <row r="654" spans="2:8" ht="18" x14ac:dyDescent="0.25">
      <c r="B654" s="86"/>
      <c r="C654" s="85"/>
      <c r="D654" s="85"/>
      <c r="E654" s="92"/>
      <c r="F654" s="104" t="e">
        <f>SUM(F649:F653)</f>
        <v>#REF!</v>
      </c>
      <c r="G654" s="338"/>
      <c r="H654" s="338"/>
    </row>
    <row r="655" spans="2:8" ht="18" x14ac:dyDescent="0.25">
      <c r="B655" s="85"/>
      <c r="C655" s="85"/>
      <c r="D655" s="85"/>
      <c r="E655" s="85"/>
      <c r="F655" s="91"/>
      <c r="G655" s="90"/>
      <c r="H655" s="90"/>
    </row>
    <row r="656" spans="2:8" ht="18" x14ac:dyDescent="0.25">
      <c r="B656" s="85"/>
      <c r="C656" s="85"/>
      <c r="D656" s="85"/>
      <c r="E656" s="85"/>
      <c r="F656" s="92"/>
      <c r="G656" s="85"/>
      <c r="H656" s="90"/>
    </row>
    <row r="657" spans="2:8" ht="18" x14ac:dyDescent="0.25">
      <c r="B657" s="85"/>
      <c r="C657" s="85"/>
      <c r="D657" s="85"/>
      <c r="E657" s="85"/>
      <c r="F657" s="92"/>
      <c r="G657" s="85"/>
      <c r="H657" s="90"/>
    </row>
    <row r="658" spans="2:8" ht="20.25" customHeight="1" x14ac:dyDescent="0.25">
      <c r="B658" s="85"/>
      <c r="C658" s="85"/>
      <c r="D658" s="85"/>
      <c r="E658" s="85"/>
      <c r="F658" s="92"/>
      <c r="G658" s="85"/>
      <c r="H658" s="90"/>
    </row>
    <row r="659" spans="2:8" ht="21.75" customHeight="1" x14ac:dyDescent="0.25">
      <c r="B659" s="85" t="e">
        <f>+B644</f>
        <v>#REF!</v>
      </c>
      <c r="C659" s="344"/>
      <c r="D659" s="344"/>
      <c r="E659" s="85" t="e">
        <f>+B659</f>
        <v>#REF!</v>
      </c>
      <c r="F659" s="92"/>
      <c r="G659" s="85"/>
      <c r="H659" s="90"/>
    </row>
    <row r="660" spans="2:8" ht="18" x14ac:dyDescent="0.25">
      <c r="C660" s="85"/>
      <c r="D660" s="85"/>
      <c r="F660" s="344"/>
      <c r="G660" s="344"/>
      <c r="H660" s="344"/>
    </row>
    <row r="661" spans="2:8" ht="18" x14ac:dyDescent="0.25">
      <c r="B661" s="85" t="str">
        <f>+E1</f>
        <v>Lima 461 C:A:B:A:</v>
      </c>
      <c r="C661" s="85"/>
      <c r="D661" s="90" t="str">
        <f>+H645</f>
        <v>Unid. 17</v>
      </c>
      <c r="E661" s="85" t="str">
        <f>+$E$1</f>
        <v>Lima 461 C:A:B:A:</v>
      </c>
      <c r="F661" s="85"/>
      <c r="G661" s="85"/>
      <c r="H661" s="90" t="str">
        <f>+D661</f>
        <v>Unid. 17</v>
      </c>
    </row>
    <row r="662" spans="2:8" ht="18" x14ac:dyDescent="0.25">
      <c r="D662" s="90" t="e">
        <f>+H662</f>
        <v>#REF!</v>
      </c>
      <c r="H662" s="90" t="e">
        <f>+H646</f>
        <v>#REF!</v>
      </c>
    </row>
    <row r="663" spans="2:8" ht="18" x14ac:dyDescent="0.25">
      <c r="B663" s="86"/>
      <c r="C663" s="86"/>
      <c r="D663" s="86"/>
      <c r="E663" s="86"/>
      <c r="F663" s="85"/>
      <c r="G663" s="85"/>
    </row>
    <row r="664" spans="2:8" ht="18" x14ac:dyDescent="0.25">
      <c r="B664" s="85"/>
      <c r="C664" s="85"/>
      <c r="D664" s="85"/>
      <c r="E664" s="85"/>
      <c r="F664" s="85"/>
      <c r="G664" s="86"/>
      <c r="H664" s="94"/>
    </row>
    <row r="665" spans="2:8" ht="9.75" customHeight="1" x14ac:dyDescent="0.25">
      <c r="B665" s="85"/>
      <c r="C665" s="85"/>
      <c r="D665" s="85"/>
      <c r="E665" s="96"/>
      <c r="F665" s="85"/>
      <c r="G665" s="94"/>
      <c r="H665" s="90"/>
    </row>
    <row r="666" spans="2:8" ht="18" x14ac:dyDescent="0.25">
      <c r="C666" s="85"/>
      <c r="D666" s="85"/>
      <c r="E666" s="85" t="s">
        <v>200</v>
      </c>
      <c r="F666" s="106" t="e">
        <f>+F649</f>
        <v>#REF!</v>
      </c>
      <c r="H666" s="99">
        <f>+B671</f>
        <v>46188</v>
      </c>
    </row>
    <row r="667" spans="2:8" ht="18" x14ac:dyDescent="0.25">
      <c r="B667" s="86"/>
      <c r="C667" s="85"/>
      <c r="D667" s="85"/>
      <c r="E667" s="85" t="s">
        <v>201</v>
      </c>
      <c r="F667" s="106" t="e">
        <f>+F650</f>
        <v>#REF!</v>
      </c>
    </row>
    <row r="668" spans="2:8" ht="18" x14ac:dyDescent="0.25">
      <c r="B668" s="86"/>
      <c r="C668" s="85"/>
      <c r="D668" s="85"/>
      <c r="E668" s="85" t="s">
        <v>81</v>
      </c>
      <c r="F668" s="106" t="e">
        <f>+F652</f>
        <v>#REF!</v>
      </c>
      <c r="G668" s="85"/>
      <c r="H668" s="90"/>
    </row>
    <row r="669" spans="2:8" ht="18" x14ac:dyDescent="0.25">
      <c r="B669" s="85"/>
      <c r="C669" s="85"/>
      <c r="D669" s="85"/>
      <c r="E669" s="85" t="s">
        <v>82</v>
      </c>
      <c r="F669" s="106" t="e">
        <f>+F653</f>
        <v>#REF!</v>
      </c>
      <c r="G669" s="85"/>
      <c r="H669" s="90"/>
    </row>
    <row r="670" spans="2:8" ht="18" x14ac:dyDescent="0.25">
      <c r="B670" s="96"/>
      <c r="C670" s="96"/>
      <c r="D670" s="96"/>
      <c r="E670" s="85" t="s">
        <v>188</v>
      </c>
      <c r="F670" s="166" t="e">
        <f>+F651</f>
        <v>#REF!</v>
      </c>
      <c r="G670" s="106"/>
      <c r="H670" s="90"/>
    </row>
    <row r="671" spans="2:8" ht="18" x14ac:dyDescent="0.25">
      <c r="B671" s="99">
        <f>+$G$30</f>
        <v>46188</v>
      </c>
      <c r="C671" s="105" t="e">
        <f>+F654</f>
        <v>#REF!</v>
      </c>
      <c r="D671" s="85"/>
      <c r="E671" s="85" t="s">
        <v>83</v>
      </c>
      <c r="F671" s="106" t="e">
        <f>+F654</f>
        <v>#REF!</v>
      </c>
      <c r="G671" s="85"/>
      <c r="H671" s="90"/>
    </row>
    <row r="672" spans="2:8" ht="18" x14ac:dyDescent="0.25">
      <c r="B672" s="85"/>
      <c r="C672" s="85"/>
      <c r="D672" s="85"/>
      <c r="E672" s="102"/>
      <c r="F672" s="85"/>
      <c r="G672" s="85"/>
      <c r="H672" s="90"/>
    </row>
    <row r="673" spans="2:8" ht="18" x14ac:dyDescent="0.25">
      <c r="B673" s="85"/>
      <c r="C673" s="85"/>
      <c r="D673" s="85"/>
      <c r="F673" s="85"/>
      <c r="G673" s="85"/>
      <c r="H673" s="90"/>
    </row>
    <row r="674" spans="2:8" ht="18" x14ac:dyDescent="0.25">
      <c r="B674" s="85"/>
      <c r="C674" s="85"/>
      <c r="D674" s="85"/>
      <c r="E674" s="85"/>
      <c r="F674" s="85"/>
      <c r="G674" s="85"/>
      <c r="H674" s="90"/>
    </row>
    <row r="675" spans="2:8" ht="18" x14ac:dyDescent="0.25">
      <c r="B675" s="85"/>
      <c r="C675" s="85"/>
      <c r="D675" s="85"/>
      <c r="E675" s="85"/>
      <c r="F675" s="85"/>
      <c r="G675" s="345"/>
      <c r="H675" s="345"/>
    </row>
    <row r="676" spans="2:8" ht="18" x14ac:dyDescent="0.25">
      <c r="B676" s="85"/>
      <c r="C676" s="85"/>
      <c r="D676" s="85"/>
      <c r="E676" s="85"/>
      <c r="F676" s="85"/>
      <c r="G676" s="85"/>
      <c r="H676" s="90"/>
    </row>
    <row r="677" spans="2:8" ht="18" x14ac:dyDescent="0.25">
      <c r="B677" s="85"/>
      <c r="C677" s="85"/>
      <c r="D677" s="85"/>
      <c r="E677" s="85"/>
      <c r="F677" s="85"/>
      <c r="G677" s="85"/>
      <c r="H677" s="90"/>
    </row>
    <row r="678" spans="2:8" ht="18.75" customHeight="1" x14ac:dyDescent="0.25">
      <c r="B678" s="343"/>
      <c r="C678" s="343"/>
      <c r="D678" s="343"/>
      <c r="E678" s="85"/>
      <c r="F678" s="85"/>
      <c r="H678" s="90"/>
    </row>
    <row r="679" spans="2:8" ht="18" x14ac:dyDescent="0.25">
      <c r="B679" s="343"/>
      <c r="C679" s="343"/>
      <c r="D679" s="343"/>
      <c r="E679" s="98">
        <f>+$B$1</f>
        <v>46143</v>
      </c>
      <c r="F679" s="85"/>
      <c r="G679" s="99">
        <f>+$D$1</f>
        <v>46188</v>
      </c>
      <c r="H679" s="160"/>
    </row>
    <row r="680" spans="2:8" ht="18" x14ac:dyDescent="0.25">
      <c r="B680" s="84"/>
      <c r="C680" s="84"/>
      <c r="D680" s="84"/>
      <c r="E680" s="98"/>
      <c r="F680" s="85"/>
      <c r="G680" s="99"/>
      <c r="H680" s="160"/>
    </row>
    <row r="681" spans="2:8" ht="20.25" customHeight="1" x14ac:dyDescent="0.25">
      <c r="B681" s="84"/>
      <c r="C681" s="84"/>
      <c r="D681" s="100"/>
      <c r="E681" s="98"/>
      <c r="F681" s="85"/>
    </row>
    <row r="682" spans="2:8" ht="18" x14ac:dyDescent="0.25">
      <c r="B682" s="85" t="e">
        <f>+B19</f>
        <v>#REF!</v>
      </c>
      <c r="C682" s="85"/>
      <c r="D682" s="85"/>
      <c r="F682" s="85"/>
    </row>
    <row r="683" spans="2:8" ht="15" customHeight="1" x14ac:dyDescent="0.25">
      <c r="C683" s="85"/>
      <c r="D683" s="85"/>
      <c r="E683" s="85" t="str">
        <f>+$E$1</f>
        <v>Lima 461 C:A:B:A:</v>
      </c>
      <c r="F683" s="85"/>
      <c r="H683" s="90" t="s">
        <v>101</v>
      </c>
    </row>
    <row r="684" spans="2:8" ht="18" x14ac:dyDescent="0.25">
      <c r="B684" s="86"/>
      <c r="C684" s="85"/>
      <c r="D684" s="85"/>
      <c r="F684" s="85"/>
      <c r="G684" s="86"/>
      <c r="H684" s="90" t="e">
        <f>+'RES CUENTA'!#REF!</f>
        <v>#REF!</v>
      </c>
    </row>
    <row r="685" spans="2:8" ht="18" x14ac:dyDescent="0.25">
      <c r="B685" s="85"/>
      <c r="C685" s="85"/>
      <c r="D685" s="85"/>
      <c r="E685" s="86"/>
      <c r="F685" s="86"/>
      <c r="G685" s="85"/>
      <c r="H685" s="94"/>
    </row>
    <row r="686" spans="2:8" ht="18" customHeight="1" x14ac:dyDescent="0.25">
      <c r="B686" s="94"/>
      <c r="C686" s="85"/>
      <c r="D686" s="94"/>
      <c r="E686" s="85"/>
      <c r="F686" s="85"/>
      <c r="G686" s="85"/>
      <c r="H686" s="90"/>
    </row>
    <row r="687" spans="2:8" ht="18" x14ac:dyDescent="0.25">
      <c r="B687" s="85" t="s">
        <v>198</v>
      </c>
      <c r="C687" s="85"/>
      <c r="D687" s="107">
        <f>+'RES CUENTA'!$L$25</f>
        <v>10859801.41</v>
      </c>
      <c r="E687" s="108" t="e">
        <f>+'RES CUENTA'!#REF!</f>
        <v>#REF!</v>
      </c>
      <c r="F687" s="103" t="e">
        <f>+D687*E687/100</f>
        <v>#REF!</v>
      </c>
      <c r="G687" s="85"/>
      <c r="H687" s="94"/>
    </row>
    <row r="688" spans="2:8" ht="18" x14ac:dyDescent="0.25">
      <c r="B688" s="85" t="s">
        <v>199</v>
      </c>
      <c r="C688" s="85"/>
      <c r="D688" s="107" t="e">
        <f>+'RES CUENTA'!#REF!</f>
        <v>#REF!</v>
      </c>
      <c r="E688" s="108" t="e">
        <f>+'RES CUENTA'!#REF!</f>
        <v>#REF!</v>
      </c>
      <c r="F688" s="103" t="e">
        <f>+D688*E688/100</f>
        <v>#REF!</v>
      </c>
      <c r="G688" s="94"/>
      <c r="H688" s="89"/>
    </row>
    <row r="689" spans="2:8" ht="18" x14ac:dyDescent="0.25">
      <c r="B689" s="85" t="s">
        <v>202</v>
      </c>
      <c r="C689" s="85"/>
      <c r="D689" s="107" t="e">
        <f>+'RES CUENTA'!#REF!</f>
        <v>#REF!</v>
      </c>
      <c r="E689" s="108">
        <v>0</v>
      </c>
      <c r="F689" s="103" t="e">
        <f>+D689</f>
        <v>#REF!</v>
      </c>
      <c r="G689" s="94"/>
      <c r="H689" s="89"/>
    </row>
    <row r="690" spans="2:8" ht="18" x14ac:dyDescent="0.25">
      <c r="B690" s="85" t="s">
        <v>79</v>
      </c>
      <c r="C690" s="85"/>
      <c r="D690" s="107" t="e">
        <f>+'RES CUENTA'!#REF!</f>
        <v>#REF!</v>
      </c>
      <c r="E690" s="108">
        <v>0</v>
      </c>
      <c r="F690" s="103" t="e">
        <f>+D690</f>
        <v>#REF!</v>
      </c>
      <c r="G690" s="89"/>
      <c r="H690" s="89"/>
    </row>
    <row r="691" spans="2:8" ht="18" x14ac:dyDescent="0.25">
      <c r="B691" s="85" t="s">
        <v>80</v>
      </c>
      <c r="C691" s="85"/>
      <c r="D691" s="107" t="e">
        <f>+'RES CUENTA'!#REF!</f>
        <v>#REF!</v>
      </c>
      <c r="E691" s="108">
        <v>0</v>
      </c>
      <c r="F691" s="165" t="e">
        <f>+D691+E691</f>
        <v>#REF!</v>
      </c>
      <c r="G691" s="89"/>
      <c r="H691" s="89"/>
    </row>
    <row r="692" spans="2:8" ht="18" x14ac:dyDescent="0.25">
      <c r="B692" s="86"/>
      <c r="C692" s="85"/>
      <c r="D692" s="85"/>
      <c r="F692" s="104" t="e">
        <f>SUM(F687:F691)</f>
        <v>#REF!</v>
      </c>
      <c r="G692" s="89"/>
      <c r="H692" s="89"/>
    </row>
    <row r="693" spans="2:8" ht="18" x14ac:dyDescent="0.25">
      <c r="B693" s="86"/>
      <c r="C693" s="85"/>
      <c r="D693" s="85"/>
      <c r="F693" s="91"/>
      <c r="G693" s="89"/>
      <c r="H693" s="90"/>
    </row>
    <row r="694" spans="2:8" ht="18" x14ac:dyDescent="0.25">
      <c r="B694" s="85"/>
      <c r="C694" s="85"/>
      <c r="D694" s="85"/>
      <c r="E694" s="85"/>
      <c r="F694" s="92"/>
      <c r="G694" s="90"/>
      <c r="H694" s="90"/>
    </row>
    <row r="695" spans="2:8" ht="24.75" customHeight="1" x14ac:dyDescent="0.25">
      <c r="B695" s="85"/>
      <c r="C695" s="85"/>
      <c r="D695" s="85"/>
      <c r="E695" s="85"/>
      <c r="F695" s="92"/>
      <c r="G695" s="90"/>
      <c r="H695" s="90"/>
    </row>
    <row r="696" spans="2:8" ht="13.5" customHeight="1" x14ac:dyDescent="0.25">
      <c r="B696" s="85"/>
      <c r="C696" s="85"/>
      <c r="D696" s="85"/>
      <c r="E696" s="85"/>
      <c r="F696" s="92"/>
      <c r="G696" s="90"/>
      <c r="H696" s="90"/>
    </row>
    <row r="697" spans="2:8" ht="27.75" customHeight="1" x14ac:dyDescent="0.25">
      <c r="B697" s="85" t="e">
        <f>+B682</f>
        <v>#REF!</v>
      </c>
      <c r="C697" s="85"/>
      <c r="D697" s="85"/>
      <c r="E697" s="85" t="e">
        <f>+B682</f>
        <v>#REF!</v>
      </c>
      <c r="F697" s="85"/>
      <c r="G697" s="85"/>
      <c r="H697" s="94"/>
    </row>
    <row r="698" spans="2:8" ht="15" customHeight="1" x14ac:dyDescent="0.25">
      <c r="B698" s="86"/>
      <c r="C698" s="85"/>
      <c r="D698" s="85"/>
      <c r="F698" s="85"/>
      <c r="G698" s="101"/>
      <c r="H698" s="90" t="str">
        <f>+H683</f>
        <v>Unid. 18</v>
      </c>
    </row>
    <row r="699" spans="2:8" ht="20.25" customHeight="1" x14ac:dyDescent="0.25">
      <c r="B699" s="85" t="str">
        <f>+E1</f>
        <v>Lima 461 C:A:B:A:</v>
      </c>
      <c r="C699" s="85"/>
      <c r="D699" s="90" t="str">
        <f>+H698</f>
        <v>Unid. 18</v>
      </c>
      <c r="E699" s="85" t="str">
        <f>+E683</f>
        <v>Lima 461 C:A:B:A:</v>
      </c>
      <c r="F699" s="85"/>
      <c r="G699" s="85"/>
      <c r="H699" s="90" t="e">
        <f>+H684</f>
        <v>#REF!</v>
      </c>
    </row>
    <row r="700" spans="2:8" ht="18" x14ac:dyDescent="0.25">
      <c r="B700" s="86"/>
      <c r="C700" s="86"/>
      <c r="D700" s="90" t="e">
        <f>+H699</f>
        <v>#REF!</v>
      </c>
      <c r="F700" s="85"/>
      <c r="G700" s="85"/>
    </row>
    <row r="701" spans="2:8" ht="18" x14ac:dyDescent="0.25">
      <c r="B701" s="85"/>
      <c r="C701" s="85"/>
      <c r="D701" s="85"/>
      <c r="E701" s="86"/>
      <c r="F701" s="85"/>
      <c r="G701" s="85"/>
      <c r="H701" s="94"/>
    </row>
    <row r="702" spans="2:8" ht="18" x14ac:dyDescent="0.25">
      <c r="B702" s="85"/>
      <c r="C702" s="85"/>
      <c r="D702" s="85"/>
      <c r="E702" s="85"/>
      <c r="F702" s="96"/>
      <c r="G702" s="86"/>
      <c r="H702" s="90"/>
    </row>
    <row r="703" spans="2:8" ht="12" customHeight="1" x14ac:dyDescent="0.25">
      <c r="B703" s="85"/>
      <c r="C703" s="85"/>
      <c r="D703" s="85"/>
      <c r="E703" s="96"/>
      <c r="G703" s="94"/>
      <c r="H703" s="96"/>
    </row>
    <row r="704" spans="2:8" ht="18" x14ac:dyDescent="0.25">
      <c r="B704" s="86"/>
      <c r="C704" s="85"/>
      <c r="D704" s="85"/>
      <c r="E704" s="85" t="s">
        <v>200</v>
      </c>
      <c r="F704" s="106" t="e">
        <f>+F687</f>
        <v>#REF!</v>
      </c>
      <c r="G704" s="95"/>
      <c r="H704" s="99">
        <f>+B708</f>
        <v>46188</v>
      </c>
    </row>
    <row r="705" spans="2:8" ht="18" x14ac:dyDescent="0.25">
      <c r="B705" s="86"/>
      <c r="C705" s="85"/>
      <c r="D705" s="85"/>
      <c r="E705" s="85" t="s">
        <v>201</v>
      </c>
      <c r="F705" s="106" t="e">
        <f>+F688</f>
        <v>#REF!</v>
      </c>
      <c r="H705" s="90"/>
    </row>
    <row r="706" spans="2:8" ht="18" x14ac:dyDescent="0.25">
      <c r="B706" s="85"/>
      <c r="C706" s="85"/>
      <c r="D706" s="85"/>
      <c r="E706" s="85" t="s">
        <v>81</v>
      </c>
      <c r="F706" s="106" t="e">
        <f>+F690</f>
        <v>#REF!</v>
      </c>
      <c r="G706" s="85"/>
      <c r="H706" s="90"/>
    </row>
    <row r="707" spans="2:8" ht="18" x14ac:dyDescent="0.25">
      <c r="B707" s="96"/>
      <c r="C707" s="96"/>
      <c r="D707" s="96"/>
      <c r="E707" s="85" t="s">
        <v>82</v>
      </c>
      <c r="F707" s="106" t="e">
        <f>+F691</f>
        <v>#REF!</v>
      </c>
      <c r="G707" s="85"/>
      <c r="H707" s="90"/>
    </row>
    <row r="708" spans="2:8" ht="18" x14ac:dyDescent="0.25">
      <c r="B708" s="99">
        <f>+$G$30</f>
        <v>46188</v>
      </c>
      <c r="C708" s="105" t="e">
        <f>+F692</f>
        <v>#REF!</v>
      </c>
      <c r="D708" s="85"/>
      <c r="E708" s="85" t="s">
        <v>188</v>
      </c>
      <c r="F708" s="166" t="e">
        <f>+F689</f>
        <v>#REF!</v>
      </c>
      <c r="G708" s="85"/>
      <c r="H708" s="90"/>
    </row>
    <row r="709" spans="2:8" ht="18" x14ac:dyDescent="0.25">
      <c r="B709" s="85"/>
      <c r="C709" s="85"/>
      <c r="D709" s="85"/>
      <c r="E709" s="85" t="s">
        <v>83</v>
      </c>
      <c r="F709" s="106" t="e">
        <f>+F692</f>
        <v>#REF!</v>
      </c>
      <c r="G709" s="85"/>
      <c r="H709" s="90"/>
    </row>
    <row r="710" spans="2:8" ht="18" x14ac:dyDescent="0.25">
      <c r="B710" s="85"/>
      <c r="C710" s="85"/>
      <c r="D710" s="85"/>
      <c r="E710" s="85"/>
      <c r="F710" s="85"/>
      <c r="G710" s="85"/>
      <c r="H710" s="90"/>
    </row>
    <row r="711" spans="2:8" ht="18" x14ac:dyDescent="0.25">
      <c r="B711" s="85"/>
      <c r="C711" s="85"/>
      <c r="D711" s="85"/>
      <c r="E711" s="102"/>
      <c r="F711" s="85"/>
      <c r="G711" s="85"/>
      <c r="H711" s="90"/>
    </row>
    <row r="712" spans="2:8" ht="18" x14ac:dyDescent="0.25">
      <c r="B712" s="85"/>
      <c r="C712" s="85"/>
      <c r="D712" s="85"/>
      <c r="E712" s="85"/>
      <c r="F712" s="85"/>
      <c r="G712" s="85"/>
      <c r="H712" s="94"/>
    </row>
    <row r="713" spans="2:8" ht="12" customHeight="1" x14ac:dyDescent="0.25">
      <c r="E713" s="85"/>
      <c r="G713" s="94"/>
      <c r="H713" s="90"/>
    </row>
    <row r="715" spans="2:8" ht="18" x14ac:dyDescent="0.25">
      <c r="B715" s="343"/>
      <c r="C715" s="343"/>
      <c r="D715" s="343"/>
      <c r="E715" s="342">
        <f>+$B$1</f>
        <v>46143</v>
      </c>
      <c r="F715" s="85"/>
      <c r="G715" s="337">
        <f>+$D$1</f>
        <v>46188</v>
      </c>
      <c r="H715" s="90"/>
    </row>
    <row r="716" spans="2:8" ht="18" x14ac:dyDescent="0.25">
      <c r="B716" s="84"/>
      <c r="C716" s="84"/>
      <c r="D716" s="100"/>
      <c r="E716" s="342"/>
      <c r="F716" s="85"/>
      <c r="G716" s="337"/>
      <c r="H716" s="90"/>
    </row>
    <row r="717" spans="2:8" ht="21.75" customHeight="1" x14ac:dyDescent="0.25">
      <c r="B717" s="85"/>
      <c r="C717" s="85"/>
      <c r="D717" s="85"/>
      <c r="E717" s="86"/>
      <c r="F717" s="85"/>
      <c r="G717" s="86"/>
      <c r="H717" s="90"/>
    </row>
    <row r="718" spans="2:8" ht="27" customHeight="1" x14ac:dyDescent="0.25">
      <c r="B718" s="85" t="e">
        <f>+B20</f>
        <v>#REF!</v>
      </c>
      <c r="C718" s="85"/>
      <c r="D718" s="85"/>
      <c r="E718" s="86"/>
      <c r="F718" s="85"/>
      <c r="G718" s="86"/>
      <c r="H718" s="90"/>
    </row>
    <row r="719" spans="2:8" ht="21" customHeight="1" x14ac:dyDescent="0.25">
      <c r="B719" s="86"/>
      <c r="C719" s="85"/>
      <c r="D719" s="85"/>
      <c r="E719" s="85" t="str">
        <f>+E34</f>
        <v>Lima 461 C:A:B:A:</v>
      </c>
      <c r="F719" s="85"/>
      <c r="G719" s="85"/>
      <c r="H719" s="90" t="s">
        <v>102</v>
      </c>
    </row>
    <row r="720" spans="2:8" ht="18" x14ac:dyDescent="0.25">
      <c r="B720" s="85"/>
      <c r="C720" s="85"/>
      <c r="D720" s="85"/>
      <c r="E720" s="86"/>
      <c r="F720" s="86"/>
      <c r="G720" s="85"/>
      <c r="H720" s="90" t="e">
        <f>+'RES CUENTA'!#REF!</f>
        <v>#REF!</v>
      </c>
    </row>
    <row r="721" spans="2:8" ht="18" x14ac:dyDescent="0.25">
      <c r="B721" s="94"/>
      <c r="C721" s="85"/>
      <c r="D721" s="94"/>
      <c r="E721" s="85"/>
      <c r="F721" s="85"/>
      <c r="G721" s="85"/>
      <c r="H721" s="90"/>
    </row>
    <row r="722" spans="2:8" ht="18" x14ac:dyDescent="0.25">
      <c r="B722" s="94"/>
      <c r="C722" s="85"/>
      <c r="D722" s="94"/>
      <c r="E722" s="85"/>
      <c r="F722" s="85"/>
      <c r="G722" s="85"/>
      <c r="H722" s="90"/>
    </row>
    <row r="723" spans="2:8" ht="18" x14ac:dyDescent="0.25">
      <c r="B723" s="85" t="s">
        <v>198</v>
      </c>
      <c r="C723" s="85"/>
      <c r="D723" s="107">
        <f>+'RES CUENTA'!$L$25</f>
        <v>10859801.41</v>
      </c>
      <c r="E723" s="108" t="e">
        <f>+'RES CUENTA'!#REF!</f>
        <v>#REF!</v>
      </c>
      <c r="F723" s="103" t="e">
        <f>+D723*E723/100</f>
        <v>#REF!</v>
      </c>
      <c r="G723" s="345"/>
      <c r="H723" s="345"/>
    </row>
    <row r="724" spans="2:8" ht="18" x14ac:dyDescent="0.25">
      <c r="B724" s="85" t="s">
        <v>199</v>
      </c>
      <c r="C724" s="85"/>
      <c r="D724" s="107" t="e">
        <f>+'RES CUENTA'!#REF!</f>
        <v>#REF!</v>
      </c>
      <c r="E724" s="108" t="e">
        <f>+'RES CUENTA'!#REF!</f>
        <v>#REF!</v>
      </c>
      <c r="F724" s="103" t="e">
        <f>+D724*E724/100</f>
        <v>#REF!</v>
      </c>
      <c r="G724" s="341"/>
      <c r="H724" s="341"/>
    </row>
    <row r="725" spans="2:8" ht="18" x14ac:dyDescent="0.25">
      <c r="B725" s="85" t="s">
        <v>202</v>
      </c>
      <c r="C725" s="85"/>
      <c r="D725" s="107" t="e">
        <f>+'RES CUENTA'!#REF!</f>
        <v>#REF!</v>
      </c>
      <c r="E725" s="108">
        <v>0</v>
      </c>
      <c r="F725" s="103" t="e">
        <f>+D725</f>
        <v>#REF!</v>
      </c>
      <c r="G725" s="341"/>
      <c r="H725" s="341"/>
    </row>
    <row r="726" spans="2:8" ht="18" x14ac:dyDescent="0.25">
      <c r="B726" s="85" t="s">
        <v>79</v>
      </c>
      <c r="C726" s="85"/>
      <c r="D726" s="107" t="e">
        <f>+'RES CUENTA'!#REF!</f>
        <v>#REF!</v>
      </c>
      <c r="E726" s="108">
        <v>0</v>
      </c>
      <c r="F726" s="103" t="e">
        <f>+D726</f>
        <v>#REF!</v>
      </c>
      <c r="G726" s="341"/>
      <c r="H726" s="341"/>
    </row>
    <row r="727" spans="2:8" ht="18" x14ac:dyDescent="0.25">
      <c r="B727" s="85" t="s">
        <v>80</v>
      </c>
      <c r="C727" s="85"/>
      <c r="D727" s="107" t="e">
        <f>+'RES CUENTA'!#REF!</f>
        <v>#REF!</v>
      </c>
      <c r="E727" s="108">
        <v>0</v>
      </c>
      <c r="F727" s="165" t="e">
        <f>+D727</f>
        <v>#REF!</v>
      </c>
      <c r="G727" s="341"/>
      <c r="H727" s="341"/>
    </row>
    <row r="728" spans="2:8" ht="18" x14ac:dyDescent="0.25">
      <c r="B728" s="86"/>
      <c r="C728" s="85"/>
      <c r="D728" s="85"/>
      <c r="E728" s="92"/>
      <c r="F728" s="104" t="e">
        <f>SUM(F723:F727)</f>
        <v>#REF!</v>
      </c>
      <c r="G728" s="89"/>
      <c r="H728" s="89"/>
    </row>
    <row r="729" spans="2:8" ht="18" x14ac:dyDescent="0.25">
      <c r="B729" s="86"/>
      <c r="C729" s="85"/>
      <c r="D729" s="85"/>
      <c r="E729" s="85"/>
      <c r="G729" s="338"/>
      <c r="H729" s="338"/>
    </row>
    <row r="730" spans="2:8" ht="18" x14ac:dyDescent="0.25">
      <c r="B730" s="85"/>
      <c r="C730" s="85"/>
      <c r="D730" s="85"/>
      <c r="E730" s="85"/>
      <c r="F730" s="91"/>
      <c r="G730" s="90"/>
      <c r="H730" s="90"/>
    </row>
    <row r="731" spans="2:8" ht="18" x14ac:dyDescent="0.25">
      <c r="B731" s="85"/>
      <c r="C731" s="85"/>
      <c r="D731" s="85"/>
      <c r="E731" s="85"/>
      <c r="F731" s="92"/>
      <c r="G731" s="85"/>
      <c r="H731" s="90"/>
    </row>
    <row r="732" spans="2:8" ht="24" customHeight="1" x14ac:dyDescent="0.25">
      <c r="B732" s="85"/>
      <c r="C732" s="85"/>
      <c r="D732" s="85"/>
      <c r="E732" s="85"/>
      <c r="F732" s="92"/>
      <c r="G732" s="85"/>
      <c r="H732" s="90"/>
    </row>
    <row r="733" spans="2:8" ht="18" x14ac:dyDescent="0.25">
      <c r="B733" s="85" t="e">
        <f>+B718</f>
        <v>#REF!</v>
      </c>
      <c r="C733" s="344"/>
      <c r="D733" s="344"/>
      <c r="E733" s="85" t="e">
        <f>+B733</f>
        <v>#REF!</v>
      </c>
      <c r="F733" s="92"/>
      <c r="G733" s="85"/>
      <c r="H733" s="90"/>
    </row>
    <row r="734" spans="2:8" ht="18" x14ac:dyDescent="0.25">
      <c r="C734" s="85"/>
      <c r="D734" s="85"/>
      <c r="F734" s="344"/>
      <c r="G734" s="344"/>
      <c r="H734" s="344"/>
    </row>
    <row r="735" spans="2:8" ht="18" x14ac:dyDescent="0.25">
      <c r="B735" s="85" t="str">
        <f>+E1</f>
        <v>Lima 461 C:A:B:A:</v>
      </c>
      <c r="C735" s="85"/>
      <c r="D735" s="93" t="str">
        <f>+H719</f>
        <v>Unid. 19</v>
      </c>
      <c r="E735" s="85" t="str">
        <f>+E719</f>
        <v>Lima 461 C:A:B:A:</v>
      </c>
      <c r="F735" s="85"/>
      <c r="G735" s="85"/>
      <c r="H735" s="90" t="str">
        <f>+D735</f>
        <v>Unid. 19</v>
      </c>
    </row>
    <row r="736" spans="2:8" ht="18" x14ac:dyDescent="0.25">
      <c r="D736" s="93" t="e">
        <f>+H736</f>
        <v>#REF!</v>
      </c>
      <c r="H736" s="90" t="e">
        <f>+H720</f>
        <v>#REF!</v>
      </c>
    </row>
    <row r="737" spans="2:8" ht="18" x14ac:dyDescent="0.25">
      <c r="B737" s="86"/>
      <c r="C737" s="86"/>
      <c r="D737" s="86"/>
      <c r="E737" s="86"/>
      <c r="F737" s="85"/>
      <c r="G737" s="85"/>
    </row>
    <row r="738" spans="2:8" ht="18" x14ac:dyDescent="0.25">
      <c r="B738" s="85"/>
      <c r="C738" s="85"/>
      <c r="D738" s="85"/>
      <c r="E738" s="85"/>
      <c r="F738" s="85"/>
      <c r="G738" s="86"/>
      <c r="H738" s="94"/>
    </row>
    <row r="739" spans="2:8" ht="14.25" customHeight="1" x14ac:dyDescent="0.25">
      <c r="B739" s="85"/>
      <c r="C739" s="85"/>
      <c r="D739" s="85"/>
      <c r="E739" s="96"/>
      <c r="F739" s="85"/>
      <c r="G739" s="94"/>
      <c r="H739" s="90"/>
    </row>
    <row r="740" spans="2:8" ht="18" x14ac:dyDescent="0.25">
      <c r="C740" s="85"/>
      <c r="D740" s="85"/>
      <c r="E740" s="85" t="s">
        <v>200</v>
      </c>
      <c r="F740" s="106" t="e">
        <f>+F723</f>
        <v>#REF!</v>
      </c>
      <c r="H740" s="99">
        <f>+B745</f>
        <v>46188</v>
      </c>
    </row>
    <row r="741" spans="2:8" ht="18" x14ac:dyDescent="0.25">
      <c r="B741" s="86"/>
      <c r="C741" s="85"/>
      <c r="D741" s="85"/>
      <c r="E741" s="85" t="s">
        <v>201</v>
      </c>
      <c r="F741" s="106" t="e">
        <f>+F724</f>
        <v>#REF!</v>
      </c>
    </row>
    <row r="742" spans="2:8" ht="18" x14ac:dyDescent="0.25">
      <c r="B742" s="86"/>
      <c r="C742" s="85"/>
      <c r="D742" s="85"/>
      <c r="E742" s="85" t="s">
        <v>81</v>
      </c>
      <c r="F742" s="106" t="e">
        <f>+F726</f>
        <v>#REF!</v>
      </c>
      <c r="G742" s="85"/>
      <c r="H742" s="90"/>
    </row>
    <row r="743" spans="2:8" ht="18" x14ac:dyDescent="0.25">
      <c r="B743" s="85"/>
      <c r="C743" s="85"/>
      <c r="D743" s="85"/>
      <c r="E743" s="85" t="s">
        <v>82</v>
      </c>
      <c r="F743" s="106" t="e">
        <f>+F727</f>
        <v>#REF!</v>
      </c>
      <c r="G743" s="85"/>
      <c r="H743" s="90"/>
    </row>
    <row r="744" spans="2:8" ht="18" x14ac:dyDescent="0.25">
      <c r="B744" s="96"/>
      <c r="C744" s="96"/>
      <c r="D744" s="96"/>
      <c r="E744" s="85" t="s">
        <v>188</v>
      </c>
      <c r="F744" s="166" t="e">
        <f>+F725</f>
        <v>#REF!</v>
      </c>
      <c r="G744" s="85"/>
      <c r="H744" s="90"/>
    </row>
    <row r="745" spans="2:8" ht="18" x14ac:dyDescent="0.25">
      <c r="B745" s="99">
        <f>+$G$30</f>
        <v>46188</v>
      </c>
      <c r="C745" s="105" t="e">
        <f>+F728</f>
        <v>#REF!</v>
      </c>
      <c r="D745" s="85"/>
      <c r="E745" s="85" t="s">
        <v>83</v>
      </c>
      <c r="F745" s="106" t="e">
        <f>+F728</f>
        <v>#REF!</v>
      </c>
      <c r="G745" s="85"/>
      <c r="H745" s="90"/>
    </row>
    <row r="746" spans="2:8" ht="18" x14ac:dyDescent="0.25">
      <c r="B746" s="85"/>
      <c r="C746" s="85"/>
      <c r="D746" s="85"/>
      <c r="E746" s="102"/>
      <c r="F746" s="85"/>
      <c r="G746" s="85"/>
      <c r="H746" s="90"/>
    </row>
    <row r="747" spans="2:8" ht="18" x14ac:dyDescent="0.25">
      <c r="B747" s="85"/>
      <c r="C747" s="85"/>
      <c r="D747" s="85"/>
      <c r="F747" s="85"/>
      <c r="G747" s="85"/>
      <c r="H747" s="90"/>
    </row>
    <row r="748" spans="2:8" ht="18" x14ac:dyDescent="0.25">
      <c r="B748" s="85"/>
      <c r="C748" s="85"/>
      <c r="D748" s="85"/>
      <c r="E748" s="85"/>
      <c r="F748" s="85"/>
      <c r="G748" s="85"/>
      <c r="H748" s="90"/>
    </row>
    <row r="749" spans="2:8" ht="18" x14ac:dyDescent="0.25">
      <c r="B749" s="85"/>
      <c r="C749" s="85"/>
      <c r="D749" s="85"/>
      <c r="E749" s="85"/>
      <c r="F749" s="85"/>
      <c r="G749" s="345"/>
      <c r="H749" s="345"/>
    </row>
    <row r="750" spans="2:8" ht="18" x14ac:dyDescent="0.25">
      <c r="B750" s="85"/>
      <c r="C750" s="85"/>
      <c r="D750" s="85"/>
      <c r="E750" s="85"/>
      <c r="F750" s="85"/>
      <c r="G750" s="85"/>
      <c r="H750" s="90"/>
    </row>
    <row r="751" spans="2:8" ht="18" x14ac:dyDescent="0.25">
      <c r="B751" s="85"/>
      <c r="C751" s="85"/>
      <c r="D751" s="85"/>
      <c r="E751" s="85"/>
      <c r="F751" s="85"/>
      <c r="G751" s="85"/>
      <c r="H751" s="90"/>
    </row>
    <row r="752" spans="2:8" ht="18" x14ac:dyDescent="0.25">
      <c r="B752" s="85"/>
      <c r="C752" s="85"/>
      <c r="D752" s="85"/>
      <c r="E752" s="85"/>
      <c r="F752" s="85"/>
      <c r="H752" s="90"/>
    </row>
    <row r="753" spans="2:8" ht="18" x14ac:dyDescent="0.25">
      <c r="B753" s="343"/>
      <c r="C753" s="343"/>
      <c r="D753" s="343"/>
      <c r="E753" s="85"/>
      <c r="F753" s="85"/>
      <c r="H753" s="90"/>
    </row>
    <row r="754" spans="2:8" ht="18" x14ac:dyDescent="0.25">
      <c r="B754" s="343"/>
      <c r="C754" s="343"/>
      <c r="D754" s="343"/>
      <c r="E754" s="98">
        <f>+$B$1</f>
        <v>46143</v>
      </c>
      <c r="F754" s="85"/>
      <c r="G754" s="99">
        <f>+$D$1</f>
        <v>46188</v>
      </c>
      <c r="H754" s="160"/>
    </row>
    <row r="755" spans="2:8" ht="24" customHeight="1" x14ac:dyDescent="0.25">
      <c r="B755" s="84"/>
      <c r="C755" s="84"/>
      <c r="D755" s="100"/>
      <c r="E755" s="98"/>
      <c r="F755" s="85"/>
    </row>
    <row r="756" spans="2:8" ht="18" x14ac:dyDescent="0.25">
      <c r="B756" s="85" t="e">
        <f>+B21</f>
        <v>#REF!</v>
      </c>
      <c r="C756" s="85"/>
      <c r="D756" s="85"/>
      <c r="F756" s="85"/>
    </row>
    <row r="757" spans="2:8" ht="15.75" customHeight="1" x14ac:dyDescent="0.25">
      <c r="C757" s="85"/>
      <c r="D757" s="85"/>
      <c r="E757" s="85" t="str">
        <f>+$E$1</f>
        <v>Lima 461 C:A:B:A:</v>
      </c>
      <c r="F757" s="85"/>
      <c r="H757" s="90" t="s">
        <v>103</v>
      </c>
    </row>
    <row r="758" spans="2:8" ht="18" x14ac:dyDescent="0.25">
      <c r="B758" s="86"/>
      <c r="C758" s="85"/>
      <c r="D758" s="85"/>
      <c r="F758" s="85"/>
      <c r="G758" s="86"/>
      <c r="H758" s="90" t="e">
        <f>+'RES CUENTA'!#REF!</f>
        <v>#REF!</v>
      </c>
    </row>
    <row r="759" spans="2:8" ht="18" x14ac:dyDescent="0.25">
      <c r="B759" s="85"/>
      <c r="C759" s="85"/>
      <c r="D759" s="85"/>
      <c r="E759" s="86"/>
      <c r="F759" s="86"/>
      <c r="G759" s="85"/>
      <c r="H759" s="94"/>
    </row>
    <row r="760" spans="2:8" ht="18" x14ac:dyDescent="0.25">
      <c r="B760" s="94"/>
      <c r="C760" s="85"/>
      <c r="D760" s="94"/>
      <c r="E760" s="85"/>
      <c r="F760" s="85"/>
      <c r="G760" s="85"/>
      <c r="H760" s="90"/>
    </row>
    <row r="761" spans="2:8" ht="18" x14ac:dyDescent="0.25">
      <c r="B761" s="85" t="s">
        <v>198</v>
      </c>
      <c r="C761" s="85"/>
      <c r="D761" s="107">
        <f>+'RES CUENTA'!$L$25</f>
        <v>10859801.41</v>
      </c>
      <c r="E761" s="108" t="e">
        <f>+'RES CUENTA'!#REF!</f>
        <v>#REF!</v>
      </c>
      <c r="F761" s="103" t="e">
        <f>+D761*E761/100</f>
        <v>#REF!</v>
      </c>
      <c r="G761" s="85"/>
      <c r="H761" s="94"/>
    </row>
    <row r="762" spans="2:8" ht="18" x14ac:dyDescent="0.25">
      <c r="B762" s="85" t="s">
        <v>199</v>
      </c>
      <c r="C762" s="85"/>
      <c r="D762" s="107" t="e">
        <f>+'RES CUENTA'!#REF!</f>
        <v>#REF!</v>
      </c>
      <c r="E762" s="108" t="e">
        <f>+'RES CUENTA'!#REF!</f>
        <v>#REF!</v>
      </c>
      <c r="F762" s="103" t="e">
        <f>+D762*E762/100</f>
        <v>#REF!</v>
      </c>
      <c r="G762" s="94"/>
      <c r="H762" s="89"/>
    </row>
    <row r="763" spans="2:8" ht="18" x14ac:dyDescent="0.25">
      <c r="B763" s="85" t="s">
        <v>202</v>
      </c>
      <c r="C763" s="85"/>
      <c r="D763" s="107">
        <v>0</v>
      </c>
      <c r="E763" s="108">
        <v>0</v>
      </c>
      <c r="F763" s="103" t="e">
        <f>+'RES CUENTA'!#REF!</f>
        <v>#REF!</v>
      </c>
      <c r="G763" s="94"/>
      <c r="H763" s="89"/>
    </row>
    <row r="764" spans="2:8" ht="18" x14ac:dyDescent="0.25">
      <c r="B764" s="85" t="s">
        <v>79</v>
      </c>
      <c r="C764" s="85"/>
      <c r="D764" s="107" t="e">
        <f>+'RES CUENTA'!#REF!</f>
        <v>#REF!</v>
      </c>
      <c r="E764" s="108">
        <v>0</v>
      </c>
      <c r="F764" s="103" t="e">
        <f>+D764</f>
        <v>#REF!</v>
      </c>
      <c r="G764" s="89"/>
      <c r="H764" s="89"/>
    </row>
    <row r="765" spans="2:8" ht="18" x14ac:dyDescent="0.25">
      <c r="B765" s="85" t="s">
        <v>80</v>
      </c>
      <c r="C765" s="85"/>
      <c r="D765" s="107" t="e">
        <f>+'RES CUENTA'!#REF!</f>
        <v>#REF!</v>
      </c>
      <c r="E765" s="108">
        <v>0</v>
      </c>
      <c r="F765" s="165" t="e">
        <f>+D765</f>
        <v>#REF!</v>
      </c>
      <c r="G765" s="89"/>
      <c r="H765" s="89"/>
    </row>
    <row r="766" spans="2:8" ht="18" x14ac:dyDescent="0.25">
      <c r="B766" s="86"/>
      <c r="C766" s="85"/>
      <c r="D766" s="85"/>
      <c r="F766" s="104" t="e">
        <f>SUM(F761:F765)</f>
        <v>#REF!</v>
      </c>
      <c r="G766" s="89"/>
      <c r="H766" s="89"/>
    </row>
    <row r="767" spans="2:8" ht="18" x14ac:dyDescent="0.25">
      <c r="B767" s="86"/>
      <c r="C767" s="85"/>
      <c r="D767" s="85"/>
      <c r="F767" s="91"/>
      <c r="G767" s="89"/>
      <c r="H767" s="90"/>
    </row>
    <row r="768" spans="2:8" ht="18" x14ac:dyDescent="0.25">
      <c r="B768" s="85"/>
      <c r="C768" s="85"/>
      <c r="D768" s="85"/>
      <c r="E768" s="85"/>
      <c r="F768" s="92"/>
      <c r="G768" s="90"/>
      <c r="H768" s="90"/>
    </row>
    <row r="769" spans="2:8" ht="18" x14ac:dyDescent="0.25">
      <c r="B769" s="85"/>
      <c r="C769" s="85"/>
      <c r="D769" s="85"/>
      <c r="E769" s="85"/>
      <c r="F769" s="92"/>
      <c r="G769" s="90"/>
      <c r="H769" s="90"/>
    </row>
    <row r="770" spans="2:8" ht="15" customHeight="1" x14ac:dyDescent="0.25">
      <c r="B770" s="85"/>
      <c r="C770" s="85"/>
      <c r="D770" s="85"/>
      <c r="E770" s="85"/>
      <c r="F770" s="92"/>
      <c r="G770" s="90"/>
      <c r="H770" s="90"/>
    </row>
    <row r="771" spans="2:8" ht="18" x14ac:dyDescent="0.25">
      <c r="B771" s="85" t="e">
        <f>+B756</f>
        <v>#REF!</v>
      </c>
      <c r="C771" s="85"/>
      <c r="D771" s="85"/>
      <c r="E771" s="85" t="e">
        <f>+B756</f>
        <v>#REF!</v>
      </c>
      <c r="F771" s="85"/>
      <c r="G771" s="85"/>
      <c r="H771" s="94"/>
    </row>
    <row r="772" spans="2:8" ht="18" x14ac:dyDescent="0.25">
      <c r="B772" s="86"/>
      <c r="C772" s="85"/>
      <c r="D772" s="85"/>
      <c r="F772" s="85"/>
      <c r="G772" s="101"/>
      <c r="H772" s="90" t="str">
        <f>+H757</f>
        <v>Unid. 20</v>
      </c>
    </row>
    <row r="773" spans="2:8" ht="18" x14ac:dyDescent="0.25">
      <c r="B773" s="85" t="str">
        <f>+E1</f>
        <v>Lima 461 C:A:B:A:</v>
      </c>
      <c r="C773" s="85"/>
      <c r="D773" s="90" t="str">
        <f>+H772</f>
        <v>Unid. 20</v>
      </c>
      <c r="E773" s="85" t="str">
        <f>+$E$1</f>
        <v>Lima 461 C:A:B:A:</v>
      </c>
      <c r="F773" s="85"/>
      <c r="G773" s="85"/>
      <c r="H773" s="90" t="e">
        <f>+H758</f>
        <v>#REF!</v>
      </c>
    </row>
    <row r="774" spans="2:8" ht="18" x14ac:dyDescent="0.25">
      <c r="B774" s="86"/>
      <c r="C774" s="86"/>
      <c r="D774" s="90" t="e">
        <f>+H773</f>
        <v>#REF!</v>
      </c>
      <c r="F774" s="85"/>
      <c r="G774" s="85"/>
    </row>
    <row r="775" spans="2:8" ht="18" x14ac:dyDescent="0.25">
      <c r="B775" s="85"/>
      <c r="C775" s="85"/>
      <c r="D775" s="85"/>
      <c r="E775" s="86"/>
      <c r="F775" s="85"/>
      <c r="G775" s="85"/>
      <c r="H775" s="94"/>
    </row>
    <row r="776" spans="2:8" ht="8.25" customHeight="1" x14ac:dyDescent="0.25">
      <c r="B776" s="85"/>
      <c r="C776" s="85"/>
      <c r="D776" s="85"/>
      <c r="E776" s="85"/>
      <c r="F776" s="96"/>
      <c r="G776" s="86"/>
      <c r="H776" s="90"/>
    </row>
    <row r="777" spans="2:8" ht="18" x14ac:dyDescent="0.25">
      <c r="B777" s="85"/>
      <c r="C777" s="85"/>
      <c r="D777" s="85"/>
      <c r="E777" s="96"/>
      <c r="G777" s="94"/>
      <c r="H777" s="96"/>
    </row>
    <row r="778" spans="2:8" ht="18" x14ac:dyDescent="0.25">
      <c r="B778" s="86"/>
      <c r="C778" s="85"/>
      <c r="D778" s="85"/>
      <c r="E778" s="85" t="s">
        <v>200</v>
      </c>
      <c r="F778" s="106" t="e">
        <f>+F761</f>
        <v>#REF!</v>
      </c>
      <c r="G778" s="95"/>
      <c r="H778" s="99">
        <f>+B782</f>
        <v>46188</v>
      </c>
    </row>
    <row r="779" spans="2:8" ht="18" x14ac:dyDescent="0.25">
      <c r="B779" s="86"/>
      <c r="C779" s="85"/>
      <c r="D779" s="85"/>
      <c r="E779" s="85" t="s">
        <v>201</v>
      </c>
      <c r="F779" s="106" t="e">
        <f>+F762</f>
        <v>#REF!</v>
      </c>
      <c r="H779" s="90"/>
    </row>
    <row r="780" spans="2:8" ht="18" x14ac:dyDescent="0.25">
      <c r="B780" s="85"/>
      <c r="C780" s="85"/>
      <c r="D780" s="85"/>
      <c r="E780" s="85" t="s">
        <v>81</v>
      </c>
      <c r="F780" s="106" t="e">
        <f>+F764</f>
        <v>#REF!</v>
      </c>
      <c r="G780" s="85"/>
      <c r="H780" s="90"/>
    </row>
    <row r="781" spans="2:8" ht="18" x14ac:dyDescent="0.25">
      <c r="B781" s="96"/>
      <c r="C781" s="96"/>
      <c r="D781" s="96"/>
      <c r="E781" s="85" t="s">
        <v>82</v>
      </c>
      <c r="F781" s="106" t="e">
        <f>+F765</f>
        <v>#REF!</v>
      </c>
      <c r="G781" s="85"/>
      <c r="H781" s="90"/>
    </row>
    <row r="782" spans="2:8" ht="18" x14ac:dyDescent="0.25">
      <c r="B782" s="99">
        <f>+$G$30</f>
        <v>46188</v>
      </c>
      <c r="C782" s="105" t="e">
        <f>+F766</f>
        <v>#REF!</v>
      </c>
      <c r="D782" s="85"/>
      <c r="E782" s="85" t="s">
        <v>188</v>
      </c>
      <c r="F782" s="166" t="e">
        <f>+F763</f>
        <v>#REF!</v>
      </c>
      <c r="G782" s="85"/>
      <c r="H782" s="90"/>
    </row>
    <row r="783" spans="2:8" ht="18" x14ac:dyDescent="0.25">
      <c r="B783" s="85"/>
      <c r="C783" s="85"/>
      <c r="D783" s="85"/>
      <c r="E783" s="85" t="s">
        <v>83</v>
      </c>
      <c r="F783" s="106" t="e">
        <f>+F766</f>
        <v>#REF!</v>
      </c>
      <c r="G783" s="85"/>
      <c r="H783" s="90"/>
    </row>
    <row r="784" spans="2:8" ht="18" x14ac:dyDescent="0.25">
      <c r="B784" s="85"/>
      <c r="C784" s="85"/>
      <c r="D784" s="85"/>
      <c r="E784" s="85"/>
      <c r="F784" s="85"/>
      <c r="G784" s="85"/>
      <c r="H784" s="90"/>
    </row>
    <row r="785" spans="2:8" ht="18" x14ac:dyDescent="0.25">
      <c r="B785" s="85"/>
      <c r="C785" s="85"/>
      <c r="D785" s="85"/>
      <c r="E785" s="102"/>
      <c r="F785" s="85"/>
      <c r="G785" s="85"/>
      <c r="H785" s="90"/>
    </row>
    <row r="786" spans="2:8" ht="12" customHeight="1" x14ac:dyDescent="0.25">
      <c r="B786" s="85"/>
      <c r="C786" s="85"/>
      <c r="D786" s="85"/>
      <c r="E786" s="85"/>
      <c r="F786" s="85"/>
      <c r="G786" s="85"/>
      <c r="H786" s="94"/>
    </row>
    <row r="787" spans="2:8" ht="11.25" customHeight="1" x14ac:dyDescent="0.25">
      <c r="E787" s="85"/>
      <c r="G787" s="94"/>
      <c r="H787" s="90"/>
    </row>
    <row r="789" spans="2:8" ht="18" x14ac:dyDescent="0.25">
      <c r="B789" s="343"/>
      <c r="C789" s="343"/>
      <c r="D789" s="343"/>
      <c r="E789" s="342">
        <f>+$B$1</f>
        <v>46143</v>
      </c>
      <c r="F789" s="85"/>
      <c r="G789" s="337">
        <f>+$D$1</f>
        <v>46188</v>
      </c>
      <c r="H789" s="90"/>
    </row>
    <row r="790" spans="2:8" ht="18" x14ac:dyDescent="0.25">
      <c r="B790" s="84"/>
      <c r="C790" s="84"/>
      <c r="D790" s="100"/>
      <c r="E790" s="342"/>
      <c r="F790" s="85"/>
      <c r="G790" s="337"/>
      <c r="H790" s="90"/>
    </row>
    <row r="791" spans="2:8" ht="21.75" customHeight="1" x14ac:dyDescent="0.25">
      <c r="B791" s="85"/>
      <c r="C791" s="85"/>
      <c r="D791" s="85"/>
      <c r="E791" s="86"/>
      <c r="F791" s="85"/>
      <c r="G791" s="86"/>
      <c r="H791" s="90"/>
    </row>
    <row r="792" spans="2:8" ht="25.5" customHeight="1" x14ac:dyDescent="0.25">
      <c r="B792" s="85" t="e">
        <f>+B22</f>
        <v>#REF!</v>
      </c>
      <c r="C792" s="85"/>
      <c r="D792" s="85"/>
      <c r="E792" s="86"/>
      <c r="F792" s="85"/>
      <c r="G792" s="86"/>
      <c r="H792" s="90"/>
    </row>
    <row r="793" spans="2:8" ht="21" customHeight="1" x14ac:dyDescent="0.25">
      <c r="B793" s="86"/>
      <c r="C793" s="85"/>
      <c r="D793" s="85"/>
      <c r="E793" s="85" t="str">
        <f>+E34</f>
        <v>Lima 461 C:A:B:A:</v>
      </c>
      <c r="F793" s="85"/>
      <c r="G793" s="85"/>
      <c r="H793" s="90" t="s">
        <v>104</v>
      </c>
    </row>
    <row r="794" spans="2:8" ht="18" x14ac:dyDescent="0.25">
      <c r="B794" s="85"/>
      <c r="C794" s="85"/>
      <c r="D794" s="85"/>
      <c r="E794" s="86"/>
      <c r="F794" s="86"/>
      <c r="G794" s="85"/>
      <c r="H794" s="90" t="e">
        <f>+'RES CUENTA'!#REF!</f>
        <v>#REF!</v>
      </c>
    </row>
    <row r="795" spans="2:8" ht="18" x14ac:dyDescent="0.25">
      <c r="B795" s="94"/>
      <c r="C795" s="85"/>
      <c r="D795" s="94"/>
      <c r="E795" s="85"/>
      <c r="F795" s="85"/>
      <c r="G795" s="85"/>
      <c r="H795" s="90"/>
    </row>
    <row r="796" spans="2:8" ht="15" customHeight="1" x14ac:dyDescent="0.25">
      <c r="B796" s="94"/>
      <c r="C796" s="85"/>
      <c r="D796" s="94"/>
      <c r="E796" s="85"/>
      <c r="F796" s="85"/>
      <c r="G796" s="85"/>
      <c r="H796" s="90"/>
    </row>
    <row r="797" spans="2:8" ht="18" x14ac:dyDescent="0.25">
      <c r="B797" s="85" t="s">
        <v>198</v>
      </c>
      <c r="C797" s="85"/>
      <c r="D797" s="107">
        <f>+'RES CUENTA'!$L$25</f>
        <v>10859801.41</v>
      </c>
      <c r="E797" s="108" t="e">
        <f>+'RES CUENTA'!#REF!</f>
        <v>#REF!</v>
      </c>
      <c r="F797" s="103" t="e">
        <f>+D797*E797/100</f>
        <v>#REF!</v>
      </c>
      <c r="G797" s="345"/>
      <c r="H797" s="345"/>
    </row>
    <row r="798" spans="2:8" ht="18" x14ac:dyDescent="0.25">
      <c r="B798" s="85" t="s">
        <v>199</v>
      </c>
      <c r="C798" s="85"/>
      <c r="D798" s="107" t="e">
        <f>+'RES CUENTA'!#REF!</f>
        <v>#REF!</v>
      </c>
      <c r="E798" s="108" t="e">
        <f>+'RES CUENTA'!#REF!</f>
        <v>#REF!</v>
      </c>
      <c r="F798" s="103" t="e">
        <f>+D798*E798/100</f>
        <v>#REF!</v>
      </c>
      <c r="G798" s="341"/>
      <c r="H798" s="341"/>
    </row>
    <row r="799" spans="2:8" ht="18" x14ac:dyDescent="0.25">
      <c r="B799" s="85" t="s">
        <v>79</v>
      </c>
      <c r="C799" s="85"/>
      <c r="D799" s="107" t="e">
        <f>+'RES CUENTA'!#REF!</f>
        <v>#REF!</v>
      </c>
      <c r="E799" s="108">
        <v>0</v>
      </c>
      <c r="F799" s="103" t="e">
        <f>+D799</f>
        <v>#REF!</v>
      </c>
      <c r="G799" s="341"/>
      <c r="H799" s="341"/>
    </row>
    <row r="800" spans="2:8" ht="18" x14ac:dyDescent="0.25">
      <c r="B800" s="85" t="s">
        <v>80</v>
      </c>
      <c r="C800" s="85"/>
      <c r="D800" s="107" t="e">
        <f>+'RES CUENTA'!#REF!</f>
        <v>#REF!</v>
      </c>
      <c r="E800" s="108">
        <v>0</v>
      </c>
      <c r="F800" s="165" t="e">
        <f>+D800</f>
        <v>#REF!</v>
      </c>
      <c r="G800" s="341"/>
      <c r="H800" s="341"/>
    </row>
    <row r="801" spans="2:8" ht="18" x14ac:dyDescent="0.25">
      <c r="B801" s="86"/>
      <c r="C801" s="85"/>
      <c r="D801" s="85"/>
      <c r="E801" s="92"/>
      <c r="F801" s="104" t="e">
        <f>SUM(F797:F800)</f>
        <v>#REF!</v>
      </c>
      <c r="G801" s="341"/>
      <c r="H801" s="341"/>
    </row>
    <row r="802" spans="2:8" ht="18" x14ac:dyDescent="0.25">
      <c r="B802" s="86"/>
      <c r="C802" s="85"/>
      <c r="D802" s="85"/>
      <c r="E802" s="92"/>
      <c r="F802" s="104"/>
      <c r="G802" s="89"/>
      <c r="H802" s="89"/>
    </row>
    <row r="803" spans="2:8" ht="18" x14ac:dyDescent="0.25">
      <c r="B803" s="86"/>
      <c r="C803" s="85"/>
      <c r="D803" s="85"/>
      <c r="E803" s="85"/>
      <c r="G803" s="338"/>
      <c r="H803" s="338"/>
    </row>
    <row r="804" spans="2:8" ht="18" x14ac:dyDescent="0.25">
      <c r="B804" s="85"/>
      <c r="C804" s="85"/>
      <c r="D804" s="85"/>
      <c r="E804" s="85"/>
      <c r="F804" s="91"/>
      <c r="G804" s="90"/>
      <c r="H804" s="90"/>
    </row>
    <row r="805" spans="2:8" ht="18" x14ac:dyDescent="0.25">
      <c r="B805" s="85"/>
      <c r="C805" s="85"/>
      <c r="D805" s="85"/>
      <c r="E805" s="85"/>
      <c r="F805" s="92"/>
      <c r="G805" s="85"/>
      <c r="H805" s="90"/>
    </row>
    <row r="806" spans="2:8" ht="9.75" customHeight="1" x14ac:dyDescent="0.25">
      <c r="B806" s="85"/>
      <c r="C806" s="85"/>
      <c r="D806" s="85"/>
      <c r="E806" s="85"/>
      <c r="F806" s="92"/>
      <c r="G806" s="85"/>
      <c r="H806" s="90"/>
    </row>
    <row r="807" spans="2:8" ht="18" x14ac:dyDescent="0.25">
      <c r="B807" s="85"/>
      <c r="C807" s="85"/>
      <c r="D807" s="85"/>
      <c r="E807" s="85"/>
      <c r="F807" s="92"/>
      <c r="G807" s="85"/>
      <c r="H807" s="90"/>
    </row>
    <row r="808" spans="2:8" ht="18" x14ac:dyDescent="0.25">
      <c r="B808" s="85" t="e">
        <f>+B792</f>
        <v>#REF!</v>
      </c>
      <c r="C808" s="344"/>
      <c r="D808" s="344"/>
      <c r="E808" s="85" t="e">
        <f>+B808</f>
        <v>#REF!</v>
      </c>
      <c r="F808" s="92"/>
      <c r="G808" s="85"/>
      <c r="H808" s="90"/>
    </row>
    <row r="809" spans="2:8" ht="18" x14ac:dyDescent="0.25">
      <c r="C809" s="85"/>
      <c r="D809" s="85"/>
      <c r="F809" s="344"/>
      <c r="G809" s="344"/>
      <c r="H809" s="344"/>
    </row>
    <row r="810" spans="2:8" ht="18" x14ac:dyDescent="0.25">
      <c r="B810" s="85" t="str">
        <f>+E1</f>
        <v>Lima 461 C:A:B:A:</v>
      </c>
      <c r="C810" s="85"/>
      <c r="D810" s="90" t="str">
        <f>+H793</f>
        <v>Unid. 21</v>
      </c>
      <c r="E810" s="85" t="str">
        <f>+E1</f>
        <v>Lima 461 C:A:B:A:</v>
      </c>
      <c r="F810" s="85"/>
      <c r="G810" s="85"/>
      <c r="H810" s="90" t="str">
        <f>+D810</f>
        <v>Unid. 21</v>
      </c>
    </row>
    <row r="811" spans="2:8" ht="18" x14ac:dyDescent="0.25">
      <c r="D811" s="90" t="e">
        <f>+H811</f>
        <v>#REF!</v>
      </c>
      <c r="H811" s="90" t="e">
        <f>+H794</f>
        <v>#REF!</v>
      </c>
    </row>
    <row r="812" spans="2:8" ht="18" x14ac:dyDescent="0.25">
      <c r="B812" s="86"/>
      <c r="C812" s="86"/>
      <c r="D812" s="86"/>
      <c r="E812" s="86"/>
      <c r="F812" s="85"/>
      <c r="G812" s="85"/>
    </row>
    <row r="813" spans="2:8" ht="12.75" customHeight="1" x14ac:dyDescent="0.25">
      <c r="B813" s="85"/>
      <c r="C813" s="85"/>
      <c r="D813" s="85"/>
      <c r="E813" s="85"/>
      <c r="F813" s="85"/>
      <c r="G813" s="86"/>
      <c r="H813" s="94"/>
    </row>
    <row r="814" spans="2:8" ht="14.25" customHeight="1" x14ac:dyDescent="0.25">
      <c r="B814" s="85"/>
      <c r="C814" s="85"/>
      <c r="D814" s="85"/>
      <c r="E814" s="96"/>
      <c r="F814" s="85"/>
      <c r="G814" s="94"/>
      <c r="H814" s="90"/>
    </row>
    <row r="815" spans="2:8" ht="18" x14ac:dyDescent="0.25">
      <c r="C815" s="85"/>
      <c r="D815" s="85"/>
      <c r="E815" s="85" t="s">
        <v>200</v>
      </c>
      <c r="F815" s="106" t="e">
        <f>+F797</f>
        <v>#REF!</v>
      </c>
      <c r="H815" s="99">
        <f>+B820</f>
        <v>46188</v>
      </c>
    </row>
    <row r="816" spans="2:8" ht="18" x14ac:dyDescent="0.25">
      <c r="B816" s="86"/>
      <c r="C816" s="85"/>
      <c r="D816" s="85"/>
      <c r="E816" s="85" t="s">
        <v>201</v>
      </c>
      <c r="F816" s="106" t="e">
        <f>+F798</f>
        <v>#REF!</v>
      </c>
    </row>
    <row r="817" spans="2:8" ht="18" x14ac:dyDescent="0.25">
      <c r="B817" s="86"/>
      <c r="C817" s="85"/>
      <c r="D817" s="85"/>
      <c r="E817" s="85" t="s">
        <v>81</v>
      </c>
      <c r="F817" s="106" t="e">
        <f>+F799</f>
        <v>#REF!</v>
      </c>
      <c r="G817" s="85"/>
      <c r="H817" s="90"/>
    </row>
    <row r="818" spans="2:8" ht="18" x14ac:dyDescent="0.25">
      <c r="B818" s="85"/>
      <c r="C818" s="85"/>
      <c r="D818" s="85"/>
      <c r="E818" s="85" t="s">
        <v>82</v>
      </c>
      <c r="F818" s="106" t="e">
        <f>+F800</f>
        <v>#REF!</v>
      </c>
      <c r="G818" s="85"/>
      <c r="H818" s="90"/>
    </row>
    <row r="819" spans="2:8" ht="18" x14ac:dyDescent="0.25">
      <c r="B819" s="96"/>
      <c r="C819" s="96"/>
      <c r="D819" s="96"/>
      <c r="E819" s="85" t="s">
        <v>188</v>
      </c>
      <c r="F819" s="166">
        <v>0</v>
      </c>
      <c r="G819" s="85"/>
      <c r="H819" s="90"/>
    </row>
    <row r="820" spans="2:8" ht="18" x14ac:dyDescent="0.25">
      <c r="B820" s="99">
        <f>+$G$30</f>
        <v>46188</v>
      </c>
      <c r="C820" s="105" t="e">
        <f>+F801</f>
        <v>#REF!</v>
      </c>
      <c r="D820" s="85"/>
      <c r="E820" s="85" t="s">
        <v>83</v>
      </c>
      <c r="F820" s="106" t="e">
        <f>+F801</f>
        <v>#REF!</v>
      </c>
      <c r="G820" s="85"/>
      <c r="H820" s="90"/>
    </row>
    <row r="821" spans="2:8" ht="18" x14ac:dyDescent="0.25">
      <c r="B821" s="85"/>
      <c r="C821" s="85"/>
      <c r="D821" s="85"/>
      <c r="E821" s="102"/>
      <c r="F821" s="85"/>
      <c r="G821" s="85"/>
      <c r="H821" s="90"/>
    </row>
    <row r="822" spans="2:8" ht="18" x14ac:dyDescent="0.25">
      <c r="B822" s="85"/>
      <c r="C822" s="85"/>
      <c r="D822" s="85"/>
      <c r="F822" s="85"/>
      <c r="G822" s="85"/>
      <c r="H822" s="90"/>
    </row>
    <row r="823" spans="2:8" ht="18" x14ac:dyDescent="0.25">
      <c r="B823" s="85"/>
      <c r="C823" s="85"/>
      <c r="D823" s="85"/>
      <c r="E823" s="85"/>
      <c r="F823" s="85"/>
      <c r="G823" s="85"/>
      <c r="H823" s="90"/>
    </row>
    <row r="824" spans="2:8" ht="18" x14ac:dyDescent="0.25">
      <c r="B824" s="85"/>
      <c r="C824" s="85"/>
      <c r="D824" s="85"/>
      <c r="E824" s="85"/>
      <c r="F824" s="85"/>
      <c r="G824" s="345"/>
      <c r="H824" s="345"/>
    </row>
    <row r="825" spans="2:8" ht="18" x14ac:dyDescent="0.25">
      <c r="B825" s="85"/>
      <c r="C825" s="85"/>
      <c r="D825" s="85"/>
      <c r="E825" s="85"/>
      <c r="F825" s="85"/>
      <c r="G825" s="85"/>
      <c r="H825" s="90"/>
    </row>
    <row r="826" spans="2:8" ht="18" x14ac:dyDescent="0.25">
      <c r="B826" s="85"/>
      <c r="C826" s="85"/>
      <c r="D826" s="85"/>
      <c r="E826" s="85"/>
      <c r="F826" s="85"/>
      <c r="G826" s="85"/>
      <c r="H826" s="90"/>
    </row>
    <row r="827" spans="2:8" ht="21.75" customHeight="1" x14ac:dyDescent="0.25">
      <c r="B827" s="85"/>
      <c r="C827" s="85"/>
      <c r="D827" s="85"/>
      <c r="E827" s="85"/>
      <c r="F827" s="85"/>
      <c r="G827" s="85"/>
      <c r="H827" s="90"/>
    </row>
    <row r="828" spans="2:8" ht="18" x14ac:dyDescent="0.25">
      <c r="B828" s="85"/>
      <c r="C828" s="85"/>
      <c r="D828" s="85"/>
      <c r="E828" s="85"/>
      <c r="F828" s="85"/>
      <c r="G828" s="85"/>
      <c r="H828" s="90"/>
    </row>
    <row r="829" spans="2:8" ht="18" x14ac:dyDescent="0.25">
      <c r="B829" s="343"/>
      <c r="C829" s="343"/>
      <c r="D829" s="343"/>
      <c r="E829" s="98">
        <f>+$B$1</f>
        <v>46143</v>
      </c>
      <c r="F829" s="85"/>
      <c r="G829" s="99">
        <f>+$D$1</f>
        <v>46188</v>
      </c>
      <c r="H829" s="160"/>
    </row>
    <row r="830" spans="2:8" ht="18" x14ac:dyDescent="0.25">
      <c r="B830" s="84"/>
      <c r="C830" s="84"/>
      <c r="D830" s="100"/>
      <c r="E830" s="98"/>
      <c r="F830" s="85"/>
    </row>
    <row r="831" spans="2:8" ht="18" x14ac:dyDescent="0.25">
      <c r="B831" s="85" t="e">
        <f>+B23</f>
        <v>#REF!</v>
      </c>
      <c r="C831" s="85"/>
      <c r="D831" s="85"/>
      <c r="F831" s="85"/>
    </row>
    <row r="832" spans="2:8" ht="18" x14ac:dyDescent="0.25">
      <c r="C832" s="85"/>
      <c r="D832" s="85"/>
      <c r="E832" s="85" t="str">
        <f>+$E$1</f>
        <v>Lima 461 C:A:B:A:</v>
      </c>
      <c r="F832" s="85"/>
      <c r="H832" s="90" t="s">
        <v>105</v>
      </c>
    </row>
    <row r="833" spans="2:8" ht="18" x14ac:dyDescent="0.25">
      <c r="B833" s="86"/>
      <c r="C833" s="85"/>
      <c r="D833" s="85"/>
      <c r="F833" s="85"/>
      <c r="G833" s="86"/>
      <c r="H833" s="90" t="e">
        <f>+'RES CUENTA'!#REF!</f>
        <v>#REF!</v>
      </c>
    </row>
    <row r="834" spans="2:8" ht="18" x14ac:dyDescent="0.25">
      <c r="B834" s="85"/>
      <c r="C834" s="85"/>
      <c r="D834" s="85"/>
      <c r="E834" s="86"/>
      <c r="F834" s="86"/>
      <c r="G834" s="85"/>
      <c r="H834" s="94"/>
    </row>
    <row r="835" spans="2:8" ht="15" customHeight="1" x14ac:dyDescent="0.25">
      <c r="B835" s="94"/>
      <c r="C835" s="85"/>
      <c r="D835" s="94"/>
      <c r="E835" s="85"/>
      <c r="F835" s="85"/>
      <c r="G835" s="85"/>
      <c r="H835" s="90"/>
    </row>
    <row r="836" spans="2:8" ht="18" x14ac:dyDescent="0.25">
      <c r="B836" s="85" t="s">
        <v>198</v>
      </c>
      <c r="C836" s="85"/>
      <c r="D836" s="107">
        <f>+'RES CUENTA'!$L$25</f>
        <v>10859801.41</v>
      </c>
      <c r="E836" s="108" t="e">
        <f>+'RES CUENTA'!#REF!</f>
        <v>#REF!</v>
      </c>
      <c r="F836" s="103" t="e">
        <f>+D836*E836/100</f>
        <v>#REF!</v>
      </c>
      <c r="G836" s="85"/>
      <c r="H836" s="94"/>
    </row>
    <row r="837" spans="2:8" ht="18" x14ac:dyDescent="0.25">
      <c r="B837" s="85" t="s">
        <v>199</v>
      </c>
      <c r="C837" s="85"/>
      <c r="D837" s="107" t="e">
        <f>+'RES CUENTA'!#REF!</f>
        <v>#REF!</v>
      </c>
      <c r="E837" s="108" t="e">
        <f>+'RES CUENTA'!#REF!</f>
        <v>#REF!</v>
      </c>
      <c r="F837" s="103" t="e">
        <f>+D837*E837/100</f>
        <v>#REF!</v>
      </c>
      <c r="G837" s="94"/>
      <c r="H837" s="89"/>
    </row>
    <row r="838" spans="2:8" ht="18" x14ac:dyDescent="0.25">
      <c r="B838" s="85" t="s">
        <v>202</v>
      </c>
      <c r="C838" s="85"/>
      <c r="D838" s="107" t="e">
        <f>+'RES CUENTA'!#REF!</f>
        <v>#REF!</v>
      </c>
      <c r="E838" s="108">
        <v>0</v>
      </c>
      <c r="F838" s="103" t="e">
        <f>+D838</f>
        <v>#REF!</v>
      </c>
      <c r="G838" s="94"/>
      <c r="H838" s="89"/>
    </row>
    <row r="839" spans="2:8" ht="18" x14ac:dyDescent="0.25">
      <c r="B839" s="85" t="s">
        <v>79</v>
      </c>
      <c r="C839" s="85"/>
      <c r="D839" s="107" t="e">
        <f>+'RES CUENTA'!#REF!</f>
        <v>#REF!</v>
      </c>
      <c r="E839" s="108">
        <v>0</v>
      </c>
      <c r="F839" s="103" t="e">
        <f>+D839</f>
        <v>#REF!</v>
      </c>
      <c r="G839" s="89"/>
      <c r="H839" s="89"/>
    </row>
    <row r="840" spans="2:8" ht="18" x14ac:dyDescent="0.25">
      <c r="B840" s="85" t="s">
        <v>80</v>
      </c>
      <c r="C840" s="85"/>
      <c r="D840" s="107" t="e">
        <f>+'RES CUENTA'!#REF!</f>
        <v>#REF!</v>
      </c>
      <c r="E840" s="108">
        <v>0</v>
      </c>
      <c r="F840" s="165" t="e">
        <f>+D840</f>
        <v>#REF!</v>
      </c>
      <c r="G840" s="89"/>
      <c r="H840" s="89"/>
    </row>
    <row r="841" spans="2:8" ht="18" x14ac:dyDescent="0.25">
      <c r="B841" s="85"/>
      <c r="C841" s="85"/>
      <c r="D841" s="87"/>
      <c r="F841" s="104" t="e">
        <f>SUM(F836:F840)</f>
        <v>#REF!</v>
      </c>
      <c r="G841" s="89"/>
      <c r="H841" s="90"/>
    </row>
    <row r="842" spans="2:8" ht="18" x14ac:dyDescent="0.25">
      <c r="B842" s="85"/>
      <c r="C842" s="85"/>
      <c r="D842" s="85"/>
      <c r="E842" s="85"/>
      <c r="F842" s="92"/>
      <c r="G842" s="90"/>
      <c r="H842" s="90"/>
    </row>
    <row r="843" spans="2:8" ht="18" x14ac:dyDescent="0.25">
      <c r="B843" s="85"/>
      <c r="C843" s="85"/>
      <c r="D843" s="85"/>
      <c r="E843" s="85"/>
      <c r="F843" s="92"/>
      <c r="G843" s="90"/>
      <c r="H843" s="90"/>
    </row>
    <row r="844" spans="2:8" ht="18" x14ac:dyDescent="0.25">
      <c r="B844" s="85"/>
      <c r="C844" s="85"/>
      <c r="D844" s="85"/>
      <c r="E844" s="85"/>
      <c r="F844" s="92"/>
      <c r="G844" s="90"/>
      <c r="H844" s="90"/>
    </row>
    <row r="845" spans="2:8" ht="21.75" customHeight="1" x14ac:dyDescent="0.25">
      <c r="B845" s="85"/>
      <c r="C845" s="85"/>
      <c r="D845" s="85"/>
      <c r="E845" s="85"/>
      <c r="F845" s="92"/>
      <c r="G845" s="90"/>
      <c r="H845" s="90"/>
    </row>
    <row r="846" spans="2:8" ht="26.25" customHeight="1" x14ac:dyDescent="0.25">
      <c r="B846" s="85" t="e">
        <f>+B831</f>
        <v>#REF!</v>
      </c>
      <c r="C846" s="85"/>
      <c r="D846" s="85"/>
      <c r="E846" s="85" t="e">
        <f>+B831</f>
        <v>#REF!</v>
      </c>
      <c r="F846" s="85"/>
      <c r="G846" s="85"/>
      <c r="H846" s="94"/>
    </row>
    <row r="847" spans="2:8" ht="18" x14ac:dyDescent="0.25">
      <c r="B847" s="86"/>
      <c r="C847" s="85"/>
      <c r="D847" s="85"/>
      <c r="F847" s="85"/>
      <c r="G847" s="101"/>
      <c r="H847" s="90" t="str">
        <f>+H832</f>
        <v>Unid. 22</v>
      </c>
    </row>
    <row r="848" spans="2:8" ht="18" x14ac:dyDescent="0.25">
      <c r="B848" s="85" t="str">
        <f>+E1</f>
        <v>Lima 461 C:A:B:A:</v>
      </c>
      <c r="C848" s="85"/>
      <c r="D848" s="90" t="str">
        <f>+H847</f>
        <v>Unid. 22</v>
      </c>
      <c r="E848" s="85" t="str">
        <f>+E1</f>
        <v>Lima 461 C:A:B:A:</v>
      </c>
      <c r="F848" s="85"/>
      <c r="G848" s="85"/>
      <c r="H848" s="90" t="e">
        <f>+H833</f>
        <v>#REF!</v>
      </c>
    </row>
    <row r="849" spans="2:8" ht="18" x14ac:dyDescent="0.25">
      <c r="B849" s="86"/>
      <c r="C849" s="86"/>
      <c r="D849" s="90" t="e">
        <f>+H848</f>
        <v>#REF!</v>
      </c>
      <c r="F849" s="85"/>
      <c r="G849" s="85"/>
    </row>
    <row r="850" spans="2:8" ht="14.25" customHeight="1" x14ac:dyDescent="0.25">
      <c r="B850" s="85"/>
      <c r="C850" s="85"/>
      <c r="D850" s="85"/>
      <c r="E850" s="86"/>
      <c r="F850" s="85"/>
      <c r="G850" s="85"/>
      <c r="H850" s="94"/>
    </row>
    <row r="851" spans="2:8" ht="18" customHeight="1" x14ac:dyDescent="0.25">
      <c r="B851" s="85"/>
      <c r="C851" s="85"/>
      <c r="D851" s="85"/>
      <c r="E851" s="85"/>
      <c r="F851" s="96"/>
      <c r="G851" s="86"/>
      <c r="H851" s="90"/>
    </row>
    <row r="852" spans="2:8" ht="18" x14ac:dyDescent="0.25">
      <c r="B852" s="85"/>
      <c r="C852" s="85"/>
      <c r="D852" s="85"/>
      <c r="E852" s="96"/>
      <c r="G852" s="94"/>
      <c r="H852" s="96"/>
    </row>
    <row r="853" spans="2:8" ht="18" x14ac:dyDescent="0.25">
      <c r="B853" s="86"/>
      <c r="C853" s="85"/>
      <c r="D853" s="85"/>
      <c r="E853" s="85" t="s">
        <v>200</v>
      </c>
      <c r="F853" s="106" t="e">
        <f>+F836</f>
        <v>#REF!</v>
      </c>
      <c r="G853" s="95"/>
      <c r="H853" s="99">
        <f>+B857</f>
        <v>46188</v>
      </c>
    </row>
    <row r="854" spans="2:8" ht="18" x14ac:dyDescent="0.25">
      <c r="B854" s="86"/>
      <c r="C854" s="85"/>
      <c r="D854" s="85"/>
      <c r="E854" s="85" t="s">
        <v>201</v>
      </c>
      <c r="F854" s="106" t="e">
        <f>+F837</f>
        <v>#REF!</v>
      </c>
      <c r="H854" s="90"/>
    </row>
    <row r="855" spans="2:8" ht="18" x14ac:dyDescent="0.25">
      <c r="B855" s="85"/>
      <c r="C855" s="85"/>
      <c r="D855" s="85"/>
      <c r="E855" s="85" t="s">
        <v>81</v>
      </c>
      <c r="F855" s="106" t="e">
        <f>+F839</f>
        <v>#REF!</v>
      </c>
      <c r="G855" s="85"/>
      <c r="H855" s="90"/>
    </row>
    <row r="856" spans="2:8" ht="18" x14ac:dyDescent="0.25">
      <c r="B856" s="96"/>
      <c r="C856" s="96"/>
      <c r="D856" s="96"/>
      <c r="E856" s="85" t="s">
        <v>82</v>
      </c>
      <c r="F856" s="106" t="e">
        <f>+F840</f>
        <v>#REF!</v>
      </c>
      <c r="G856" s="85"/>
      <c r="H856" s="90"/>
    </row>
    <row r="857" spans="2:8" ht="18" x14ac:dyDescent="0.25">
      <c r="B857" s="99">
        <f>+$G$30</f>
        <v>46188</v>
      </c>
      <c r="C857" s="105" t="e">
        <f>+F841</f>
        <v>#REF!</v>
      </c>
      <c r="D857" s="85"/>
      <c r="E857" s="85" t="s">
        <v>188</v>
      </c>
      <c r="F857" s="166" t="e">
        <f>+F838</f>
        <v>#REF!</v>
      </c>
      <c r="G857" s="85"/>
      <c r="H857" s="90"/>
    </row>
    <row r="858" spans="2:8" ht="18" x14ac:dyDescent="0.25">
      <c r="B858" s="85"/>
      <c r="C858" s="85"/>
      <c r="D858" s="85"/>
      <c r="E858" s="85" t="s">
        <v>83</v>
      </c>
      <c r="F858" s="106" t="e">
        <f>+F841</f>
        <v>#REF!</v>
      </c>
      <c r="G858" s="85"/>
      <c r="H858" s="90"/>
    </row>
    <row r="859" spans="2:8" ht="18" x14ac:dyDescent="0.25">
      <c r="B859" s="85"/>
      <c r="C859" s="85"/>
      <c r="D859" s="85"/>
      <c r="E859" s="85"/>
      <c r="F859" s="85"/>
      <c r="G859" s="85"/>
      <c r="H859" s="90"/>
    </row>
    <row r="860" spans="2:8" ht="18" x14ac:dyDescent="0.25">
      <c r="B860" s="85"/>
      <c r="C860" s="85"/>
      <c r="D860" s="85"/>
      <c r="E860" s="102"/>
      <c r="F860" s="85"/>
      <c r="G860" s="85"/>
      <c r="H860" s="90"/>
    </row>
    <row r="861" spans="2:8" ht="18" x14ac:dyDescent="0.25">
      <c r="B861" s="85"/>
      <c r="C861" s="85"/>
      <c r="D861" s="85"/>
      <c r="E861" s="85"/>
      <c r="F861" s="85"/>
      <c r="G861" s="85"/>
      <c r="H861" s="94"/>
    </row>
    <row r="862" spans="2:8" ht="9" customHeight="1" x14ac:dyDescent="0.25">
      <c r="E862" s="85"/>
      <c r="G862" s="94"/>
      <c r="H862" s="90"/>
    </row>
    <row r="864" spans="2:8" ht="18" x14ac:dyDescent="0.25">
      <c r="B864" s="343"/>
      <c r="C864" s="343"/>
      <c r="D864" s="343"/>
      <c r="E864" s="342">
        <f>+$B$1</f>
        <v>46143</v>
      </c>
      <c r="F864" s="85"/>
      <c r="G864" s="337">
        <f>+$D$1</f>
        <v>46188</v>
      </c>
      <c r="H864" s="90"/>
    </row>
    <row r="865" spans="2:8" ht="18" x14ac:dyDescent="0.25">
      <c r="B865" s="84"/>
      <c r="C865" s="84"/>
      <c r="D865" s="100"/>
      <c r="E865" s="342"/>
      <c r="F865" s="85"/>
      <c r="G865" s="337"/>
      <c r="H865" s="90"/>
    </row>
    <row r="866" spans="2:8" ht="18" x14ac:dyDescent="0.25">
      <c r="B866" s="85"/>
      <c r="C866" s="85"/>
      <c r="D866" s="85"/>
      <c r="E866" s="86"/>
      <c r="F866" s="85"/>
      <c r="G866" s="86"/>
      <c r="H866" s="90"/>
    </row>
    <row r="867" spans="2:8" ht="27" customHeight="1" x14ac:dyDescent="0.25">
      <c r="B867" s="85" t="e">
        <f>+B24</f>
        <v>#REF!</v>
      </c>
      <c r="C867" s="85"/>
      <c r="D867" s="85"/>
      <c r="E867" s="86"/>
      <c r="F867" s="85"/>
      <c r="G867" s="86"/>
      <c r="H867" s="90"/>
    </row>
    <row r="868" spans="2:8" ht="22.5" customHeight="1" x14ac:dyDescent="0.25">
      <c r="B868" s="86"/>
      <c r="C868" s="85"/>
      <c r="D868" s="85"/>
      <c r="E868" s="85" t="str">
        <f>+E34</f>
        <v>Lima 461 C:A:B:A:</v>
      </c>
      <c r="F868" s="85"/>
      <c r="G868" s="85"/>
      <c r="H868" s="90" t="s">
        <v>106</v>
      </c>
    </row>
    <row r="869" spans="2:8" ht="18" x14ac:dyDescent="0.25">
      <c r="B869" s="85"/>
      <c r="C869" s="85"/>
      <c r="D869" s="85"/>
      <c r="E869" s="86"/>
      <c r="F869" s="86"/>
      <c r="G869" s="85"/>
      <c r="H869" s="90" t="e">
        <f>+'RES CUENTA'!#REF!</f>
        <v>#REF!</v>
      </c>
    </row>
    <row r="870" spans="2:8" ht="18" x14ac:dyDescent="0.25">
      <c r="B870" s="94"/>
      <c r="C870" s="85"/>
      <c r="D870" s="94"/>
      <c r="E870" s="85"/>
      <c r="F870" s="85"/>
      <c r="G870" s="85"/>
      <c r="H870" s="90"/>
    </row>
    <row r="871" spans="2:8" ht="18" x14ac:dyDescent="0.25">
      <c r="B871" s="94"/>
      <c r="C871" s="85"/>
      <c r="D871" s="94"/>
      <c r="E871" s="85"/>
      <c r="F871" s="85"/>
      <c r="G871" s="85"/>
      <c r="H871" s="90"/>
    </row>
    <row r="872" spans="2:8" ht="18" x14ac:dyDescent="0.25">
      <c r="B872" s="85" t="s">
        <v>198</v>
      </c>
      <c r="C872" s="85"/>
      <c r="D872" s="107">
        <f>+'RES CUENTA'!$L$25</f>
        <v>10859801.41</v>
      </c>
      <c r="E872" s="108" t="e">
        <f>+'RES CUENTA'!#REF!</f>
        <v>#REF!</v>
      </c>
      <c r="F872" s="103" t="e">
        <f>+D872*E872/100</f>
        <v>#REF!</v>
      </c>
      <c r="G872" s="345"/>
      <c r="H872" s="345"/>
    </row>
    <row r="873" spans="2:8" ht="18" x14ac:dyDescent="0.25">
      <c r="B873" s="85" t="s">
        <v>199</v>
      </c>
      <c r="C873" s="85"/>
      <c r="D873" s="107" t="e">
        <f>+'RES CUENTA'!#REF!</f>
        <v>#REF!</v>
      </c>
      <c r="E873" s="108" t="e">
        <f>+'RES CUENTA'!#REF!</f>
        <v>#REF!</v>
      </c>
      <c r="F873" s="103" t="e">
        <f>+D873*E873/100</f>
        <v>#REF!</v>
      </c>
      <c r="G873" s="341"/>
      <c r="H873" s="341"/>
    </row>
    <row r="874" spans="2:8" ht="18" x14ac:dyDescent="0.25">
      <c r="B874" s="85" t="s">
        <v>79</v>
      </c>
      <c r="C874" s="85"/>
      <c r="D874" s="107" t="e">
        <f>+'RES CUENTA'!#REF!</f>
        <v>#REF!</v>
      </c>
      <c r="E874" s="108">
        <v>0</v>
      </c>
      <c r="F874" s="103" t="e">
        <f>+D874</f>
        <v>#REF!</v>
      </c>
      <c r="G874" s="341"/>
      <c r="H874" s="341"/>
    </row>
    <row r="875" spans="2:8" ht="18" x14ac:dyDescent="0.25">
      <c r="B875" s="85" t="s">
        <v>80</v>
      </c>
      <c r="C875" s="85"/>
      <c r="D875" s="107" t="e">
        <f>+'RES CUENTA'!#REF!</f>
        <v>#REF!</v>
      </c>
      <c r="E875" s="108">
        <v>0</v>
      </c>
      <c r="F875" s="165" t="e">
        <f>+D875</f>
        <v>#REF!</v>
      </c>
      <c r="G875" s="341"/>
      <c r="H875" s="341"/>
    </row>
    <row r="876" spans="2:8" ht="18" x14ac:dyDescent="0.25">
      <c r="B876" s="86"/>
      <c r="C876" s="85"/>
      <c r="D876" s="85"/>
      <c r="E876" s="92"/>
      <c r="F876" s="104" t="e">
        <f>SUM(F872:F875)</f>
        <v>#REF!</v>
      </c>
      <c r="G876" s="341"/>
      <c r="H876" s="341"/>
    </row>
    <row r="877" spans="2:8" ht="18" x14ac:dyDescent="0.25">
      <c r="B877" s="86"/>
      <c r="C877" s="85"/>
      <c r="D877" s="85"/>
      <c r="E877" s="92"/>
      <c r="F877" s="104"/>
      <c r="G877" s="89"/>
      <c r="H877" s="89"/>
    </row>
    <row r="878" spans="2:8" ht="18" x14ac:dyDescent="0.25">
      <c r="B878" s="86"/>
      <c r="C878" s="85"/>
      <c r="D878" s="85"/>
      <c r="E878" s="85"/>
      <c r="G878" s="338"/>
      <c r="H878" s="338"/>
    </row>
    <row r="879" spans="2:8" ht="18" x14ac:dyDescent="0.25">
      <c r="B879" s="85"/>
      <c r="C879" s="85"/>
      <c r="D879" s="85"/>
      <c r="E879" s="85"/>
      <c r="F879" s="91"/>
      <c r="G879" s="90"/>
      <c r="H879" s="90"/>
    </row>
    <row r="880" spans="2:8" ht="18" x14ac:dyDescent="0.25">
      <c r="B880" s="85"/>
      <c r="C880" s="85"/>
      <c r="D880" s="85"/>
      <c r="E880" s="85"/>
      <c r="F880" s="92"/>
      <c r="G880" s="85"/>
      <c r="H880" s="90"/>
    </row>
    <row r="881" spans="2:8" ht="20.25" customHeight="1" x14ac:dyDescent="0.25">
      <c r="B881" s="85"/>
      <c r="C881" s="85"/>
      <c r="D881" s="85"/>
      <c r="E881" s="85"/>
      <c r="F881" s="92"/>
      <c r="G881" s="85"/>
      <c r="H881" s="90"/>
    </row>
    <row r="882" spans="2:8" ht="18" x14ac:dyDescent="0.25">
      <c r="B882" s="85" t="e">
        <f>+B867</f>
        <v>#REF!</v>
      </c>
      <c r="C882" s="344"/>
      <c r="D882" s="344"/>
      <c r="E882" s="85" t="e">
        <f>+B882</f>
        <v>#REF!</v>
      </c>
      <c r="F882" s="92"/>
      <c r="G882" s="85"/>
      <c r="H882" s="90"/>
    </row>
    <row r="883" spans="2:8" ht="21" customHeight="1" x14ac:dyDescent="0.25">
      <c r="C883" s="85"/>
      <c r="D883" s="85"/>
      <c r="F883" s="344"/>
      <c r="G883" s="344"/>
      <c r="H883" s="344"/>
    </row>
    <row r="884" spans="2:8" ht="18" x14ac:dyDescent="0.25">
      <c r="B884" s="85" t="str">
        <f>+E1</f>
        <v>Lima 461 C:A:B:A:</v>
      </c>
      <c r="C884" s="85"/>
      <c r="D884" s="93" t="str">
        <f>+H868</f>
        <v>Unid. 23</v>
      </c>
      <c r="E884" s="85" t="str">
        <f>+E1</f>
        <v>Lima 461 C:A:B:A:</v>
      </c>
      <c r="F884" s="85"/>
      <c r="G884" s="85"/>
      <c r="H884" s="90" t="str">
        <f>+D884</f>
        <v>Unid. 23</v>
      </c>
    </row>
    <row r="885" spans="2:8" ht="18" x14ac:dyDescent="0.25">
      <c r="D885" s="93" t="e">
        <f>+H885</f>
        <v>#REF!</v>
      </c>
      <c r="H885" s="90" t="e">
        <f>+H869</f>
        <v>#REF!</v>
      </c>
    </row>
    <row r="886" spans="2:8" ht="18" x14ac:dyDescent="0.25">
      <c r="B886" s="86"/>
      <c r="C886" s="86"/>
      <c r="D886" s="86"/>
      <c r="E886" s="86"/>
      <c r="F886" s="85"/>
      <c r="G886" s="85"/>
    </row>
    <row r="887" spans="2:8" ht="18" x14ac:dyDescent="0.25">
      <c r="B887" s="85"/>
      <c r="C887" s="85"/>
      <c r="D887" s="85"/>
      <c r="E887" s="85"/>
      <c r="F887" s="85"/>
      <c r="G887" s="86"/>
      <c r="H887" s="94"/>
    </row>
    <row r="888" spans="2:8" ht="11.25" customHeight="1" x14ac:dyDescent="0.25">
      <c r="B888" s="85"/>
      <c r="C888" s="85"/>
      <c r="D888" s="85"/>
      <c r="E888" s="96"/>
      <c r="F888" s="85"/>
      <c r="G888" s="94"/>
      <c r="H888" s="90"/>
    </row>
    <row r="889" spans="2:8" ht="18" x14ac:dyDescent="0.25">
      <c r="C889" s="85"/>
      <c r="D889" s="85"/>
      <c r="E889" s="85" t="s">
        <v>200</v>
      </c>
      <c r="F889" s="106" t="e">
        <f>+F872</f>
        <v>#REF!</v>
      </c>
      <c r="H889" s="99">
        <f>+B894</f>
        <v>46188</v>
      </c>
    </row>
    <row r="890" spans="2:8" ht="18" x14ac:dyDescent="0.25">
      <c r="B890" s="86"/>
      <c r="C890" s="85"/>
      <c r="D890" s="85"/>
      <c r="E890" s="85" t="s">
        <v>201</v>
      </c>
      <c r="F890" s="106" t="e">
        <f>+F873</f>
        <v>#REF!</v>
      </c>
    </row>
    <row r="891" spans="2:8" ht="18" x14ac:dyDescent="0.25">
      <c r="B891" s="86"/>
      <c r="C891" s="85"/>
      <c r="D891" s="85"/>
      <c r="E891" s="85" t="s">
        <v>81</v>
      </c>
      <c r="F891" s="106" t="e">
        <f>+F874</f>
        <v>#REF!</v>
      </c>
      <c r="G891" s="85"/>
      <c r="H891" s="90"/>
    </row>
    <row r="892" spans="2:8" ht="18" x14ac:dyDescent="0.25">
      <c r="B892" s="85"/>
      <c r="C892" s="85"/>
      <c r="D892" s="85"/>
      <c r="E892" s="85" t="s">
        <v>82</v>
      </c>
      <c r="F892" s="106" t="e">
        <f>+F875</f>
        <v>#REF!</v>
      </c>
      <c r="G892" s="85"/>
      <c r="H892" s="90"/>
    </row>
    <row r="893" spans="2:8" ht="18" x14ac:dyDescent="0.25">
      <c r="B893" s="96"/>
      <c r="C893" s="96"/>
      <c r="D893" s="96"/>
      <c r="E893" s="85" t="s">
        <v>188</v>
      </c>
      <c r="F893" s="166">
        <v>0</v>
      </c>
      <c r="G893" s="85"/>
      <c r="H893" s="90"/>
    </row>
    <row r="894" spans="2:8" ht="18" x14ac:dyDescent="0.25">
      <c r="B894" s="99">
        <f>+$G$30</f>
        <v>46188</v>
      </c>
      <c r="C894" s="105" t="e">
        <f>+F876</f>
        <v>#REF!</v>
      </c>
      <c r="D894" s="85"/>
      <c r="E894" s="85" t="s">
        <v>83</v>
      </c>
      <c r="F894" s="106" t="e">
        <f>+F876</f>
        <v>#REF!</v>
      </c>
      <c r="G894" s="85"/>
      <c r="H894" s="90"/>
    </row>
    <row r="895" spans="2:8" ht="18" x14ac:dyDescent="0.25">
      <c r="B895" s="85"/>
      <c r="C895" s="85"/>
      <c r="D895" s="85"/>
      <c r="E895" s="102"/>
      <c r="F895" s="85"/>
      <c r="G895" s="85"/>
      <c r="H895" s="90"/>
    </row>
    <row r="896" spans="2:8" ht="18" x14ac:dyDescent="0.25">
      <c r="B896" s="85"/>
      <c r="C896" s="85"/>
      <c r="D896" s="85"/>
      <c r="F896" s="85"/>
      <c r="G896" s="85"/>
      <c r="H896" s="90"/>
    </row>
    <row r="897" spans="2:8" ht="18" x14ac:dyDescent="0.25">
      <c r="B897" s="85"/>
      <c r="C897" s="85"/>
      <c r="D897" s="85"/>
      <c r="E897" s="85"/>
      <c r="F897" s="85"/>
      <c r="G897" s="85"/>
      <c r="H897" s="90"/>
    </row>
    <row r="898" spans="2:8" ht="18" x14ac:dyDescent="0.25">
      <c r="B898" s="85"/>
      <c r="C898" s="85"/>
      <c r="D898" s="85"/>
      <c r="E898" s="85"/>
      <c r="F898" s="85"/>
      <c r="G898" s="345"/>
      <c r="H898" s="345"/>
    </row>
    <row r="899" spans="2:8" ht="18" x14ac:dyDescent="0.25">
      <c r="B899" s="85"/>
      <c r="C899" s="85"/>
      <c r="D899" s="85"/>
      <c r="E899" s="85"/>
      <c r="F899" s="85"/>
      <c r="G899" s="85"/>
      <c r="H899" s="90"/>
    </row>
    <row r="900" spans="2:8" ht="18" x14ac:dyDescent="0.25">
      <c r="B900" s="85"/>
      <c r="C900" s="85"/>
      <c r="D900" s="85"/>
      <c r="E900" s="85"/>
      <c r="F900" s="85"/>
      <c r="G900" s="85"/>
      <c r="H900" s="90"/>
    </row>
    <row r="901" spans="2:8" ht="18" x14ac:dyDescent="0.25">
      <c r="B901" s="85"/>
      <c r="C901" s="85"/>
      <c r="D901" s="85"/>
      <c r="E901" s="85"/>
      <c r="F901" s="85"/>
      <c r="G901" s="85"/>
      <c r="H901" s="90"/>
    </row>
    <row r="902" spans="2:8" ht="18" x14ac:dyDescent="0.25">
      <c r="B902" s="85"/>
      <c r="C902" s="85"/>
      <c r="D902" s="85"/>
      <c r="E902" s="85"/>
      <c r="F902" s="85"/>
      <c r="G902" s="85"/>
      <c r="H902" s="90"/>
    </row>
    <row r="903" spans="2:8" ht="18" x14ac:dyDescent="0.25">
      <c r="B903" s="343"/>
      <c r="C903" s="343"/>
      <c r="D903" s="343"/>
      <c r="E903" s="98">
        <f>+$B$1</f>
        <v>46143</v>
      </c>
      <c r="F903" s="85"/>
      <c r="G903" s="99">
        <f>+$D$1</f>
        <v>46188</v>
      </c>
      <c r="H903" s="160"/>
    </row>
    <row r="904" spans="2:8" ht="18" x14ac:dyDescent="0.25">
      <c r="B904" s="84"/>
      <c r="C904" s="84"/>
      <c r="D904" s="100"/>
      <c r="E904" s="98"/>
      <c r="F904" s="85"/>
    </row>
    <row r="905" spans="2:8" ht="18" x14ac:dyDescent="0.25">
      <c r="B905" s="85">
        <f>+B25</f>
        <v>0</v>
      </c>
      <c r="C905" s="85"/>
      <c r="D905" s="85"/>
      <c r="F905" s="85"/>
    </row>
    <row r="906" spans="2:8" ht="18" x14ac:dyDescent="0.25">
      <c r="C906" s="85"/>
      <c r="D906" s="85"/>
      <c r="E906" s="85" t="str">
        <f>+E1</f>
        <v>Lima 461 C:A:B:A:</v>
      </c>
      <c r="F906" s="85"/>
      <c r="H906" s="90" t="s">
        <v>107</v>
      </c>
    </row>
    <row r="907" spans="2:8" ht="18" x14ac:dyDescent="0.25">
      <c r="B907" s="86"/>
      <c r="C907" s="85"/>
      <c r="D907" s="85"/>
      <c r="F907" s="85"/>
      <c r="G907" s="86"/>
    </row>
    <row r="908" spans="2:8" ht="18" x14ac:dyDescent="0.25">
      <c r="B908" s="85"/>
      <c r="C908" s="85"/>
      <c r="D908" s="85"/>
      <c r="E908" s="86"/>
      <c r="F908" s="86"/>
      <c r="G908" s="85"/>
      <c r="H908" s="94"/>
    </row>
    <row r="909" spans="2:8" ht="18" x14ac:dyDescent="0.25">
      <c r="B909" s="94"/>
      <c r="C909" s="85"/>
      <c r="D909" s="94"/>
      <c r="E909" s="85"/>
      <c r="F909" s="85"/>
      <c r="G909" s="85"/>
      <c r="H909" s="90"/>
    </row>
    <row r="910" spans="2:8" ht="18" x14ac:dyDescent="0.25">
      <c r="B910" s="85" t="s">
        <v>198</v>
      </c>
      <c r="C910" s="85"/>
      <c r="D910" s="107">
        <f>+'RES CUENTA'!$L$25</f>
        <v>10859801.41</v>
      </c>
      <c r="E910" s="108" t="e">
        <f>+'RES CUENTA'!#REF!</f>
        <v>#REF!</v>
      </c>
      <c r="F910" s="103" t="e">
        <f>+D910*E910/100</f>
        <v>#REF!</v>
      </c>
      <c r="G910" s="85"/>
      <c r="H910" s="94"/>
    </row>
    <row r="911" spans="2:8" ht="18" x14ac:dyDescent="0.25">
      <c r="B911" s="85" t="s">
        <v>199</v>
      </c>
      <c r="C911" s="85"/>
      <c r="D911" s="107">
        <f>+'RES CUENTA'!H25</f>
        <v>100</v>
      </c>
      <c r="E911" s="108" t="e">
        <f>+'RES CUENTA'!#REF!</f>
        <v>#REF!</v>
      </c>
      <c r="F911" s="103" t="e">
        <f>+D911*E911/100</f>
        <v>#REF!</v>
      </c>
      <c r="G911" s="94"/>
      <c r="H911" s="89"/>
    </row>
    <row r="912" spans="2:8" ht="18" x14ac:dyDescent="0.25">
      <c r="B912" s="85" t="s">
        <v>79</v>
      </c>
      <c r="C912" s="85"/>
      <c r="D912" s="107" t="e">
        <f>+'RES CUENTA'!#REF!</f>
        <v>#REF!</v>
      </c>
      <c r="E912" s="108">
        <v>0</v>
      </c>
      <c r="F912" s="103" t="e">
        <f>+D912</f>
        <v>#REF!</v>
      </c>
      <c r="G912" s="89"/>
      <c r="H912" s="89"/>
    </row>
    <row r="913" spans="2:8" ht="18" x14ac:dyDescent="0.25">
      <c r="B913" s="85" t="s">
        <v>80</v>
      </c>
      <c r="C913" s="85"/>
      <c r="D913" s="107" t="e">
        <f>+'RES CUENTA'!#REF!</f>
        <v>#REF!</v>
      </c>
      <c r="E913" s="108">
        <v>0</v>
      </c>
      <c r="F913" s="103">
        <f>+'RES CUENTA'!R805</f>
        <v>0</v>
      </c>
      <c r="G913" s="89"/>
      <c r="H913" s="89"/>
    </row>
    <row r="914" spans="2:8" ht="18" x14ac:dyDescent="0.25">
      <c r="B914" s="86"/>
      <c r="C914" s="85"/>
      <c r="D914" s="85"/>
      <c r="F914" s="104" t="e">
        <f>SUM(F910:F913)</f>
        <v>#REF!</v>
      </c>
      <c r="G914" s="89"/>
      <c r="H914" s="89"/>
    </row>
    <row r="915" spans="2:8" ht="18" x14ac:dyDescent="0.25">
      <c r="B915" s="86"/>
      <c r="C915" s="85"/>
      <c r="D915" s="85"/>
      <c r="F915" s="104"/>
      <c r="G915" s="89"/>
      <c r="H915" s="89"/>
    </row>
    <row r="916" spans="2:8" ht="18" x14ac:dyDescent="0.25">
      <c r="B916" s="86"/>
      <c r="C916" s="85"/>
      <c r="D916" s="85"/>
      <c r="F916" s="91"/>
      <c r="G916" s="89"/>
      <c r="H916" s="90"/>
    </row>
    <row r="917" spans="2:8" ht="18" x14ac:dyDescent="0.25">
      <c r="B917" s="85"/>
      <c r="C917" s="85"/>
      <c r="D917" s="85"/>
      <c r="E917" s="85"/>
      <c r="F917" s="92"/>
      <c r="G917" s="90"/>
      <c r="H917" s="90"/>
    </row>
    <row r="918" spans="2:8" ht="18" x14ac:dyDescent="0.25">
      <c r="B918" s="85"/>
      <c r="C918" s="85"/>
      <c r="D918" s="85"/>
      <c r="E918" s="85"/>
      <c r="F918" s="92"/>
      <c r="G918" s="90"/>
      <c r="H918" s="90"/>
    </row>
    <row r="919" spans="2:8" ht="18" x14ac:dyDescent="0.25">
      <c r="B919" s="85"/>
      <c r="C919" s="85"/>
      <c r="D919" s="85"/>
      <c r="E919" s="85"/>
      <c r="F919" s="92"/>
      <c r="G919" s="90"/>
      <c r="H919" s="90"/>
    </row>
    <row r="920" spans="2:8" ht="18" x14ac:dyDescent="0.25">
      <c r="B920" s="85">
        <f>+B905</f>
        <v>0</v>
      </c>
      <c r="C920" s="85"/>
      <c r="D920" s="85"/>
      <c r="E920" s="85">
        <f>+B905</f>
        <v>0</v>
      </c>
      <c r="F920" s="85"/>
      <c r="G920" s="85"/>
      <c r="H920" s="94"/>
    </row>
    <row r="921" spans="2:8" ht="18" x14ac:dyDescent="0.25">
      <c r="B921" s="86"/>
      <c r="C921" s="85"/>
      <c r="D921" s="85"/>
      <c r="F921" s="85"/>
      <c r="G921" s="101"/>
      <c r="H921" s="90" t="str">
        <f>+H906</f>
        <v>Unid. 24</v>
      </c>
    </row>
    <row r="922" spans="2:8" ht="18" x14ac:dyDescent="0.25">
      <c r="B922" s="85" t="str">
        <f>+E1</f>
        <v>Lima 461 C:A:B:A:</v>
      </c>
      <c r="C922" s="85"/>
      <c r="D922" s="93" t="str">
        <f>+H921</f>
        <v>Unid. 24</v>
      </c>
      <c r="E922" s="85" t="str">
        <f>+E1</f>
        <v>Lima 461 C:A:B:A:</v>
      </c>
      <c r="F922" s="85"/>
      <c r="G922" s="85"/>
      <c r="H922" s="94"/>
    </row>
    <row r="923" spans="2:8" ht="18" x14ac:dyDescent="0.25">
      <c r="B923" s="86"/>
      <c r="C923" s="86"/>
      <c r="D923" s="86"/>
      <c r="F923" s="85"/>
      <c r="G923" s="85"/>
    </row>
    <row r="924" spans="2:8" ht="18" x14ac:dyDescent="0.25">
      <c r="B924" s="85"/>
      <c r="C924" s="85"/>
      <c r="D924" s="85"/>
      <c r="E924" s="86"/>
      <c r="F924" s="85"/>
      <c r="G924" s="85"/>
      <c r="H924" s="94"/>
    </row>
    <row r="925" spans="2:8" ht="18" x14ac:dyDescent="0.25">
      <c r="B925" s="85"/>
      <c r="C925" s="85"/>
      <c r="D925" s="85"/>
      <c r="E925" s="85"/>
      <c r="F925" s="96"/>
      <c r="G925" s="86"/>
      <c r="H925" s="90"/>
    </row>
    <row r="926" spans="2:8" ht="18" x14ac:dyDescent="0.25">
      <c r="B926" s="85"/>
      <c r="C926" s="85"/>
      <c r="D926" s="85"/>
      <c r="E926" s="96"/>
      <c r="G926" s="94"/>
      <c r="H926" s="96"/>
    </row>
    <row r="927" spans="2:8" ht="18" x14ac:dyDescent="0.25">
      <c r="B927" s="86"/>
      <c r="C927" s="85"/>
      <c r="D927" s="85"/>
      <c r="E927" s="85" t="s">
        <v>200</v>
      </c>
      <c r="F927" s="106" t="e">
        <f>+F910</f>
        <v>#REF!</v>
      </c>
      <c r="G927" s="95"/>
      <c r="H927" s="99">
        <f>+B931</f>
        <v>46188</v>
      </c>
    </row>
    <row r="928" spans="2:8" ht="18" x14ac:dyDescent="0.25">
      <c r="B928" s="86"/>
      <c r="C928" s="85"/>
      <c r="D928" s="85"/>
      <c r="E928" s="85" t="s">
        <v>201</v>
      </c>
      <c r="F928" s="106" t="e">
        <f>+F911</f>
        <v>#REF!</v>
      </c>
      <c r="H928" s="90"/>
    </row>
    <row r="929" spans="2:8" ht="18" x14ac:dyDescent="0.25">
      <c r="B929" s="85"/>
      <c r="C929" s="85"/>
      <c r="D929" s="85"/>
      <c r="E929" s="85" t="s">
        <v>81</v>
      </c>
      <c r="F929" s="106" t="e">
        <f>+F912</f>
        <v>#REF!</v>
      </c>
      <c r="G929" s="85"/>
      <c r="H929" s="90"/>
    </row>
    <row r="930" spans="2:8" ht="18" x14ac:dyDescent="0.25">
      <c r="B930" s="96"/>
      <c r="C930" s="96"/>
      <c r="D930" s="96"/>
      <c r="E930" s="85" t="s">
        <v>82</v>
      </c>
      <c r="F930" s="106">
        <f>+'RES CUENTA'!R805</f>
        <v>0</v>
      </c>
      <c r="G930" s="85"/>
      <c r="H930" s="90"/>
    </row>
    <row r="931" spans="2:8" ht="18" x14ac:dyDescent="0.25">
      <c r="B931" s="99">
        <f>+$G$30</f>
        <v>46188</v>
      </c>
      <c r="C931" s="137" t="e">
        <f>+F914</f>
        <v>#REF!</v>
      </c>
      <c r="D931" s="85"/>
      <c r="E931" s="85" t="s">
        <v>188</v>
      </c>
      <c r="F931" s="106">
        <v>0</v>
      </c>
      <c r="G931" s="85"/>
      <c r="H931" s="90"/>
    </row>
    <row r="932" spans="2:8" ht="18" x14ac:dyDescent="0.25">
      <c r="B932" s="85"/>
      <c r="C932" s="85"/>
      <c r="D932" s="85"/>
      <c r="E932" s="85" t="s">
        <v>83</v>
      </c>
      <c r="F932" s="106" t="e">
        <f>+F914</f>
        <v>#REF!</v>
      </c>
      <c r="G932" s="85"/>
      <c r="H932" s="90"/>
    </row>
    <row r="933" spans="2:8" ht="18" x14ac:dyDescent="0.25">
      <c r="B933" s="85"/>
      <c r="C933" s="85"/>
      <c r="D933" s="85"/>
      <c r="E933" s="85"/>
      <c r="F933" s="85"/>
      <c r="G933" s="85"/>
      <c r="H933" s="90"/>
    </row>
    <row r="934" spans="2:8" ht="18" x14ac:dyDescent="0.25">
      <c r="B934" s="85"/>
      <c r="C934" s="85"/>
      <c r="D934" s="85"/>
      <c r="E934" s="102"/>
      <c r="F934" s="85"/>
      <c r="G934" s="85"/>
      <c r="H934" s="90"/>
    </row>
    <row r="935" spans="2:8" ht="18" x14ac:dyDescent="0.25">
      <c r="B935" s="85"/>
      <c r="C935" s="85"/>
      <c r="D935" s="85"/>
      <c r="E935" s="85"/>
      <c r="F935" s="85"/>
      <c r="G935" s="85"/>
      <c r="H935" s="94"/>
    </row>
    <row r="936" spans="2:8" ht="9.75" customHeight="1" x14ac:dyDescent="0.25">
      <c r="E936" s="85"/>
      <c r="G936" s="94"/>
      <c r="H936" s="90"/>
    </row>
    <row r="937" spans="2:8" ht="9" customHeight="1" x14ac:dyDescent="0.2"/>
    <row r="938" spans="2:8" ht="18" x14ac:dyDescent="0.25">
      <c r="B938" s="343"/>
      <c r="C938" s="343"/>
      <c r="D938" s="343"/>
      <c r="E938" s="342">
        <f>+$B$1</f>
        <v>46143</v>
      </c>
      <c r="F938" s="85"/>
      <c r="G938" s="337">
        <f>+$D$1</f>
        <v>46188</v>
      </c>
      <c r="H938" s="90"/>
    </row>
    <row r="939" spans="2:8" ht="18" x14ac:dyDescent="0.25">
      <c r="B939" s="84"/>
      <c r="C939" s="84"/>
      <c r="D939" s="100"/>
      <c r="E939" s="342"/>
      <c r="F939" s="85"/>
      <c r="G939" s="337"/>
      <c r="H939" s="90"/>
    </row>
    <row r="940" spans="2:8" ht="18" x14ac:dyDescent="0.25">
      <c r="B940" s="85"/>
      <c r="C940" s="85"/>
      <c r="D940" s="85"/>
      <c r="E940" s="86"/>
      <c r="F940" s="85"/>
      <c r="G940" s="86"/>
      <c r="H940" s="90"/>
    </row>
    <row r="941" spans="2:8" ht="18" x14ac:dyDescent="0.25">
      <c r="B941" s="85">
        <f>+B26</f>
        <v>0</v>
      </c>
      <c r="C941" s="85"/>
      <c r="D941" s="85"/>
      <c r="E941" s="86"/>
      <c r="F941" s="85"/>
      <c r="G941" s="86"/>
      <c r="H941" s="90"/>
    </row>
    <row r="942" spans="2:8" ht="18" x14ac:dyDescent="0.25">
      <c r="B942" s="86"/>
      <c r="C942" s="85"/>
      <c r="D942" s="85"/>
      <c r="E942" s="85" t="str">
        <f>+E34</f>
        <v>Lima 461 C:A:B:A:</v>
      </c>
      <c r="F942" s="85"/>
      <c r="G942" s="85"/>
      <c r="H942" s="90" t="s">
        <v>108</v>
      </c>
    </row>
    <row r="943" spans="2:8" ht="18" x14ac:dyDescent="0.25">
      <c r="B943" s="85"/>
      <c r="C943" s="85"/>
      <c r="D943" s="85"/>
      <c r="E943" s="86"/>
      <c r="F943" s="86"/>
      <c r="G943" s="85"/>
      <c r="H943" s="94"/>
    </row>
    <row r="944" spans="2:8" ht="18" x14ac:dyDescent="0.25">
      <c r="B944" s="94"/>
      <c r="C944" s="85"/>
      <c r="D944" s="94"/>
      <c r="E944" s="85"/>
      <c r="F944" s="85"/>
      <c r="G944" s="85"/>
      <c r="H944" s="90"/>
    </row>
    <row r="945" spans="2:8" ht="18" x14ac:dyDescent="0.25">
      <c r="B945" s="94"/>
      <c r="C945" s="85"/>
      <c r="D945" s="94"/>
      <c r="E945" s="85"/>
      <c r="F945" s="85"/>
      <c r="G945" s="85"/>
      <c r="H945" s="90"/>
    </row>
    <row r="946" spans="2:8" ht="18" x14ac:dyDescent="0.25">
      <c r="B946" s="85" t="s">
        <v>198</v>
      </c>
      <c r="C946" s="85"/>
      <c r="D946" s="107">
        <f>+'RES CUENTA'!$L$25</f>
        <v>10859801.41</v>
      </c>
      <c r="E946" s="108" t="e">
        <f>+'RES CUENTA'!#REF!</f>
        <v>#REF!</v>
      </c>
      <c r="F946" s="103" t="e">
        <f>+D946*E946/100</f>
        <v>#REF!</v>
      </c>
      <c r="G946" s="345"/>
      <c r="H946" s="345"/>
    </row>
    <row r="947" spans="2:8" ht="18" x14ac:dyDescent="0.25">
      <c r="B947" s="85" t="s">
        <v>199</v>
      </c>
      <c r="C947" s="85"/>
      <c r="D947" s="107">
        <f>+'RES CUENTA'!H25</f>
        <v>100</v>
      </c>
      <c r="E947" s="108" t="e">
        <f>+'RES CUENTA'!#REF!</f>
        <v>#REF!</v>
      </c>
      <c r="F947" s="103" t="e">
        <f>+D947*E947/100</f>
        <v>#REF!</v>
      </c>
      <c r="G947" s="341"/>
      <c r="H947" s="341"/>
    </row>
    <row r="948" spans="2:8" ht="18" x14ac:dyDescent="0.25">
      <c r="B948" s="85" t="s">
        <v>79</v>
      </c>
      <c r="C948" s="85"/>
      <c r="D948" s="107" t="e">
        <f>+'RES CUENTA'!#REF!</f>
        <v>#REF!</v>
      </c>
      <c r="E948" s="108">
        <v>0</v>
      </c>
      <c r="F948" s="103" t="e">
        <f>+D948</f>
        <v>#REF!</v>
      </c>
      <c r="G948" s="341"/>
      <c r="H948" s="341"/>
    </row>
    <row r="949" spans="2:8" ht="18" x14ac:dyDescent="0.25">
      <c r="B949" s="85" t="s">
        <v>80</v>
      </c>
      <c r="C949" s="85"/>
      <c r="D949" s="107" t="e">
        <f>+'RES CUENTA'!#REF!</f>
        <v>#REF!</v>
      </c>
      <c r="E949" s="108">
        <v>0</v>
      </c>
      <c r="F949" s="103" t="e">
        <f>+D949</f>
        <v>#REF!</v>
      </c>
      <c r="G949" s="341"/>
      <c r="H949" s="341"/>
    </row>
    <row r="950" spans="2:8" ht="18" x14ac:dyDescent="0.25">
      <c r="B950" s="86"/>
      <c r="C950" s="85"/>
      <c r="D950" s="85"/>
      <c r="E950" s="92"/>
      <c r="F950" s="104" t="e">
        <f>SUM(F946:F949)</f>
        <v>#REF!</v>
      </c>
      <c r="G950" s="341"/>
      <c r="H950" s="341"/>
    </row>
    <row r="951" spans="2:8" ht="18" x14ac:dyDescent="0.25">
      <c r="B951" s="86"/>
      <c r="C951" s="85"/>
      <c r="D951" s="85"/>
      <c r="E951" s="92"/>
      <c r="F951" s="104"/>
      <c r="G951" s="89"/>
      <c r="H951" s="89"/>
    </row>
    <row r="952" spans="2:8" ht="18" x14ac:dyDescent="0.25">
      <c r="B952" s="86"/>
      <c r="C952" s="85"/>
      <c r="D952" s="85"/>
      <c r="E952" s="85"/>
      <c r="G952" s="338"/>
      <c r="H952" s="338"/>
    </row>
    <row r="953" spans="2:8" ht="18" x14ac:dyDescent="0.25">
      <c r="B953" s="85"/>
      <c r="C953" s="85"/>
      <c r="D953" s="85"/>
      <c r="E953" s="85"/>
      <c r="F953" s="91"/>
      <c r="G953" s="90"/>
      <c r="H953" s="90"/>
    </row>
    <row r="954" spans="2:8" ht="18" x14ac:dyDescent="0.25">
      <c r="B954" s="85"/>
      <c r="C954" s="85"/>
      <c r="D954" s="85"/>
      <c r="E954" s="85"/>
      <c r="F954" s="92"/>
      <c r="G954" s="85"/>
      <c r="H954" s="90"/>
    </row>
    <row r="955" spans="2:8" ht="18" x14ac:dyDescent="0.25">
      <c r="B955" s="85"/>
      <c r="C955" s="85"/>
      <c r="D955" s="85"/>
      <c r="E955" s="85"/>
      <c r="F955" s="92"/>
      <c r="G955" s="85"/>
      <c r="H955" s="90"/>
    </row>
    <row r="956" spans="2:8" ht="18" x14ac:dyDescent="0.25">
      <c r="B956" s="85">
        <f>+B941</f>
        <v>0</v>
      </c>
      <c r="C956" s="344"/>
      <c r="D956" s="344"/>
      <c r="E956" s="85">
        <f>+B956</f>
        <v>0</v>
      </c>
      <c r="F956" s="92"/>
      <c r="G956" s="85"/>
      <c r="H956" s="90"/>
    </row>
    <row r="957" spans="2:8" ht="18" x14ac:dyDescent="0.25">
      <c r="C957" s="85"/>
      <c r="D957" s="85"/>
      <c r="F957" s="344"/>
      <c r="G957" s="344"/>
      <c r="H957" s="344"/>
    </row>
    <row r="958" spans="2:8" ht="18" x14ac:dyDescent="0.25">
      <c r="B958" s="85" t="str">
        <f>+E1</f>
        <v>Lima 461 C:A:B:A:</v>
      </c>
      <c r="C958" s="85"/>
      <c r="D958" s="93" t="str">
        <f>+H942</f>
        <v>Unid. 25</v>
      </c>
      <c r="E958" s="85" t="str">
        <f>+E1</f>
        <v>Lima 461 C:A:B:A:</v>
      </c>
      <c r="F958" s="85"/>
      <c r="G958" s="85"/>
      <c r="H958" s="90" t="str">
        <f>+D958</f>
        <v>Unid. 25</v>
      </c>
    </row>
    <row r="959" spans="2:8" ht="18" x14ac:dyDescent="0.25">
      <c r="H959" s="94"/>
    </row>
    <row r="960" spans="2:8" ht="18" x14ac:dyDescent="0.25">
      <c r="B960" s="86"/>
      <c r="C960" s="86"/>
      <c r="D960" s="86"/>
      <c r="E960" s="86"/>
      <c r="F960" s="85"/>
      <c r="G960" s="85"/>
    </row>
    <row r="961" spans="2:8" ht="18" x14ac:dyDescent="0.25">
      <c r="B961" s="85"/>
      <c r="C961" s="85"/>
      <c r="D961" s="85"/>
      <c r="E961" s="85"/>
      <c r="F961" s="85"/>
      <c r="G961" s="86"/>
      <c r="H961" s="94"/>
    </row>
    <row r="962" spans="2:8" ht="18" x14ac:dyDescent="0.25">
      <c r="B962" s="85"/>
      <c r="C962" s="85"/>
      <c r="D962" s="85"/>
      <c r="E962" s="96"/>
      <c r="F962" s="85"/>
      <c r="G962" s="94"/>
      <c r="H962" s="90"/>
    </row>
    <row r="963" spans="2:8" ht="18" x14ac:dyDescent="0.25">
      <c r="C963" s="85"/>
      <c r="D963" s="85"/>
      <c r="E963" s="85" t="s">
        <v>200</v>
      </c>
      <c r="F963" s="106" t="e">
        <f>+F946</f>
        <v>#REF!</v>
      </c>
      <c r="H963" s="99">
        <f>+'RECIBOS (2)'!B968</f>
        <v>46188</v>
      </c>
    </row>
    <row r="964" spans="2:8" ht="18" x14ac:dyDescent="0.25">
      <c r="B964" s="86"/>
      <c r="C964" s="85"/>
      <c r="D964" s="85"/>
      <c r="E964" s="85" t="s">
        <v>201</v>
      </c>
      <c r="F964" s="106" t="e">
        <f>+F947</f>
        <v>#REF!</v>
      </c>
    </row>
    <row r="965" spans="2:8" ht="18" x14ac:dyDescent="0.25">
      <c r="B965" s="86"/>
      <c r="C965" s="85"/>
      <c r="D965" s="85"/>
      <c r="E965" s="85" t="s">
        <v>81</v>
      </c>
      <c r="F965" s="106" t="e">
        <f>+F948</f>
        <v>#REF!</v>
      </c>
      <c r="G965" s="85"/>
      <c r="H965" s="90"/>
    </row>
    <row r="966" spans="2:8" ht="18" x14ac:dyDescent="0.25">
      <c r="B966" s="85"/>
      <c r="C966" s="85"/>
      <c r="D966" s="85"/>
      <c r="E966" s="85" t="s">
        <v>82</v>
      </c>
      <c r="F966" s="106" t="e">
        <f>+F949</f>
        <v>#REF!</v>
      </c>
      <c r="G966" s="85"/>
      <c r="H966" s="90"/>
    </row>
    <row r="967" spans="2:8" ht="18" x14ac:dyDescent="0.25">
      <c r="B967" s="96"/>
      <c r="C967" s="96"/>
      <c r="D967" s="96"/>
      <c r="E967" s="85" t="s">
        <v>188</v>
      </c>
      <c r="F967" s="106">
        <v>0</v>
      </c>
      <c r="G967" s="85"/>
      <c r="H967" s="90"/>
    </row>
    <row r="968" spans="2:8" ht="18" x14ac:dyDescent="0.25">
      <c r="B968" s="99">
        <f>+$G$30</f>
        <v>46188</v>
      </c>
      <c r="C968" s="105" t="e">
        <f>+F950</f>
        <v>#REF!</v>
      </c>
      <c r="D968" s="85"/>
      <c r="E968" s="85" t="s">
        <v>83</v>
      </c>
      <c r="F968" s="106" t="e">
        <f>+F950</f>
        <v>#REF!</v>
      </c>
      <c r="G968" s="85"/>
      <c r="H968" s="90"/>
    </row>
    <row r="969" spans="2:8" ht="18" x14ac:dyDescent="0.25">
      <c r="B969" s="85"/>
      <c r="C969" s="85"/>
      <c r="D969" s="85"/>
      <c r="E969" s="102"/>
      <c r="F969" s="85"/>
      <c r="G969" s="85"/>
      <c r="H969" s="90"/>
    </row>
    <row r="970" spans="2:8" ht="18" x14ac:dyDescent="0.25">
      <c r="B970" s="85"/>
      <c r="C970" s="85"/>
      <c r="D970" s="85"/>
      <c r="F970" s="85"/>
      <c r="G970" s="85"/>
      <c r="H970" s="90"/>
    </row>
    <row r="971" spans="2:8" ht="18" x14ac:dyDescent="0.25">
      <c r="B971" s="85"/>
      <c r="C971" s="85"/>
      <c r="D971" s="85"/>
      <c r="E971" s="85"/>
      <c r="F971" s="85"/>
      <c r="G971" s="85"/>
      <c r="H971" s="90"/>
    </row>
    <row r="972" spans="2:8" ht="18" x14ac:dyDescent="0.25">
      <c r="B972" s="85"/>
      <c r="C972" s="85"/>
      <c r="D972" s="85"/>
      <c r="E972" s="85"/>
      <c r="F972" s="85"/>
      <c r="G972" s="345"/>
      <c r="H972" s="345"/>
    </row>
    <row r="973" spans="2:8" ht="18" x14ac:dyDescent="0.25">
      <c r="B973" s="85"/>
      <c r="C973" s="85"/>
      <c r="D973" s="85"/>
      <c r="E973" s="85"/>
      <c r="F973" s="85"/>
      <c r="G973" s="94"/>
      <c r="H973" s="94"/>
    </row>
    <row r="974" spans="2:8" ht="18" x14ac:dyDescent="0.25">
      <c r="B974" s="85"/>
      <c r="C974" s="85"/>
      <c r="D974" s="85"/>
      <c r="E974" s="85"/>
      <c r="F974" s="85"/>
      <c r="G974" s="85"/>
      <c r="H974" s="90"/>
    </row>
    <row r="975" spans="2:8" ht="18" x14ac:dyDescent="0.25">
      <c r="B975" s="85"/>
      <c r="C975" s="85"/>
      <c r="D975" s="85"/>
      <c r="E975" s="85"/>
      <c r="F975" s="85"/>
      <c r="G975" s="85"/>
      <c r="H975" s="90"/>
    </row>
    <row r="976" spans="2:8" ht="18" x14ac:dyDescent="0.25">
      <c r="B976" s="343"/>
      <c r="C976" s="343"/>
      <c r="D976" s="343"/>
      <c r="E976" s="85"/>
      <c r="F976" s="85"/>
      <c r="H976" s="90"/>
    </row>
    <row r="977" spans="2:8" ht="18" x14ac:dyDescent="0.25">
      <c r="B977" s="343"/>
      <c r="C977" s="343"/>
      <c r="D977" s="343"/>
      <c r="E977" s="98">
        <f>+$B$1</f>
        <v>46143</v>
      </c>
      <c r="F977" s="85"/>
      <c r="G977" s="99">
        <f>+$D$1</f>
        <v>46188</v>
      </c>
      <c r="H977" s="160"/>
    </row>
    <row r="978" spans="2:8" ht="18" x14ac:dyDescent="0.25">
      <c r="B978" s="84"/>
      <c r="C978" s="84"/>
      <c r="D978" s="100"/>
      <c r="E978" s="98"/>
      <c r="F978" s="85"/>
    </row>
    <row r="979" spans="2:8" ht="18" x14ac:dyDescent="0.25">
      <c r="B979" s="85">
        <f>+B27</f>
        <v>0</v>
      </c>
      <c r="C979" s="85"/>
      <c r="D979" s="85"/>
      <c r="F979" s="85"/>
    </row>
    <row r="980" spans="2:8" ht="18" x14ac:dyDescent="0.25">
      <c r="C980" s="85"/>
      <c r="D980" s="85"/>
      <c r="E980" s="85" t="str">
        <f>+$E$1</f>
        <v>Lima 461 C:A:B:A:</v>
      </c>
      <c r="F980" s="85"/>
      <c r="H980" s="90" t="s">
        <v>109</v>
      </c>
    </row>
    <row r="981" spans="2:8" ht="18" x14ac:dyDescent="0.25">
      <c r="B981" s="86"/>
      <c r="C981" s="85"/>
      <c r="D981" s="85"/>
      <c r="F981" s="85"/>
      <c r="G981" s="86"/>
    </row>
    <row r="982" spans="2:8" ht="18" x14ac:dyDescent="0.25">
      <c r="B982" s="85"/>
      <c r="C982" s="85"/>
      <c r="D982" s="85"/>
      <c r="E982" s="86"/>
      <c r="F982" s="86"/>
      <c r="G982" s="85"/>
      <c r="H982" s="94"/>
    </row>
    <row r="983" spans="2:8" ht="18" x14ac:dyDescent="0.25">
      <c r="B983" s="94"/>
      <c r="C983" s="85"/>
      <c r="D983" s="94"/>
      <c r="E983" s="85"/>
      <c r="F983" s="85"/>
      <c r="G983" s="85"/>
      <c r="H983" s="90"/>
    </row>
    <row r="984" spans="2:8" ht="18" x14ac:dyDescent="0.25">
      <c r="B984" s="85" t="s">
        <v>198</v>
      </c>
      <c r="C984" s="85"/>
      <c r="D984" s="107">
        <f>+'RES CUENTA'!$L$25</f>
        <v>10859801.41</v>
      </c>
      <c r="E984" s="108" t="e">
        <f>+'RES CUENTA'!#REF!</f>
        <v>#REF!</v>
      </c>
      <c r="F984" s="103" t="e">
        <f>+D984*E984/100</f>
        <v>#REF!</v>
      </c>
      <c r="G984" s="85"/>
      <c r="H984" s="94"/>
    </row>
    <row r="985" spans="2:8" ht="18" x14ac:dyDescent="0.25">
      <c r="B985" s="85" t="s">
        <v>199</v>
      </c>
      <c r="C985" s="85"/>
      <c r="D985" s="107">
        <f>+'RES CUENTA'!H25</f>
        <v>100</v>
      </c>
      <c r="E985" s="108" t="e">
        <f>+'RES CUENTA'!#REF!</f>
        <v>#REF!</v>
      </c>
      <c r="F985" s="103" t="e">
        <f>+D985*E985/100</f>
        <v>#REF!</v>
      </c>
      <c r="G985" s="94"/>
      <c r="H985" s="89"/>
    </row>
    <row r="986" spans="2:8" ht="18" x14ac:dyDescent="0.25">
      <c r="B986" s="85" t="s">
        <v>79</v>
      </c>
      <c r="C986" s="85"/>
      <c r="D986" s="107" t="e">
        <f>+'RES CUENTA'!#REF!</f>
        <v>#REF!</v>
      </c>
      <c r="E986" s="108">
        <f>+'RES CUENTA'!P48</f>
        <v>0</v>
      </c>
      <c r="F986" s="103" t="e">
        <f>+D986</f>
        <v>#REF!</v>
      </c>
      <c r="G986" s="89"/>
      <c r="H986" s="89"/>
    </row>
    <row r="987" spans="2:8" ht="18" x14ac:dyDescent="0.25">
      <c r="B987" s="85" t="s">
        <v>80</v>
      </c>
      <c r="C987" s="85"/>
      <c r="D987" s="107" t="e">
        <f>+'RES CUENTA'!#REF!</f>
        <v>#REF!</v>
      </c>
      <c r="E987" s="108">
        <f>+'RES CUENTA'!R46</f>
        <v>0</v>
      </c>
      <c r="F987" s="103" t="e">
        <f>+D987</f>
        <v>#REF!</v>
      </c>
      <c r="G987" s="89"/>
      <c r="H987" s="89"/>
    </row>
    <row r="988" spans="2:8" ht="18" x14ac:dyDescent="0.25">
      <c r="B988" s="86"/>
      <c r="C988" s="85"/>
      <c r="D988" s="85"/>
      <c r="F988" s="104" t="e">
        <f>SUM(F984:F987)</f>
        <v>#REF!</v>
      </c>
      <c r="G988" s="89"/>
      <c r="H988" s="89"/>
    </row>
    <row r="989" spans="2:8" ht="18" x14ac:dyDescent="0.25">
      <c r="B989" s="86"/>
      <c r="C989" s="85"/>
      <c r="D989" s="85"/>
      <c r="F989" s="104"/>
      <c r="G989" s="89"/>
      <c r="H989" s="89"/>
    </row>
    <row r="990" spans="2:8" ht="18" x14ac:dyDescent="0.25">
      <c r="B990" s="86"/>
      <c r="C990" s="85"/>
      <c r="D990" s="85"/>
      <c r="F990" s="91"/>
      <c r="G990" s="89"/>
      <c r="H990" s="90"/>
    </row>
    <row r="991" spans="2:8" ht="18" x14ac:dyDescent="0.25">
      <c r="B991" s="85"/>
      <c r="C991" s="85"/>
      <c r="D991" s="85"/>
      <c r="E991" s="85"/>
      <c r="F991" s="92"/>
      <c r="G991" s="90"/>
      <c r="H991" s="90"/>
    </row>
    <row r="992" spans="2:8" ht="18" x14ac:dyDescent="0.25">
      <c r="B992" s="85"/>
      <c r="C992" s="85"/>
      <c r="D992" s="85"/>
      <c r="E992" s="85"/>
      <c r="F992" s="92"/>
      <c r="G992" s="90"/>
      <c r="H992" s="90"/>
    </row>
    <row r="993" spans="2:8" ht="18" x14ac:dyDescent="0.25">
      <c r="B993" s="85"/>
      <c r="C993" s="85"/>
      <c r="D993" s="85"/>
      <c r="E993" s="85"/>
      <c r="F993" s="92"/>
      <c r="G993" s="90"/>
      <c r="H993" s="90"/>
    </row>
    <row r="994" spans="2:8" ht="18" x14ac:dyDescent="0.25">
      <c r="B994" s="85">
        <f>+B979</f>
        <v>0</v>
      </c>
      <c r="C994" s="85"/>
      <c r="D994" s="85"/>
      <c r="E994" s="85">
        <f>+B979</f>
        <v>0</v>
      </c>
      <c r="F994" s="85"/>
      <c r="G994" s="85"/>
      <c r="H994" s="94"/>
    </row>
    <row r="995" spans="2:8" ht="18" x14ac:dyDescent="0.25">
      <c r="B995" s="86"/>
      <c r="C995" s="85"/>
      <c r="D995" s="85"/>
      <c r="F995" s="85"/>
      <c r="G995" s="101"/>
      <c r="H995" s="90" t="str">
        <f>+H980</f>
        <v>Unid. 26</v>
      </c>
    </row>
    <row r="996" spans="2:8" ht="18" x14ac:dyDescent="0.25">
      <c r="B996" s="85" t="str">
        <f>+E1</f>
        <v>Lima 461 C:A:B:A:</v>
      </c>
      <c r="C996" s="85"/>
      <c r="D996" s="93" t="str">
        <f>+H995</f>
        <v>Unid. 26</v>
      </c>
      <c r="E996" s="85" t="str">
        <f>+E1</f>
        <v>Lima 461 C:A:B:A:</v>
      </c>
      <c r="F996" s="85"/>
      <c r="G996" s="85"/>
      <c r="H996" s="94"/>
    </row>
    <row r="997" spans="2:8" ht="18" x14ac:dyDescent="0.25">
      <c r="B997" s="86"/>
      <c r="C997" s="86"/>
      <c r="D997" s="86"/>
      <c r="F997" s="85"/>
      <c r="G997" s="85"/>
    </row>
    <row r="998" spans="2:8" ht="18" x14ac:dyDescent="0.25">
      <c r="B998" s="85"/>
      <c r="C998" s="85"/>
      <c r="D998" s="85"/>
      <c r="E998" s="86"/>
      <c r="F998" s="85"/>
      <c r="G998" s="85"/>
      <c r="H998" s="94"/>
    </row>
    <row r="999" spans="2:8" ht="18" x14ac:dyDescent="0.25">
      <c r="B999" s="85"/>
      <c r="C999" s="85"/>
      <c r="D999" s="85"/>
      <c r="E999" s="85"/>
      <c r="F999" s="96"/>
      <c r="G999" s="86"/>
      <c r="H999" s="90"/>
    </row>
    <row r="1000" spans="2:8" ht="18" x14ac:dyDescent="0.25">
      <c r="B1000" s="85"/>
      <c r="C1000" s="85"/>
      <c r="D1000" s="85"/>
      <c r="E1000" s="96"/>
      <c r="G1000" s="94"/>
      <c r="H1000" s="96"/>
    </row>
    <row r="1001" spans="2:8" ht="18" x14ac:dyDescent="0.25">
      <c r="B1001" s="86"/>
      <c r="C1001" s="85"/>
      <c r="D1001" s="85"/>
      <c r="E1001" s="85" t="s">
        <v>200</v>
      </c>
      <c r="F1001" s="106" t="e">
        <f>+F984</f>
        <v>#REF!</v>
      </c>
      <c r="G1001" s="95"/>
      <c r="H1001" s="99">
        <f>+B1005</f>
        <v>46188</v>
      </c>
    </row>
    <row r="1002" spans="2:8" ht="18" x14ac:dyDescent="0.25">
      <c r="B1002" s="86"/>
      <c r="C1002" s="85"/>
      <c r="D1002" s="85"/>
      <c r="E1002" s="85" t="s">
        <v>201</v>
      </c>
      <c r="F1002" s="106" t="e">
        <f>+F985</f>
        <v>#REF!</v>
      </c>
      <c r="H1002" s="90"/>
    </row>
    <row r="1003" spans="2:8" ht="18" x14ac:dyDescent="0.25">
      <c r="B1003" s="85"/>
      <c r="C1003" s="85"/>
      <c r="D1003" s="85"/>
      <c r="E1003" s="85" t="s">
        <v>81</v>
      </c>
      <c r="F1003" s="106" t="e">
        <f>+F986</f>
        <v>#REF!</v>
      </c>
      <c r="G1003" s="85"/>
      <c r="H1003" s="90"/>
    </row>
    <row r="1004" spans="2:8" ht="18" x14ac:dyDescent="0.25">
      <c r="B1004" s="96"/>
      <c r="C1004" s="96"/>
      <c r="D1004" s="96"/>
      <c r="E1004" s="85" t="s">
        <v>82</v>
      </c>
      <c r="F1004" s="106">
        <f>+'RES CUENTA'!R881</f>
        <v>0</v>
      </c>
      <c r="G1004" s="85"/>
      <c r="H1004" s="90"/>
    </row>
    <row r="1005" spans="2:8" ht="18" x14ac:dyDescent="0.25">
      <c r="B1005" s="99">
        <f>+$G$30</f>
        <v>46188</v>
      </c>
      <c r="C1005" s="105" t="e">
        <f>+F988</f>
        <v>#REF!</v>
      </c>
      <c r="D1005" s="85"/>
      <c r="E1005" s="85" t="s">
        <v>188</v>
      </c>
      <c r="F1005" s="106">
        <v>0</v>
      </c>
      <c r="G1005" s="85"/>
      <c r="H1005" s="90"/>
    </row>
    <row r="1006" spans="2:8" ht="18" x14ac:dyDescent="0.25">
      <c r="B1006" s="85"/>
      <c r="C1006" s="85"/>
      <c r="D1006" s="85"/>
      <c r="E1006" s="85" t="s">
        <v>83</v>
      </c>
      <c r="F1006" s="106" t="e">
        <f>+F988</f>
        <v>#REF!</v>
      </c>
      <c r="G1006" s="85"/>
      <c r="H1006" s="90"/>
    </row>
    <row r="1007" spans="2:8" ht="18" x14ac:dyDescent="0.25">
      <c r="B1007" s="85"/>
      <c r="C1007" s="85"/>
      <c r="D1007" s="85"/>
      <c r="E1007" s="85"/>
      <c r="F1007" s="85"/>
      <c r="G1007" s="85"/>
      <c r="H1007" s="90"/>
    </row>
    <row r="1008" spans="2:8" ht="18" x14ac:dyDescent="0.25">
      <c r="B1008" s="85"/>
      <c r="C1008" s="85"/>
      <c r="D1008" s="85"/>
      <c r="E1008" s="102"/>
      <c r="F1008" s="85"/>
      <c r="G1008" s="85"/>
      <c r="H1008" s="90"/>
    </row>
    <row r="1009" spans="2:8" ht="18" x14ac:dyDescent="0.25">
      <c r="B1009" s="85"/>
      <c r="C1009" s="85"/>
      <c r="D1009" s="85"/>
      <c r="E1009" s="85"/>
      <c r="F1009" s="85"/>
      <c r="G1009" s="85"/>
      <c r="H1009" s="94"/>
    </row>
    <row r="1010" spans="2:8" ht="9.75" customHeight="1" x14ac:dyDescent="0.25">
      <c r="E1010" s="85"/>
      <c r="G1010" s="94"/>
      <c r="H1010" s="90"/>
    </row>
    <row r="1012" spans="2:8" ht="18" x14ac:dyDescent="0.25">
      <c r="B1012" s="343"/>
      <c r="C1012" s="343"/>
      <c r="D1012" s="343"/>
      <c r="E1012" s="342">
        <f>+$B$1</f>
        <v>46143</v>
      </c>
      <c r="F1012" s="85"/>
      <c r="G1012" s="337">
        <f>+$D$1</f>
        <v>46188</v>
      </c>
      <c r="H1012" s="90"/>
    </row>
    <row r="1013" spans="2:8" ht="18" x14ac:dyDescent="0.25">
      <c r="B1013" s="84"/>
      <c r="C1013" s="84"/>
      <c r="D1013" s="100"/>
      <c r="E1013" s="342"/>
      <c r="F1013" s="85"/>
      <c r="G1013" s="337"/>
      <c r="H1013" s="90"/>
    </row>
    <row r="1014" spans="2:8" ht="18" x14ac:dyDescent="0.25">
      <c r="B1014" s="85"/>
      <c r="C1014" s="85"/>
      <c r="D1014" s="85"/>
      <c r="E1014" s="86"/>
      <c r="F1014" s="85"/>
      <c r="G1014" s="86"/>
      <c r="H1014" s="90"/>
    </row>
    <row r="1015" spans="2:8" ht="18" x14ac:dyDescent="0.25">
      <c r="B1015" s="85" t="e">
        <f>+#REF!</f>
        <v>#REF!</v>
      </c>
      <c r="C1015" s="85"/>
      <c r="D1015" s="85"/>
      <c r="E1015" s="86"/>
      <c r="F1015" s="85"/>
      <c r="G1015" s="86"/>
      <c r="H1015" s="90"/>
    </row>
    <row r="1016" spans="2:8" ht="18" x14ac:dyDescent="0.25">
      <c r="B1016" s="86"/>
      <c r="C1016" s="85"/>
      <c r="D1016" s="85"/>
      <c r="E1016" s="85" t="str">
        <f>+E34</f>
        <v>Lima 461 C:A:B:A:</v>
      </c>
      <c r="F1016" s="85"/>
      <c r="G1016" s="85"/>
      <c r="H1016" s="90" t="s">
        <v>110</v>
      </c>
    </row>
    <row r="1017" spans="2:8" ht="18" x14ac:dyDescent="0.25">
      <c r="B1017" s="85"/>
      <c r="C1017" s="85"/>
      <c r="D1017" s="85"/>
      <c r="E1017" s="86"/>
      <c r="F1017" s="86"/>
      <c r="G1017" s="85"/>
      <c r="H1017" s="94"/>
    </row>
    <row r="1018" spans="2:8" ht="18" x14ac:dyDescent="0.25">
      <c r="B1018" s="94"/>
      <c r="C1018" s="85"/>
      <c r="D1018" s="94"/>
      <c r="E1018" s="85"/>
      <c r="F1018" s="85"/>
      <c r="G1018" s="85"/>
      <c r="H1018" s="90"/>
    </row>
    <row r="1019" spans="2:8" ht="18" x14ac:dyDescent="0.25">
      <c r="B1019" s="94"/>
      <c r="C1019" s="85"/>
      <c r="D1019" s="94"/>
      <c r="E1019" s="85"/>
      <c r="F1019" s="85"/>
      <c r="G1019" s="85"/>
      <c r="H1019" s="90"/>
    </row>
    <row r="1020" spans="2:8" ht="18" x14ac:dyDescent="0.25">
      <c r="B1020" s="85" t="s">
        <v>198</v>
      </c>
      <c r="C1020" s="85"/>
      <c r="D1020" s="107">
        <f>+'RES CUENTA'!$L$25</f>
        <v>10859801.41</v>
      </c>
      <c r="E1020" s="108" t="e">
        <f>+'RES CUENTA'!#REF!</f>
        <v>#REF!</v>
      </c>
      <c r="F1020" s="103" t="e">
        <f>+D1020*E1020/100</f>
        <v>#REF!</v>
      </c>
      <c r="G1020" s="345"/>
      <c r="H1020" s="345"/>
    </row>
    <row r="1021" spans="2:8" ht="18" x14ac:dyDescent="0.25">
      <c r="B1021" s="85" t="s">
        <v>199</v>
      </c>
      <c r="C1021" s="85"/>
      <c r="D1021" s="107">
        <v>0</v>
      </c>
      <c r="E1021" s="108">
        <v>0</v>
      </c>
      <c r="F1021" s="103">
        <f>+D1021*E1021/100</f>
        <v>0</v>
      </c>
      <c r="G1021" s="341"/>
      <c r="H1021" s="341"/>
    </row>
    <row r="1022" spans="2:8" ht="18" x14ac:dyDescent="0.25">
      <c r="B1022" s="85" t="s">
        <v>79</v>
      </c>
      <c r="C1022" s="85"/>
      <c r="D1022" s="107" t="e">
        <f>+'RES CUENTA'!#REF!</f>
        <v>#REF!</v>
      </c>
      <c r="E1022" s="108">
        <v>0</v>
      </c>
      <c r="F1022" s="103" t="e">
        <f>+D1022</f>
        <v>#REF!</v>
      </c>
      <c r="G1022" s="341"/>
      <c r="H1022" s="341"/>
    </row>
    <row r="1023" spans="2:8" ht="18" x14ac:dyDescent="0.25">
      <c r="B1023" s="85" t="s">
        <v>80</v>
      </c>
      <c r="C1023" s="85"/>
      <c r="D1023" s="107" t="e">
        <f>+'RES CUENTA'!#REF!</f>
        <v>#REF!</v>
      </c>
      <c r="E1023" s="108">
        <v>0</v>
      </c>
      <c r="F1023" s="103" t="e">
        <f>+D1023</f>
        <v>#REF!</v>
      </c>
      <c r="G1023" s="341"/>
      <c r="H1023" s="341"/>
    </row>
    <row r="1024" spans="2:8" ht="18" x14ac:dyDescent="0.25">
      <c r="B1024" s="86"/>
      <c r="C1024" s="85"/>
      <c r="D1024" s="85"/>
      <c r="E1024" s="92"/>
      <c r="F1024" s="104" t="e">
        <f>SUM(F1020:F1023)</f>
        <v>#REF!</v>
      </c>
      <c r="G1024" s="341"/>
      <c r="H1024" s="341"/>
    </row>
    <row r="1025" spans="2:8" ht="18" x14ac:dyDescent="0.25">
      <c r="B1025" s="86"/>
      <c r="C1025" s="85"/>
      <c r="D1025" s="85"/>
      <c r="E1025" s="92"/>
      <c r="F1025" s="104"/>
      <c r="G1025" s="89"/>
      <c r="H1025" s="89"/>
    </row>
    <row r="1026" spans="2:8" ht="18" x14ac:dyDescent="0.25">
      <c r="B1026" s="86"/>
      <c r="C1026" s="85"/>
      <c r="D1026" s="85"/>
      <c r="E1026" s="85"/>
      <c r="G1026" s="338"/>
      <c r="H1026" s="338"/>
    </row>
    <row r="1027" spans="2:8" ht="18" x14ac:dyDescent="0.25">
      <c r="B1027" s="85"/>
      <c r="C1027" s="85"/>
      <c r="D1027" s="85"/>
      <c r="E1027" s="85"/>
      <c r="F1027" s="91"/>
      <c r="G1027" s="90"/>
      <c r="H1027" s="90"/>
    </row>
    <row r="1028" spans="2:8" ht="18" x14ac:dyDescent="0.25">
      <c r="B1028" s="85"/>
      <c r="C1028" s="85"/>
      <c r="D1028" s="85"/>
      <c r="E1028" s="85"/>
      <c r="F1028" s="92"/>
      <c r="G1028" s="85"/>
      <c r="H1028" s="90"/>
    </row>
    <row r="1029" spans="2:8" ht="18" x14ac:dyDescent="0.25">
      <c r="B1029" s="85"/>
      <c r="C1029" s="85"/>
      <c r="D1029" s="85"/>
      <c r="E1029" s="85"/>
      <c r="F1029" s="92"/>
      <c r="G1029" s="85"/>
      <c r="H1029" s="90"/>
    </row>
    <row r="1030" spans="2:8" ht="18" x14ac:dyDescent="0.25">
      <c r="B1030" s="85" t="e">
        <f>+B1015</f>
        <v>#REF!</v>
      </c>
      <c r="C1030" s="344"/>
      <c r="D1030" s="344"/>
      <c r="E1030" s="85"/>
      <c r="F1030" s="92"/>
      <c r="G1030" s="85"/>
      <c r="H1030" s="90"/>
    </row>
    <row r="1031" spans="2:8" ht="18" x14ac:dyDescent="0.25">
      <c r="C1031" s="85"/>
      <c r="D1031" s="85"/>
      <c r="F1031" s="344"/>
      <c r="G1031" s="344"/>
      <c r="H1031" s="344"/>
    </row>
    <row r="1032" spans="2:8" ht="18" x14ac:dyDescent="0.25">
      <c r="B1032" s="85" t="str">
        <f>+$E$1</f>
        <v>Lima 461 C:A:B:A:</v>
      </c>
      <c r="C1032" s="85"/>
      <c r="D1032" s="93" t="str">
        <f>+H1016</f>
        <v>Unid. 27</v>
      </c>
      <c r="E1032" s="85" t="str">
        <f>+$E$1</f>
        <v>Lima 461 C:A:B:A:</v>
      </c>
      <c r="F1032" s="85"/>
      <c r="G1032" s="85"/>
      <c r="H1032" s="90" t="str">
        <f>+D1032</f>
        <v>Unid. 27</v>
      </c>
    </row>
    <row r="1033" spans="2:8" ht="18" x14ac:dyDescent="0.25">
      <c r="H1033" s="94"/>
    </row>
    <row r="1034" spans="2:8" ht="18" x14ac:dyDescent="0.25">
      <c r="B1034" s="86"/>
      <c r="C1034" s="86"/>
      <c r="D1034" s="86"/>
      <c r="E1034" s="86"/>
      <c r="F1034" s="85"/>
      <c r="G1034" s="85"/>
    </row>
    <row r="1035" spans="2:8" ht="18" x14ac:dyDescent="0.25">
      <c r="B1035" s="85">
        <f>+$E$2</f>
        <v>0</v>
      </c>
      <c r="C1035" s="85"/>
      <c r="D1035" s="85"/>
      <c r="E1035" s="85"/>
      <c r="F1035" s="85"/>
      <c r="G1035" s="86"/>
      <c r="H1035" s="94"/>
    </row>
    <row r="1036" spans="2:8" ht="18" x14ac:dyDescent="0.25">
      <c r="B1036" s="85">
        <f>+$E$3</f>
        <v>0</v>
      </c>
      <c r="C1036" s="85"/>
      <c r="D1036" s="85"/>
      <c r="E1036" s="96"/>
      <c r="F1036" s="85"/>
      <c r="G1036" s="94"/>
      <c r="H1036" s="90"/>
    </row>
    <row r="1037" spans="2:8" ht="18" x14ac:dyDescent="0.25">
      <c r="C1037" s="85"/>
      <c r="D1037" s="85"/>
      <c r="E1037" s="85" t="s">
        <v>200</v>
      </c>
      <c r="F1037" s="106" t="e">
        <f>+F1020</f>
        <v>#REF!</v>
      </c>
      <c r="H1037" s="99">
        <f>+B1042</f>
        <v>46188</v>
      </c>
    </row>
    <row r="1038" spans="2:8" ht="18" x14ac:dyDescent="0.25">
      <c r="B1038" s="86"/>
      <c r="C1038" s="85"/>
      <c r="D1038" s="85"/>
      <c r="E1038" s="85" t="s">
        <v>201</v>
      </c>
      <c r="F1038" s="106">
        <f>+F1021</f>
        <v>0</v>
      </c>
    </row>
    <row r="1039" spans="2:8" ht="18" x14ac:dyDescent="0.25">
      <c r="B1039" s="86"/>
      <c r="C1039" s="85"/>
      <c r="D1039" s="85"/>
      <c r="E1039" s="85" t="s">
        <v>81</v>
      </c>
      <c r="F1039" s="106" t="e">
        <f>+F1022</f>
        <v>#REF!</v>
      </c>
      <c r="G1039" s="85"/>
      <c r="H1039" s="90"/>
    </row>
    <row r="1040" spans="2:8" ht="18" x14ac:dyDescent="0.25">
      <c r="B1040" s="85"/>
      <c r="C1040" s="85"/>
      <c r="D1040" s="85"/>
      <c r="E1040" s="85" t="s">
        <v>82</v>
      </c>
      <c r="F1040" s="106" t="e">
        <f>+F1023</f>
        <v>#REF!</v>
      </c>
      <c r="G1040" s="85"/>
      <c r="H1040" s="90"/>
    </row>
    <row r="1041" spans="2:8" ht="18" x14ac:dyDescent="0.25">
      <c r="B1041" s="96"/>
      <c r="C1041" s="96"/>
      <c r="D1041" s="96"/>
      <c r="E1041" s="85" t="s">
        <v>188</v>
      </c>
      <c r="F1041" s="106">
        <v>0</v>
      </c>
      <c r="G1041" s="85"/>
      <c r="H1041" s="90"/>
    </row>
    <row r="1042" spans="2:8" ht="18" x14ac:dyDescent="0.25">
      <c r="B1042" s="99">
        <f>+$G$30</f>
        <v>46188</v>
      </c>
      <c r="C1042" s="105" t="e">
        <f>+F1024</f>
        <v>#REF!</v>
      </c>
      <c r="D1042" s="85"/>
      <c r="E1042" s="85" t="s">
        <v>83</v>
      </c>
      <c r="F1042" s="106" t="e">
        <f>+F1024</f>
        <v>#REF!</v>
      </c>
      <c r="G1042" s="85"/>
      <c r="H1042" s="90"/>
    </row>
    <row r="1043" spans="2:8" ht="18" x14ac:dyDescent="0.25">
      <c r="B1043" s="85"/>
      <c r="C1043" s="85"/>
      <c r="D1043" s="85"/>
      <c r="E1043" s="102"/>
      <c r="F1043" s="85"/>
      <c r="G1043" s="85"/>
      <c r="H1043" s="90"/>
    </row>
    <row r="1044" spans="2:8" ht="18" x14ac:dyDescent="0.25">
      <c r="B1044" s="85"/>
      <c r="C1044" s="85"/>
      <c r="D1044" s="85"/>
      <c r="F1044" s="85"/>
      <c r="G1044" s="85"/>
      <c r="H1044" s="90"/>
    </row>
    <row r="1045" spans="2:8" ht="18" x14ac:dyDescent="0.25">
      <c r="B1045" s="85"/>
      <c r="C1045" s="85"/>
      <c r="D1045" s="85"/>
      <c r="E1045" s="85"/>
      <c r="F1045" s="85"/>
      <c r="G1045" s="85"/>
      <c r="H1045" s="90"/>
    </row>
    <row r="1046" spans="2:8" ht="18" x14ac:dyDescent="0.25">
      <c r="B1046" s="85"/>
      <c r="C1046" s="85"/>
      <c r="D1046" s="85"/>
      <c r="E1046" s="85"/>
      <c r="F1046" s="85"/>
      <c r="G1046" s="345"/>
      <c r="H1046" s="345"/>
    </row>
    <row r="1047" spans="2:8" ht="18" x14ac:dyDescent="0.25">
      <c r="B1047" s="85"/>
      <c r="C1047" s="85"/>
      <c r="D1047" s="85"/>
      <c r="E1047" s="85"/>
      <c r="F1047" s="85"/>
      <c r="G1047" s="85"/>
      <c r="H1047" s="90"/>
    </row>
    <row r="1048" spans="2:8" ht="18" x14ac:dyDescent="0.25">
      <c r="B1048" s="85"/>
      <c r="C1048" s="85"/>
      <c r="D1048" s="85"/>
      <c r="E1048" s="85"/>
      <c r="F1048" s="85"/>
      <c r="G1048" s="85"/>
      <c r="H1048" s="90"/>
    </row>
    <row r="1049" spans="2:8" ht="18" x14ac:dyDescent="0.25">
      <c r="B1049" s="85"/>
      <c r="C1049" s="85"/>
      <c r="D1049" s="85"/>
      <c r="E1049" s="85"/>
      <c r="F1049" s="85"/>
      <c r="G1049" s="85"/>
      <c r="H1049" s="90"/>
    </row>
    <row r="1050" spans="2:8" ht="18" x14ac:dyDescent="0.25">
      <c r="B1050" s="85"/>
      <c r="C1050" s="85"/>
      <c r="D1050" s="85"/>
      <c r="E1050" s="85"/>
      <c r="F1050" s="85"/>
      <c r="G1050" s="85"/>
      <c r="H1050" s="90"/>
    </row>
    <row r="1051" spans="2:8" ht="18" x14ac:dyDescent="0.25">
      <c r="B1051" s="343"/>
      <c r="C1051" s="343"/>
      <c r="D1051" s="343"/>
      <c r="E1051" s="98">
        <f>+$B$1</f>
        <v>46143</v>
      </c>
      <c r="F1051" s="85"/>
      <c r="G1051" s="99">
        <f>+$D$1</f>
        <v>46188</v>
      </c>
      <c r="H1051" s="160"/>
    </row>
    <row r="1052" spans="2:8" ht="18" x14ac:dyDescent="0.25">
      <c r="B1052" s="84"/>
      <c r="C1052" s="84"/>
      <c r="D1052" s="100"/>
      <c r="E1052" s="98"/>
      <c r="F1052" s="85"/>
    </row>
    <row r="1053" spans="2:8" ht="18" x14ac:dyDescent="0.25">
      <c r="B1053" s="85" t="e">
        <f>+#REF!</f>
        <v>#REF!</v>
      </c>
      <c r="C1053" s="85"/>
      <c r="D1053" s="85"/>
      <c r="F1053" s="85"/>
    </row>
    <row r="1054" spans="2:8" ht="18" x14ac:dyDescent="0.25">
      <c r="C1054" s="85"/>
      <c r="D1054" s="85"/>
      <c r="E1054" s="85" t="str">
        <f>+$E$1</f>
        <v>Lima 461 C:A:B:A:</v>
      </c>
      <c r="F1054" s="85"/>
      <c r="H1054" s="90" t="s">
        <v>111</v>
      </c>
    </row>
    <row r="1055" spans="2:8" ht="18" x14ac:dyDescent="0.25">
      <c r="B1055" s="86"/>
      <c r="C1055" s="85"/>
      <c r="D1055" s="85"/>
      <c r="F1055" s="85"/>
      <c r="G1055" s="86"/>
    </row>
    <row r="1056" spans="2:8" ht="18" x14ac:dyDescent="0.25">
      <c r="B1056" s="85"/>
      <c r="C1056" s="85"/>
      <c r="D1056" s="85"/>
      <c r="E1056" s="86"/>
      <c r="F1056" s="86"/>
      <c r="G1056" s="85"/>
      <c r="H1056" s="94"/>
    </row>
    <row r="1057" spans="2:8" ht="18" x14ac:dyDescent="0.25">
      <c r="B1057" s="94"/>
      <c r="C1057" s="85"/>
      <c r="D1057" s="94"/>
      <c r="E1057" s="85"/>
      <c r="F1057" s="85"/>
      <c r="G1057" s="85"/>
      <c r="H1057" s="90"/>
    </row>
    <row r="1058" spans="2:8" ht="18" x14ac:dyDescent="0.25">
      <c r="B1058" s="85" t="s">
        <v>198</v>
      </c>
      <c r="C1058" s="85"/>
      <c r="D1058" s="107">
        <f>+'RES CUENTA'!$L$25</f>
        <v>10859801.41</v>
      </c>
      <c r="E1058" s="108" t="e">
        <f>+'RES CUENTA'!#REF!</f>
        <v>#REF!</v>
      </c>
      <c r="F1058" s="103" t="e">
        <f>+D1058*E1058/100</f>
        <v>#REF!</v>
      </c>
      <c r="G1058" s="85"/>
      <c r="H1058" s="94"/>
    </row>
    <row r="1059" spans="2:8" ht="18" x14ac:dyDescent="0.25">
      <c r="B1059" s="85" t="s">
        <v>199</v>
      </c>
      <c r="C1059" s="85"/>
      <c r="D1059" s="107" t="e">
        <f>+'RES CUENTA'!#REF!</f>
        <v>#REF!</v>
      </c>
      <c r="E1059" s="108" t="e">
        <f>+'RES CUENTA'!#REF!</f>
        <v>#REF!</v>
      </c>
      <c r="F1059" s="103" t="e">
        <f>+D1059*E1059/100</f>
        <v>#REF!</v>
      </c>
      <c r="G1059" s="94"/>
      <c r="H1059" s="89"/>
    </row>
    <row r="1060" spans="2:8" ht="18" x14ac:dyDescent="0.25">
      <c r="B1060" s="85" t="s">
        <v>79</v>
      </c>
      <c r="C1060" s="85"/>
      <c r="D1060" s="107" t="e">
        <f>+'RES CUENTA'!#REF!</f>
        <v>#REF!</v>
      </c>
      <c r="E1060" s="108">
        <f>+'RES CUENTA'!P143</f>
        <v>0</v>
      </c>
      <c r="F1060" s="103" t="e">
        <f>+D1060</f>
        <v>#REF!</v>
      </c>
      <c r="G1060" s="89"/>
      <c r="H1060" s="89"/>
    </row>
    <row r="1061" spans="2:8" ht="18" x14ac:dyDescent="0.25">
      <c r="B1061" s="85" t="s">
        <v>80</v>
      </c>
      <c r="C1061" s="85"/>
      <c r="D1061" s="107" t="e">
        <f>+'RES CUENTA'!#REF!</f>
        <v>#REF!</v>
      </c>
      <c r="E1061" s="108">
        <f>+'RES CUENTA'!R138</f>
        <v>0</v>
      </c>
      <c r="F1061" s="103">
        <f>+'RES CUENTA'!R957</f>
        <v>0</v>
      </c>
      <c r="G1061" s="89"/>
      <c r="H1061" s="89"/>
    </row>
    <row r="1062" spans="2:8" ht="18" x14ac:dyDescent="0.25">
      <c r="B1062" s="86"/>
      <c r="C1062" s="85"/>
      <c r="D1062" s="85"/>
      <c r="F1062" s="104" t="e">
        <f>SUM(F1058:F1061)</f>
        <v>#REF!</v>
      </c>
      <c r="G1062" s="89"/>
      <c r="H1062" s="89"/>
    </row>
    <row r="1063" spans="2:8" ht="18" x14ac:dyDescent="0.25">
      <c r="B1063" s="86"/>
      <c r="C1063" s="85"/>
      <c r="D1063" s="85"/>
      <c r="F1063" s="104"/>
      <c r="G1063" s="89"/>
      <c r="H1063" s="89"/>
    </row>
    <row r="1064" spans="2:8" ht="18" x14ac:dyDescent="0.25">
      <c r="B1064" s="86"/>
      <c r="C1064" s="85"/>
      <c r="D1064" s="85"/>
      <c r="F1064" s="91"/>
      <c r="G1064" s="89"/>
      <c r="H1064" s="90"/>
    </row>
    <row r="1065" spans="2:8" ht="18" x14ac:dyDescent="0.25">
      <c r="B1065" s="85"/>
      <c r="C1065" s="85"/>
      <c r="D1065" s="85"/>
      <c r="E1065" s="85"/>
      <c r="F1065" s="92"/>
      <c r="G1065" s="90"/>
      <c r="H1065" s="90"/>
    </row>
    <row r="1066" spans="2:8" ht="18" x14ac:dyDescent="0.25">
      <c r="B1066" s="85"/>
      <c r="C1066" s="85"/>
      <c r="D1066" s="85"/>
      <c r="E1066" s="85"/>
      <c r="F1066" s="92"/>
      <c r="G1066" s="90"/>
      <c r="H1066" s="90"/>
    </row>
    <row r="1067" spans="2:8" ht="18" x14ac:dyDescent="0.25">
      <c r="B1067" s="85"/>
      <c r="C1067" s="85"/>
      <c r="D1067" s="85"/>
      <c r="E1067" s="85"/>
      <c r="F1067" s="92"/>
      <c r="G1067" s="90"/>
      <c r="H1067" s="90"/>
    </row>
    <row r="1068" spans="2:8" ht="18" x14ac:dyDescent="0.25">
      <c r="B1068" s="85" t="e">
        <f>+B1053</f>
        <v>#REF!</v>
      </c>
      <c r="C1068" s="85"/>
      <c r="D1068" s="85"/>
      <c r="E1068" s="85" t="e">
        <f>+B1053</f>
        <v>#REF!</v>
      </c>
      <c r="F1068" s="85"/>
      <c r="G1068" s="85"/>
      <c r="H1068" s="94"/>
    </row>
    <row r="1069" spans="2:8" ht="18" x14ac:dyDescent="0.25">
      <c r="B1069" s="86"/>
      <c r="C1069" s="85"/>
      <c r="D1069" s="85"/>
      <c r="F1069" s="85"/>
      <c r="G1069" s="101"/>
      <c r="H1069" s="90" t="str">
        <f>+H1054</f>
        <v>Unid. 28</v>
      </c>
    </row>
    <row r="1070" spans="2:8" ht="18" x14ac:dyDescent="0.25">
      <c r="B1070" s="85" t="str">
        <f>+$E$1</f>
        <v>Lima 461 C:A:B:A:</v>
      </c>
      <c r="C1070" s="85"/>
      <c r="D1070" s="93" t="str">
        <f>+H1069</f>
        <v>Unid. 28</v>
      </c>
      <c r="E1070" s="85" t="str">
        <f>+$E$1</f>
        <v>Lima 461 C:A:B:A:</v>
      </c>
      <c r="F1070" s="85"/>
      <c r="G1070" s="85"/>
      <c r="H1070" s="94"/>
    </row>
    <row r="1071" spans="2:8" ht="18" x14ac:dyDescent="0.25">
      <c r="B1071" s="86"/>
      <c r="C1071" s="86"/>
      <c r="D1071" s="86"/>
      <c r="F1071" s="85"/>
      <c r="G1071" s="85"/>
    </row>
    <row r="1072" spans="2:8" ht="18" x14ac:dyDescent="0.25">
      <c r="B1072" s="85"/>
      <c r="C1072" s="85"/>
      <c r="D1072" s="85"/>
      <c r="E1072" s="86"/>
      <c r="F1072" s="85"/>
      <c r="G1072" s="85"/>
      <c r="H1072" s="94"/>
    </row>
    <row r="1073" spans="2:8" ht="18" x14ac:dyDescent="0.25">
      <c r="B1073" s="85">
        <f>+$E$2</f>
        <v>0</v>
      </c>
      <c r="C1073" s="85"/>
      <c r="D1073" s="85"/>
      <c r="E1073" s="85"/>
      <c r="F1073" s="96"/>
      <c r="G1073" s="86"/>
      <c r="H1073" s="90"/>
    </row>
    <row r="1074" spans="2:8" ht="18" x14ac:dyDescent="0.25">
      <c r="B1074" s="85">
        <f>+$E$3</f>
        <v>0</v>
      </c>
      <c r="C1074" s="85"/>
      <c r="D1074" s="85"/>
      <c r="E1074" s="96"/>
      <c r="G1074" s="94"/>
      <c r="H1074" s="96"/>
    </row>
    <row r="1075" spans="2:8" ht="18" x14ac:dyDescent="0.25">
      <c r="B1075" s="86"/>
      <c r="C1075" s="85"/>
      <c r="D1075" s="85"/>
      <c r="E1075" s="85" t="s">
        <v>200</v>
      </c>
      <c r="F1075" s="106" t="e">
        <f>+F1058</f>
        <v>#REF!</v>
      </c>
      <c r="G1075" s="95"/>
      <c r="H1075" s="99">
        <f>+B1079</f>
        <v>46188</v>
      </c>
    </row>
    <row r="1076" spans="2:8" ht="18" x14ac:dyDescent="0.25">
      <c r="B1076" s="86"/>
      <c r="C1076" s="85"/>
      <c r="D1076" s="85"/>
      <c r="E1076" s="85" t="s">
        <v>201</v>
      </c>
      <c r="F1076" s="106" t="e">
        <f>+F1059</f>
        <v>#REF!</v>
      </c>
      <c r="H1076" s="90"/>
    </row>
    <row r="1077" spans="2:8" ht="18" x14ac:dyDescent="0.25">
      <c r="B1077" s="85"/>
      <c r="C1077" s="85"/>
      <c r="D1077" s="85"/>
      <c r="E1077" s="85" t="s">
        <v>81</v>
      </c>
      <c r="F1077" s="106" t="e">
        <f>+F1060</f>
        <v>#REF!</v>
      </c>
      <c r="G1077" s="85"/>
      <c r="H1077" s="90"/>
    </row>
    <row r="1078" spans="2:8" ht="18" x14ac:dyDescent="0.25">
      <c r="B1078" s="96"/>
      <c r="C1078" s="96"/>
      <c r="D1078" s="96"/>
      <c r="E1078" s="85" t="s">
        <v>82</v>
      </c>
      <c r="F1078" s="106">
        <f>+'RES CUENTA'!R957</f>
        <v>0</v>
      </c>
      <c r="G1078" s="85"/>
      <c r="H1078" s="90"/>
    </row>
    <row r="1079" spans="2:8" ht="18" x14ac:dyDescent="0.25">
      <c r="B1079" s="99">
        <f>+$G$30</f>
        <v>46188</v>
      </c>
      <c r="C1079" s="105" t="e">
        <f>+F1062</f>
        <v>#REF!</v>
      </c>
      <c r="D1079" s="85"/>
      <c r="E1079" s="85" t="s">
        <v>188</v>
      </c>
      <c r="F1079" s="106">
        <v>0</v>
      </c>
      <c r="G1079" s="85"/>
      <c r="H1079" s="90"/>
    </row>
    <row r="1080" spans="2:8" ht="18" x14ac:dyDescent="0.25">
      <c r="B1080" s="85"/>
      <c r="C1080" s="85"/>
      <c r="D1080" s="85"/>
      <c r="E1080" s="85" t="s">
        <v>83</v>
      </c>
      <c r="F1080" s="106" t="e">
        <f>+F1062</f>
        <v>#REF!</v>
      </c>
      <c r="G1080" s="85"/>
      <c r="H1080" s="90"/>
    </row>
    <row r="1081" spans="2:8" ht="18" x14ac:dyDescent="0.25">
      <c r="B1081" s="85"/>
      <c r="C1081" s="85"/>
      <c r="D1081" s="85"/>
      <c r="E1081" s="85"/>
      <c r="F1081" s="85"/>
      <c r="G1081" s="85"/>
      <c r="H1081" s="90"/>
    </row>
    <row r="1082" spans="2:8" ht="18" x14ac:dyDescent="0.25">
      <c r="B1082" s="85"/>
      <c r="C1082" s="85"/>
      <c r="D1082" s="85"/>
      <c r="E1082" s="102"/>
      <c r="F1082" s="85"/>
      <c r="G1082" s="85"/>
      <c r="H1082" s="90"/>
    </row>
    <row r="1083" spans="2:8" ht="18" x14ac:dyDescent="0.25">
      <c r="B1083" s="85"/>
      <c r="C1083" s="85"/>
      <c r="D1083" s="85"/>
      <c r="E1083" s="85"/>
      <c r="F1083" s="85"/>
      <c r="G1083" s="85"/>
      <c r="H1083" s="94"/>
    </row>
    <row r="1084" spans="2:8" ht="18" x14ac:dyDescent="0.25">
      <c r="E1084" s="85"/>
      <c r="G1084" s="94"/>
      <c r="H1084" s="90"/>
    </row>
    <row r="1086" spans="2:8" ht="18" x14ac:dyDescent="0.25">
      <c r="B1086" s="343"/>
      <c r="C1086" s="343"/>
      <c r="D1086" s="343"/>
      <c r="E1086" s="342">
        <f>+$B$1</f>
        <v>46143</v>
      </c>
      <c r="F1086" s="85"/>
      <c r="G1086" s="337">
        <f>+$D$1</f>
        <v>46188</v>
      </c>
      <c r="H1086" s="90"/>
    </row>
    <row r="1087" spans="2:8" ht="18" x14ac:dyDescent="0.25">
      <c r="B1087" s="84"/>
      <c r="C1087" s="84"/>
      <c r="D1087" s="100"/>
      <c r="E1087" s="342"/>
      <c r="F1087" s="85"/>
      <c r="G1087" s="337"/>
      <c r="H1087" s="90"/>
    </row>
    <row r="1088" spans="2:8" ht="18" x14ac:dyDescent="0.25">
      <c r="B1088" s="85"/>
      <c r="C1088" s="85"/>
      <c r="D1088" s="85"/>
      <c r="E1088" s="86"/>
      <c r="F1088" s="85"/>
      <c r="G1088" s="86"/>
      <c r="H1088" s="90"/>
    </row>
    <row r="1089" spans="2:8" ht="18" x14ac:dyDescent="0.25">
      <c r="B1089" s="85" t="e">
        <f>+#REF!</f>
        <v>#REF!</v>
      </c>
      <c r="C1089" s="85"/>
      <c r="D1089" s="85"/>
      <c r="E1089" s="86"/>
      <c r="F1089" s="85"/>
      <c r="G1089" s="86"/>
      <c r="H1089" s="90"/>
    </row>
    <row r="1090" spans="2:8" ht="18" x14ac:dyDescent="0.25">
      <c r="B1090" s="86"/>
      <c r="C1090" s="85"/>
      <c r="D1090" s="85"/>
      <c r="E1090" s="85" t="s">
        <v>78</v>
      </c>
      <c r="F1090" s="85"/>
      <c r="G1090" s="85"/>
      <c r="H1090" s="90" t="s">
        <v>112</v>
      </c>
    </row>
    <row r="1091" spans="2:8" ht="18" x14ac:dyDescent="0.25">
      <c r="B1091" s="85"/>
      <c r="C1091" s="85"/>
      <c r="D1091" s="85"/>
      <c r="E1091" s="86"/>
      <c r="F1091" s="86"/>
      <c r="G1091" s="85"/>
      <c r="H1091" s="94"/>
    </row>
    <row r="1092" spans="2:8" ht="18" x14ac:dyDescent="0.25">
      <c r="B1092" s="94"/>
      <c r="C1092" s="85"/>
      <c r="D1092" s="94"/>
      <c r="E1092" s="85"/>
      <c r="F1092" s="85"/>
      <c r="G1092" s="85"/>
      <c r="H1092" s="90"/>
    </row>
    <row r="1093" spans="2:8" ht="18" x14ac:dyDescent="0.25">
      <c r="B1093" s="94"/>
      <c r="C1093" s="85"/>
      <c r="D1093" s="94"/>
      <c r="E1093" s="85"/>
      <c r="F1093" s="85"/>
      <c r="G1093" s="85"/>
      <c r="H1093" s="90"/>
    </row>
    <row r="1094" spans="2:8" ht="18" x14ac:dyDescent="0.25">
      <c r="B1094" s="85" t="s">
        <v>198</v>
      </c>
      <c r="C1094" s="85"/>
      <c r="D1094" s="107">
        <f>+'RES CUENTA'!$L$25</f>
        <v>10859801.41</v>
      </c>
      <c r="E1094" s="108" t="e">
        <f>+'RES CUENTA'!#REF!</f>
        <v>#REF!</v>
      </c>
      <c r="F1094" s="103" t="e">
        <f>+D1094*E1094/100</f>
        <v>#REF!</v>
      </c>
      <c r="G1094" s="345"/>
      <c r="H1094" s="345"/>
    </row>
    <row r="1095" spans="2:8" ht="18" x14ac:dyDescent="0.25">
      <c r="B1095" s="85" t="s">
        <v>199</v>
      </c>
      <c r="C1095" s="85"/>
      <c r="D1095" s="107" t="e">
        <f>+'RES CUENTA'!#REF!</f>
        <v>#REF!</v>
      </c>
      <c r="E1095" s="108" t="e">
        <f>+'RES CUENTA'!#REF!</f>
        <v>#REF!</v>
      </c>
      <c r="F1095" s="103" t="e">
        <f>+D1095*E1095/100</f>
        <v>#REF!</v>
      </c>
      <c r="G1095" s="341"/>
      <c r="H1095" s="341"/>
    </row>
    <row r="1096" spans="2:8" ht="18" x14ac:dyDescent="0.25">
      <c r="B1096" s="85" t="s">
        <v>79</v>
      </c>
      <c r="C1096" s="85"/>
      <c r="D1096" s="107" t="e">
        <f>+'RES CUENTA'!#REF!</f>
        <v>#REF!</v>
      </c>
      <c r="E1096" s="108">
        <v>0</v>
      </c>
      <c r="F1096" s="103" t="e">
        <f>+D1096</f>
        <v>#REF!</v>
      </c>
      <c r="G1096" s="341"/>
      <c r="H1096" s="341"/>
    </row>
    <row r="1097" spans="2:8" ht="18" x14ac:dyDescent="0.25">
      <c r="B1097" s="85" t="s">
        <v>80</v>
      </c>
      <c r="C1097" s="85"/>
      <c r="D1097" s="107" t="e">
        <f>+'RES CUENTA'!#REF!</f>
        <v>#REF!</v>
      </c>
      <c r="E1097" s="108">
        <v>0</v>
      </c>
      <c r="F1097" s="103" t="e">
        <f>+D1097</f>
        <v>#REF!</v>
      </c>
      <c r="G1097" s="341"/>
      <c r="H1097" s="341"/>
    </row>
    <row r="1098" spans="2:8" ht="18" x14ac:dyDescent="0.25">
      <c r="B1098" s="86"/>
      <c r="C1098" s="85"/>
      <c r="D1098" s="85"/>
      <c r="E1098" s="92"/>
      <c r="F1098" s="104" t="e">
        <f>SUM(F1094:F1097)</f>
        <v>#REF!</v>
      </c>
      <c r="G1098" s="341"/>
      <c r="H1098" s="341"/>
    </row>
    <row r="1099" spans="2:8" ht="18" x14ac:dyDescent="0.25">
      <c r="B1099" s="86"/>
      <c r="C1099" s="85"/>
      <c r="D1099" s="85"/>
      <c r="E1099" s="85"/>
      <c r="G1099" s="338"/>
      <c r="H1099" s="338"/>
    </row>
    <row r="1100" spans="2:8" ht="18" x14ac:dyDescent="0.25">
      <c r="B1100" s="85"/>
      <c r="C1100" s="85"/>
      <c r="D1100" s="85"/>
      <c r="E1100" s="85"/>
      <c r="F1100" s="91"/>
      <c r="G1100" s="90"/>
      <c r="H1100" s="90"/>
    </row>
    <row r="1101" spans="2:8" ht="18" x14ac:dyDescent="0.25">
      <c r="B1101" s="85"/>
      <c r="C1101" s="85"/>
      <c r="D1101" s="85"/>
      <c r="E1101" s="85"/>
      <c r="F1101" s="91"/>
      <c r="G1101" s="90"/>
      <c r="H1101" s="90"/>
    </row>
    <row r="1102" spans="2:8" ht="18" x14ac:dyDescent="0.25">
      <c r="B1102" s="85"/>
      <c r="C1102" s="85"/>
      <c r="D1102" s="85"/>
      <c r="E1102" s="85"/>
      <c r="F1102" s="92"/>
      <c r="G1102" s="85"/>
      <c r="H1102" s="90"/>
    </row>
    <row r="1103" spans="2:8" ht="18" x14ac:dyDescent="0.25">
      <c r="B1103" s="85"/>
      <c r="C1103" s="85"/>
      <c r="D1103" s="85"/>
      <c r="E1103" s="85"/>
      <c r="F1103" s="92"/>
      <c r="G1103" s="85"/>
      <c r="H1103" s="90"/>
    </row>
    <row r="1104" spans="2:8" ht="18" x14ac:dyDescent="0.25">
      <c r="B1104" s="85" t="e">
        <f>+B1089</f>
        <v>#REF!</v>
      </c>
      <c r="C1104" s="344"/>
      <c r="D1104" s="344"/>
      <c r="E1104" s="85" t="e">
        <f>+B1104</f>
        <v>#REF!</v>
      </c>
      <c r="F1104" s="92"/>
      <c r="G1104" s="85"/>
      <c r="H1104" s="90"/>
    </row>
    <row r="1105" spans="2:8" ht="18" x14ac:dyDescent="0.25">
      <c r="C1105" s="85"/>
      <c r="D1105" s="85"/>
      <c r="F1105" s="344"/>
      <c r="G1105" s="344"/>
      <c r="H1105" s="344"/>
    </row>
    <row r="1106" spans="2:8" ht="18" x14ac:dyDescent="0.25">
      <c r="B1106" s="85" t="str">
        <f>+$E$1</f>
        <v>Lima 461 C:A:B:A:</v>
      </c>
      <c r="C1106" s="85"/>
      <c r="D1106" s="93" t="str">
        <f>+H1090</f>
        <v>Unid. 29</v>
      </c>
      <c r="E1106" s="85" t="str">
        <f>+$E$1</f>
        <v>Lima 461 C:A:B:A:</v>
      </c>
      <c r="F1106" s="85"/>
      <c r="G1106" s="85"/>
      <c r="H1106" s="90" t="str">
        <f>+D1106</f>
        <v>Unid. 29</v>
      </c>
    </row>
    <row r="1107" spans="2:8" ht="18" x14ac:dyDescent="0.25">
      <c r="H1107" s="94"/>
    </row>
    <row r="1108" spans="2:8" ht="18" x14ac:dyDescent="0.25">
      <c r="B1108" s="86"/>
      <c r="C1108" s="86"/>
      <c r="D1108" s="86"/>
      <c r="E1108" s="86"/>
      <c r="F1108" s="85"/>
      <c r="G1108" s="85"/>
    </row>
    <row r="1109" spans="2:8" ht="18" x14ac:dyDescent="0.25">
      <c r="B1109" s="85">
        <f>+$E$2</f>
        <v>0</v>
      </c>
      <c r="C1109" s="85"/>
      <c r="D1109" s="85"/>
      <c r="E1109" s="85"/>
      <c r="F1109" s="85"/>
      <c r="G1109" s="86"/>
      <c r="H1109" s="94"/>
    </row>
    <row r="1110" spans="2:8" ht="18" x14ac:dyDescent="0.25">
      <c r="B1110" s="85">
        <f>+$E$3</f>
        <v>0</v>
      </c>
      <c r="C1110" s="85"/>
      <c r="D1110" s="85"/>
      <c r="E1110" s="96"/>
      <c r="F1110" s="85"/>
      <c r="G1110" s="94"/>
      <c r="H1110" s="90"/>
    </row>
    <row r="1111" spans="2:8" ht="18" x14ac:dyDescent="0.25">
      <c r="C1111" s="85"/>
      <c r="D1111" s="85"/>
      <c r="E1111" s="85" t="s">
        <v>200</v>
      </c>
      <c r="F1111" s="106" t="e">
        <f>+F1094</f>
        <v>#REF!</v>
      </c>
      <c r="H1111" s="99">
        <f>+B1116</f>
        <v>46188</v>
      </c>
    </row>
    <row r="1112" spans="2:8" ht="18" x14ac:dyDescent="0.25">
      <c r="B1112" s="86"/>
      <c r="C1112" s="85"/>
      <c r="D1112" s="85"/>
      <c r="E1112" s="85" t="s">
        <v>201</v>
      </c>
      <c r="F1112" s="106" t="e">
        <f>+F1095</f>
        <v>#REF!</v>
      </c>
    </row>
    <row r="1113" spans="2:8" ht="18" x14ac:dyDescent="0.25">
      <c r="B1113" s="86"/>
      <c r="C1113" s="85"/>
      <c r="D1113" s="85"/>
      <c r="E1113" s="85" t="s">
        <v>81</v>
      </c>
      <c r="F1113" s="106" t="e">
        <f>+F1096</f>
        <v>#REF!</v>
      </c>
      <c r="G1113" s="85"/>
      <c r="H1113" s="90"/>
    </row>
    <row r="1114" spans="2:8" ht="18" x14ac:dyDescent="0.25">
      <c r="B1114" s="85"/>
      <c r="C1114" s="85"/>
      <c r="D1114" s="85"/>
      <c r="E1114" s="85" t="s">
        <v>82</v>
      </c>
      <c r="F1114" s="106" t="e">
        <f>+F1097</f>
        <v>#REF!</v>
      </c>
      <c r="G1114" s="85"/>
      <c r="H1114" s="90"/>
    </row>
    <row r="1115" spans="2:8" ht="18" x14ac:dyDescent="0.25">
      <c r="B1115" s="96"/>
      <c r="C1115" s="96"/>
      <c r="D1115" s="96"/>
      <c r="E1115" s="85" t="s">
        <v>188</v>
      </c>
      <c r="F1115" s="106">
        <v>0</v>
      </c>
      <c r="G1115" s="85"/>
      <c r="H1115" s="90"/>
    </row>
    <row r="1116" spans="2:8" ht="18" x14ac:dyDescent="0.25">
      <c r="B1116" s="99">
        <f>+$G$30</f>
        <v>46188</v>
      </c>
      <c r="C1116" s="105" t="e">
        <f>+F1098</f>
        <v>#REF!</v>
      </c>
      <c r="D1116" s="85"/>
      <c r="E1116" s="85" t="s">
        <v>83</v>
      </c>
      <c r="F1116" s="106" t="e">
        <f>+F1098</f>
        <v>#REF!</v>
      </c>
      <c r="G1116" s="85"/>
      <c r="H1116" s="90"/>
    </row>
    <row r="1117" spans="2:8" ht="18" x14ac:dyDescent="0.25">
      <c r="B1117" s="85"/>
      <c r="C1117" s="85"/>
      <c r="D1117" s="85"/>
      <c r="E1117" s="102"/>
      <c r="F1117" s="85"/>
      <c r="G1117" s="85"/>
      <c r="H1117" s="90"/>
    </row>
    <row r="1118" spans="2:8" ht="18" x14ac:dyDescent="0.25">
      <c r="B1118" s="85"/>
      <c r="C1118" s="85"/>
      <c r="D1118" s="85"/>
      <c r="E1118" s="85"/>
      <c r="F1118" s="85"/>
      <c r="G1118" s="345"/>
      <c r="H1118" s="345"/>
    </row>
    <row r="1119" spans="2:8" ht="18" x14ac:dyDescent="0.25">
      <c r="B1119" s="85"/>
      <c r="C1119" s="85"/>
      <c r="D1119" s="85"/>
      <c r="E1119" s="85"/>
      <c r="F1119" s="85"/>
      <c r="G1119" s="85"/>
      <c r="H1119" s="90"/>
    </row>
    <row r="1120" spans="2:8" ht="18" x14ac:dyDescent="0.25">
      <c r="B1120" s="85"/>
      <c r="C1120" s="85"/>
      <c r="D1120" s="85"/>
      <c r="E1120" s="85"/>
      <c r="F1120" s="85"/>
      <c r="G1120" s="85"/>
      <c r="H1120" s="90"/>
    </row>
    <row r="1121" spans="2:8" ht="18" x14ac:dyDescent="0.25">
      <c r="B1121" s="85"/>
      <c r="C1121" s="85"/>
      <c r="D1121" s="85"/>
      <c r="E1121" s="85"/>
      <c r="F1121" s="85"/>
      <c r="G1121" s="85"/>
      <c r="H1121" s="90"/>
    </row>
    <row r="1122" spans="2:8" ht="18" x14ac:dyDescent="0.25">
      <c r="B1122" s="85"/>
      <c r="C1122" s="85"/>
      <c r="D1122" s="85"/>
      <c r="E1122" s="85"/>
      <c r="F1122" s="85"/>
      <c r="H1122" s="90"/>
    </row>
    <row r="1123" spans="2:8" ht="18" x14ac:dyDescent="0.25">
      <c r="B1123" s="85"/>
      <c r="C1123" s="85"/>
      <c r="D1123" s="85"/>
      <c r="E1123" s="85"/>
      <c r="F1123" s="85"/>
      <c r="H1123" s="90"/>
    </row>
    <row r="1124" spans="2:8" ht="18" x14ac:dyDescent="0.25">
      <c r="B1124" s="343"/>
      <c r="C1124" s="343"/>
      <c r="D1124" s="343"/>
      <c r="E1124" s="85"/>
      <c r="F1124" s="85"/>
      <c r="H1124" s="90"/>
    </row>
    <row r="1125" spans="2:8" ht="18" x14ac:dyDescent="0.25">
      <c r="B1125" s="343"/>
      <c r="C1125" s="343"/>
      <c r="D1125" s="343"/>
      <c r="E1125" s="98">
        <f>+$B$1</f>
        <v>46143</v>
      </c>
      <c r="F1125" s="85"/>
      <c r="G1125" s="99">
        <f>+$D$1</f>
        <v>46188</v>
      </c>
      <c r="H1125" s="160"/>
    </row>
    <row r="1126" spans="2:8" ht="18" x14ac:dyDescent="0.25">
      <c r="B1126" s="84"/>
      <c r="C1126" s="84"/>
      <c r="D1126" s="100"/>
      <c r="E1126" s="98"/>
      <c r="F1126" s="85"/>
    </row>
    <row r="1127" spans="2:8" ht="18" x14ac:dyDescent="0.25">
      <c r="B1127" s="85" t="e">
        <f>+#REF!</f>
        <v>#REF!</v>
      </c>
      <c r="C1127" s="85"/>
      <c r="D1127" s="85"/>
      <c r="F1127" s="85"/>
    </row>
    <row r="1128" spans="2:8" ht="18" x14ac:dyDescent="0.25">
      <c r="C1128" s="85"/>
      <c r="D1128" s="85"/>
      <c r="E1128" s="85" t="str">
        <f>+$E$1</f>
        <v>Lima 461 C:A:B:A:</v>
      </c>
      <c r="F1128" s="85"/>
      <c r="H1128" s="90" t="s">
        <v>113</v>
      </c>
    </row>
    <row r="1129" spans="2:8" ht="18" x14ac:dyDescent="0.25">
      <c r="B1129" s="86"/>
      <c r="C1129" s="85"/>
      <c r="D1129" s="85"/>
      <c r="F1129" s="85"/>
      <c r="G1129" s="86"/>
    </row>
    <row r="1130" spans="2:8" ht="18" x14ac:dyDescent="0.25">
      <c r="B1130" s="85"/>
      <c r="C1130" s="85"/>
      <c r="D1130" s="85"/>
      <c r="E1130" s="86"/>
      <c r="F1130" s="86"/>
      <c r="G1130" s="85"/>
      <c r="H1130" s="94"/>
    </row>
    <row r="1131" spans="2:8" ht="18" x14ac:dyDescent="0.25">
      <c r="B1131" s="94"/>
      <c r="C1131" s="85"/>
      <c r="D1131" s="94"/>
      <c r="E1131" s="85"/>
      <c r="F1131" s="85"/>
      <c r="G1131" s="85"/>
      <c r="H1131" s="90"/>
    </row>
    <row r="1132" spans="2:8" ht="18" x14ac:dyDescent="0.25">
      <c r="B1132" s="85" t="s">
        <v>198</v>
      </c>
      <c r="C1132" s="85"/>
      <c r="D1132" s="107">
        <f>+'RES CUENTA'!$L$25</f>
        <v>10859801.41</v>
      </c>
      <c r="E1132" s="108" t="e">
        <f>+'RES CUENTA'!#REF!</f>
        <v>#REF!</v>
      </c>
      <c r="F1132" s="103" t="e">
        <f>+D1132*E1132/100</f>
        <v>#REF!</v>
      </c>
      <c r="G1132" s="85"/>
      <c r="H1132" s="94"/>
    </row>
    <row r="1133" spans="2:8" ht="18" x14ac:dyDescent="0.25">
      <c r="B1133" s="85" t="s">
        <v>199</v>
      </c>
      <c r="C1133" s="85"/>
      <c r="D1133" s="107" t="e">
        <f>+'RES CUENTA'!#REF!</f>
        <v>#REF!</v>
      </c>
      <c r="E1133" s="108" t="e">
        <f>+'RES CUENTA'!#REF!</f>
        <v>#REF!</v>
      </c>
      <c r="F1133" s="103" t="e">
        <f>+D1133*E1133/100</f>
        <v>#REF!</v>
      </c>
      <c r="G1133" s="94"/>
      <c r="H1133" s="89"/>
    </row>
    <row r="1134" spans="2:8" ht="18" x14ac:dyDescent="0.25">
      <c r="B1134" s="85" t="s">
        <v>79</v>
      </c>
      <c r="C1134" s="85"/>
      <c r="D1134" s="107" t="e">
        <f>+'RES CUENTA'!#REF!</f>
        <v>#REF!</v>
      </c>
      <c r="E1134" s="108">
        <f>+'RES CUENTA'!P219</f>
        <v>0</v>
      </c>
      <c r="F1134" s="103" t="e">
        <f>+D1134</f>
        <v>#REF!</v>
      </c>
      <c r="G1134" s="89"/>
      <c r="H1134" s="89"/>
    </row>
    <row r="1135" spans="2:8" ht="18" x14ac:dyDescent="0.25">
      <c r="B1135" s="85" t="s">
        <v>80</v>
      </c>
      <c r="C1135" s="85"/>
      <c r="D1135" s="107" t="e">
        <f>+'RES CUENTA'!#REF!</f>
        <v>#REF!</v>
      </c>
      <c r="E1135" s="108">
        <f>+'RES CUENTA'!R214</f>
        <v>0</v>
      </c>
      <c r="F1135" s="103">
        <f>+'RES CUENTA'!R1033</f>
        <v>0</v>
      </c>
      <c r="G1135" s="89"/>
      <c r="H1135" s="89"/>
    </row>
    <row r="1136" spans="2:8" ht="18" x14ac:dyDescent="0.25">
      <c r="B1136" s="86"/>
      <c r="C1136" s="85"/>
      <c r="D1136" s="85"/>
      <c r="F1136" s="104" t="e">
        <f>SUM(F1132:F1135)</f>
        <v>#REF!</v>
      </c>
      <c r="G1136" s="89"/>
      <c r="H1136" s="89"/>
    </row>
    <row r="1137" spans="2:8" ht="18" x14ac:dyDescent="0.25">
      <c r="B1137" s="86"/>
      <c r="C1137" s="85"/>
      <c r="D1137" s="85"/>
      <c r="F1137" s="91"/>
      <c r="G1137" s="89"/>
      <c r="H1137" s="90"/>
    </row>
    <row r="1138" spans="2:8" ht="18" x14ac:dyDescent="0.25">
      <c r="B1138" s="86"/>
      <c r="C1138" s="85"/>
      <c r="D1138" s="85"/>
      <c r="F1138" s="91"/>
      <c r="G1138" s="89"/>
      <c r="H1138" s="90"/>
    </row>
    <row r="1139" spans="2:8" ht="18" x14ac:dyDescent="0.25">
      <c r="B1139" s="85"/>
      <c r="C1139" s="85"/>
      <c r="D1139" s="85"/>
      <c r="E1139" s="85"/>
      <c r="F1139" s="92"/>
      <c r="G1139" s="90"/>
      <c r="H1139" s="90"/>
    </row>
    <row r="1140" spans="2:8" ht="18" x14ac:dyDescent="0.25">
      <c r="B1140" s="85"/>
      <c r="C1140" s="85"/>
      <c r="D1140" s="85"/>
      <c r="E1140" s="85"/>
      <c r="F1140" s="92"/>
      <c r="G1140" s="90"/>
      <c r="H1140" s="90"/>
    </row>
    <row r="1141" spans="2:8" ht="18" x14ac:dyDescent="0.25">
      <c r="B1141" s="85"/>
      <c r="C1141" s="85"/>
      <c r="D1141" s="85"/>
      <c r="E1141" s="85"/>
      <c r="F1141" s="92"/>
      <c r="G1141" s="90"/>
      <c r="H1141" s="90"/>
    </row>
    <row r="1142" spans="2:8" ht="18" x14ac:dyDescent="0.25">
      <c r="B1142" s="85" t="e">
        <f>+B1127</f>
        <v>#REF!</v>
      </c>
      <c r="C1142" s="85"/>
      <c r="D1142" s="85"/>
      <c r="E1142" s="85" t="e">
        <f>+B1127</f>
        <v>#REF!</v>
      </c>
      <c r="F1142" s="85"/>
      <c r="G1142" s="85"/>
      <c r="H1142" s="94"/>
    </row>
    <row r="1143" spans="2:8" ht="18" x14ac:dyDescent="0.25">
      <c r="B1143" s="86"/>
      <c r="C1143" s="85"/>
      <c r="D1143" s="85"/>
      <c r="F1143" s="85"/>
      <c r="G1143" s="101"/>
      <c r="H1143" s="90" t="str">
        <f>+H1128</f>
        <v>Unid. 30</v>
      </c>
    </row>
    <row r="1144" spans="2:8" ht="18" x14ac:dyDescent="0.25">
      <c r="B1144" s="85" t="str">
        <f>+$E$1</f>
        <v>Lima 461 C:A:B:A:</v>
      </c>
      <c r="C1144" s="85"/>
      <c r="D1144" s="93" t="str">
        <f>+H1143</f>
        <v>Unid. 30</v>
      </c>
      <c r="E1144" s="85" t="str">
        <f>+$E$1</f>
        <v>Lima 461 C:A:B:A:</v>
      </c>
      <c r="F1144" s="85"/>
      <c r="G1144" s="85"/>
      <c r="H1144" s="94"/>
    </row>
    <row r="1145" spans="2:8" ht="18" x14ac:dyDescent="0.25">
      <c r="B1145" s="86"/>
      <c r="C1145" s="86"/>
      <c r="D1145" s="86"/>
      <c r="F1145" s="85"/>
      <c r="G1145" s="85"/>
    </row>
    <row r="1146" spans="2:8" ht="18" x14ac:dyDescent="0.25">
      <c r="B1146" s="85"/>
      <c r="C1146" s="85"/>
      <c r="D1146" s="85"/>
      <c r="E1146" s="86"/>
      <c r="F1146" s="85"/>
      <c r="G1146" s="85"/>
      <c r="H1146" s="94"/>
    </row>
    <row r="1147" spans="2:8" ht="18" x14ac:dyDescent="0.25">
      <c r="B1147" s="85">
        <f>+$E$2</f>
        <v>0</v>
      </c>
      <c r="C1147" s="85"/>
      <c r="D1147" s="85"/>
      <c r="E1147" s="85"/>
      <c r="F1147" s="96"/>
      <c r="G1147" s="86"/>
      <c r="H1147" s="90"/>
    </row>
    <row r="1148" spans="2:8" ht="18" x14ac:dyDescent="0.25">
      <c r="B1148" s="85">
        <f>+$E$3</f>
        <v>0</v>
      </c>
      <c r="C1148" s="85"/>
      <c r="D1148" s="85"/>
      <c r="E1148" s="96"/>
      <c r="G1148" s="94"/>
      <c r="H1148" s="96"/>
    </row>
    <row r="1149" spans="2:8" ht="18" x14ac:dyDescent="0.25">
      <c r="B1149" s="86"/>
      <c r="C1149" s="85"/>
      <c r="D1149" s="85"/>
      <c r="E1149" s="85" t="s">
        <v>200</v>
      </c>
      <c r="F1149" s="106" t="e">
        <f>+F1132</f>
        <v>#REF!</v>
      </c>
      <c r="G1149" s="95"/>
      <c r="H1149" s="99">
        <f>+B1153</f>
        <v>46188</v>
      </c>
    </row>
    <row r="1150" spans="2:8" ht="18" x14ac:dyDescent="0.25">
      <c r="B1150" s="86"/>
      <c r="C1150" s="85"/>
      <c r="D1150" s="85"/>
      <c r="E1150" s="85" t="s">
        <v>201</v>
      </c>
      <c r="F1150" s="106" t="e">
        <f>+F1133</f>
        <v>#REF!</v>
      </c>
      <c r="H1150" s="90"/>
    </row>
    <row r="1151" spans="2:8" ht="18" x14ac:dyDescent="0.25">
      <c r="B1151" s="85"/>
      <c r="C1151" s="85"/>
      <c r="D1151" s="85"/>
      <c r="E1151" s="85" t="s">
        <v>81</v>
      </c>
      <c r="F1151" s="106" t="e">
        <f>+F1134</f>
        <v>#REF!</v>
      </c>
      <c r="G1151" s="85"/>
      <c r="H1151" s="90"/>
    </row>
    <row r="1152" spans="2:8" ht="18" x14ac:dyDescent="0.25">
      <c r="B1152" s="96"/>
      <c r="C1152" s="96"/>
      <c r="D1152" s="96"/>
      <c r="E1152" s="85" t="s">
        <v>82</v>
      </c>
      <c r="F1152" s="106">
        <f>+'RES CUENTA'!R1033</f>
        <v>0</v>
      </c>
      <c r="G1152" s="85"/>
      <c r="H1152" s="90"/>
    </row>
    <row r="1153" spans="2:8" ht="18" x14ac:dyDescent="0.25">
      <c r="B1153" s="99">
        <f>+$G$30</f>
        <v>46188</v>
      </c>
      <c r="C1153" s="105" t="e">
        <f>+F1136</f>
        <v>#REF!</v>
      </c>
      <c r="D1153" s="85"/>
      <c r="E1153" s="85" t="s">
        <v>188</v>
      </c>
      <c r="F1153" s="106">
        <v>0</v>
      </c>
      <c r="G1153" s="85"/>
      <c r="H1153" s="90"/>
    </row>
    <row r="1154" spans="2:8" ht="18" x14ac:dyDescent="0.25">
      <c r="B1154" s="85"/>
      <c r="C1154" s="85"/>
      <c r="D1154" s="85"/>
      <c r="E1154" s="85" t="s">
        <v>83</v>
      </c>
      <c r="F1154" s="106" t="e">
        <f>+F1136</f>
        <v>#REF!</v>
      </c>
      <c r="G1154" s="85"/>
      <c r="H1154" s="90"/>
    </row>
    <row r="1155" spans="2:8" ht="18" x14ac:dyDescent="0.25">
      <c r="B1155" s="85"/>
      <c r="C1155" s="85"/>
      <c r="D1155" s="85"/>
      <c r="E1155" s="85"/>
      <c r="F1155" s="85"/>
      <c r="G1155" s="85"/>
      <c r="H1155" s="90"/>
    </row>
    <row r="1156" spans="2:8" ht="18" x14ac:dyDescent="0.25">
      <c r="B1156" s="85"/>
      <c r="C1156" s="85"/>
      <c r="D1156" s="85"/>
      <c r="E1156" s="102"/>
      <c r="F1156" s="85"/>
      <c r="G1156" s="85"/>
      <c r="H1156" s="90"/>
    </row>
    <row r="1157" spans="2:8" ht="18" x14ac:dyDescent="0.25">
      <c r="B1157" s="85"/>
      <c r="C1157" s="85"/>
      <c r="D1157" s="85"/>
      <c r="E1157" s="85"/>
      <c r="F1157" s="85"/>
      <c r="G1157" s="85"/>
      <c r="H1157" s="94"/>
    </row>
    <row r="1158" spans="2:8" ht="18" x14ac:dyDescent="0.25">
      <c r="E1158" s="85"/>
      <c r="G1158" s="94"/>
      <c r="H1158" s="90"/>
    </row>
    <row r="1160" spans="2:8" ht="18" x14ac:dyDescent="0.25">
      <c r="B1160" s="343"/>
      <c r="C1160" s="343"/>
      <c r="D1160" s="343"/>
      <c r="E1160" s="342">
        <f>+$B$1</f>
        <v>46143</v>
      </c>
      <c r="F1160" s="85"/>
      <c r="G1160" s="337">
        <f>+$D$1</f>
        <v>46188</v>
      </c>
      <c r="H1160" s="90"/>
    </row>
    <row r="1161" spans="2:8" ht="18" x14ac:dyDescent="0.25">
      <c r="B1161" s="84"/>
      <c r="C1161" s="84"/>
      <c r="D1161" s="100"/>
      <c r="E1161" s="342"/>
      <c r="F1161" s="85"/>
      <c r="G1161" s="337"/>
      <c r="H1161" s="90"/>
    </row>
    <row r="1162" spans="2:8" ht="18" x14ac:dyDescent="0.25">
      <c r="B1162" s="85"/>
      <c r="C1162" s="85"/>
      <c r="D1162" s="85"/>
      <c r="E1162" s="86"/>
      <c r="F1162" s="85"/>
      <c r="G1162" s="86"/>
      <c r="H1162" s="90"/>
    </row>
    <row r="1163" spans="2:8" ht="18" x14ac:dyDescent="0.25">
      <c r="B1163" s="85" t="e">
        <f>+#REF!</f>
        <v>#REF!</v>
      </c>
      <c r="C1163" s="85"/>
      <c r="D1163" s="85"/>
      <c r="E1163" s="86"/>
      <c r="F1163" s="85"/>
      <c r="G1163" s="86"/>
      <c r="H1163" s="90"/>
    </row>
    <row r="1164" spans="2:8" ht="18" x14ac:dyDescent="0.25">
      <c r="B1164" s="86"/>
      <c r="C1164" s="85"/>
      <c r="D1164" s="85"/>
      <c r="E1164" s="85" t="s">
        <v>78</v>
      </c>
      <c r="F1164" s="85"/>
      <c r="G1164" s="85"/>
      <c r="H1164" s="90" t="s">
        <v>114</v>
      </c>
    </row>
    <row r="1165" spans="2:8" ht="18" x14ac:dyDescent="0.25">
      <c r="B1165" s="85"/>
      <c r="C1165" s="85"/>
      <c r="D1165" s="85"/>
      <c r="E1165" s="86"/>
      <c r="F1165" s="86"/>
      <c r="G1165" s="85"/>
      <c r="H1165" s="94"/>
    </row>
    <row r="1166" spans="2:8" ht="18" x14ac:dyDescent="0.25">
      <c r="B1166" s="94"/>
      <c r="C1166" s="85"/>
      <c r="D1166" s="94"/>
      <c r="E1166" s="85"/>
      <c r="F1166" s="85"/>
      <c r="G1166" s="85"/>
      <c r="H1166" s="90"/>
    </row>
    <row r="1167" spans="2:8" ht="18" x14ac:dyDescent="0.25">
      <c r="B1167" s="94"/>
      <c r="C1167" s="85"/>
      <c r="D1167" s="94"/>
      <c r="E1167" s="85"/>
      <c r="F1167" s="85"/>
      <c r="G1167" s="85"/>
      <c r="H1167" s="90"/>
    </row>
    <row r="1168" spans="2:8" ht="18" x14ac:dyDescent="0.25">
      <c r="B1168" s="85" t="s">
        <v>198</v>
      </c>
      <c r="C1168" s="85"/>
      <c r="D1168" s="107">
        <f>+'RES CUENTA'!$L$25</f>
        <v>10859801.41</v>
      </c>
      <c r="E1168" s="108" t="e">
        <f>+'RES CUENTA'!#REF!</f>
        <v>#REF!</v>
      </c>
      <c r="F1168" s="103" t="e">
        <f>+D1168*E1168/100</f>
        <v>#REF!</v>
      </c>
      <c r="G1168" s="345"/>
      <c r="H1168" s="345"/>
    </row>
    <row r="1169" spans="2:8" ht="18" x14ac:dyDescent="0.25">
      <c r="B1169" s="85" t="s">
        <v>199</v>
      </c>
      <c r="C1169" s="85"/>
      <c r="D1169" s="107" t="e">
        <f>+'RES CUENTA'!#REF!</f>
        <v>#REF!</v>
      </c>
      <c r="E1169" s="108" t="e">
        <f>+'RES CUENTA'!#REF!</f>
        <v>#REF!</v>
      </c>
      <c r="F1169" s="103" t="e">
        <f>+D1169*E1169/100</f>
        <v>#REF!</v>
      </c>
      <c r="G1169" s="341"/>
      <c r="H1169" s="341"/>
    </row>
    <row r="1170" spans="2:8" ht="18" x14ac:dyDescent="0.25">
      <c r="B1170" s="85" t="s">
        <v>79</v>
      </c>
      <c r="C1170" s="85"/>
      <c r="D1170" s="107" t="e">
        <f>+'RES CUENTA'!#REF!</f>
        <v>#REF!</v>
      </c>
      <c r="E1170" s="108">
        <v>0</v>
      </c>
      <c r="F1170" s="103" t="e">
        <f>+D1170</f>
        <v>#REF!</v>
      </c>
      <c r="G1170" s="341"/>
      <c r="H1170" s="341"/>
    </row>
    <row r="1171" spans="2:8" ht="18" x14ac:dyDescent="0.25">
      <c r="B1171" s="85" t="s">
        <v>80</v>
      </c>
      <c r="C1171" s="85"/>
      <c r="D1171" s="107" t="e">
        <f>+'RES CUENTA'!#REF!</f>
        <v>#REF!</v>
      </c>
      <c r="E1171" s="108">
        <v>0</v>
      </c>
      <c r="F1171" s="103" t="e">
        <f>+D1171</f>
        <v>#REF!</v>
      </c>
      <c r="G1171" s="341"/>
      <c r="H1171" s="341"/>
    </row>
    <row r="1172" spans="2:8" ht="18" x14ac:dyDescent="0.25">
      <c r="B1172" s="86"/>
      <c r="C1172" s="85"/>
      <c r="D1172" s="85"/>
      <c r="E1172" s="92"/>
      <c r="F1172" s="104" t="e">
        <f>SUM(F1168:F1171)</f>
        <v>#REF!</v>
      </c>
      <c r="G1172" s="341"/>
      <c r="H1172" s="341"/>
    </row>
    <row r="1173" spans="2:8" ht="18" x14ac:dyDescent="0.25">
      <c r="B1173" s="86"/>
      <c r="C1173" s="85"/>
      <c r="D1173" s="85"/>
      <c r="E1173" s="92"/>
      <c r="F1173" s="104"/>
      <c r="G1173" s="89"/>
      <c r="H1173" s="89"/>
    </row>
    <row r="1174" spans="2:8" ht="18" x14ac:dyDescent="0.25">
      <c r="B1174" s="86"/>
      <c r="C1174" s="85"/>
      <c r="D1174" s="85"/>
      <c r="E1174" s="85"/>
      <c r="G1174" s="338"/>
      <c r="H1174" s="338"/>
    </row>
    <row r="1175" spans="2:8" ht="18" x14ac:dyDescent="0.25">
      <c r="B1175" s="85"/>
      <c r="C1175" s="85"/>
      <c r="D1175" s="85"/>
      <c r="E1175" s="85"/>
      <c r="F1175" s="91"/>
      <c r="G1175" s="90"/>
      <c r="H1175" s="90"/>
    </row>
    <row r="1176" spans="2:8" ht="18" x14ac:dyDescent="0.25">
      <c r="B1176" s="85"/>
      <c r="C1176" s="85"/>
      <c r="D1176" s="85"/>
      <c r="E1176" s="85"/>
      <c r="F1176" s="92"/>
      <c r="G1176" s="85"/>
      <c r="H1176" s="90"/>
    </row>
    <row r="1177" spans="2:8" ht="18" x14ac:dyDescent="0.25">
      <c r="B1177" s="85"/>
      <c r="C1177" s="85"/>
      <c r="D1177" s="85"/>
      <c r="E1177" s="85"/>
      <c r="F1177" s="92"/>
      <c r="G1177" s="85"/>
      <c r="H1177" s="90"/>
    </row>
    <row r="1178" spans="2:8" ht="18" x14ac:dyDescent="0.25">
      <c r="B1178" s="85" t="e">
        <f>+B1163</f>
        <v>#REF!</v>
      </c>
      <c r="C1178" s="344"/>
      <c r="D1178" s="344"/>
      <c r="E1178" s="85" t="e">
        <f>+B1178</f>
        <v>#REF!</v>
      </c>
      <c r="F1178" s="92"/>
      <c r="G1178" s="85"/>
      <c r="H1178" s="90"/>
    </row>
    <row r="1179" spans="2:8" ht="18" x14ac:dyDescent="0.25">
      <c r="C1179" s="85"/>
      <c r="D1179" s="85"/>
      <c r="F1179" s="344"/>
      <c r="G1179" s="344"/>
      <c r="H1179" s="344"/>
    </row>
    <row r="1180" spans="2:8" ht="18" x14ac:dyDescent="0.25">
      <c r="B1180" s="85" t="str">
        <f>+$E$1</f>
        <v>Lima 461 C:A:B:A:</v>
      </c>
      <c r="C1180" s="85"/>
      <c r="D1180" s="93" t="str">
        <f>+H1164</f>
        <v>Unid. 31</v>
      </c>
      <c r="E1180" s="85" t="str">
        <f>+$E$1</f>
        <v>Lima 461 C:A:B:A:</v>
      </c>
      <c r="F1180" s="85"/>
      <c r="G1180" s="85"/>
      <c r="H1180" s="90" t="str">
        <f>+D1180</f>
        <v>Unid. 31</v>
      </c>
    </row>
    <row r="1181" spans="2:8" ht="18" x14ac:dyDescent="0.25">
      <c r="H1181" s="94"/>
    </row>
    <row r="1182" spans="2:8" ht="18" x14ac:dyDescent="0.25">
      <c r="B1182" s="86"/>
      <c r="C1182" s="86"/>
      <c r="D1182" s="86"/>
      <c r="E1182" s="86"/>
      <c r="F1182" s="85"/>
      <c r="G1182" s="85"/>
    </row>
    <row r="1183" spans="2:8" ht="18" x14ac:dyDescent="0.25">
      <c r="B1183" s="85">
        <f>+$E$2</f>
        <v>0</v>
      </c>
      <c r="C1183" s="85"/>
      <c r="D1183" s="85"/>
      <c r="E1183" s="85"/>
      <c r="F1183" s="85"/>
      <c r="G1183" s="86"/>
      <c r="H1183" s="94"/>
    </row>
    <row r="1184" spans="2:8" ht="18" x14ac:dyDescent="0.25">
      <c r="B1184" s="85">
        <f>+$E$3</f>
        <v>0</v>
      </c>
      <c r="C1184" s="85"/>
      <c r="D1184" s="85"/>
      <c r="E1184" s="96"/>
      <c r="F1184" s="85"/>
      <c r="G1184" s="94"/>
      <c r="H1184" s="90"/>
    </row>
    <row r="1185" spans="2:8" ht="18" x14ac:dyDescent="0.25">
      <c r="C1185" s="85"/>
      <c r="D1185" s="85"/>
      <c r="E1185" s="85" t="s">
        <v>200</v>
      </c>
      <c r="F1185" s="106" t="e">
        <f>+F1168</f>
        <v>#REF!</v>
      </c>
      <c r="H1185" s="99">
        <f>+B1190</f>
        <v>46188</v>
      </c>
    </row>
    <row r="1186" spans="2:8" ht="18" x14ac:dyDescent="0.25">
      <c r="B1186" s="86"/>
      <c r="C1186" s="85"/>
      <c r="D1186" s="85"/>
      <c r="E1186" s="85" t="s">
        <v>201</v>
      </c>
      <c r="F1186" s="106" t="e">
        <f>+F1169</f>
        <v>#REF!</v>
      </c>
    </row>
    <row r="1187" spans="2:8" ht="18" x14ac:dyDescent="0.25">
      <c r="B1187" s="86"/>
      <c r="C1187" s="85"/>
      <c r="D1187" s="85"/>
      <c r="E1187" s="85" t="s">
        <v>81</v>
      </c>
      <c r="F1187" s="106" t="e">
        <f>+F1170</f>
        <v>#REF!</v>
      </c>
      <c r="G1187" s="85"/>
      <c r="H1187" s="90"/>
    </row>
    <row r="1188" spans="2:8" ht="18" x14ac:dyDescent="0.25">
      <c r="B1188" s="85"/>
      <c r="C1188" s="85"/>
      <c r="D1188" s="85"/>
      <c r="E1188" s="85" t="s">
        <v>82</v>
      </c>
      <c r="F1188" s="106" t="e">
        <f>+F1171</f>
        <v>#REF!</v>
      </c>
      <c r="G1188" s="85"/>
      <c r="H1188" s="90"/>
    </row>
    <row r="1189" spans="2:8" ht="18" x14ac:dyDescent="0.25">
      <c r="B1189" s="96"/>
      <c r="C1189" s="96"/>
      <c r="D1189" s="96"/>
      <c r="E1189" s="85" t="s">
        <v>188</v>
      </c>
      <c r="F1189" s="106">
        <v>0</v>
      </c>
      <c r="G1189" s="85"/>
      <c r="H1189" s="90"/>
    </row>
    <row r="1190" spans="2:8" ht="18" x14ac:dyDescent="0.25">
      <c r="B1190" s="99">
        <f>+$G$30</f>
        <v>46188</v>
      </c>
      <c r="C1190" s="105" t="e">
        <f>+F1172</f>
        <v>#REF!</v>
      </c>
      <c r="D1190" s="85"/>
      <c r="E1190" s="85" t="s">
        <v>83</v>
      </c>
      <c r="F1190" s="106" t="e">
        <f>+F1172</f>
        <v>#REF!</v>
      </c>
      <c r="G1190" s="85"/>
      <c r="H1190" s="90"/>
    </row>
    <row r="1191" spans="2:8" ht="18" x14ac:dyDescent="0.25">
      <c r="B1191" s="85"/>
      <c r="C1191" s="85"/>
      <c r="D1191" s="85"/>
      <c r="E1191" s="85"/>
      <c r="F1191" s="85"/>
      <c r="G1191" s="85"/>
      <c r="H1191" s="90"/>
    </row>
    <row r="1192" spans="2:8" ht="18" x14ac:dyDescent="0.25">
      <c r="B1192" s="85"/>
      <c r="C1192" s="85"/>
      <c r="D1192" s="85"/>
      <c r="E1192" s="85"/>
      <c r="F1192" s="85"/>
      <c r="G1192" s="345"/>
      <c r="H1192" s="345"/>
    </row>
    <row r="1193" spans="2:8" ht="18" x14ac:dyDescent="0.25">
      <c r="B1193" s="85"/>
      <c r="C1193" s="85"/>
      <c r="D1193" s="85"/>
      <c r="E1193" s="85"/>
      <c r="F1193" s="85"/>
      <c r="G1193" s="85"/>
      <c r="H1193" s="90"/>
    </row>
    <row r="1194" spans="2:8" ht="18" x14ac:dyDescent="0.25">
      <c r="B1194" s="85"/>
      <c r="C1194" s="85"/>
      <c r="D1194" s="85"/>
      <c r="E1194" s="85"/>
      <c r="F1194" s="85"/>
      <c r="G1194" s="85"/>
      <c r="H1194" s="90"/>
    </row>
    <row r="1195" spans="2:8" ht="18" x14ac:dyDescent="0.25">
      <c r="B1195" s="85"/>
      <c r="C1195" s="85"/>
      <c r="D1195" s="85"/>
      <c r="E1195" s="85"/>
      <c r="F1195" s="85"/>
      <c r="G1195" s="85"/>
      <c r="H1195" s="90"/>
    </row>
    <row r="1196" spans="2:8" ht="18" x14ac:dyDescent="0.25">
      <c r="B1196" s="85"/>
      <c r="C1196" s="85"/>
      <c r="D1196" s="85"/>
      <c r="E1196" s="85"/>
      <c r="F1196" s="85"/>
      <c r="H1196" s="90"/>
    </row>
    <row r="1197" spans="2:8" ht="18" x14ac:dyDescent="0.25">
      <c r="B1197" s="85"/>
      <c r="C1197" s="85"/>
      <c r="D1197" s="85"/>
      <c r="E1197" s="85"/>
      <c r="F1197" s="85"/>
      <c r="H1197" s="90"/>
    </row>
    <row r="1198" spans="2:8" ht="18" x14ac:dyDescent="0.25">
      <c r="B1198" s="343"/>
      <c r="C1198" s="343"/>
      <c r="D1198" s="343"/>
      <c r="E1198" s="85"/>
      <c r="F1198" s="85"/>
      <c r="H1198" s="90"/>
    </row>
    <row r="1199" spans="2:8" ht="18" x14ac:dyDescent="0.25">
      <c r="B1199" s="343"/>
      <c r="C1199" s="343"/>
      <c r="D1199" s="343"/>
      <c r="E1199" s="98">
        <f>+$B$1</f>
        <v>46143</v>
      </c>
      <c r="F1199" s="85"/>
      <c r="G1199" s="99">
        <f>+$D$1</f>
        <v>46188</v>
      </c>
      <c r="H1199" s="160"/>
    </row>
    <row r="1200" spans="2:8" ht="18" x14ac:dyDescent="0.25">
      <c r="B1200" s="84"/>
      <c r="C1200" s="84"/>
      <c r="D1200" s="100"/>
      <c r="E1200" s="98"/>
      <c r="F1200" s="85"/>
    </row>
    <row r="1201" spans="2:8" ht="18" x14ac:dyDescent="0.25">
      <c r="B1201" s="85" t="e">
        <f>+#REF!</f>
        <v>#REF!</v>
      </c>
      <c r="C1201" s="85"/>
      <c r="D1201" s="85"/>
      <c r="F1201" s="85"/>
    </row>
    <row r="1202" spans="2:8" ht="18" x14ac:dyDescent="0.25">
      <c r="C1202" s="85"/>
      <c r="D1202" s="85"/>
      <c r="E1202" s="85" t="str">
        <f>+$E$1</f>
        <v>Lima 461 C:A:B:A:</v>
      </c>
      <c r="F1202" s="85"/>
      <c r="H1202" s="90" t="s">
        <v>115</v>
      </c>
    </row>
    <row r="1203" spans="2:8" ht="18" x14ac:dyDescent="0.25">
      <c r="B1203" s="86"/>
      <c r="C1203" s="85"/>
      <c r="D1203" s="85"/>
      <c r="F1203" s="85"/>
      <c r="G1203" s="86"/>
    </row>
    <row r="1204" spans="2:8" ht="18" x14ac:dyDescent="0.25">
      <c r="B1204" s="85"/>
      <c r="C1204" s="85"/>
      <c r="D1204" s="85"/>
      <c r="E1204" s="86"/>
      <c r="F1204" s="86"/>
      <c r="G1204" s="85"/>
      <c r="H1204" s="94"/>
    </row>
    <row r="1205" spans="2:8" ht="18" x14ac:dyDescent="0.25">
      <c r="B1205" s="94"/>
      <c r="C1205" s="85"/>
      <c r="D1205" s="94"/>
      <c r="E1205" s="85"/>
      <c r="F1205" s="85"/>
      <c r="G1205" s="85"/>
      <c r="H1205" s="90"/>
    </row>
    <row r="1206" spans="2:8" ht="18" x14ac:dyDescent="0.25">
      <c r="B1206" s="85" t="s">
        <v>198</v>
      </c>
      <c r="C1206" s="85"/>
      <c r="D1206" s="107">
        <f>+'RES CUENTA'!$L$25</f>
        <v>10859801.41</v>
      </c>
      <c r="E1206" s="108" t="e">
        <f>+'RES CUENTA'!#REF!</f>
        <v>#REF!</v>
      </c>
      <c r="F1206" s="103" t="e">
        <f>+D1206*E1206/100</f>
        <v>#REF!</v>
      </c>
      <c r="G1206" s="85"/>
      <c r="H1206" s="94"/>
    </row>
    <row r="1207" spans="2:8" ht="18" x14ac:dyDescent="0.25">
      <c r="B1207" s="85" t="s">
        <v>199</v>
      </c>
      <c r="C1207" s="85"/>
      <c r="D1207" s="107" t="e">
        <f>+'RES CUENTA'!#REF!</f>
        <v>#REF!</v>
      </c>
      <c r="E1207" s="108" t="e">
        <f>+'RES CUENTA'!#REF!</f>
        <v>#REF!</v>
      </c>
      <c r="F1207" s="103" t="e">
        <f>+D1207*E1207/100</f>
        <v>#REF!</v>
      </c>
      <c r="G1207" s="94"/>
      <c r="H1207" s="89"/>
    </row>
    <row r="1208" spans="2:8" ht="18" x14ac:dyDescent="0.25">
      <c r="B1208" s="85" t="s">
        <v>79</v>
      </c>
      <c r="C1208" s="85"/>
      <c r="D1208" s="107" t="e">
        <f>+'RES CUENTA'!#REF!</f>
        <v>#REF!</v>
      </c>
      <c r="E1208" s="108">
        <f>+'RES CUENTA'!P295</f>
        <v>0</v>
      </c>
      <c r="F1208" s="103" t="e">
        <f>+D1208</f>
        <v>#REF!</v>
      </c>
      <c r="G1208" s="89"/>
      <c r="H1208" s="89"/>
    </row>
    <row r="1209" spans="2:8" ht="18" x14ac:dyDescent="0.25">
      <c r="B1209" s="85" t="s">
        <v>80</v>
      </c>
      <c r="C1209" s="85"/>
      <c r="D1209" s="107" t="e">
        <f>+'RES CUENTA'!#REF!</f>
        <v>#REF!</v>
      </c>
      <c r="E1209" s="108">
        <f>+'RES CUENTA'!R290</f>
        <v>0</v>
      </c>
      <c r="F1209" s="103" t="e">
        <f>+D1209</f>
        <v>#REF!</v>
      </c>
      <c r="G1209" s="89"/>
      <c r="H1209" s="89"/>
    </row>
    <row r="1210" spans="2:8" ht="18" x14ac:dyDescent="0.25">
      <c r="B1210" s="86"/>
      <c r="C1210" s="85"/>
      <c r="D1210" s="85"/>
      <c r="F1210" s="104" t="e">
        <f>SUM(F1206:F1209)</f>
        <v>#REF!</v>
      </c>
      <c r="G1210" s="89"/>
      <c r="H1210" s="89"/>
    </row>
    <row r="1211" spans="2:8" ht="18" x14ac:dyDescent="0.25">
      <c r="B1211" s="86"/>
      <c r="C1211" s="85"/>
      <c r="D1211" s="85"/>
      <c r="F1211" s="91"/>
      <c r="G1211" s="89"/>
      <c r="H1211" s="90"/>
    </row>
    <row r="1212" spans="2:8" ht="18" x14ac:dyDescent="0.25">
      <c r="B1212" s="86"/>
      <c r="C1212" s="85"/>
      <c r="D1212" s="85"/>
      <c r="F1212" s="91"/>
      <c r="G1212" s="89"/>
      <c r="H1212" s="90"/>
    </row>
    <row r="1213" spans="2:8" ht="18" x14ac:dyDescent="0.25">
      <c r="B1213" s="85"/>
      <c r="C1213" s="85"/>
      <c r="D1213" s="85"/>
      <c r="E1213" s="85"/>
      <c r="F1213" s="92"/>
      <c r="G1213" s="90"/>
      <c r="H1213" s="90"/>
    </row>
    <row r="1214" spans="2:8" ht="18" x14ac:dyDescent="0.25">
      <c r="B1214" s="85"/>
      <c r="C1214" s="85"/>
      <c r="D1214" s="85"/>
      <c r="E1214" s="85"/>
      <c r="F1214" s="92"/>
      <c r="G1214" s="90"/>
      <c r="H1214" s="90"/>
    </row>
    <row r="1215" spans="2:8" ht="18" x14ac:dyDescent="0.25">
      <c r="B1215" s="85"/>
      <c r="C1215" s="85"/>
      <c r="D1215" s="85"/>
      <c r="E1215" s="85"/>
      <c r="F1215" s="92"/>
      <c r="G1215" s="90"/>
      <c r="H1215" s="90"/>
    </row>
    <row r="1216" spans="2:8" ht="18" x14ac:dyDescent="0.25">
      <c r="B1216" s="85" t="e">
        <f>+B1201</f>
        <v>#REF!</v>
      </c>
      <c r="C1216" s="85"/>
      <c r="D1216" s="85"/>
      <c r="E1216" s="85" t="e">
        <f>+B1201</f>
        <v>#REF!</v>
      </c>
      <c r="F1216" s="85"/>
      <c r="G1216" s="85"/>
      <c r="H1216" s="94"/>
    </row>
    <row r="1217" spans="2:8" ht="18" x14ac:dyDescent="0.25">
      <c r="B1217" s="86"/>
      <c r="C1217" s="85"/>
      <c r="D1217" s="85"/>
      <c r="F1217" s="85"/>
      <c r="G1217" s="101"/>
      <c r="H1217" s="90" t="str">
        <f>+H1202</f>
        <v>Unid. 32</v>
      </c>
    </row>
    <row r="1218" spans="2:8" ht="18" x14ac:dyDescent="0.25">
      <c r="B1218" s="85" t="str">
        <f>+$E$1</f>
        <v>Lima 461 C:A:B:A:</v>
      </c>
      <c r="C1218" s="85"/>
      <c r="D1218" s="93" t="str">
        <f>+H1217</f>
        <v>Unid. 32</v>
      </c>
      <c r="E1218" s="85" t="str">
        <f>+$E$1</f>
        <v>Lima 461 C:A:B:A:</v>
      </c>
      <c r="F1218" s="85"/>
      <c r="G1218" s="85"/>
      <c r="H1218" s="94"/>
    </row>
    <row r="1219" spans="2:8" ht="18" x14ac:dyDescent="0.25">
      <c r="B1219" s="86"/>
      <c r="C1219" s="86"/>
      <c r="D1219" s="86"/>
      <c r="F1219" s="85"/>
      <c r="G1219" s="85"/>
    </row>
    <row r="1220" spans="2:8" ht="18" x14ac:dyDescent="0.25">
      <c r="B1220" s="85"/>
      <c r="C1220" s="85"/>
      <c r="D1220" s="85"/>
      <c r="E1220" s="86"/>
      <c r="F1220" s="85"/>
      <c r="G1220" s="85"/>
      <c r="H1220" s="94"/>
    </row>
    <row r="1221" spans="2:8" ht="18" x14ac:dyDescent="0.25">
      <c r="B1221" s="85">
        <f>+$E$2</f>
        <v>0</v>
      </c>
      <c r="C1221" s="85"/>
      <c r="D1221" s="85"/>
      <c r="E1221" s="85"/>
      <c r="F1221" s="96"/>
      <c r="G1221" s="86"/>
      <c r="H1221" s="90"/>
    </row>
    <row r="1222" spans="2:8" ht="18" x14ac:dyDescent="0.25">
      <c r="B1222" s="85">
        <f>+$E$3</f>
        <v>0</v>
      </c>
      <c r="C1222" s="85"/>
      <c r="D1222" s="85"/>
      <c r="E1222" s="96"/>
      <c r="G1222" s="94"/>
      <c r="H1222" s="96"/>
    </row>
    <row r="1223" spans="2:8" ht="18" x14ac:dyDescent="0.25">
      <c r="B1223" s="86"/>
      <c r="C1223" s="85"/>
      <c r="D1223" s="85"/>
      <c r="E1223" s="85" t="s">
        <v>200</v>
      </c>
      <c r="F1223" s="106" t="e">
        <f>+F1206</f>
        <v>#REF!</v>
      </c>
      <c r="G1223" s="95"/>
      <c r="H1223" s="99">
        <f>+B1227</f>
        <v>46188</v>
      </c>
    </row>
    <row r="1224" spans="2:8" ht="18" x14ac:dyDescent="0.25">
      <c r="B1224" s="86"/>
      <c r="C1224" s="85"/>
      <c r="D1224" s="85"/>
      <c r="E1224" s="85" t="s">
        <v>201</v>
      </c>
      <c r="F1224" s="106" t="e">
        <f>+F1207</f>
        <v>#REF!</v>
      </c>
      <c r="H1224" s="90"/>
    </row>
    <row r="1225" spans="2:8" ht="18" x14ac:dyDescent="0.25">
      <c r="B1225" s="85"/>
      <c r="C1225" s="85"/>
      <c r="D1225" s="85"/>
      <c r="E1225" s="85" t="s">
        <v>81</v>
      </c>
      <c r="F1225" s="106" t="e">
        <f>+F1208</f>
        <v>#REF!</v>
      </c>
      <c r="G1225" s="85"/>
      <c r="H1225" s="90"/>
    </row>
    <row r="1226" spans="2:8" ht="18" x14ac:dyDescent="0.25">
      <c r="B1226" s="96"/>
      <c r="C1226" s="96"/>
      <c r="D1226" s="96"/>
      <c r="E1226" s="85" t="s">
        <v>82</v>
      </c>
      <c r="F1226" s="106" t="e">
        <f>+F1209</f>
        <v>#REF!</v>
      </c>
      <c r="G1226" s="85"/>
      <c r="H1226" s="90"/>
    </row>
    <row r="1227" spans="2:8" ht="18" x14ac:dyDescent="0.25">
      <c r="B1227" s="99">
        <f>+$G$30</f>
        <v>46188</v>
      </c>
      <c r="C1227" s="105" t="e">
        <f>+F1210</f>
        <v>#REF!</v>
      </c>
      <c r="D1227" s="85"/>
      <c r="E1227" s="85" t="s">
        <v>188</v>
      </c>
      <c r="F1227" s="106">
        <v>0</v>
      </c>
      <c r="G1227" s="85"/>
      <c r="H1227" s="90"/>
    </row>
    <row r="1228" spans="2:8" ht="18" x14ac:dyDescent="0.25">
      <c r="B1228" s="85"/>
      <c r="C1228" s="85"/>
      <c r="D1228" s="85"/>
      <c r="E1228" s="85" t="s">
        <v>83</v>
      </c>
      <c r="F1228" s="106" t="e">
        <f>+F1210</f>
        <v>#REF!</v>
      </c>
      <c r="G1228" s="85"/>
      <c r="H1228" s="90"/>
    </row>
    <row r="1229" spans="2:8" ht="18" x14ac:dyDescent="0.25">
      <c r="B1229" s="85"/>
      <c r="C1229" s="85"/>
      <c r="D1229" s="85"/>
      <c r="E1229" s="85"/>
      <c r="F1229" s="85"/>
      <c r="G1229" s="85"/>
      <c r="H1229" s="90"/>
    </row>
    <row r="1230" spans="2:8" ht="18" x14ac:dyDescent="0.25">
      <c r="B1230" s="85"/>
      <c r="C1230" s="85"/>
      <c r="D1230" s="85"/>
      <c r="E1230" s="102"/>
      <c r="F1230" s="85"/>
      <c r="G1230" s="85"/>
      <c r="H1230" s="90"/>
    </row>
    <row r="1231" spans="2:8" ht="18" x14ac:dyDescent="0.25">
      <c r="B1231" s="85"/>
      <c r="C1231" s="85"/>
      <c r="D1231" s="85"/>
      <c r="E1231" s="85"/>
      <c r="F1231" s="85"/>
      <c r="G1231" s="85"/>
      <c r="H1231" s="94"/>
    </row>
    <row r="1232" spans="2:8" ht="18" x14ac:dyDescent="0.25">
      <c r="E1232" s="85"/>
      <c r="G1232" s="94"/>
      <c r="H1232" s="90"/>
    </row>
    <row r="1234" spans="2:8" ht="18" x14ac:dyDescent="0.25">
      <c r="B1234" s="343"/>
      <c r="C1234" s="343"/>
      <c r="D1234" s="343"/>
      <c r="E1234" s="342">
        <f>+$B$1</f>
        <v>46143</v>
      </c>
      <c r="F1234" s="85"/>
      <c r="G1234" s="337">
        <f>+$D$1</f>
        <v>46188</v>
      </c>
      <c r="H1234" s="90"/>
    </row>
    <row r="1235" spans="2:8" ht="18" x14ac:dyDescent="0.25">
      <c r="B1235" s="84"/>
      <c r="C1235" s="84"/>
      <c r="D1235" s="100"/>
      <c r="E1235" s="342"/>
      <c r="F1235" s="85"/>
      <c r="G1235" s="337"/>
      <c r="H1235" s="90"/>
    </row>
    <row r="1236" spans="2:8" ht="18" x14ac:dyDescent="0.25">
      <c r="B1236" s="85"/>
      <c r="C1236" s="85"/>
      <c r="D1236" s="85"/>
      <c r="E1236" s="86"/>
      <c r="F1236" s="85"/>
      <c r="G1236" s="86"/>
      <c r="H1236" s="90"/>
    </row>
    <row r="1237" spans="2:8" ht="18" x14ac:dyDescent="0.25">
      <c r="B1237" s="85" t="e">
        <f>+#REF!</f>
        <v>#REF!</v>
      </c>
      <c r="C1237" s="85"/>
      <c r="D1237" s="85"/>
      <c r="E1237" s="86"/>
      <c r="F1237" s="85"/>
      <c r="G1237" s="86"/>
      <c r="H1237" s="90"/>
    </row>
    <row r="1238" spans="2:8" ht="18" x14ac:dyDescent="0.25">
      <c r="B1238" s="86"/>
      <c r="C1238" s="85"/>
      <c r="D1238" s="85"/>
      <c r="E1238" s="85" t="s">
        <v>78</v>
      </c>
      <c r="F1238" s="85"/>
      <c r="G1238" s="85"/>
      <c r="H1238" s="90" t="s">
        <v>116</v>
      </c>
    </row>
    <row r="1239" spans="2:8" ht="18" x14ac:dyDescent="0.25">
      <c r="B1239" s="85"/>
      <c r="C1239" s="85"/>
      <c r="D1239" s="85"/>
      <c r="E1239" s="86"/>
      <c r="F1239" s="86"/>
      <c r="G1239" s="85"/>
      <c r="H1239" s="94"/>
    </row>
    <row r="1240" spans="2:8" ht="18" x14ac:dyDescent="0.25">
      <c r="B1240" s="94"/>
      <c r="C1240" s="85"/>
      <c r="D1240" s="94"/>
      <c r="E1240" s="85"/>
      <c r="F1240" s="85"/>
      <c r="G1240" s="85"/>
      <c r="H1240" s="90"/>
    </row>
    <row r="1241" spans="2:8" ht="18" x14ac:dyDescent="0.25">
      <c r="B1241" s="94"/>
      <c r="C1241" s="85"/>
      <c r="D1241" s="94"/>
      <c r="E1241" s="85"/>
      <c r="F1241" s="85"/>
      <c r="G1241" s="85"/>
      <c r="H1241" s="90"/>
    </row>
    <row r="1242" spans="2:8" ht="18" x14ac:dyDescent="0.25">
      <c r="B1242" s="85" t="s">
        <v>198</v>
      </c>
      <c r="C1242" s="85"/>
      <c r="D1242" s="107">
        <f>+'RES CUENTA'!$L$25</f>
        <v>10859801.41</v>
      </c>
      <c r="E1242" s="108" t="e">
        <f>+'RES CUENTA'!#REF!</f>
        <v>#REF!</v>
      </c>
      <c r="F1242" s="103" t="e">
        <f>+D1242*E1242/100</f>
        <v>#REF!</v>
      </c>
      <c r="G1242" s="345"/>
      <c r="H1242" s="345"/>
    </row>
    <row r="1243" spans="2:8" ht="18" x14ac:dyDescent="0.25">
      <c r="B1243" s="85" t="s">
        <v>199</v>
      </c>
      <c r="C1243" s="85"/>
      <c r="D1243" s="107" t="e">
        <f>+'RES CUENTA'!#REF!</f>
        <v>#REF!</v>
      </c>
      <c r="E1243" s="108" t="e">
        <f>+'RES CUENTA'!#REF!</f>
        <v>#REF!</v>
      </c>
      <c r="F1243" s="103" t="e">
        <f>+D1243*E1243/100</f>
        <v>#REF!</v>
      </c>
      <c r="G1243" s="341"/>
      <c r="H1243" s="341"/>
    </row>
    <row r="1244" spans="2:8" ht="18" x14ac:dyDescent="0.25">
      <c r="B1244" s="85" t="s">
        <v>79</v>
      </c>
      <c r="C1244" s="85"/>
      <c r="D1244" s="107" t="e">
        <f>+'RES CUENTA'!#REF!</f>
        <v>#REF!</v>
      </c>
      <c r="E1244" s="108">
        <v>0</v>
      </c>
      <c r="F1244" s="103" t="e">
        <f>+D1244</f>
        <v>#REF!</v>
      </c>
      <c r="G1244" s="341"/>
      <c r="H1244" s="341"/>
    </row>
    <row r="1245" spans="2:8" ht="18" x14ac:dyDescent="0.25">
      <c r="B1245" s="85" t="s">
        <v>80</v>
      </c>
      <c r="C1245" s="85"/>
      <c r="D1245" s="107" t="e">
        <f>+'RES CUENTA'!#REF!</f>
        <v>#REF!</v>
      </c>
      <c r="E1245" s="108">
        <v>0</v>
      </c>
      <c r="F1245" s="103" t="e">
        <f>+D1245</f>
        <v>#REF!</v>
      </c>
      <c r="G1245" s="341"/>
      <c r="H1245" s="341"/>
    </row>
    <row r="1246" spans="2:8" ht="18" x14ac:dyDescent="0.25">
      <c r="B1246" s="86"/>
      <c r="C1246" s="85"/>
      <c r="D1246" s="85"/>
      <c r="E1246" s="92"/>
      <c r="F1246" s="104" t="e">
        <f>SUM(F1242:F1245)</f>
        <v>#REF!</v>
      </c>
      <c r="G1246" s="341"/>
      <c r="H1246" s="341"/>
    </row>
    <row r="1247" spans="2:8" ht="18" x14ac:dyDescent="0.25">
      <c r="B1247" s="86"/>
      <c r="C1247" s="85"/>
      <c r="D1247" s="85"/>
      <c r="E1247" s="92"/>
      <c r="F1247" s="104"/>
      <c r="G1247" s="89"/>
      <c r="H1247" s="89"/>
    </row>
    <row r="1248" spans="2:8" ht="18" x14ac:dyDescent="0.25">
      <c r="B1248" s="86"/>
      <c r="C1248" s="85"/>
      <c r="D1248" s="85"/>
      <c r="E1248" s="85"/>
      <c r="G1248" s="338"/>
      <c r="H1248" s="338"/>
    </row>
    <row r="1249" spans="2:8" ht="18" x14ac:dyDescent="0.25">
      <c r="B1249" s="85"/>
      <c r="C1249" s="85"/>
      <c r="D1249" s="85"/>
      <c r="E1249" s="85"/>
      <c r="F1249" s="91"/>
      <c r="G1249" s="90"/>
      <c r="H1249" s="90"/>
    </row>
    <row r="1250" spans="2:8" ht="18" x14ac:dyDescent="0.25">
      <c r="B1250" s="85"/>
      <c r="C1250" s="85"/>
      <c r="D1250" s="85"/>
      <c r="E1250" s="85"/>
      <c r="F1250" s="92"/>
      <c r="G1250" s="85"/>
      <c r="H1250" s="90"/>
    </row>
    <row r="1251" spans="2:8" ht="18" x14ac:dyDescent="0.25">
      <c r="B1251" s="85"/>
      <c r="C1251" s="85"/>
      <c r="D1251" s="85"/>
      <c r="E1251" s="85"/>
      <c r="F1251" s="92"/>
      <c r="G1251" s="85"/>
      <c r="H1251" s="90"/>
    </row>
    <row r="1252" spans="2:8" ht="18" x14ac:dyDescent="0.25">
      <c r="B1252" s="85" t="e">
        <f>+B1237</f>
        <v>#REF!</v>
      </c>
      <c r="C1252" s="344"/>
      <c r="D1252" s="344"/>
      <c r="E1252" s="85" t="e">
        <f>+B1252</f>
        <v>#REF!</v>
      </c>
      <c r="F1252" s="92"/>
      <c r="G1252" s="85"/>
      <c r="H1252" s="90"/>
    </row>
    <row r="1253" spans="2:8" ht="18" x14ac:dyDescent="0.25">
      <c r="C1253" s="85"/>
      <c r="D1253" s="85"/>
      <c r="F1253" s="344"/>
      <c r="G1253" s="344"/>
      <c r="H1253" s="344"/>
    </row>
    <row r="1254" spans="2:8" ht="18" x14ac:dyDescent="0.25">
      <c r="B1254" s="85" t="str">
        <f>+$E$1</f>
        <v>Lima 461 C:A:B:A:</v>
      </c>
      <c r="C1254" s="85"/>
      <c r="D1254" s="93" t="str">
        <f>+H1238</f>
        <v>Unid. 33</v>
      </c>
      <c r="E1254" s="85" t="str">
        <f>+$E$1</f>
        <v>Lima 461 C:A:B:A:</v>
      </c>
      <c r="F1254" s="85"/>
      <c r="G1254" s="85"/>
      <c r="H1254" s="90" t="str">
        <f>+D1254</f>
        <v>Unid. 33</v>
      </c>
    </row>
    <row r="1255" spans="2:8" ht="18" x14ac:dyDescent="0.25">
      <c r="H1255" s="94"/>
    </row>
    <row r="1256" spans="2:8" ht="18" x14ac:dyDescent="0.25">
      <c r="B1256" s="86"/>
      <c r="C1256" s="86"/>
      <c r="D1256" s="86"/>
      <c r="E1256" s="86"/>
      <c r="F1256" s="85"/>
      <c r="G1256" s="85"/>
    </row>
    <row r="1257" spans="2:8" ht="18" x14ac:dyDescent="0.25">
      <c r="B1257" s="85">
        <f>+$E$2</f>
        <v>0</v>
      </c>
      <c r="C1257" s="85"/>
      <c r="D1257" s="85"/>
      <c r="E1257" s="85"/>
      <c r="F1257" s="85"/>
      <c r="G1257" s="86"/>
      <c r="H1257" s="94"/>
    </row>
    <row r="1258" spans="2:8" ht="18" x14ac:dyDescent="0.25">
      <c r="B1258" s="85">
        <f>+$E$3</f>
        <v>0</v>
      </c>
      <c r="C1258" s="85"/>
      <c r="D1258" s="85"/>
      <c r="E1258" s="96"/>
      <c r="F1258" s="85"/>
      <c r="G1258" s="94"/>
      <c r="H1258" s="90"/>
    </row>
    <row r="1259" spans="2:8" ht="18" x14ac:dyDescent="0.25">
      <c r="C1259" s="85"/>
      <c r="D1259" s="85"/>
      <c r="E1259" s="85" t="s">
        <v>200</v>
      </c>
      <c r="F1259" s="106" t="e">
        <f>+F1242</f>
        <v>#REF!</v>
      </c>
      <c r="H1259" s="99">
        <f>+B1264</f>
        <v>46188</v>
      </c>
    </row>
    <row r="1260" spans="2:8" ht="18" x14ac:dyDescent="0.25">
      <c r="B1260" s="86"/>
      <c r="C1260" s="85"/>
      <c r="D1260" s="85"/>
      <c r="E1260" s="85" t="s">
        <v>201</v>
      </c>
      <c r="F1260" s="106" t="e">
        <f>+F1243</f>
        <v>#REF!</v>
      </c>
    </row>
    <row r="1261" spans="2:8" ht="18" x14ac:dyDescent="0.25">
      <c r="B1261" s="86"/>
      <c r="C1261" s="85"/>
      <c r="D1261" s="85"/>
      <c r="E1261" s="85" t="s">
        <v>81</v>
      </c>
      <c r="F1261" s="106" t="e">
        <f>+F1244</f>
        <v>#REF!</v>
      </c>
      <c r="G1261" s="85"/>
      <c r="H1261" s="90"/>
    </row>
    <row r="1262" spans="2:8" ht="18" x14ac:dyDescent="0.25">
      <c r="B1262" s="85"/>
      <c r="C1262" s="85"/>
      <c r="D1262" s="85"/>
      <c r="E1262" s="85" t="s">
        <v>82</v>
      </c>
      <c r="F1262" s="106" t="e">
        <f>+F1245</f>
        <v>#REF!</v>
      </c>
      <c r="G1262" s="85"/>
      <c r="H1262" s="90"/>
    </row>
    <row r="1263" spans="2:8" ht="18" x14ac:dyDescent="0.25">
      <c r="B1263" s="96"/>
      <c r="C1263" s="96"/>
      <c r="D1263" s="96"/>
      <c r="E1263" s="85" t="s">
        <v>188</v>
      </c>
      <c r="F1263" s="106">
        <v>0</v>
      </c>
      <c r="G1263" s="85"/>
      <c r="H1263" s="90"/>
    </row>
    <row r="1264" spans="2:8" ht="18" x14ac:dyDescent="0.25">
      <c r="B1264" s="99">
        <f>+$G$30</f>
        <v>46188</v>
      </c>
      <c r="C1264" s="105" t="e">
        <f>+F1246</f>
        <v>#REF!</v>
      </c>
      <c r="D1264" s="85"/>
      <c r="E1264" s="85" t="s">
        <v>83</v>
      </c>
      <c r="F1264" s="106" t="e">
        <f>+F1246</f>
        <v>#REF!</v>
      </c>
      <c r="G1264" s="85"/>
      <c r="H1264" s="90"/>
    </row>
    <row r="1265" spans="2:8" ht="18" x14ac:dyDescent="0.25">
      <c r="B1265" s="85"/>
      <c r="C1265" s="85"/>
      <c r="D1265" s="85"/>
      <c r="E1265" s="85"/>
      <c r="F1265" s="85"/>
      <c r="G1265" s="85"/>
      <c r="H1265" s="90"/>
    </row>
    <row r="1266" spans="2:8" ht="18" x14ac:dyDescent="0.25">
      <c r="B1266" s="85"/>
      <c r="C1266" s="85"/>
      <c r="D1266" s="85"/>
      <c r="E1266" s="85"/>
      <c r="F1266" s="85"/>
      <c r="G1266" s="345"/>
      <c r="H1266" s="345"/>
    </row>
    <row r="1267" spans="2:8" ht="18" x14ac:dyDescent="0.25">
      <c r="B1267" s="85"/>
      <c r="C1267" s="85"/>
      <c r="D1267" s="85"/>
      <c r="E1267" s="85"/>
      <c r="F1267" s="85"/>
      <c r="G1267" s="85"/>
      <c r="H1267" s="90"/>
    </row>
    <row r="1268" spans="2:8" ht="18" x14ac:dyDescent="0.25">
      <c r="B1268" s="85"/>
      <c r="C1268" s="85"/>
      <c r="D1268" s="85"/>
      <c r="E1268" s="85"/>
      <c r="F1268" s="85"/>
      <c r="G1268" s="85"/>
      <c r="H1268" s="90"/>
    </row>
    <row r="1269" spans="2:8" ht="18" x14ac:dyDescent="0.25">
      <c r="B1269" s="85"/>
      <c r="C1269" s="85"/>
      <c r="D1269" s="85"/>
      <c r="E1269" s="85"/>
      <c r="F1269" s="85"/>
      <c r="G1269" s="85"/>
      <c r="H1269" s="90"/>
    </row>
    <row r="1270" spans="2:8" ht="18" x14ac:dyDescent="0.25">
      <c r="B1270" s="85"/>
      <c r="C1270" s="85"/>
      <c r="D1270" s="85"/>
      <c r="E1270" s="85"/>
      <c r="F1270" s="85"/>
      <c r="H1270" s="90"/>
    </row>
    <row r="1271" spans="2:8" ht="18" x14ac:dyDescent="0.25">
      <c r="B1271" s="85"/>
      <c r="C1271" s="85"/>
      <c r="D1271" s="85"/>
      <c r="E1271" s="85"/>
      <c r="F1271" s="85"/>
      <c r="H1271" s="90"/>
    </row>
    <row r="1272" spans="2:8" ht="18" x14ac:dyDescent="0.25">
      <c r="B1272" s="343"/>
      <c r="C1272" s="343"/>
      <c r="D1272" s="343"/>
      <c r="E1272" s="85"/>
      <c r="F1272" s="85"/>
      <c r="H1272" s="90"/>
    </row>
    <row r="1273" spans="2:8" ht="18" x14ac:dyDescent="0.25">
      <c r="B1273" s="343"/>
      <c r="C1273" s="343"/>
      <c r="D1273" s="343"/>
      <c r="E1273" s="98">
        <f>+$B$1</f>
        <v>46143</v>
      </c>
      <c r="F1273" s="85"/>
      <c r="G1273" s="99">
        <f>+$D$1</f>
        <v>46188</v>
      </c>
      <c r="H1273" s="160"/>
    </row>
    <row r="1274" spans="2:8" ht="18" x14ac:dyDescent="0.25">
      <c r="B1274" s="84"/>
      <c r="C1274" s="84"/>
      <c r="D1274" s="100"/>
      <c r="E1274" s="98"/>
      <c r="F1274" s="85"/>
    </row>
    <row r="1275" spans="2:8" ht="18" x14ac:dyDescent="0.25">
      <c r="B1275" s="85" t="e">
        <f>+#REF!</f>
        <v>#REF!</v>
      </c>
      <c r="C1275" s="85"/>
      <c r="D1275" s="85"/>
      <c r="F1275" s="85"/>
    </row>
    <row r="1276" spans="2:8" ht="18" x14ac:dyDescent="0.25">
      <c r="C1276" s="85"/>
      <c r="D1276" s="85"/>
      <c r="E1276" s="85" t="str">
        <f>+$E$1</f>
        <v>Lima 461 C:A:B:A:</v>
      </c>
      <c r="F1276" s="85"/>
      <c r="H1276" s="90" t="s">
        <v>117</v>
      </c>
    </row>
    <row r="1277" spans="2:8" ht="18" x14ac:dyDescent="0.25">
      <c r="B1277" s="86"/>
      <c r="C1277" s="85"/>
      <c r="D1277" s="85"/>
      <c r="F1277" s="85"/>
      <c r="G1277" s="86"/>
    </row>
    <row r="1278" spans="2:8" ht="18" x14ac:dyDescent="0.25">
      <c r="B1278" s="85"/>
      <c r="C1278" s="85"/>
      <c r="D1278" s="85"/>
      <c r="E1278" s="86"/>
      <c r="F1278" s="86"/>
      <c r="G1278" s="85"/>
      <c r="H1278" s="94"/>
    </row>
    <row r="1279" spans="2:8" ht="18" x14ac:dyDescent="0.25">
      <c r="B1279" s="94"/>
      <c r="C1279" s="85"/>
      <c r="D1279" s="107"/>
      <c r="E1279" s="108"/>
      <c r="F1279" s="85"/>
      <c r="G1279" s="85"/>
      <c r="H1279" s="90"/>
    </row>
    <row r="1280" spans="2:8" ht="18" x14ac:dyDescent="0.25">
      <c r="B1280" s="85" t="s">
        <v>198</v>
      </c>
      <c r="C1280" s="85"/>
      <c r="D1280" s="107">
        <f>+'RES CUENTA'!$L$25</f>
        <v>10859801.41</v>
      </c>
      <c r="E1280" s="108" t="e">
        <f>+'RES CUENTA'!#REF!</f>
        <v>#REF!</v>
      </c>
      <c r="F1280" s="103" t="e">
        <f>+D1280*E1280/100</f>
        <v>#REF!</v>
      </c>
      <c r="G1280" s="85"/>
      <c r="H1280" s="94"/>
    </row>
    <row r="1281" spans="2:8" ht="18" x14ac:dyDescent="0.25">
      <c r="B1281" s="85" t="s">
        <v>199</v>
      </c>
      <c r="C1281" s="85"/>
      <c r="D1281" s="107" t="e">
        <f>+'RES CUENTA'!#REF!</f>
        <v>#REF!</v>
      </c>
      <c r="E1281" s="108" t="e">
        <f>+'RES CUENTA'!#REF!</f>
        <v>#REF!</v>
      </c>
      <c r="F1281" s="103" t="e">
        <f>+D1281*E1281/100</f>
        <v>#REF!</v>
      </c>
      <c r="G1281" s="94"/>
      <c r="H1281" s="89"/>
    </row>
    <row r="1282" spans="2:8" ht="18" x14ac:dyDescent="0.25">
      <c r="B1282" s="85" t="s">
        <v>79</v>
      </c>
      <c r="C1282" s="85"/>
      <c r="D1282" s="107" t="e">
        <f>+'RES CUENTA'!#REF!</f>
        <v>#REF!</v>
      </c>
      <c r="E1282" s="108">
        <f>+'RES CUENTA'!P371</f>
        <v>0</v>
      </c>
      <c r="F1282" s="103" t="e">
        <f>+D1282</f>
        <v>#REF!</v>
      </c>
      <c r="G1282" s="89"/>
      <c r="H1282" s="89"/>
    </row>
    <row r="1283" spans="2:8" ht="18" x14ac:dyDescent="0.25">
      <c r="B1283" s="85" t="s">
        <v>80</v>
      </c>
      <c r="C1283" s="85"/>
      <c r="D1283" s="107" t="e">
        <f>+'RES CUENTA'!#REF!</f>
        <v>#REF!</v>
      </c>
      <c r="E1283" s="108">
        <f>+'RES CUENTA'!R366</f>
        <v>0</v>
      </c>
      <c r="F1283" s="103" t="e">
        <f>+D1283</f>
        <v>#REF!</v>
      </c>
      <c r="G1283" s="89"/>
      <c r="H1283" s="89"/>
    </row>
    <row r="1284" spans="2:8" ht="18" x14ac:dyDescent="0.25">
      <c r="B1284" s="86"/>
      <c r="C1284" s="85"/>
      <c r="D1284" s="85"/>
      <c r="F1284" s="104" t="e">
        <f>SUM(F1280:F1283)</f>
        <v>#REF!</v>
      </c>
      <c r="G1284" s="89"/>
      <c r="H1284" s="89"/>
    </row>
    <row r="1285" spans="2:8" ht="18" x14ac:dyDescent="0.25">
      <c r="B1285" s="86"/>
      <c r="C1285" s="85"/>
      <c r="D1285" s="85"/>
      <c r="F1285" s="91"/>
      <c r="G1285" s="89"/>
      <c r="H1285" s="90"/>
    </row>
    <row r="1286" spans="2:8" ht="18" x14ac:dyDescent="0.25">
      <c r="B1286" s="86"/>
      <c r="C1286" s="85"/>
      <c r="D1286" s="85"/>
      <c r="F1286" s="91"/>
      <c r="G1286" s="89"/>
      <c r="H1286" s="90"/>
    </row>
    <row r="1287" spans="2:8" ht="18" x14ac:dyDescent="0.25">
      <c r="B1287" s="85"/>
      <c r="C1287" s="85"/>
      <c r="D1287" s="85"/>
      <c r="E1287" s="85"/>
      <c r="F1287" s="92"/>
      <c r="G1287" s="90"/>
      <c r="H1287" s="90"/>
    </row>
    <row r="1288" spans="2:8" ht="18" x14ac:dyDescent="0.25">
      <c r="B1288" s="85"/>
      <c r="C1288" s="85"/>
      <c r="D1288" s="85"/>
      <c r="E1288" s="85"/>
      <c r="F1288" s="92"/>
      <c r="G1288" s="90"/>
      <c r="H1288" s="90"/>
    </row>
    <row r="1289" spans="2:8" ht="18" x14ac:dyDescent="0.25">
      <c r="B1289" s="85"/>
      <c r="C1289" s="85"/>
      <c r="D1289" s="85"/>
      <c r="E1289" s="85"/>
      <c r="F1289" s="92"/>
      <c r="G1289" s="90"/>
      <c r="H1289" s="90"/>
    </row>
    <row r="1290" spans="2:8" ht="18" x14ac:dyDescent="0.25">
      <c r="B1290" s="85" t="e">
        <f>+B1275</f>
        <v>#REF!</v>
      </c>
      <c r="C1290" s="85"/>
      <c r="D1290" s="85"/>
      <c r="E1290" s="85" t="e">
        <f>+B1275</f>
        <v>#REF!</v>
      </c>
      <c r="F1290" s="85"/>
      <c r="G1290" s="85"/>
      <c r="H1290" s="94"/>
    </row>
    <row r="1291" spans="2:8" ht="18" x14ac:dyDescent="0.25">
      <c r="B1291" s="86"/>
      <c r="C1291" s="85"/>
      <c r="D1291" s="85"/>
      <c r="F1291" s="85"/>
      <c r="G1291" s="101"/>
      <c r="H1291" s="90" t="str">
        <f>+H1276</f>
        <v>Unid. 34</v>
      </c>
    </row>
    <row r="1292" spans="2:8" ht="18" x14ac:dyDescent="0.25">
      <c r="B1292" s="85" t="str">
        <f>+$E$1</f>
        <v>Lima 461 C:A:B:A:</v>
      </c>
      <c r="C1292" s="85"/>
      <c r="D1292" s="93" t="str">
        <f>+H1291</f>
        <v>Unid. 34</v>
      </c>
      <c r="E1292" s="85" t="str">
        <f>+$E$1</f>
        <v>Lima 461 C:A:B:A:</v>
      </c>
      <c r="F1292" s="85"/>
      <c r="G1292" s="85"/>
      <c r="H1292" s="94"/>
    </row>
    <row r="1293" spans="2:8" ht="18" x14ac:dyDescent="0.25">
      <c r="B1293" s="86"/>
      <c r="C1293" s="86"/>
      <c r="D1293" s="86"/>
      <c r="F1293" s="85"/>
      <c r="G1293" s="85"/>
    </row>
    <row r="1294" spans="2:8" ht="18" x14ac:dyDescent="0.25">
      <c r="B1294" s="85"/>
      <c r="C1294" s="85"/>
      <c r="D1294" s="85"/>
      <c r="E1294" s="86"/>
      <c r="F1294" s="85"/>
      <c r="G1294" s="85"/>
      <c r="H1294" s="94"/>
    </row>
    <row r="1295" spans="2:8" ht="18" x14ac:dyDescent="0.25">
      <c r="B1295" s="85">
        <f>+$E$2</f>
        <v>0</v>
      </c>
      <c r="C1295" s="85"/>
      <c r="D1295" s="85"/>
      <c r="E1295" s="85"/>
      <c r="F1295" s="96"/>
      <c r="G1295" s="86"/>
      <c r="H1295" s="90"/>
    </row>
    <row r="1296" spans="2:8" ht="18" x14ac:dyDescent="0.25">
      <c r="B1296" s="85">
        <f>+$E$3</f>
        <v>0</v>
      </c>
      <c r="C1296" s="85"/>
      <c r="D1296" s="85"/>
      <c r="E1296" s="96"/>
      <c r="G1296" s="94"/>
      <c r="H1296" s="96"/>
    </row>
    <row r="1297" spans="2:8" ht="18" x14ac:dyDescent="0.25">
      <c r="B1297" s="86"/>
      <c r="C1297" s="85"/>
      <c r="D1297" s="85"/>
      <c r="E1297" s="85" t="s">
        <v>200</v>
      </c>
      <c r="F1297" s="106" t="e">
        <f>+F1280</f>
        <v>#REF!</v>
      </c>
      <c r="G1297" s="95"/>
      <c r="H1297" s="99">
        <f>+B1301</f>
        <v>46188</v>
      </c>
    </row>
    <row r="1298" spans="2:8" ht="18" x14ac:dyDescent="0.25">
      <c r="B1298" s="86"/>
      <c r="C1298" s="85"/>
      <c r="D1298" s="85"/>
      <c r="E1298" s="85" t="s">
        <v>201</v>
      </c>
      <c r="F1298" s="106" t="e">
        <f>+F1281</f>
        <v>#REF!</v>
      </c>
      <c r="H1298" s="90"/>
    </row>
    <row r="1299" spans="2:8" ht="18" x14ac:dyDescent="0.25">
      <c r="B1299" s="85"/>
      <c r="C1299" s="85"/>
      <c r="D1299" s="85"/>
      <c r="E1299" s="85" t="s">
        <v>81</v>
      </c>
      <c r="F1299" s="106" t="e">
        <f>+F1282</f>
        <v>#REF!</v>
      </c>
      <c r="G1299" s="85"/>
      <c r="H1299" s="90"/>
    </row>
    <row r="1300" spans="2:8" ht="18" x14ac:dyDescent="0.25">
      <c r="B1300" s="96"/>
      <c r="C1300" s="96"/>
      <c r="D1300" s="96"/>
      <c r="E1300" s="85" t="s">
        <v>82</v>
      </c>
      <c r="F1300" s="106" t="e">
        <f>+F1283</f>
        <v>#REF!</v>
      </c>
      <c r="G1300" s="85"/>
      <c r="H1300" s="90"/>
    </row>
    <row r="1301" spans="2:8" ht="18" x14ac:dyDescent="0.25">
      <c r="B1301" s="99">
        <f>+$G$30</f>
        <v>46188</v>
      </c>
      <c r="C1301" s="105" t="e">
        <f>+F1284</f>
        <v>#REF!</v>
      </c>
      <c r="D1301" s="85"/>
      <c r="E1301" s="85" t="s">
        <v>188</v>
      </c>
      <c r="F1301" s="106">
        <v>0</v>
      </c>
      <c r="G1301" s="85"/>
      <c r="H1301" s="90"/>
    </row>
    <row r="1302" spans="2:8" ht="18" x14ac:dyDescent="0.25">
      <c r="B1302" s="85"/>
      <c r="C1302" s="85"/>
      <c r="D1302" s="85"/>
      <c r="E1302" s="85" t="s">
        <v>83</v>
      </c>
      <c r="F1302" s="106" t="e">
        <f>+F1284</f>
        <v>#REF!</v>
      </c>
      <c r="G1302" s="85"/>
      <c r="H1302" s="90"/>
    </row>
    <row r="1303" spans="2:8" ht="18" x14ac:dyDescent="0.25">
      <c r="B1303" s="85"/>
      <c r="C1303" s="85"/>
      <c r="D1303" s="85"/>
      <c r="E1303" s="85"/>
      <c r="F1303" s="85"/>
      <c r="G1303" s="85"/>
      <c r="H1303" s="90"/>
    </row>
    <row r="1304" spans="2:8" ht="18" x14ac:dyDescent="0.25">
      <c r="B1304" s="85"/>
      <c r="C1304" s="85"/>
      <c r="D1304" s="85"/>
      <c r="E1304" s="102"/>
      <c r="F1304" s="85"/>
      <c r="G1304" s="85"/>
      <c r="H1304" s="90"/>
    </row>
    <row r="1305" spans="2:8" ht="18" x14ac:dyDescent="0.25">
      <c r="B1305" s="85"/>
      <c r="C1305" s="85"/>
      <c r="D1305" s="85"/>
      <c r="E1305" s="85"/>
      <c r="F1305" s="85"/>
      <c r="G1305" s="85"/>
      <c r="H1305" s="94"/>
    </row>
    <row r="1306" spans="2:8" ht="18" x14ac:dyDescent="0.25">
      <c r="E1306" s="85"/>
      <c r="G1306" s="94"/>
      <c r="H1306" s="90"/>
    </row>
    <row r="1308" spans="2:8" ht="18" x14ac:dyDescent="0.25">
      <c r="B1308" s="343"/>
      <c r="C1308" s="343"/>
      <c r="D1308" s="343"/>
      <c r="E1308" s="342">
        <f>+$B$1</f>
        <v>46143</v>
      </c>
      <c r="F1308" s="85"/>
      <c r="G1308" s="337">
        <f>+$D$1</f>
        <v>46188</v>
      </c>
      <c r="H1308" s="90"/>
    </row>
    <row r="1309" spans="2:8" ht="18" x14ac:dyDescent="0.25">
      <c r="B1309" s="84"/>
      <c r="C1309" s="84"/>
      <c r="D1309" s="100"/>
      <c r="E1309" s="342"/>
      <c r="F1309" s="85"/>
      <c r="G1309" s="337"/>
      <c r="H1309" s="90"/>
    </row>
    <row r="1310" spans="2:8" ht="18" x14ac:dyDescent="0.25">
      <c r="B1310" s="85"/>
      <c r="C1310" s="85"/>
      <c r="D1310" s="85"/>
      <c r="E1310" s="86"/>
      <c r="F1310" s="85"/>
      <c r="G1310" s="86"/>
      <c r="H1310" s="90"/>
    </row>
    <row r="1311" spans="2:8" ht="18" x14ac:dyDescent="0.25">
      <c r="B1311" s="85" t="e">
        <f>+#REF!</f>
        <v>#REF!</v>
      </c>
      <c r="C1311" s="85"/>
      <c r="D1311" s="85"/>
      <c r="E1311" s="86"/>
      <c r="F1311" s="85"/>
      <c r="G1311" s="86"/>
      <c r="H1311" s="90"/>
    </row>
    <row r="1312" spans="2:8" ht="18" x14ac:dyDescent="0.25">
      <c r="B1312" s="86"/>
      <c r="C1312" s="85"/>
      <c r="D1312" s="85"/>
      <c r="E1312" s="85" t="s">
        <v>78</v>
      </c>
      <c r="F1312" s="85"/>
      <c r="G1312" s="85"/>
      <c r="H1312" s="90" t="s">
        <v>118</v>
      </c>
    </row>
    <row r="1313" spans="2:8" ht="18" x14ac:dyDescent="0.25">
      <c r="B1313" s="85"/>
      <c r="C1313" s="85"/>
      <c r="D1313" s="85"/>
      <c r="E1313" s="86"/>
      <c r="F1313" s="86"/>
      <c r="G1313" s="85"/>
      <c r="H1313" s="94"/>
    </row>
    <row r="1314" spans="2:8" ht="18" x14ac:dyDescent="0.25">
      <c r="B1314" s="94"/>
      <c r="C1314" s="85"/>
      <c r="D1314" s="94"/>
      <c r="E1314" s="85"/>
      <c r="F1314" s="85"/>
      <c r="G1314" s="85"/>
      <c r="H1314" s="90"/>
    </row>
    <row r="1315" spans="2:8" ht="18" x14ac:dyDescent="0.25">
      <c r="B1315" s="94"/>
      <c r="C1315" s="85"/>
      <c r="D1315" s="94"/>
      <c r="E1315" s="85"/>
      <c r="F1315" s="85"/>
      <c r="G1315" s="85"/>
      <c r="H1315" s="90"/>
    </row>
    <row r="1316" spans="2:8" ht="18" x14ac:dyDescent="0.25">
      <c r="B1316" s="85" t="s">
        <v>198</v>
      </c>
      <c r="C1316" s="85"/>
      <c r="D1316" s="107">
        <f>+'RES CUENTA'!$L$25</f>
        <v>10859801.41</v>
      </c>
      <c r="E1316" s="108" t="e">
        <f>+'RES CUENTA'!#REF!</f>
        <v>#REF!</v>
      </c>
      <c r="F1316" s="103" t="e">
        <f>+D1316*E1316/100</f>
        <v>#REF!</v>
      </c>
      <c r="G1316" s="345"/>
      <c r="H1316" s="345"/>
    </row>
    <row r="1317" spans="2:8" ht="18" x14ac:dyDescent="0.25">
      <c r="B1317" s="85" t="s">
        <v>199</v>
      </c>
      <c r="C1317" s="85"/>
      <c r="D1317" s="107" t="e">
        <f>+'RES CUENTA'!#REF!</f>
        <v>#REF!</v>
      </c>
      <c r="E1317" s="108" t="e">
        <f>+'RES CUENTA'!#REF!</f>
        <v>#REF!</v>
      </c>
      <c r="F1317" s="103" t="e">
        <f>+D1317*E1317/100</f>
        <v>#REF!</v>
      </c>
      <c r="G1317" s="341"/>
      <c r="H1317" s="341"/>
    </row>
    <row r="1318" spans="2:8" ht="18" x14ac:dyDescent="0.25">
      <c r="B1318" s="85" t="s">
        <v>79</v>
      </c>
      <c r="C1318" s="85"/>
      <c r="D1318" s="107" t="e">
        <f>+'RES CUENTA'!#REF!</f>
        <v>#REF!</v>
      </c>
      <c r="E1318" s="108">
        <v>0</v>
      </c>
      <c r="F1318" s="103" t="e">
        <f>+D1318</f>
        <v>#REF!</v>
      </c>
      <c r="G1318" s="341"/>
      <c r="H1318" s="341"/>
    </row>
    <row r="1319" spans="2:8" ht="18" x14ac:dyDescent="0.25">
      <c r="B1319" s="85" t="s">
        <v>80</v>
      </c>
      <c r="C1319" s="85"/>
      <c r="D1319" s="107" t="e">
        <f>+'RES CUENTA'!#REF!</f>
        <v>#REF!</v>
      </c>
      <c r="E1319" s="108">
        <v>0</v>
      </c>
      <c r="F1319" s="103" t="e">
        <f>+D1319</f>
        <v>#REF!</v>
      </c>
      <c r="G1319" s="341"/>
      <c r="H1319" s="341"/>
    </row>
    <row r="1320" spans="2:8" ht="18" x14ac:dyDescent="0.25">
      <c r="B1320" s="86"/>
      <c r="C1320" s="85"/>
      <c r="D1320" s="85"/>
      <c r="E1320" s="92"/>
      <c r="F1320" s="104" t="e">
        <f>SUM(F1316:F1319)</f>
        <v>#REF!</v>
      </c>
      <c r="G1320" s="341"/>
      <c r="H1320" s="341"/>
    </row>
    <row r="1321" spans="2:8" ht="18" x14ac:dyDescent="0.25">
      <c r="B1321" s="86"/>
      <c r="C1321" s="85"/>
      <c r="D1321" s="85"/>
      <c r="E1321" s="85"/>
      <c r="G1321" s="338"/>
      <c r="H1321" s="338"/>
    </row>
    <row r="1322" spans="2:8" ht="18" x14ac:dyDescent="0.25">
      <c r="B1322" s="85"/>
      <c r="C1322" s="85"/>
      <c r="D1322" s="85"/>
      <c r="E1322" s="85"/>
      <c r="F1322" s="91"/>
      <c r="G1322" s="90"/>
      <c r="H1322" s="90"/>
    </row>
    <row r="1323" spans="2:8" ht="18" x14ac:dyDescent="0.25">
      <c r="B1323" s="85"/>
      <c r="C1323" s="85"/>
      <c r="D1323" s="85"/>
      <c r="E1323" s="85"/>
      <c r="F1323" s="92"/>
      <c r="G1323" s="85"/>
      <c r="H1323" s="90"/>
    </row>
    <row r="1324" spans="2:8" ht="18" x14ac:dyDescent="0.25">
      <c r="B1324" s="85"/>
      <c r="C1324" s="85"/>
      <c r="D1324" s="85"/>
      <c r="E1324" s="85"/>
      <c r="F1324" s="92"/>
      <c r="G1324" s="85"/>
      <c r="H1324" s="90"/>
    </row>
    <row r="1325" spans="2:8" ht="18" x14ac:dyDescent="0.25">
      <c r="B1325" s="85"/>
      <c r="C1325" s="85"/>
      <c r="D1325" s="85"/>
      <c r="E1325" s="85"/>
      <c r="F1325" s="92"/>
      <c r="G1325" s="85"/>
      <c r="H1325" s="90"/>
    </row>
    <row r="1326" spans="2:8" ht="18" x14ac:dyDescent="0.25">
      <c r="B1326" s="85" t="e">
        <f>+B1311</f>
        <v>#REF!</v>
      </c>
      <c r="C1326" s="344"/>
      <c r="D1326" s="344"/>
      <c r="E1326" s="85" t="e">
        <f>+B1326</f>
        <v>#REF!</v>
      </c>
      <c r="F1326" s="92"/>
      <c r="G1326" s="85"/>
      <c r="H1326" s="90"/>
    </row>
    <row r="1327" spans="2:8" ht="18" x14ac:dyDescent="0.25">
      <c r="C1327" s="85"/>
      <c r="D1327" s="85"/>
      <c r="F1327" s="344"/>
      <c r="G1327" s="344"/>
      <c r="H1327" s="344"/>
    </row>
    <row r="1328" spans="2:8" ht="18" x14ac:dyDescent="0.25">
      <c r="B1328" s="85" t="str">
        <f>+$E$1</f>
        <v>Lima 461 C:A:B:A:</v>
      </c>
      <c r="C1328" s="85"/>
      <c r="D1328" s="93" t="str">
        <f>+H1312</f>
        <v>Unid. 35</v>
      </c>
      <c r="E1328" s="85" t="str">
        <f>+$E$1</f>
        <v>Lima 461 C:A:B:A:</v>
      </c>
      <c r="F1328" s="85"/>
      <c r="G1328" s="85"/>
      <c r="H1328" s="90" t="str">
        <f>+D1328</f>
        <v>Unid. 35</v>
      </c>
    </row>
    <row r="1329" spans="2:8" ht="18" x14ac:dyDescent="0.25">
      <c r="H1329" s="94"/>
    </row>
    <row r="1330" spans="2:8" ht="18" x14ac:dyDescent="0.25">
      <c r="B1330" s="86"/>
      <c r="C1330" s="86"/>
      <c r="D1330" s="86"/>
      <c r="E1330" s="86"/>
      <c r="F1330" s="85"/>
      <c r="G1330" s="85"/>
    </row>
    <row r="1331" spans="2:8" ht="18" x14ac:dyDescent="0.25">
      <c r="B1331" s="85">
        <f>+$E$2</f>
        <v>0</v>
      </c>
      <c r="C1331" s="85"/>
      <c r="D1331" s="85"/>
      <c r="E1331" s="85"/>
      <c r="F1331" s="85"/>
      <c r="G1331" s="86"/>
      <c r="H1331" s="94"/>
    </row>
    <row r="1332" spans="2:8" ht="18" x14ac:dyDescent="0.25">
      <c r="B1332" s="85">
        <f>+$E$3</f>
        <v>0</v>
      </c>
      <c r="C1332" s="85"/>
      <c r="D1332" s="85"/>
      <c r="E1332" s="96"/>
      <c r="F1332" s="85"/>
      <c r="G1332" s="94"/>
      <c r="H1332" s="90"/>
    </row>
    <row r="1333" spans="2:8" ht="18" x14ac:dyDescent="0.25">
      <c r="C1333" s="85"/>
      <c r="D1333" s="85"/>
      <c r="E1333" s="85" t="s">
        <v>200</v>
      </c>
      <c r="F1333" s="106" t="e">
        <f>+F1316</f>
        <v>#REF!</v>
      </c>
      <c r="H1333" s="99">
        <f>+B1338</f>
        <v>46188</v>
      </c>
    </row>
    <row r="1334" spans="2:8" ht="18" x14ac:dyDescent="0.25">
      <c r="B1334" s="86"/>
      <c r="C1334" s="85"/>
      <c r="D1334" s="85"/>
      <c r="E1334" s="85" t="s">
        <v>201</v>
      </c>
      <c r="F1334" s="106" t="e">
        <f>+F1317</f>
        <v>#REF!</v>
      </c>
    </row>
    <row r="1335" spans="2:8" ht="18" x14ac:dyDescent="0.25">
      <c r="B1335" s="86"/>
      <c r="C1335" s="85"/>
      <c r="D1335" s="85"/>
      <c r="E1335" s="85" t="s">
        <v>81</v>
      </c>
      <c r="F1335" s="106" t="e">
        <f>+F1318</f>
        <v>#REF!</v>
      </c>
      <c r="G1335" s="85"/>
      <c r="H1335" s="90"/>
    </row>
    <row r="1336" spans="2:8" ht="18" x14ac:dyDescent="0.25">
      <c r="B1336" s="85"/>
      <c r="C1336" s="85"/>
      <c r="D1336" s="85"/>
      <c r="E1336" s="85" t="s">
        <v>82</v>
      </c>
      <c r="F1336" s="106" t="e">
        <f>+F1319</f>
        <v>#REF!</v>
      </c>
      <c r="G1336" s="85"/>
      <c r="H1336" s="90"/>
    </row>
    <row r="1337" spans="2:8" ht="18" x14ac:dyDescent="0.25">
      <c r="B1337" s="96"/>
      <c r="C1337" s="96"/>
      <c r="D1337" s="96"/>
      <c r="E1337" s="85" t="s">
        <v>188</v>
      </c>
      <c r="F1337" s="106">
        <v>0</v>
      </c>
      <c r="G1337" s="85"/>
      <c r="H1337" s="90"/>
    </row>
    <row r="1338" spans="2:8" ht="18" x14ac:dyDescent="0.25">
      <c r="B1338" s="99">
        <f>+$G$30</f>
        <v>46188</v>
      </c>
      <c r="C1338" s="105" t="e">
        <f>+F1320</f>
        <v>#REF!</v>
      </c>
      <c r="D1338" s="85"/>
      <c r="E1338" s="85" t="s">
        <v>83</v>
      </c>
      <c r="F1338" s="106" t="e">
        <f>+F1320</f>
        <v>#REF!</v>
      </c>
      <c r="G1338" s="85"/>
      <c r="H1338" s="90"/>
    </row>
    <row r="1339" spans="2:8" ht="18" x14ac:dyDescent="0.25">
      <c r="B1339" s="85"/>
      <c r="C1339" s="85"/>
      <c r="D1339" s="85"/>
      <c r="E1339" s="85"/>
      <c r="F1339" s="85"/>
      <c r="G1339" s="85"/>
      <c r="H1339" s="90"/>
    </row>
    <row r="1340" spans="2:8" ht="18" x14ac:dyDescent="0.25">
      <c r="B1340" s="85"/>
      <c r="C1340" s="85"/>
      <c r="D1340" s="85"/>
      <c r="E1340" s="85"/>
      <c r="F1340" s="85"/>
      <c r="G1340" s="345"/>
      <c r="H1340" s="345"/>
    </row>
    <row r="1341" spans="2:8" ht="18" x14ac:dyDescent="0.25">
      <c r="B1341" s="85"/>
      <c r="C1341" s="85"/>
      <c r="D1341" s="85"/>
      <c r="E1341" s="85"/>
      <c r="F1341" s="85"/>
      <c r="G1341" s="85"/>
      <c r="H1341" s="90"/>
    </row>
    <row r="1342" spans="2:8" ht="18" x14ac:dyDescent="0.25">
      <c r="B1342" s="85"/>
      <c r="C1342" s="85"/>
      <c r="D1342" s="85"/>
      <c r="E1342" s="85"/>
      <c r="F1342" s="85"/>
      <c r="G1342" s="85"/>
      <c r="H1342" s="90"/>
    </row>
    <row r="1343" spans="2:8" ht="18" x14ac:dyDescent="0.25">
      <c r="B1343" s="85"/>
      <c r="C1343" s="85"/>
      <c r="D1343" s="85"/>
      <c r="E1343" s="85"/>
      <c r="F1343" s="85"/>
      <c r="G1343" s="85"/>
      <c r="H1343" s="90"/>
    </row>
    <row r="1344" spans="2:8" ht="18" x14ac:dyDescent="0.25">
      <c r="B1344" s="85"/>
      <c r="C1344" s="85"/>
      <c r="D1344" s="85"/>
      <c r="E1344" s="85"/>
      <c r="F1344" s="85"/>
      <c r="H1344" s="90"/>
    </row>
    <row r="1345" spans="2:8" ht="18" x14ac:dyDescent="0.25">
      <c r="B1345" s="85"/>
      <c r="C1345" s="85"/>
      <c r="D1345" s="85"/>
      <c r="E1345" s="85"/>
      <c r="F1345" s="85"/>
      <c r="H1345" s="90"/>
    </row>
    <row r="1346" spans="2:8" ht="18" x14ac:dyDescent="0.25">
      <c r="B1346" s="343"/>
      <c r="C1346" s="343"/>
      <c r="D1346" s="343"/>
      <c r="E1346" s="85"/>
      <c r="F1346" s="85"/>
      <c r="H1346" s="90"/>
    </row>
    <row r="1347" spans="2:8" ht="18" x14ac:dyDescent="0.25">
      <c r="B1347" s="343"/>
      <c r="C1347" s="343"/>
      <c r="D1347" s="343"/>
      <c r="E1347" s="98">
        <f>+$B$1</f>
        <v>46143</v>
      </c>
      <c r="F1347" s="85"/>
      <c r="G1347" s="99">
        <f>+$D$1</f>
        <v>46188</v>
      </c>
      <c r="H1347" s="160"/>
    </row>
    <row r="1348" spans="2:8" ht="18" x14ac:dyDescent="0.25">
      <c r="B1348" s="84"/>
      <c r="C1348" s="84"/>
      <c r="D1348" s="100"/>
      <c r="E1348" s="98"/>
      <c r="F1348" s="85"/>
    </row>
    <row r="1349" spans="2:8" ht="18" x14ac:dyDescent="0.25">
      <c r="B1349" s="85" t="e">
        <f>+#REF!</f>
        <v>#REF!</v>
      </c>
      <c r="C1349" s="85"/>
      <c r="D1349" s="85"/>
      <c r="F1349" s="85"/>
    </row>
    <row r="1350" spans="2:8" ht="18" x14ac:dyDescent="0.25">
      <c r="C1350" s="85"/>
      <c r="D1350" s="85"/>
      <c r="E1350" s="85" t="str">
        <f>+$E$1</f>
        <v>Lima 461 C:A:B:A:</v>
      </c>
      <c r="F1350" s="85"/>
      <c r="H1350" s="90" t="s">
        <v>119</v>
      </c>
    </row>
    <row r="1351" spans="2:8" ht="18" x14ac:dyDescent="0.25">
      <c r="B1351" s="86"/>
      <c r="C1351" s="85"/>
      <c r="D1351" s="85"/>
      <c r="F1351" s="85"/>
      <c r="G1351" s="86"/>
    </row>
    <row r="1352" spans="2:8" ht="18" x14ac:dyDescent="0.25">
      <c r="B1352" s="85"/>
      <c r="C1352" s="85"/>
      <c r="D1352" s="85"/>
      <c r="E1352" s="86"/>
      <c r="F1352" s="86"/>
      <c r="G1352" s="85"/>
      <c r="H1352" s="94"/>
    </row>
    <row r="1353" spans="2:8" ht="18" x14ac:dyDescent="0.25">
      <c r="B1353" s="94"/>
      <c r="C1353" s="85"/>
      <c r="D1353" s="94"/>
      <c r="E1353" s="85"/>
      <c r="F1353" s="85"/>
      <c r="G1353" s="85"/>
      <c r="H1353" s="90"/>
    </row>
    <row r="1354" spans="2:8" ht="18" x14ac:dyDescent="0.25">
      <c r="B1354" s="85" t="s">
        <v>198</v>
      </c>
      <c r="C1354" s="85"/>
      <c r="D1354" s="107">
        <f>+'RES CUENTA'!$L$25</f>
        <v>10859801.41</v>
      </c>
      <c r="E1354" s="108" t="e">
        <f>+'RES CUENTA'!#REF!</f>
        <v>#REF!</v>
      </c>
      <c r="F1354" s="103" t="e">
        <f>+D1354*E1354/100</f>
        <v>#REF!</v>
      </c>
      <c r="G1354" s="85"/>
      <c r="H1354" s="94"/>
    </row>
    <row r="1355" spans="2:8" ht="18" x14ac:dyDescent="0.25">
      <c r="B1355" s="85" t="s">
        <v>199</v>
      </c>
      <c r="C1355" s="85"/>
      <c r="D1355" s="107" t="e">
        <f>+'RES CUENTA'!#REF!</f>
        <v>#REF!</v>
      </c>
      <c r="E1355" s="108" t="e">
        <f>+'RES CUENTA'!#REF!</f>
        <v>#REF!</v>
      </c>
      <c r="F1355" s="103" t="e">
        <f>+D1355*E1355/100</f>
        <v>#REF!</v>
      </c>
      <c r="G1355" s="94"/>
      <c r="H1355" s="89"/>
    </row>
    <row r="1356" spans="2:8" ht="18" x14ac:dyDescent="0.25">
      <c r="B1356" s="85" t="s">
        <v>79</v>
      </c>
      <c r="C1356" s="85"/>
      <c r="D1356" s="107" t="e">
        <f>+'RES CUENTA'!#REF!</f>
        <v>#REF!</v>
      </c>
      <c r="E1356" s="108">
        <f>+'RES CUENTA'!P447</f>
        <v>0</v>
      </c>
      <c r="F1356" s="103" t="e">
        <f>+D1356</f>
        <v>#REF!</v>
      </c>
      <c r="G1356" s="89"/>
      <c r="H1356" s="89"/>
    </row>
    <row r="1357" spans="2:8" ht="18" x14ac:dyDescent="0.25">
      <c r="B1357" s="85" t="s">
        <v>80</v>
      </c>
      <c r="C1357" s="85"/>
      <c r="D1357" s="107" t="e">
        <f>+'RES CUENTA'!#REF!</f>
        <v>#REF!</v>
      </c>
      <c r="E1357" s="108">
        <f>+'RES CUENTA'!R442</f>
        <v>0</v>
      </c>
      <c r="F1357" s="103" t="e">
        <f>+D1357</f>
        <v>#REF!</v>
      </c>
      <c r="G1357" s="89"/>
      <c r="H1357" s="89"/>
    </row>
    <row r="1358" spans="2:8" ht="18" x14ac:dyDescent="0.25">
      <c r="B1358" s="86"/>
      <c r="C1358" s="85"/>
      <c r="D1358" s="85"/>
      <c r="F1358" s="104" t="e">
        <f>SUM(F1354:F1357)</f>
        <v>#REF!</v>
      </c>
      <c r="G1358" s="89"/>
      <c r="H1358" s="89"/>
    </row>
    <row r="1359" spans="2:8" ht="18" x14ac:dyDescent="0.25">
      <c r="B1359" s="86"/>
      <c r="C1359" s="85"/>
      <c r="D1359" s="85"/>
      <c r="F1359" s="91"/>
      <c r="G1359" s="89"/>
      <c r="H1359" s="90"/>
    </row>
    <row r="1360" spans="2:8" ht="18" x14ac:dyDescent="0.25">
      <c r="B1360" s="86"/>
      <c r="C1360" s="85"/>
      <c r="D1360" s="85"/>
      <c r="F1360" s="91"/>
      <c r="G1360" s="89"/>
      <c r="H1360" s="90"/>
    </row>
    <row r="1361" spans="2:8" ht="18" x14ac:dyDescent="0.25">
      <c r="B1361" s="85"/>
      <c r="C1361" s="85"/>
      <c r="D1361" s="85"/>
      <c r="E1361" s="85"/>
      <c r="F1361" s="92"/>
      <c r="G1361" s="90"/>
      <c r="H1361" s="90"/>
    </row>
    <row r="1362" spans="2:8" ht="18" x14ac:dyDescent="0.25">
      <c r="B1362" s="85"/>
      <c r="C1362" s="85"/>
      <c r="D1362" s="85"/>
      <c r="E1362" s="85"/>
      <c r="F1362" s="92"/>
      <c r="G1362" s="90"/>
      <c r="H1362" s="90"/>
    </row>
    <row r="1363" spans="2:8" ht="18" x14ac:dyDescent="0.25">
      <c r="B1363" s="85"/>
      <c r="C1363" s="85"/>
      <c r="D1363" s="85"/>
      <c r="E1363" s="85"/>
      <c r="F1363" s="92"/>
      <c r="G1363" s="90"/>
      <c r="H1363" s="90"/>
    </row>
    <row r="1364" spans="2:8" ht="18" x14ac:dyDescent="0.25">
      <c r="B1364" s="85" t="e">
        <f>+B1349</f>
        <v>#REF!</v>
      </c>
      <c r="C1364" s="85"/>
      <c r="D1364" s="85"/>
      <c r="E1364" s="85" t="e">
        <f>+B1349</f>
        <v>#REF!</v>
      </c>
      <c r="F1364" s="85"/>
      <c r="G1364" s="85"/>
      <c r="H1364" s="94"/>
    </row>
    <row r="1365" spans="2:8" ht="18" x14ac:dyDescent="0.25">
      <c r="B1365" s="86"/>
      <c r="C1365" s="85"/>
      <c r="D1365" s="85"/>
      <c r="F1365" s="85"/>
      <c r="G1365" s="101"/>
      <c r="H1365" s="90" t="str">
        <f>+H1350</f>
        <v>Unid. 36</v>
      </c>
    </row>
    <row r="1366" spans="2:8" ht="18" x14ac:dyDescent="0.25">
      <c r="B1366" s="85" t="str">
        <f>+$E$1</f>
        <v>Lima 461 C:A:B:A:</v>
      </c>
      <c r="C1366" s="85"/>
      <c r="D1366" s="93" t="str">
        <f>+H1365</f>
        <v>Unid. 36</v>
      </c>
      <c r="E1366" s="85" t="str">
        <f>+$E$1</f>
        <v>Lima 461 C:A:B:A:</v>
      </c>
      <c r="F1366" s="85"/>
      <c r="G1366" s="85"/>
      <c r="H1366" s="94"/>
    </row>
    <row r="1367" spans="2:8" ht="18" x14ac:dyDescent="0.25">
      <c r="B1367" s="86"/>
      <c r="C1367" s="86"/>
      <c r="D1367" s="86"/>
      <c r="F1367" s="85"/>
      <c r="G1367" s="85"/>
    </row>
    <row r="1368" spans="2:8" ht="18" x14ac:dyDescent="0.25">
      <c r="B1368" s="85"/>
      <c r="C1368" s="85"/>
      <c r="D1368" s="85"/>
      <c r="E1368" s="86"/>
      <c r="F1368" s="85"/>
      <c r="G1368" s="85"/>
      <c r="H1368" s="94"/>
    </row>
    <row r="1369" spans="2:8" ht="18" x14ac:dyDescent="0.25">
      <c r="B1369" s="85">
        <f>+$E$2</f>
        <v>0</v>
      </c>
      <c r="C1369" s="85"/>
      <c r="D1369" s="85"/>
      <c r="E1369" s="85"/>
      <c r="F1369" s="96"/>
      <c r="G1369" s="86"/>
      <c r="H1369" s="90"/>
    </row>
    <row r="1370" spans="2:8" ht="18" x14ac:dyDescent="0.25">
      <c r="B1370" s="85">
        <f>+$E$3</f>
        <v>0</v>
      </c>
      <c r="C1370" s="85"/>
      <c r="D1370" s="85"/>
      <c r="E1370" s="96"/>
      <c r="G1370" s="94"/>
      <c r="H1370" s="96"/>
    </row>
    <row r="1371" spans="2:8" ht="18" x14ac:dyDescent="0.25">
      <c r="B1371" s="86"/>
      <c r="C1371" s="85"/>
      <c r="D1371" s="85"/>
      <c r="E1371" s="85" t="s">
        <v>200</v>
      </c>
      <c r="F1371" s="106" t="e">
        <f>+F1354</f>
        <v>#REF!</v>
      </c>
      <c r="G1371" s="95"/>
      <c r="H1371" s="99">
        <f>+B1375</f>
        <v>46188</v>
      </c>
    </row>
    <row r="1372" spans="2:8" ht="18" x14ac:dyDescent="0.25">
      <c r="B1372" s="86"/>
      <c r="C1372" s="85"/>
      <c r="D1372" s="85"/>
      <c r="E1372" s="85" t="s">
        <v>201</v>
      </c>
      <c r="F1372" s="106" t="e">
        <f>+F1355</f>
        <v>#REF!</v>
      </c>
      <c r="H1372" s="90"/>
    </row>
    <row r="1373" spans="2:8" ht="18" x14ac:dyDescent="0.25">
      <c r="B1373" s="85"/>
      <c r="C1373" s="85"/>
      <c r="D1373" s="85"/>
      <c r="E1373" s="85" t="s">
        <v>81</v>
      </c>
      <c r="F1373" s="106" t="e">
        <f>+F1356</f>
        <v>#REF!</v>
      </c>
      <c r="G1373" s="85"/>
      <c r="H1373" s="90"/>
    </row>
    <row r="1374" spans="2:8" ht="18" x14ac:dyDescent="0.25">
      <c r="B1374" s="96"/>
      <c r="C1374" s="96"/>
      <c r="D1374" s="96"/>
      <c r="E1374" s="85" t="s">
        <v>82</v>
      </c>
      <c r="F1374" s="106" t="e">
        <f>+F1357</f>
        <v>#REF!</v>
      </c>
      <c r="G1374" s="85"/>
      <c r="H1374" s="90"/>
    </row>
    <row r="1375" spans="2:8" ht="18" x14ac:dyDescent="0.25">
      <c r="B1375" s="99">
        <f>+$G$30</f>
        <v>46188</v>
      </c>
      <c r="C1375" s="105" t="e">
        <f>+F1358</f>
        <v>#REF!</v>
      </c>
      <c r="D1375" s="85"/>
      <c r="E1375" s="85" t="s">
        <v>188</v>
      </c>
      <c r="F1375" s="106">
        <v>0</v>
      </c>
      <c r="G1375" s="85"/>
      <c r="H1375" s="90"/>
    </row>
    <row r="1376" spans="2:8" ht="18" x14ac:dyDescent="0.25">
      <c r="B1376" s="85"/>
      <c r="C1376" s="85"/>
      <c r="D1376" s="85"/>
      <c r="E1376" s="85" t="s">
        <v>83</v>
      </c>
      <c r="F1376" s="106" t="e">
        <f>+F1358</f>
        <v>#REF!</v>
      </c>
      <c r="G1376" s="85"/>
      <c r="H1376" s="90"/>
    </row>
    <row r="1377" spans="2:8" ht="18" x14ac:dyDescent="0.25">
      <c r="B1377" s="85"/>
      <c r="C1377" s="85"/>
      <c r="D1377" s="85"/>
      <c r="E1377" s="85"/>
      <c r="F1377" s="85"/>
      <c r="G1377" s="85"/>
      <c r="H1377" s="90"/>
    </row>
    <row r="1378" spans="2:8" ht="18" x14ac:dyDescent="0.25">
      <c r="B1378" s="85"/>
      <c r="C1378" s="85"/>
      <c r="D1378" s="85"/>
      <c r="E1378" s="102"/>
      <c r="F1378" s="85"/>
      <c r="G1378" s="85"/>
      <c r="H1378" s="90"/>
    </row>
    <row r="1379" spans="2:8" ht="18" x14ac:dyDescent="0.25">
      <c r="B1379" s="85"/>
      <c r="C1379" s="85"/>
      <c r="D1379" s="85"/>
      <c r="E1379" s="85"/>
      <c r="F1379" s="85"/>
      <c r="G1379" s="85"/>
      <c r="H1379" s="94"/>
    </row>
    <row r="1380" spans="2:8" ht="18" x14ac:dyDescent="0.25">
      <c r="E1380" s="85"/>
      <c r="G1380" s="94"/>
      <c r="H1380" s="90"/>
    </row>
    <row r="1382" spans="2:8" ht="18" x14ac:dyDescent="0.25">
      <c r="B1382" s="343"/>
      <c r="C1382" s="343"/>
      <c r="D1382" s="343"/>
      <c r="E1382" s="342">
        <f>+$B$1</f>
        <v>46143</v>
      </c>
      <c r="F1382" s="85"/>
      <c r="G1382" s="337">
        <f>+$D$1</f>
        <v>46188</v>
      </c>
      <c r="H1382" s="90"/>
    </row>
    <row r="1383" spans="2:8" ht="18" x14ac:dyDescent="0.25">
      <c r="B1383" s="84"/>
      <c r="C1383" s="84"/>
      <c r="D1383" s="100"/>
      <c r="E1383" s="342"/>
      <c r="F1383" s="85"/>
      <c r="G1383" s="337"/>
      <c r="H1383" s="90"/>
    </row>
    <row r="1384" spans="2:8" ht="18" x14ac:dyDescent="0.25">
      <c r="B1384" s="85"/>
      <c r="C1384" s="85"/>
      <c r="D1384" s="85"/>
      <c r="E1384" s="86"/>
      <c r="F1384" s="85"/>
      <c r="G1384" s="86"/>
      <c r="H1384" s="90"/>
    </row>
    <row r="1385" spans="2:8" ht="18" x14ac:dyDescent="0.25">
      <c r="B1385" s="85" t="e">
        <f>+#REF!</f>
        <v>#REF!</v>
      </c>
      <c r="C1385" s="85"/>
      <c r="D1385" s="85"/>
      <c r="E1385" s="86"/>
      <c r="F1385" s="85"/>
      <c r="G1385" s="86"/>
      <c r="H1385" s="90"/>
    </row>
    <row r="1386" spans="2:8" ht="18" x14ac:dyDescent="0.25">
      <c r="B1386" s="86"/>
      <c r="C1386" s="85"/>
      <c r="D1386" s="85"/>
      <c r="E1386" s="85" t="s">
        <v>78</v>
      </c>
      <c r="F1386" s="85"/>
      <c r="G1386" s="85"/>
      <c r="H1386" s="90" t="s">
        <v>120</v>
      </c>
    </row>
    <row r="1387" spans="2:8" ht="18" x14ac:dyDescent="0.25">
      <c r="B1387" s="85"/>
      <c r="C1387" s="85"/>
      <c r="D1387" s="85"/>
      <c r="E1387" s="86"/>
      <c r="F1387" s="86"/>
      <c r="G1387" s="85"/>
      <c r="H1387" s="94"/>
    </row>
    <row r="1388" spans="2:8" ht="18" x14ac:dyDescent="0.25">
      <c r="B1388" s="94"/>
      <c r="C1388" s="85"/>
      <c r="D1388" s="94"/>
      <c r="E1388" s="85"/>
      <c r="F1388" s="85"/>
      <c r="G1388" s="85"/>
      <c r="H1388" s="90"/>
    </row>
    <row r="1389" spans="2:8" ht="18" x14ac:dyDescent="0.25">
      <c r="B1389" s="94"/>
      <c r="C1389" s="85"/>
      <c r="D1389" s="94"/>
      <c r="E1389" s="85"/>
      <c r="F1389" s="85"/>
      <c r="G1389" s="85"/>
      <c r="H1389" s="90"/>
    </row>
    <row r="1390" spans="2:8" ht="18" x14ac:dyDescent="0.25">
      <c r="B1390" s="85" t="s">
        <v>198</v>
      </c>
      <c r="C1390" s="85"/>
      <c r="D1390" s="107">
        <f>+'RES CUENTA'!$L$25</f>
        <v>10859801.41</v>
      </c>
      <c r="E1390" s="108" t="e">
        <f>+'RES CUENTA'!#REF!</f>
        <v>#REF!</v>
      </c>
      <c r="F1390" s="103" t="e">
        <f>+D1390*E1390/100</f>
        <v>#REF!</v>
      </c>
      <c r="G1390" s="345"/>
      <c r="H1390" s="345"/>
    </row>
    <row r="1391" spans="2:8" ht="18" x14ac:dyDescent="0.25">
      <c r="B1391" s="85" t="s">
        <v>199</v>
      </c>
      <c r="C1391" s="85"/>
      <c r="D1391" s="107" t="e">
        <f>+'RES CUENTA'!#REF!</f>
        <v>#REF!</v>
      </c>
      <c r="E1391" s="108" t="e">
        <f>+'RES CUENTA'!#REF!</f>
        <v>#REF!</v>
      </c>
      <c r="F1391" s="103" t="e">
        <f>+D1391*E1391/100</f>
        <v>#REF!</v>
      </c>
      <c r="G1391" s="341"/>
      <c r="H1391" s="341"/>
    </row>
    <row r="1392" spans="2:8" ht="18" x14ac:dyDescent="0.25">
      <c r="B1392" s="85" t="s">
        <v>79</v>
      </c>
      <c r="C1392" s="85"/>
      <c r="D1392" s="107" t="e">
        <f>+'RES CUENTA'!#REF!</f>
        <v>#REF!</v>
      </c>
      <c r="E1392" s="108">
        <v>0</v>
      </c>
      <c r="F1392" s="103" t="e">
        <f>+D1392</f>
        <v>#REF!</v>
      </c>
      <c r="G1392" s="341"/>
      <c r="H1392" s="341"/>
    </row>
    <row r="1393" spans="2:8" ht="18" x14ac:dyDescent="0.25">
      <c r="B1393" s="85" t="s">
        <v>80</v>
      </c>
      <c r="C1393" s="85"/>
      <c r="D1393" s="107" t="e">
        <f>+'RES CUENTA'!#REF!</f>
        <v>#REF!</v>
      </c>
      <c r="E1393" s="108">
        <v>0</v>
      </c>
      <c r="F1393" s="103" t="e">
        <f>+D1393</f>
        <v>#REF!</v>
      </c>
      <c r="G1393" s="341"/>
      <c r="H1393" s="341"/>
    </row>
    <row r="1394" spans="2:8" ht="18" x14ac:dyDescent="0.25">
      <c r="B1394" s="86"/>
      <c r="C1394" s="85"/>
      <c r="D1394" s="85"/>
      <c r="E1394" s="92"/>
      <c r="F1394" s="104" t="e">
        <f>SUM(F1390:F1393)</f>
        <v>#REF!</v>
      </c>
      <c r="G1394" s="341"/>
      <c r="H1394" s="341"/>
    </row>
    <row r="1395" spans="2:8" ht="18" x14ac:dyDescent="0.25">
      <c r="B1395" s="86"/>
      <c r="C1395" s="85"/>
      <c r="D1395" s="85"/>
      <c r="E1395" s="92"/>
      <c r="F1395" s="104"/>
      <c r="G1395" s="89"/>
      <c r="H1395" s="89"/>
    </row>
    <row r="1396" spans="2:8" ht="18" x14ac:dyDescent="0.25">
      <c r="B1396" s="86"/>
      <c r="C1396" s="85"/>
      <c r="D1396" s="85"/>
      <c r="E1396" s="85"/>
      <c r="G1396" s="338"/>
      <c r="H1396" s="338"/>
    </row>
    <row r="1397" spans="2:8" ht="18" x14ac:dyDescent="0.25">
      <c r="B1397" s="85"/>
      <c r="C1397" s="85"/>
      <c r="D1397" s="85"/>
      <c r="E1397" s="85"/>
      <c r="F1397" s="91"/>
      <c r="G1397" s="90"/>
      <c r="H1397" s="90"/>
    </row>
    <row r="1398" spans="2:8" ht="18" x14ac:dyDescent="0.25">
      <c r="B1398" s="85"/>
      <c r="C1398" s="85"/>
      <c r="D1398" s="85"/>
      <c r="E1398" s="85"/>
      <c r="F1398" s="92"/>
      <c r="G1398" s="85"/>
      <c r="H1398" s="90"/>
    </row>
    <row r="1399" spans="2:8" ht="18" x14ac:dyDescent="0.25">
      <c r="B1399" s="85"/>
      <c r="C1399" s="85"/>
      <c r="D1399" s="85"/>
      <c r="E1399" s="85"/>
      <c r="F1399" s="92"/>
      <c r="G1399" s="85"/>
      <c r="H1399" s="90"/>
    </row>
    <row r="1400" spans="2:8" ht="18" x14ac:dyDescent="0.25">
      <c r="B1400" s="85" t="e">
        <f>+B1385</f>
        <v>#REF!</v>
      </c>
      <c r="C1400" s="344"/>
      <c r="D1400" s="344"/>
      <c r="E1400" s="85" t="e">
        <f>+B1400</f>
        <v>#REF!</v>
      </c>
      <c r="F1400" s="92"/>
      <c r="G1400" s="85"/>
      <c r="H1400" s="90"/>
    </row>
    <row r="1401" spans="2:8" ht="18" x14ac:dyDescent="0.25">
      <c r="C1401" s="85"/>
      <c r="D1401" s="85"/>
      <c r="F1401" s="344"/>
      <c r="G1401" s="344"/>
      <c r="H1401" s="344"/>
    </row>
    <row r="1402" spans="2:8" ht="18" x14ac:dyDescent="0.25">
      <c r="B1402" s="85" t="str">
        <f>+$E$1</f>
        <v>Lima 461 C:A:B:A:</v>
      </c>
      <c r="C1402" s="85"/>
      <c r="D1402" s="93" t="str">
        <f>+H1386</f>
        <v>Unid. 37</v>
      </c>
      <c r="E1402" s="85" t="str">
        <f>+$E$1</f>
        <v>Lima 461 C:A:B:A:</v>
      </c>
      <c r="F1402" s="85"/>
      <c r="G1402" s="85"/>
      <c r="H1402" s="90" t="str">
        <f>+D1402</f>
        <v>Unid. 37</v>
      </c>
    </row>
    <row r="1403" spans="2:8" ht="18" x14ac:dyDescent="0.25">
      <c r="H1403" s="94"/>
    </row>
    <row r="1404" spans="2:8" ht="18" x14ac:dyDescent="0.25">
      <c r="B1404" s="86"/>
      <c r="C1404" s="86"/>
      <c r="D1404" s="86"/>
      <c r="E1404" s="86"/>
      <c r="F1404" s="85"/>
      <c r="G1404" s="85"/>
    </row>
    <row r="1405" spans="2:8" ht="18" x14ac:dyDescent="0.25">
      <c r="B1405" s="85">
        <f>+$E$2</f>
        <v>0</v>
      </c>
      <c r="C1405" s="85"/>
      <c r="D1405" s="85"/>
      <c r="E1405" s="85"/>
      <c r="F1405" s="85"/>
      <c r="G1405" s="86"/>
      <c r="H1405" s="94"/>
    </row>
    <row r="1406" spans="2:8" ht="18" x14ac:dyDescent="0.25">
      <c r="B1406" s="85">
        <f>+$E$3</f>
        <v>0</v>
      </c>
      <c r="C1406" s="85"/>
      <c r="D1406" s="85"/>
      <c r="E1406" s="96"/>
      <c r="F1406" s="85"/>
      <c r="G1406" s="94"/>
      <c r="H1406" s="90"/>
    </row>
    <row r="1407" spans="2:8" ht="18" x14ac:dyDescent="0.25">
      <c r="C1407" s="85"/>
      <c r="D1407" s="85"/>
      <c r="E1407" s="85" t="s">
        <v>200</v>
      </c>
      <c r="F1407" s="106" t="e">
        <f>+F1390</f>
        <v>#REF!</v>
      </c>
      <c r="H1407" s="99">
        <f>+B1412</f>
        <v>46188</v>
      </c>
    </row>
    <row r="1408" spans="2:8" ht="18" x14ac:dyDescent="0.25">
      <c r="B1408" s="86"/>
      <c r="C1408" s="85"/>
      <c r="D1408" s="85"/>
      <c r="E1408" s="85" t="s">
        <v>201</v>
      </c>
      <c r="F1408" s="106" t="e">
        <f>+F1391</f>
        <v>#REF!</v>
      </c>
    </row>
    <row r="1409" spans="2:8" ht="18" x14ac:dyDescent="0.25">
      <c r="B1409" s="86"/>
      <c r="C1409" s="85"/>
      <c r="D1409" s="85"/>
      <c r="E1409" s="85" t="s">
        <v>81</v>
      </c>
      <c r="F1409" s="106" t="e">
        <f>+F1392</f>
        <v>#REF!</v>
      </c>
      <c r="G1409" s="85"/>
      <c r="H1409" s="90"/>
    </row>
    <row r="1410" spans="2:8" ht="18" x14ac:dyDescent="0.25">
      <c r="B1410" s="85"/>
      <c r="C1410" s="85"/>
      <c r="D1410" s="85"/>
      <c r="E1410" s="85" t="s">
        <v>82</v>
      </c>
      <c r="F1410" s="106" t="e">
        <f>+F1393</f>
        <v>#REF!</v>
      </c>
      <c r="G1410" s="85"/>
      <c r="H1410" s="90"/>
    </row>
    <row r="1411" spans="2:8" ht="18" x14ac:dyDescent="0.25">
      <c r="B1411" s="96"/>
      <c r="C1411" s="96"/>
      <c r="D1411" s="96"/>
      <c r="E1411" s="85" t="s">
        <v>188</v>
      </c>
      <c r="F1411" s="106">
        <v>0</v>
      </c>
      <c r="G1411" s="85"/>
      <c r="H1411" s="90"/>
    </row>
    <row r="1412" spans="2:8" ht="18" x14ac:dyDescent="0.25">
      <c r="B1412" s="99">
        <f>+$G$30</f>
        <v>46188</v>
      </c>
      <c r="C1412" s="105" t="e">
        <f>+F1394</f>
        <v>#REF!</v>
      </c>
      <c r="D1412" s="85"/>
      <c r="E1412" s="85" t="s">
        <v>83</v>
      </c>
      <c r="F1412" s="106" t="e">
        <f>+F1394</f>
        <v>#REF!</v>
      </c>
      <c r="G1412" s="85"/>
      <c r="H1412" s="90"/>
    </row>
    <row r="1413" spans="2:8" ht="18" x14ac:dyDescent="0.25">
      <c r="B1413" s="85"/>
      <c r="C1413" s="85"/>
      <c r="D1413" s="85"/>
      <c r="E1413" s="85"/>
      <c r="F1413" s="85"/>
      <c r="G1413" s="85"/>
      <c r="H1413" s="90"/>
    </row>
    <row r="1414" spans="2:8" ht="18" x14ac:dyDescent="0.25">
      <c r="B1414" s="85"/>
      <c r="C1414" s="85"/>
      <c r="D1414" s="85"/>
      <c r="E1414" s="85"/>
      <c r="F1414" s="85"/>
      <c r="G1414" s="345"/>
      <c r="H1414" s="345"/>
    </row>
    <row r="1415" spans="2:8" ht="18" x14ac:dyDescent="0.25">
      <c r="B1415" s="85"/>
      <c r="C1415" s="85"/>
      <c r="D1415" s="85"/>
      <c r="E1415" s="85"/>
      <c r="F1415" s="85"/>
      <c r="G1415" s="85"/>
      <c r="H1415" s="90"/>
    </row>
    <row r="1416" spans="2:8" ht="18" x14ac:dyDescent="0.25">
      <c r="B1416" s="85"/>
      <c r="C1416" s="85"/>
      <c r="D1416" s="85"/>
      <c r="E1416" s="85"/>
      <c r="F1416" s="85"/>
      <c r="G1416" s="85"/>
      <c r="H1416" s="90"/>
    </row>
    <row r="1417" spans="2:8" ht="18" x14ac:dyDescent="0.25">
      <c r="B1417" s="85"/>
      <c r="C1417" s="85"/>
      <c r="D1417" s="85"/>
      <c r="E1417" s="85"/>
      <c r="F1417" s="85"/>
      <c r="G1417" s="85"/>
      <c r="H1417" s="90"/>
    </row>
    <row r="1418" spans="2:8" ht="18" x14ac:dyDescent="0.25">
      <c r="B1418" s="85"/>
      <c r="C1418" s="85"/>
      <c r="D1418" s="85"/>
      <c r="E1418" s="85"/>
      <c r="F1418" s="85"/>
      <c r="H1418" s="90"/>
    </row>
    <row r="1419" spans="2:8" ht="18" x14ac:dyDescent="0.25">
      <c r="B1419" s="85"/>
      <c r="C1419" s="85"/>
      <c r="D1419" s="85"/>
      <c r="E1419" s="85"/>
      <c r="F1419" s="85"/>
      <c r="H1419" s="90"/>
    </row>
    <row r="1420" spans="2:8" ht="18" x14ac:dyDescent="0.25">
      <c r="B1420" s="343"/>
      <c r="C1420" s="343"/>
      <c r="D1420" s="343"/>
      <c r="E1420" s="85"/>
      <c r="F1420" s="85"/>
      <c r="H1420" s="90"/>
    </row>
    <row r="1421" spans="2:8" ht="18" x14ac:dyDescent="0.25">
      <c r="B1421" s="343"/>
      <c r="C1421" s="343"/>
      <c r="D1421" s="343"/>
      <c r="E1421" s="98">
        <f>+$B$1</f>
        <v>46143</v>
      </c>
      <c r="F1421" s="85"/>
      <c r="G1421" s="99">
        <f>+$D$1</f>
        <v>46188</v>
      </c>
      <c r="H1421" s="160"/>
    </row>
    <row r="1422" spans="2:8" ht="18" x14ac:dyDescent="0.25">
      <c r="B1422" s="84"/>
      <c r="C1422" s="84"/>
      <c r="D1422" s="100"/>
      <c r="E1422" s="98"/>
      <c r="F1422" s="85"/>
    </row>
    <row r="1423" spans="2:8" ht="18" x14ac:dyDescent="0.25">
      <c r="B1423" s="85" t="e">
        <f>+#REF!</f>
        <v>#REF!</v>
      </c>
      <c r="C1423" s="85"/>
      <c r="D1423" s="85"/>
      <c r="F1423" s="85"/>
    </row>
    <row r="1424" spans="2:8" ht="18" x14ac:dyDescent="0.25">
      <c r="C1424" s="85"/>
      <c r="D1424" s="85"/>
      <c r="E1424" s="85" t="str">
        <f>+$E$1</f>
        <v>Lima 461 C:A:B:A:</v>
      </c>
      <c r="F1424" s="85"/>
      <c r="H1424" s="90" t="s">
        <v>121</v>
      </c>
    </row>
    <row r="1425" spans="2:8" ht="18" x14ac:dyDescent="0.25">
      <c r="B1425" s="86"/>
      <c r="C1425" s="85"/>
      <c r="D1425" s="85"/>
      <c r="F1425" s="85"/>
      <c r="G1425" s="86"/>
    </row>
    <row r="1426" spans="2:8" ht="18" x14ac:dyDescent="0.25">
      <c r="B1426" s="85"/>
      <c r="C1426" s="85"/>
      <c r="D1426" s="85"/>
      <c r="E1426" s="86"/>
      <c r="F1426" s="86"/>
      <c r="G1426" s="85"/>
      <c r="H1426" s="94"/>
    </row>
    <row r="1427" spans="2:8" ht="18" x14ac:dyDescent="0.25">
      <c r="B1427" s="94"/>
      <c r="C1427" s="85"/>
      <c r="D1427" s="94"/>
      <c r="E1427" s="85"/>
      <c r="F1427" s="85"/>
      <c r="G1427" s="85"/>
      <c r="H1427" s="90"/>
    </row>
    <row r="1428" spans="2:8" ht="18" x14ac:dyDescent="0.25">
      <c r="B1428" s="85" t="s">
        <v>198</v>
      </c>
      <c r="C1428" s="85"/>
      <c r="D1428" s="107">
        <f>+'RES CUENTA'!$L$25</f>
        <v>10859801.41</v>
      </c>
      <c r="E1428" s="108" t="e">
        <f>+'RES CUENTA'!#REF!</f>
        <v>#REF!</v>
      </c>
      <c r="F1428" s="103" t="e">
        <f>+D1428*E1428/100</f>
        <v>#REF!</v>
      </c>
      <c r="G1428" s="85"/>
      <c r="H1428" s="94"/>
    </row>
    <row r="1429" spans="2:8" ht="18" x14ac:dyDescent="0.25">
      <c r="B1429" s="85" t="s">
        <v>199</v>
      </c>
      <c r="C1429" s="85"/>
      <c r="D1429" s="107" t="e">
        <f>+'RES CUENTA'!#REF!</f>
        <v>#REF!</v>
      </c>
      <c r="E1429" s="108" t="e">
        <f>+'RES CUENTA'!#REF!</f>
        <v>#REF!</v>
      </c>
      <c r="F1429" s="103" t="e">
        <f>+D1429*E1429/100</f>
        <v>#REF!</v>
      </c>
      <c r="G1429" s="94"/>
      <c r="H1429" s="89"/>
    </row>
    <row r="1430" spans="2:8" ht="18" x14ac:dyDescent="0.25">
      <c r="B1430" s="85" t="s">
        <v>79</v>
      </c>
      <c r="C1430" s="85"/>
      <c r="D1430" s="107" t="e">
        <f>+'RES CUENTA'!#REF!</f>
        <v>#REF!</v>
      </c>
      <c r="E1430" s="108">
        <f>+'RES CUENTA'!P523</f>
        <v>0</v>
      </c>
      <c r="F1430" s="103" t="e">
        <f>+D1430</f>
        <v>#REF!</v>
      </c>
      <c r="G1430" s="89"/>
      <c r="H1430" s="89"/>
    </row>
    <row r="1431" spans="2:8" ht="18" x14ac:dyDescent="0.25">
      <c r="B1431" s="85" t="s">
        <v>80</v>
      </c>
      <c r="C1431" s="85"/>
      <c r="D1431" s="107" t="e">
        <f>+'RES CUENTA'!#REF!</f>
        <v>#REF!</v>
      </c>
      <c r="E1431" s="108">
        <f>+'RES CUENTA'!R518</f>
        <v>0</v>
      </c>
      <c r="F1431" s="103" t="e">
        <f>+D1431</f>
        <v>#REF!</v>
      </c>
      <c r="G1431" s="89"/>
      <c r="H1431" s="89"/>
    </row>
    <row r="1432" spans="2:8" ht="18" x14ac:dyDescent="0.25">
      <c r="B1432" s="86"/>
      <c r="C1432" s="85"/>
      <c r="D1432" s="85"/>
      <c r="F1432" s="104" t="e">
        <f>SUM(F1428:F1431)</f>
        <v>#REF!</v>
      </c>
      <c r="G1432" s="89"/>
      <c r="H1432" s="89"/>
    </row>
    <row r="1433" spans="2:8" ht="18" x14ac:dyDescent="0.25">
      <c r="B1433" s="86"/>
      <c r="C1433" s="85"/>
      <c r="D1433" s="85"/>
      <c r="F1433" s="104"/>
      <c r="G1433" s="89"/>
      <c r="H1433" s="89"/>
    </row>
    <row r="1434" spans="2:8" ht="18" x14ac:dyDescent="0.25">
      <c r="B1434" s="86"/>
      <c r="C1434" s="85"/>
      <c r="D1434" s="85"/>
      <c r="F1434" s="91"/>
      <c r="G1434" s="89"/>
      <c r="H1434" s="90"/>
    </row>
    <row r="1435" spans="2:8" ht="18" x14ac:dyDescent="0.25">
      <c r="B1435" s="85"/>
      <c r="C1435" s="85"/>
      <c r="D1435" s="85"/>
      <c r="E1435" s="85"/>
      <c r="F1435" s="92"/>
      <c r="G1435" s="90"/>
      <c r="H1435" s="90"/>
    </row>
    <row r="1436" spans="2:8" ht="18" x14ac:dyDescent="0.25">
      <c r="B1436" s="85"/>
      <c r="C1436" s="85"/>
      <c r="D1436" s="85"/>
      <c r="E1436" s="85"/>
      <c r="F1436" s="92"/>
      <c r="G1436" s="90"/>
      <c r="H1436" s="90"/>
    </row>
    <row r="1437" spans="2:8" ht="18" x14ac:dyDescent="0.25">
      <c r="B1437" s="85"/>
      <c r="C1437" s="85"/>
      <c r="D1437" s="85"/>
      <c r="E1437" s="85"/>
      <c r="F1437" s="92"/>
      <c r="G1437" s="90"/>
      <c r="H1437" s="90"/>
    </row>
    <row r="1438" spans="2:8" ht="18" x14ac:dyDescent="0.25">
      <c r="B1438" s="85" t="e">
        <f>+B1423</f>
        <v>#REF!</v>
      </c>
      <c r="C1438" s="85"/>
      <c r="D1438" s="85"/>
      <c r="E1438" s="85" t="e">
        <f>+B1423</f>
        <v>#REF!</v>
      </c>
      <c r="F1438" s="85"/>
      <c r="G1438" s="85"/>
      <c r="H1438" s="94"/>
    </row>
    <row r="1439" spans="2:8" ht="18" x14ac:dyDescent="0.25">
      <c r="B1439" s="86"/>
      <c r="C1439" s="85"/>
      <c r="D1439" s="85"/>
      <c r="F1439" s="85"/>
      <c r="G1439" s="101"/>
      <c r="H1439" s="90" t="str">
        <f>+H1424</f>
        <v>Unid. 38</v>
      </c>
    </row>
    <row r="1440" spans="2:8" ht="18" x14ac:dyDescent="0.25">
      <c r="B1440" s="85" t="str">
        <f>+$E$1</f>
        <v>Lima 461 C:A:B:A:</v>
      </c>
      <c r="C1440" s="85"/>
      <c r="D1440" s="93" t="str">
        <f>+H1439</f>
        <v>Unid. 38</v>
      </c>
      <c r="E1440" s="85" t="str">
        <f>+$E$1</f>
        <v>Lima 461 C:A:B:A:</v>
      </c>
      <c r="F1440" s="85"/>
      <c r="G1440" s="85"/>
      <c r="H1440" s="94"/>
    </row>
    <row r="1441" spans="2:8" ht="18" x14ac:dyDescent="0.25">
      <c r="B1441" s="86"/>
      <c r="C1441" s="86"/>
      <c r="D1441" s="86"/>
      <c r="F1441" s="85"/>
      <c r="G1441" s="85"/>
    </row>
    <row r="1442" spans="2:8" ht="18" x14ac:dyDescent="0.25">
      <c r="B1442" s="85"/>
      <c r="C1442" s="85"/>
      <c r="D1442" s="85"/>
      <c r="E1442" s="86"/>
      <c r="F1442" s="85"/>
      <c r="G1442" s="85"/>
      <c r="H1442" s="94"/>
    </row>
    <row r="1443" spans="2:8" ht="18" x14ac:dyDescent="0.25">
      <c r="B1443" s="85">
        <f>+$E$2</f>
        <v>0</v>
      </c>
      <c r="C1443" s="85"/>
      <c r="D1443" s="85"/>
      <c r="E1443" s="85"/>
      <c r="F1443" s="96"/>
      <c r="G1443" s="86"/>
      <c r="H1443" s="90"/>
    </row>
    <row r="1444" spans="2:8" ht="18" x14ac:dyDescent="0.25">
      <c r="B1444" s="85">
        <f>+$E$3</f>
        <v>0</v>
      </c>
      <c r="C1444" s="85"/>
      <c r="D1444" s="85"/>
      <c r="E1444" s="96"/>
      <c r="G1444" s="94"/>
      <c r="H1444" s="96"/>
    </row>
    <row r="1445" spans="2:8" ht="18" x14ac:dyDescent="0.25">
      <c r="B1445" s="86"/>
      <c r="C1445" s="85"/>
      <c r="D1445" s="85"/>
      <c r="E1445" s="85" t="s">
        <v>200</v>
      </c>
      <c r="F1445" s="106" t="e">
        <f>+F1428</f>
        <v>#REF!</v>
      </c>
      <c r="G1445" s="95"/>
      <c r="H1445" s="99">
        <f>+B1449</f>
        <v>46188</v>
      </c>
    </row>
    <row r="1446" spans="2:8" ht="18" x14ac:dyDescent="0.25">
      <c r="B1446" s="86"/>
      <c r="C1446" s="85"/>
      <c r="D1446" s="85"/>
      <c r="E1446" s="85" t="s">
        <v>201</v>
      </c>
      <c r="F1446" s="106" t="e">
        <f>+F1429</f>
        <v>#REF!</v>
      </c>
      <c r="H1446" s="90"/>
    </row>
    <row r="1447" spans="2:8" ht="18" x14ac:dyDescent="0.25">
      <c r="B1447" s="85"/>
      <c r="C1447" s="85"/>
      <c r="D1447" s="85"/>
      <c r="E1447" s="85" t="s">
        <v>81</v>
      </c>
      <c r="F1447" s="106" t="e">
        <f>+F1430</f>
        <v>#REF!</v>
      </c>
      <c r="G1447" s="85"/>
      <c r="H1447" s="90"/>
    </row>
    <row r="1448" spans="2:8" ht="18" x14ac:dyDescent="0.25">
      <c r="B1448" s="96"/>
      <c r="C1448" s="96"/>
      <c r="D1448" s="96"/>
      <c r="E1448" s="85" t="s">
        <v>82</v>
      </c>
      <c r="F1448" s="106" t="e">
        <f>+F1431</f>
        <v>#REF!</v>
      </c>
      <c r="G1448" s="85"/>
      <c r="H1448" s="90"/>
    </row>
    <row r="1449" spans="2:8" ht="18" x14ac:dyDescent="0.25">
      <c r="B1449" s="99">
        <f>+$G$30</f>
        <v>46188</v>
      </c>
      <c r="C1449" s="105" t="e">
        <f>+F1432</f>
        <v>#REF!</v>
      </c>
      <c r="D1449" s="85"/>
      <c r="E1449" s="85" t="s">
        <v>188</v>
      </c>
      <c r="F1449" s="106">
        <v>0</v>
      </c>
      <c r="G1449" s="85"/>
      <c r="H1449" s="90"/>
    </row>
    <row r="1450" spans="2:8" ht="18" x14ac:dyDescent="0.25">
      <c r="B1450" s="85"/>
      <c r="C1450" s="85"/>
      <c r="D1450" s="85"/>
      <c r="E1450" s="85" t="s">
        <v>83</v>
      </c>
      <c r="F1450" s="106" t="e">
        <f>+F1432</f>
        <v>#REF!</v>
      </c>
      <c r="G1450" s="85"/>
      <c r="H1450" s="90"/>
    </row>
    <row r="1451" spans="2:8" ht="18" x14ac:dyDescent="0.25">
      <c r="B1451" s="85"/>
      <c r="C1451" s="85"/>
      <c r="D1451" s="85"/>
      <c r="E1451" s="85"/>
      <c r="F1451" s="85"/>
      <c r="G1451" s="85"/>
      <c r="H1451" s="90"/>
    </row>
    <row r="1452" spans="2:8" ht="18" x14ac:dyDescent="0.25">
      <c r="B1452" s="85"/>
      <c r="C1452" s="85"/>
      <c r="D1452" s="85"/>
      <c r="E1452" s="102"/>
      <c r="F1452" s="85"/>
      <c r="G1452" s="85"/>
      <c r="H1452" s="90"/>
    </row>
    <row r="1453" spans="2:8" ht="18" x14ac:dyDescent="0.25">
      <c r="B1453" s="85"/>
      <c r="C1453" s="85"/>
      <c r="D1453" s="85"/>
      <c r="E1453" s="85"/>
      <c r="F1453" s="85"/>
      <c r="G1453" s="85"/>
      <c r="H1453" s="94"/>
    </row>
    <row r="1454" spans="2:8" ht="18" x14ac:dyDescent="0.25">
      <c r="E1454" s="85"/>
      <c r="G1454" s="94"/>
      <c r="H1454" s="90"/>
    </row>
    <row r="1456" spans="2:8" ht="18" x14ac:dyDescent="0.25">
      <c r="B1456" s="343"/>
      <c r="C1456" s="343"/>
      <c r="D1456" s="343"/>
      <c r="E1456" s="342">
        <f>+$B$1</f>
        <v>46143</v>
      </c>
      <c r="F1456" s="85"/>
      <c r="G1456" s="337">
        <f>+$D$1</f>
        <v>46188</v>
      </c>
      <c r="H1456" s="90"/>
    </row>
    <row r="1457" spans="2:8" ht="18" x14ac:dyDescent="0.25">
      <c r="B1457" s="84"/>
      <c r="C1457" s="84"/>
      <c r="D1457" s="100"/>
      <c r="E1457" s="342"/>
      <c r="F1457" s="85"/>
      <c r="G1457" s="337"/>
      <c r="H1457" s="90"/>
    </row>
    <row r="1458" spans="2:8" ht="18" x14ac:dyDescent="0.25">
      <c r="B1458" s="85"/>
      <c r="C1458" s="85"/>
      <c r="D1458" s="85"/>
      <c r="E1458" s="86"/>
      <c r="F1458" s="85"/>
      <c r="G1458" s="86"/>
      <c r="H1458" s="90"/>
    </row>
    <row r="1459" spans="2:8" ht="18" x14ac:dyDescent="0.25">
      <c r="B1459" s="85" t="e">
        <f>+#REF!</f>
        <v>#REF!</v>
      </c>
      <c r="C1459" s="85"/>
      <c r="D1459" s="85"/>
      <c r="E1459" s="86"/>
      <c r="F1459" s="85"/>
      <c r="G1459" s="86"/>
      <c r="H1459" s="90"/>
    </row>
    <row r="1460" spans="2:8" ht="18" x14ac:dyDescent="0.25">
      <c r="B1460" s="86"/>
      <c r="C1460" s="85"/>
      <c r="D1460" s="85"/>
      <c r="E1460" s="85" t="s">
        <v>78</v>
      </c>
      <c r="F1460" s="85"/>
      <c r="G1460" s="85"/>
      <c r="H1460" s="90" t="s">
        <v>122</v>
      </c>
    </row>
    <row r="1461" spans="2:8" ht="18" x14ac:dyDescent="0.25">
      <c r="B1461" s="85"/>
      <c r="C1461" s="85"/>
      <c r="D1461" s="85"/>
      <c r="E1461" s="86"/>
      <c r="F1461" s="86"/>
      <c r="G1461" s="85"/>
      <c r="H1461" s="94"/>
    </row>
    <row r="1462" spans="2:8" ht="18" x14ac:dyDescent="0.25">
      <c r="B1462" s="94"/>
      <c r="C1462" s="85"/>
      <c r="D1462" s="94"/>
      <c r="E1462" s="85"/>
      <c r="F1462" s="85"/>
      <c r="G1462" s="85"/>
      <c r="H1462" s="90"/>
    </row>
    <row r="1463" spans="2:8" ht="18" x14ac:dyDescent="0.25">
      <c r="B1463" s="94"/>
      <c r="C1463" s="85"/>
      <c r="D1463" s="94"/>
      <c r="E1463" s="85"/>
      <c r="F1463" s="85"/>
      <c r="G1463" s="85"/>
      <c r="H1463" s="90"/>
    </row>
    <row r="1464" spans="2:8" ht="18" x14ac:dyDescent="0.25">
      <c r="B1464" s="85" t="s">
        <v>198</v>
      </c>
      <c r="C1464" s="85"/>
      <c r="D1464" s="107">
        <f>+'RES CUENTA'!$L$25</f>
        <v>10859801.41</v>
      </c>
      <c r="E1464" s="108" t="e">
        <f>+'RES CUENTA'!#REF!</f>
        <v>#REF!</v>
      </c>
      <c r="F1464" s="103" t="e">
        <f>+D1464*E1464/100</f>
        <v>#REF!</v>
      </c>
      <c r="G1464" s="345"/>
      <c r="H1464" s="345"/>
    </row>
    <row r="1465" spans="2:8" ht="18" x14ac:dyDescent="0.25">
      <c r="B1465" s="85" t="s">
        <v>199</v>
      </c>
      <c r="C1465" s="85"/>
      <c r="D1465" s="107" t="e">
        <f>+'RES CUENTA'!#REF!</f>
        <v>#REF!</v>
      </c>
      <c r="E1465" s="108" t="e">
        <f>+'RES CUENTA'!#REF!</f>
        <v>#REF!</v>
      </c>
      <c r="F1465" s="103" t="e">
        <f>+D1465*E1465/100</f>
        <v>#REF!</v>
      </c>
      <c r="G1465" s="341"/>
      <c r="H1465" s="341"/>
    </row>
    <row r="1466" spans="2:8" ht="18" x14ac:dyDescent="0.25">
      <c r="B1466" s="85" t="s">
        <v>79</v>
      </c>
      <c r="C1466" s="85"/>
      <c r="D1466" s="107" t="e">
        <f>+'RES CUENTA'!#REF!</f>
        <v>#REF!</v>
      </c>
      <c r="E1466" s="108">
        <v>0</v>
      </c>
      <c r="F1466" s="103" t="e">
        <f>+D1466</f>
        <v>#REF!</v>
      </c>
      <c r="G1466" s="341"/>
      <c r="H1466" s="341"/>
    </row>
    <row r="1467" spans="2:8" ht="18" x14ac:dyDescent="0.25">
      <c r="B1467" s="85" t="s">
        <v>80</v>
      </c>
      <c r="C1467" s="85"/>
      <c r="D1467" s="107" t="e">
        <f>+'RES CUENTA'!#REF!</f>
        <v>#REF!</v>
      </c>
      <c r="E1467" s="108">
        <v>0</v>
      </c>
      <c r="F1467" s="103" t="e">
        <f>+D1467</f>
        <v>#REF!</v>
      </c>
      <c r="G1467" s="341"/>
      <c r="H1467" s="341"/>
    </row>
    <row r="1468" spans="2:8" ht="18" x14ac:dyDescent="0.25">
      <c r="B1468" s="86"/>
      <c r="C1468" s="85"/>
      <c r="D1468" s="85"/>
      <c r="E1468" s="92"/>
      <c r="F1468" s="104" t="e">
        <f>SUM(F1464:F1467)</f>
        <v>#REF!</v>
      </c>
      <c r="G1468" s="341"/>
      <c r="H1468" s="341"/>
    </row>
    <row r="1469" spans="2:8" ht="18" x14ac:dyDescent="0.25">
      <c r="B1469" s="86"/>
      <c r="C1469" s="85"/>
      <c r="D1469" s="85"/>
      <c r="E1469" s="92"/>
      <c r="F1469" s="104"/>
      <c r="G1469" s="89"/>
      <c r="H1469" s="89"/>
    </row>
    <row r="1470" spans="2:8" ht="18" x14ac:dyDescent="0.25">
      <c r="B1470" s="86"/>
      <c r="C1470" s="85"/>
      <c r="D1470" s="85"/>
      <c r="E1470" s="85"/>
      <c r="G1470" s="338"/>
      <c r="H1470" s="338"/>
    </row>
    <row r="1471" spans="2:8" ht="18" x14ac:dyDescent="0.25">
      <c r="B1471" s="85"/>
      <c r="C1471" s="85"/>
      <c r="D1471" s="85"/>
      <c r="E1471" s="85"/>
      <c r="F1471" s="91"/>
      <c r="G1471" s="90"/>
      <c r="H1471" s="90"/>
    </row>
    <row r="1472" spans="2:8" ht="18" x14ac:dyDescent="0.25">
      <c r="B1472" s="85"/>
      <c r="C1472" s="85"/>
      <c r="D1472" s="85"/>
      <c r="E1472" s="85"/>
      <c r="F1472" s="92"/>
      <c r="G1472" s="85"/>
      <c r="H1472" s="90"/>
    </row>
    <row r="1473" spans="2:8" ht="18" x14ac:dyDescent="0.25">
      <c r="B1473" s="85"/>
      <c r="C1473" s="85"/>
      <c r="D1473" s="85"/>
      <c r="E1473" s="85"/>
      <c r="F1473" s="92"/>
      <c r="G1473" s="85"/>
      <c r="H1473" s="90"/>
    </row>
    <row r="1474" spans="2:8" ht="18" x14ac:dyDescent="0.25">
      <c r="B1474" s="85" t="e">
        <f>+B1459</f>
        <v>#REF!</v>
      </c>
      <c r="C1474" s="344"/>
      <c r="D1474" s="344"/>
      <c r="E1474" s="85" t="e">
        <f>+B1474</f>
        <v>#REF!</v>
      </c>
      <c r="F1474" s="92"/>
      <c r="G1474" s="85"/>
      <c r="H1474" s="90"/>
    </row>
    <row r="1475" spans="2:8" ht="18" x14ac:dyDescent="0.25">
      <c r="C1475" s="85"/>
      <c r="D1475" s="85"/>
      <c r="F1475" s="344"/>
      <c r="G1475" s="344"/>
      <c r="H1475" s="344"/>
    </row>
    <row r="1476" spans="2:8" ht="18" x14ac:dyDescent="0.25">
      <c r="B1476" s="85" t="str">
        <f>+$E$1</f>
        <v>Lima 461 C:A:B:A:</v>
      </c>
      <c r="C1476" s="85"/>
      <c r="D1476" s="93" t="str">
        <f>+H1460</f>
        <v>Unid. 39</v>
      </c>
      <c r="E1476" s="85" t="str">
        <f>+$E$1</f>
        <v>Lima 461 C:A:B:A:</v>
      </c>
      <c r="F1476" s="85"/>
      <c r="G1476" s="85"/>
      <c r="H1476" s="90" t="str">
        <f>+D1476</f>
        <v>Unid. 39</v>
      </c>
    </row>
    <row r="1477" spans="2:8" ht="18" x14ac:dyDescent="0.25">
      <c r="H1477" s="94"/>
    </row>
    <row r="1478" spans="2:8" ht="18" x14ac:dyDescent="0.25">
      <c r="B1478" s="86"/>
      <c r="C1478" s="86"/>
      <c r="D1478" s="86"/>
      <c r="E1478" s="86"/>
      <c r="F1478" s="85"/>
      <c r="G1478" s="85"/>
    </row>
    <row r="1479" spans="2:8" ht="18" x14ac:dyDescent="0.25">
      <c r="B1479" s="85">
        <f>+$E$2</f>
        <v>0</v>
      </c>
      <c r="C1479" s="85"/>
      <c r="D1479" s="85"/>
      <c r="E1479" s="85"/>
      <c r="F1479" s="85"/>
      <c r="G1479" s="86"/>
      <c r="H1479" s="94"/>
    </row>
    <row r="1480" spans="2:8" ht="18" x14ac:dyDescent="0.25">
      <c r="B1480" s="85">
        <f>+$E$3</f>
        <v>0</v>
      </c>
      <c r="C1480" s="85"/>
      <c r="D1480" s="85"/>
      <c r="E1480" s="96"/>
      <c r="F1480" s="85"/>
      <c r="G1480" s="94"/>
      <c r="H1480" s="90"/>
    </row>
    <row r="1481" spans="2:8" ht="18" x14ac:dyDescent="0.25">
      <c r="C1481" s="85"/>
      <c r="D1481" s="85"/>
      <c r="E1481" s="85" t="s">
        <v>200</v>
      </c>
      <c r="F1481" s="106" t="e">
        <f>+F1464</f>
        <v>#REF!</v>
      </c>
      <c r="H1481" s="99">
        <f>+B1486</f>
        <v>46188</v>
      </c>
    </row>
    <row r="1482" spans="2:8" ht="18" x14ac:dyDescent="0.25">
      <c r="B1482" s="86"/>
      <c r="C1482" s="85"/>
      <c r="D1482" s="85"/>
      <c r="E1482" s="85" t="s">
        <v>201</v>
      </c>
      <c r="F1482" s="106" t="e">
        <f>+F1465</f>
        <v>#REF!</v>
      </c>
    </row>
    <row r="1483" spans="2:8" ht="18" x14ac:dyDescent="0.25">
      <c r="B1483" s="86"/>
      <c r="C1483" s="85"/>
      <c r="D1483" s="85"/>
      <c r="E1483" s="85" t="s">
        <v>81</v>
      </c>
      <c r="F1483" s="106" t="e">
        <f>+F1466</f>
        <v>#REF!</v>
      </c>
      <c r="G1483" s="85"/>
      <c r="H1483" s="90"/>
    </row>
    <row r="1484" spans="2:8" ht="18" x14ac:dyDescent="0.25">
      <c r="B1484" s="85"/>
      <c r="C1484" s="85"/>
      <c r="D1484" s="85"/>
      <c r="E1484" s="85" t="s">
        <v>82</v>
      </c>
      <c r="F1484" s="106" t="e">
        <f>+F1467</f>
        <v>#REF!</v>
      </c>
      <c r="G1484" s="85"/>
      <c r="H1484" s="90"/>
    </row>
    <row r="1485" spans="2:8" ht="18" x14ac:dyDescent="0.25">
      <c r="B1485" s="96"/>
      <c r="C1485" s="96"/>
      <c r="D1485" s="96"/>
      <c r="E1485" s="85" t="s">
        <v>188</v>
      </c>
      <c r="F1485" s="106">
        <v>0</v>
      </c>
      <c r="G1485" s="85"/>
      <c r="H1485" s="90"/>
    </row>
    <row r="1486" spans="2:8" ht="18" x14ac:dyDescent="0.25">
      <c r="B1486" s="99">
        <f>+$G$30</f>
        <v>46188</v>
      </c>
      <c r="C1486" s="105" t="e">
        <f>+F1468</f>
        <v>#REF!</v>
      </c>
      <c r="D1486" s="85"/>
      <c r="E1486" s="85" t="s">
        <v>83</v>
      </c>
      <c r="F1486" s="106" t="e">
        <f>+F1468</f>
        <v>#REF!</v>
      </c>
      <c r="G1486" s="85"/>
      <c r="H1486" s="90"/>
    </row>
    <row r="1487" spans="2:8" ht="18" x14ac:dyDescent="0.25">
      <c r="B1487" s="85"/>
      <c r="C1487" s="85"/>
      <c r="D1487" s="85"/>
      <c r="E1487" s="85"/>
      <c r="F1487" s="85"/>
      <c r="G1487" s="85"/>
      <c r="H1487" s="90"/>
    </row>
    <row r="1488" spans="2:8" ht="18" x14ac:dyDescent="0.25">
      <c r="B1488" s="85"/>
      <c r="C1488" s="85"/>
      <c r="D1488" s="85"/>
      <c r="E1488" s="85"/>
      <c r="F1488" s="85"/>
      <c r="G1488" s="345"/>
      <c r="H1488" s="345"/>
    </row>
    <row r="1489" spans="2:8" ht="18" x14ac:dyDescent="0.25">
      <c r="B1489" s="85"/>
      <c r="C1489" s="85"/>
      <c r="D1489" s="85"/>
      <c r="E1489" s="85"/>
      <c r="F1489" s="85"/>
      <c r="G1489" s="85"/>
      <c r="H1489" s="90"/>
    </row>
    <row r="1490" spans="2:8" ht="18" x14ac:dyDescent="0.25">
      <c r="B1490" s="85"/>
      <c r="C1490" s="85"/>
      <c r="D1490" s="85"/>
      <c r="E1490" s="85"/>
      <c r="F1490" s="85"/>
      <c r="G1490" s="85"/>
      <c r="H1490" s="90"/>
    </row>
    <row r="1491" spans="2:8" ht="18" x14ac:dyDescent="0.25">
      <c r="B1491" s="85"/>
      <c r="C1491" s="85"/>
      <c r="D1491" s="85"/>
      <c r="E1491" s="85"/>
      <c r="F1491" s="85"/>
      <c r="G1491" s="85"/>
      <c r="H1491" s="90"/>
    </row>
    <row r="1492" spans="2:8" ht="18" x14ac:dyDescent="0.25">
      <c r="B1492" s="85"/>
      <c r="C1492" s="85"/>
      <c r="D1492" s="85"/>
      <c r="E1492" s="85"/>
      <c r="F1492" s="85"/>
      <c r="H1492" s="90"/>
    </row>
    <row r="1493" spans="2:8" ht="18" x14ac:dyDescent="0.25">
      <c r="B1493" s="85"/>
      <c r="C1493" s="85"/>
      <c r="D1493" s="85"/>
      <c r="E1493" s="85"/>
      <c r="F1493" s="85"/>
      <c r="H1493" s="90"/>
    </row>
    <row r="1494" spans="2:8" ht="18" x14ac:dyDescent="0.25">
      <c r="B1494" s="343"/>
      <c r="C1494" s="343"/>
      <c r="D1494" s="343"/>
      <c r="E1494" s="85"/>
      <c r="F1494" s="85"/>
      <c r="H1494" s="90"/>
    </row>
    <row r="1495" spans="2:8" ht="18" x14ac:dyDescent="0.25">
      <c r="B1495" s="343"/>
      <c r="C1495" s="343"/>
      <c r="D1495" s="343"/>
      <c r="E1495" s="98">
        <f>+$B$1</f>
        <v>46143</v>
      </c>
      <c r="F1495" s="85"/>
      <c r="G1495" s="99">
        <f>+$D$1</f>
        <v>46188</v>
      </c>
      <c r="H1495" s="160"/>
    </row>
    <row r="1496" spans="2:8" ht="18" x14ac:dyDescent="0.25">
      <c r="B1496" s="84"/>
      <c r="C1496" s="84"/>
      <c r="D1496" s="100"/>
      <c r="E1496" s="98"/>
      <c r="F1496" s="85"/>
    </row>
    <row r="1497" spans="2:8" ht="18" x14ac:dyDescent="0.25">
      <c r="B1497" s="85" t="e">
        <f>+#REF!</f>
        <v>#REF!</v>
      </c>
      <c r="C1497" s="85"/>
      <c r="D1497" s="85"/>
      <c r="F1497" s="85"/>
    </row>
    <row r="1498" spans="2:8" ht="18" x14ac:dyDescent="0.25">
      <c r="C1498" s="85"/>
      <c r="D1498" s="85"/>
      <c r="E1498" s="85" t="str">
        <f>+$E$1</f>
        <v>Lima 461 C:A:B:A:</v>
      </c>
      <c r="F1498" s="85"/>
      <c r="H1498" s="90" t="s">
        <v>123</v>
      </c>
    </row>
    <row r="1499" spans="2:8" ht="18" x14ac:dyDescent="0.25">
      <c r="B1499" s="86"/>
      <c r="C1499" s="85"/>
      <c r="D1499" s="85"/>
      <c r="F1499" s="85"/>
      <c r="G1499" s="86"/>
    </row>
    <row r="1500" spans="2:8" ht="18" x14ac:dyDescent="0.25">
      <c r="B1500" s="85"/>
      <c r="C1500" s="85"/>
      <c r="D1500" s="85"/>
      <c r="E1500" s="86"/>
      <c r="F1500" s="86"/>
      <c r="G1500" s="85"/>
      <c r="H1500" s="94"/>
    </row>
    <row r="1501" spans="2:8" ht="18" x14ac:dyDescent="0.25">
      <c r="B1501" s="94"/>
      <c r="C1501" s="85"/>
      <c r="D1501" s="94"/>
      <c r="E1501" s="85"/>
      <c r="F1501" s="85"/>
      <c r="G1501" s="85"/>
      <c r="H1501" s="90"/>
    </row>
    <row r="1502" spans="2:8" ht="18" x14ac:dyDescent="0.25">
      <c r="B1502" s="85" t="s">
        <v>198</v>
      </c>
      <c r="C1502" s="85"/>
      <c r="D1502" s="107">
        <f>+'RES CUENTA'!$L$25</f>
        <v>10859801.41</v>
      </c>
      <c r="E1502" s="108" t="e">
        <f>+'RES CUENTA'!#REF!</f>
        <v>#REF!</v>
      </c>
      <c r="F1502" s="103" t="e">
        <f>+D1502*E1502/100</f>
        <v>#REF!</v>
      </c>
      <c r="G1502" s="85"/>
      <c r="H1502" s="94"/>
    </row>
    <row r="1503" spans="2:8" ht="18" x14ac:dyDescent="0.25">
      <c r="B1503" s="85" t="s">
        <v>199</v>
      </c>
      <c r="C1503" s="85"/>
      <c r="D1503" s="107" t="e">
        <f>+'RES CUENTA'!#REF!</f>
        <v>#REF!</v>
      </c>
      <c r="E1503" s="108" t="e">
        <f>+'RES CUENTA'!#REF!</f>
        <v>#REF!</v>
      </c>
      <c r="F1503" s="103" t="e">
        <f>+D1503*E1503/100</f>
        <v>#REF!</v>
      </c>
      <c r="G1503" s="94"/>
      <c r="H1503" s="89"/>
    </row>
    <row r="1504" spans="2:8" ht="18" x14ac:dyDescent="0.25">
      <c r="B1504" s="85" t="s">
        <v>79</v>
      </c>
      <c r="C1504" s="85"/>
      <c r="D1504" s="107" t="e">
        <f>+'RES CUENTA'!#REF!</f>
        <v>#REF!</v>
      </c>
      <c r="E1504" s="108">
        <f>+'RES CUENTA'!P599</f>
        <v>0</v>
      </c>
      <c r="F1504" s="103" t="e">
        <f>+D1504</f>
        <v>#REF!</v>
      </c>
      <c r="G1504" s="89"/>
      <c r="H1504" s="89"/>
    </row>
    <row r="1505" spans="2:8" ht="18" x14ac:dyDescent="0.25">
      <c r="B1505" s="85" t="s">
        <v>80</v>
      </c>
      <c r="C1505" s="85"/>
      <c r="D1505" s="107" t="e">
        <f>+'RES CUENTA'!#REF!</f>
        <v>#REF!</v>
      </c>
      <c r="E1505" s="108">
        <f>+'RES CUENTA'!R594</f>
        <v>0</v>
      </c>
      <c r="F1505" s="103" t="e">
        <f>+D1505</f>
        <v>#REF!</v>
      </c>
      <c r="G1505" s="89"/>
      <c r="H1505" s="89"/>
    </row>
    <row r="1506" spans="2:8" ht="18" x14ac:dyDescent="0.25">
      <c r="B1506" s="86"/>
      <c r="C1506" s="85"/>
      <c r="D1506" s="85"/>
      <c r="F1506" s="104" t="e">
        <f>SUM(F1502:F1505)</f>
        <v>#REF!</v>
      </c>
      <c r="G1506" s="89"/>
      <c r="H1506" s="89"/>
    </row>
    <row r="1507" spans="2:8" ht="18" x14ac:dyDescent="0.25">
      <c r="B1507" s="86"/>
      <c r="C1507" s="85"/>
      <c r="D1507" s="85"/>
      <c r="F1507" s="91"/>
      <c r="G1507" s="89"/>
      <c r="H1507" s="90"/>
    </row>
    <row r="1508" spans="2:8" ht="18" x14ac:dyDescent="0.25">
      <c r="B1508" s="86"/>
      <c r="C1508" s="85"/>
      <c r="D1508" s="85"/>
      <c r="F1508" s="91"/>
      <c r="G1508" s="89"/>
      <c r="H1508" s="90"/>
    </row>
    <row r="1509" spans="2:8" ht="18" x14ac:dyDescent="0.25">
      <c r="B1509" s="85"/>
      <c r="C1509" s="85"/>
      <c r="D1509" s="85"/>
      <c r="E1509" s="85"/>
      <c r="F1509" s="92"/>
      <c r="G1509" s="90"/>
      <c r="H1509" s="90"/>
    </row>
    <row r="1510" spans="2:8" ht="18" x14ac:dyDescent="0.25">
      <c r="B1510" s="85"/>
      <c r="C1510" s="85"/>
      <c r="D1510" s="85"/>
      <c r="E1510" s="85"/>
      <c r="F1510" s="92"/>
      <c r="G1510" s="90"/>
      <c r="H1510" s="90"/>
    </row>
    <row r="1511" spans="2:8" ht="18" x14ac:dyDescent="0.25">
      <c r="B1511" s="85"/>
      <c r="C1511" s="85"/>
      <c r="D1511" s="85"/>
      <c r="E1511" s="85"/>
      <c r="F1511" s="92"/>
      <c r="G1511" s="90"/>
      <c r="H1511" s="90"/>
    </row>
    <row r="1512" spans="2:8" ht="18" x14ac:dyDescent="0.25">
      <c r="B1512" s="85" t="e">
        <f>+B1497</f>
        <v>#REF!</v>
      </c>
      <c r="C1512" s="85"/>
      <c r="D1512" s="85"/>
      <c r="E1512" s="85" t="e">
        <f>+B1497</f>
        <v>#REF!</v>
      </c>
      <c r="F1512" s="85"/>
      <c r="G1512" s="85"/>
      <c r="H1512" s="94"/>
    </row>
    <row r="1513" spans="2:8" ht="18" x14ac:dyDescent="0.25">
      <c r="B1513" s="86"/>
      <c r="C1513" s="85"/>
      <c r="D1513" s="85"/>
      <c r="F1513" s="85"/>
      <c r="G1513" s="101"/>
      <c r="H1513" s="90" t="str">
        <f>+H1498</f>
        <v>Unid. 40</v>
      </c>
    </row>
    <row r="1514" spans="2:8" ht="18" x14ac:dyDescent="0.25">
      <c r="B1514" s="85" t="str">
        <f>+$E$1</f>
        <v>Lima 461 C:A:B:A:</v>
      </c>
      <c r="C1514" s="85"/>
      <c r="D1514" s="93" t="str">
        <f>+H1513</f>
        <v>Unid. 40</v>
      </c>
      <c r="E1514" s="85" t="str">
        <f>+$E$1</f>
        <v>Lima 461 C:A:B:A:</v>
      </c>
      <c r="F1514" s="85"/>
      <c r="G1514" s="85"/>
      <c r="H1514" s="94"/>
    </row>
    <row r="1515" spans="2:8" ht="18" x14ac:dyDescent="0.25">
      <c r="B1515" s="86"/>
      <c r="C1515" s="86"/>
      <c r="D1515" s="86"/>
      <c r="F1515" s="85"/>
      <c r="G1515" s="85"/>
    </row>
    <row r="1516" spans="2:8" ht="18" x14ac:dyDescent="0.25">
      <c r="B1516" s="85"/>
      <c r="C1516" s="85"/>
      <c r="D1516" s="85"/>
      <c r="E1516" s="86"/>
      <c r="F1516" s="85"/>
      <c r="G1516" s="85"/>
      <c r="H1516" s="94"/>
    </row>
    <row r="1517" spans="2:8" ht="18" x14ac:dyDescent="0.25">
      <c r="B1517" s="85">
        <f>+$E$2</f>
        <v>0</v>
      </c>
      <c r="C1517" s="85"/>
      <c r="D1517" s="85"/>
      <c r="E1517" s="85"/>
      <c r="F1517" s="96"/>
      <c r="G1517" s="86"/>
      <c r="H1517" s="90"/>
    </row>
    <row r="1518" spans="2:8" ht="18" x14ac:dyDescent="0.25">
      <c r="B1518" s="85">
        <f>+$E$3</f>
        <v>0</v>
      </c>
      <c r="C1518" s="85"/>
      <c r="D1518" s="85"/>
      <c r="E1518" s="96"/>
      <c r="G1518" s="94"/>
      <c r="H1518" s="96"/>
    </row>
    <row r="1519" spans="2:8" ht="18" x14ac:dyDescent="0.25">
      <c r="B1519" s="86"/>
      <c r="C1519" s="85"/>
      <c r="D1519" s="85"/>
      <c r="E1519" s="85" t="s">
        <v>200</v>
      </c>
      <c r="F1519" s="106" t="e">
        <f>+F1502</f>
        <v>#REF!</v>
      </c>
      <c r="G1519" s="95"/>
      <c r="H1519" s="99">
        <f>+B1523</f>
        <v>46188</v>
      </c>
    </row>
    <row r="1520" spans="2:8" ht="18" x14ac:dyDescent="0.25">
      <c r="B1520" s="86"/>
      <c r="C1520" s="85"/>
      <c r="D1520" s="85"/>
      <c r="E1520" s="85" t="s">
        <v>201</v>
      </c>
      <c r="F1520" s="106" t="e">
        <f>+F1503</f>
        <v>#REF!</v>
      </c>
      <c r="H1520" s="90"/>
    </row>
    <row r="1521" spans="2:8" ht="18" x14ac:dyDescent="0.25">
      <c r="B1521" s="85"/>
      <c r="C1521" s="85"/>
      <c r="D1521" s="85"/>
      <c r="E1521" s="85" t="s">
        <v>81</v>
      </c>
      <c r="F1521" s="106" t="e">
        <f>+F1504</f>
        <v>#REF!</v>
      </c>
      <c r="G1521" s="85"/>
      <c r="H1521" s="90"/>
    </row>
    <row r="1522" spans="2:8" ht="18" x14ac:dyDescent="0.25">
      <c r="B1522" s="96"/>
      <c r="C1522" s="96"/>
      <c r="D1522" s="96"/>
      <c r="E1522" s="85" t="s">
        <v>82</v>
      </c>
      <c r="F1522" s="106" t="e">
        <f>+F1505</f>
        <v>#REF!</v>
      </c>
      <c r="G1522" s="85"/>
      <c r="H1522" s="90"/>
    </row>
    <row r="1523" spans="2:8" ht="18" x14ac:dyDescent="0.25">
      <c r="B1523" s="99">
        <f>+$G$30</f>
        <v>46188</v>
      </c>
      <c r="C1523" s="105" t="e">
        <f>+F1506</f>
        <v>#REF!</v>
      </c>
      <c r="D1523" s="85"/>
      <c r="E1523" s="85" t="s">
        <v>188</v>
      </c>
      <c r="F1523" s="106">
        <v>0</v>
      </c>
      <c r="G1523" s="85"/>
      <c r="H1523" s="90"/>
    </row>
    <row r="1524" spans="2:8" ht="18" x14ac:dyDescent="0.25">
      <c r="B1524" s="85"/>
      <c r="C1524" s="85"/>
      <c r="D1524" s="85"/>
      <c r="E1524" s="85" t="s">
        <v>83</v>
      </c>
      <c r="F1524" s="106" t="e">
        <f>+F1506</f>
        <v>#REF!</v>
      </c>
      <c r="G1524" s="85"/>
      <c r="H1524" s="90"/>
    </row>
    <row r="1525" spans="2:8" ht="18" x14ac:dyDescent="0.25">
      <c r="B1525" s="85"/>
      <c r="C1525" s="85"/>
      <c r="D1525" s="85"/>
      <c r="E1525" s="85"/>
      <c r="F1525" s="85"/>
      <c r="G1525" s="85"/>
      <c r="H1525" s="90"/>
    </row>
    <row r="1526" spans="2:8" ht="18" x14ac:dyDescent="0.25">
      <c r="B1526" s="85"/>
      <c r="C1526" s="85"/>
      <c r="D1526" s="85"/>
      <c r="E1526" s="102"/>
      <c r="F1526" s="85"/>
      <c r="G1526" s="85"/>
      <c r="H1526" s="90"/>
    </row>
    <row r="1527" spans="2:8" ht="18" x14ac:dyDescent="0.25">
      <c r="B1527" s="85"/>
      <c r="C1527" s="85"/>
      <c r="D1527" s="85"/>
      <c r="E1527" s="85"/>
      <c r="F1527" s="85"/>
      <c r="G1527" s="85"/>
      <c r="H1527" s="94"/>
    </row>
    <row r="1528" spans="2:8" ht="18" x14ac:dyDescent="0.25">
      <c r="E1528" s="85"/>
      <c r="G1528" s="94"/>
      <c r="H1528" s="90"/>
    </row>
    <row r="1530" spans="2:8" ht="18" x14ac:dyDescent="0.25">
      <c r="B1530" s="343"/>
      <c r="C1530" s="343"/>
      <c r="D1530" s="343"/>
      <c r="E1530" s="342">
        <f>+$B$1</f>
        <v>46143</v>
      </c>
      <c r="F1530" s="85"/>
      <c r="G1530" s="337">
        <f>+$D$1</f>
        <v>46188</v>
      </c>
      <c r="H1530" s="90"/>
    </row>
    <row r="1531" spans="2:8" ht="18" x14ac:dyDescent="0.25">
      <c r="B1531" s="84"/>
      <c r="C1531" s="84"/>
      <c r="D1531" s="100"/>
      <c r="E1531" s="342"/>
      <c r="F1531" s="85"/>
      <c r="G1531" s="337"/>
      <c r="H1531" s="90"/>
    </row>
    <row r="1532" spans="2:8" ht="18" x14ac:dyDescent="0.25">
      <c r="B1532" s="85"/>
      <c r="C1532" s="85"/>
      <c r="D1532" s="85"/>
      <c r="E1532" s="86"/>
      <c r="F1532" s="85"/>
      <c r="G1532" s="86"/>
      <c r="H1532" s="90"/>
    </row>
    <row r="1533" spans="2:8" ht="18" x14ac:dyDescent="0.25">
      <c r="B1533" s="85" t="e">
        <f>+#REF!</f>
        <v>#REF!</v>
      </c>
      <c r="C1533" s="85"/>
      <c r="D1533" s="85"/>
      <c r="E1533" s="86"/>
      <c r="F1533" s="85"/>
      <c r="G1533" s="86"/>
      <c r="H1533" s="90"/>
    </row>
    <row r="1534" spans="2:8" ht="18" x14ac:dyDescent="0.25">
      <c r="B1534" s="86"/>
      <c r="C1534" s="85"/>
      <c r="D1534" s="85"/>
      <c r="E1534" s="85" t="s">
        <v>78</v>
      </c>
      <c r="F1534" s="85"/>
      <c r="G1534" s="85"/>
      <c r="H1534" s="90" t="s">
        <v>124</v>
      </c>
    </row>
    <row r="1535" spans="2:8" ht="18" x14ac:dyDescent="0.25">
      <c r="B1535" s="85"/>
      <c r="C1535" s="85"/>
      <c r="D1535" s="85"/>
      <c r="E1535" s="86"/>
      <c r="F1535" s="86"/>
      <c r="G1535" s="85"/>
      <c r="H1535" s="94"/>
    </row>
    <row r="1536" spans="2:8" ht="18" x14ac:dyDescent="0.25">
      <c r="B1536" s="94"/>
      <c r="C1536" s="85"/>
      <c r="D1536" s="94"/>
      <c r="E1536" s="85"/>
      <c r="F1536" s="85"/>
      <c r="G1536" s="85"/>
      <c r="H1536" s="90"/>
    </row>
    <row r="1537" spans="2:8" ht="18" x14ac:dyDescent="0.25">
      <c r="B1537" s="94"/>
      <c r="C1537" s="85"/>
      <c r="D1537" s="94"/>
      <c r="E1537" s="85"/>
      <c r="F1537" s="85"/>
      <c r="G1537" s="85"/>
      <c r="H1537" s="90"/>
    </row>
    <row r="1538" spans="2:8" ht="18" x14ac:dyDescent="0.25">
      <c r="B1538" s="85" t="s">
        <v>198</v>
      </c>
      <c r="C1538" s="85"/>
      <c r="D1538" s="107">
        <f>+'RES CUENTA'!$L$25</f>
        <v>10859801.41</v>
      </c>
      <c r="E1538" s="108" t="e">
        <f>+'RES CUENTA'!#REF!</f>
        <v>#REF!</v>
      </c>
      <c r="F1538" s="103" t="e">
        <f>+D1538*E1538/100</f>
        <v>#REF!</v>
      </c>
      <c r="G1538" s="345"/>
      <c r="H1538" s="345"/>
    </row>
    <row r="1539" spans="2:8" ht="18" x14ac:dyDescent="0.25">
      <c r="B1539" s="85" t="s">
        <v>199</v>
      </c>
      <c r="C1539" s="85"/>
      <c r="D1539" s="107" t="e">
        <f>+'RES CUENTA'!#REF!</f>
        <v>#REF!</v>
      </c>
      <c r="E1539" s="108" t="e">
        <f>+'RES CUENTA'!#REF!</f>
        <v>#REF!</v>
      </c>
      <c r="F1539" s="103" t="e">
        <f>+D1539*E1539/100</f>
        <v>#REF!</v>
      </c>
      <c r="G1539" s="341"/>
      <c r="H1539" s="341"/>
    </row>
    <row r="1540" spans="2:8" ht="18" x14ac:dyDescent="0.25">
      <c r="B1540" s="85" t="s">
        <v>79</v>
      </c>
      <c r="C1540" s="85"/>
      <c r="D1540" s="107" t="e">
        <f>+'RES CUENTA'!#REF!</f>
        <v>#REF!</v>
      </c>
      <c r="E1540" s="108">
        <v>0</v>
      </c>
      <c r="F1540" s="103" t="e">
        <f>+D1540</f>
        <v>#REF!</v>
      </c>
      <c r="G1540" s="341"/>
      <c r="H1540" s="341"/>
    </row>
    <row r="1541" spans="2:8" ht="18" x14ac:dyDescent="0.25">
      <c r="B1541" s="85" t="s">
        <v>80</v>
      </c>
      <c r="C1541" s="85"/>
      <c r="D1541" s="107" t="e">
        <f>+'RES CUENTA'!#REF!</f>
        <v>#REF!</v>
      </c>
      <c r="E1541" s="108">
        <v>0</v>
      </c>
      <c r="F1541" s="103" t="e">
        <f>+D1541</f>
        <v>#REF!</v>
      </c>
      <c r="G1541" s="341"/>
      <c r="H1541" s="341"/>
    </row>
    <row r="1542" spans="2:8" ht="18" x14ac:dyDescent="0.25">
      <c r="B1542" s="86"/>
      <c r="C1542" s="85"/>
      <c r="D1542" s="85"/>
      <c r="E1542" s="92"/>
      <c r="F1542" s="104" t="e">
        <f>SUM(F1538:F1541)</f>
        <v>#REF!</v>
      </c>
      <c r="G1542" s="341"/>
      <c r="H1542" s="341"/>
    </row>
    <row r="1543" spans="2:8" ht="18" x14ac:dyDescent="0.25">
      <c r="B1543" s="86"/>
      <c r="C1543" s="85"/>
      <c r="D1543" s="85"/>
      <c r="E1543" s="92"/>
      <c r="F1543" s="104"/>
      <c r="G1543" s="89"/>
      <c r="H1543" s="89"/>
    </row>
    <row r="1544" spans="2:8" ht="18" x14ac:dyDescent="0.25">
      <c r="B1544" s="86"/>
      <c r="C1544" s="85"/>
      <c r="D1544" s="85"/>
      <c r="E1544" s="85"/>
      <c r="G1544" s="338"/>
      <c r="H1544" s="338"/>
    </row>
    <row r="1545" spans="2:8" ht="18" x14ac:dyDescent="0.25">
      <c r="B1545" s="85"/>
      <c r="C1545" s="85"/>
      <c r="D1545" s="85"/>
      <c r="E1545" s="85"/>
      <c r="F1545" s="91"/>
      <c r="G1545" s="90"/>
      <c r="H1545" s="90"/>
    </row>
    <row r="1546" spans="2:8" ht="18" x14ac:dyDescent="0.25">
      <c r="B1546" s="85"/>
      <c r="C1546" s="85"/>
      <c r="D1546" s="85"/>
      <c r="E1546" s="85"/>
      <c r="F1546" s="92"/>
      <c r="G1546" s="85"/>
      <c r="H1546" s="90"/>
    </row>
    <row r="1547" spans="2:8" ht="18" x14ac:dyDescent="0.25">
      <c r="B1547" s="85"/>
      <c r="C1547" s="85"/>
      <c r="D1547" s="85"/>
      <c r="E1547" s="85"/>
      <c r="F1547" s="92"/>
      <c r="G1547" s="85"/>
      <c r="H1547" s="90"/>
    </row>
    <row r="1548" spans="2:8" ht="18" x14ac:dyDescent="0.25">
      <c r="B1548" s="85" t="e">
        <f>+B1533</f>
        <v>#REF!</v>
      </c>
      <c r="C1548" s="344"/>
      <c r="D1548" s="344"/>
      <c r="E1548" s="85" t="e">
        <f>+B1548</f>
        <v>#REF!</v>
      </c>
      <c r="F1548" s="92"/>
      <c r="G1548" s="85"/>
      <c r="H1548" s="90"/>
    </row>
    <row r="1549" spans="2:8" ht="18" x14ac:dyDescent="0.25">
      <c r="C1549" s="85"/>
      <c r="D1549" s="85"/>
      <c r="F1549" s="344"/>
      <c r="G1549" s="344"/>
      <c r="H1549" s="344"/>
    </row>
    <row r="1550" spans="2:8" ht="18" x14ac:dyDescent="0.25">
      <c r="B1550" s="85" t="str">
        <f>+$E$1</f>
        <v>Lima 461 C:A:B:A:</v>
      </c>
      <c r="C1550" s="85"/>
      <c r="D1550" s="93" t="str">
        <f>+H1534</f>
        <v>Unid. 41</v>
      </c>
      <c r="E1550" s="85" t="str">
        <f>+$E$1</f>
        <v>Lima 461 C:A:B:A:</v>
      </c>
      <c r="F1550" s="85"/>
      <c r="G1550" s="85"/>
      <c r="H1550" s="90" t="str">
        <f>+D1550</f>
        <v>Unid. 41</v>
      </c>
    </row>
    <row r="1551" spans="2:8" ht="18" x14ac:dyDescent="0.25">
      <c r="H1551" s="94"/>
    </row>
    <row r="1552" spans="2:8" ht="18" x14ac:dyDescent="0.25">
      <c r="B1552" s="86"/>
      <c r="C1552" s="86"/>
      <c r="D1552" s="86"/>
      <c r="E1552" s="86"/>
      <c r="F1552" s="85"/>
      <c r="G1552" s="85"/>
    </row>
    <row r="1553" spans="2:8" ht="18" x14ac:dyDescent="0.25">
      <c r="B1553" s="85">
        <f>+$E$2</f>
        <v>0</v>
      </c>
      <c r="C1553" s="85"/>
      <c r="D1553" s="85"/>
      <c r="E1553" s="85"/>
      <c r="F1553" s="85"/>
      <c r="G1553" s="86"/>
      <c r="H1553" s="94"/>
    </row>
    <row r="1554" spans="2:8" ht="18" x14ac:dyDescent="0.25">
      <c r="B1554" s="85">
        <f>+$E$3</f>
        <v>0</v>
      </c>
      <c r="C1554" s="85"/>
      <c r="D1554" s="85"/>
      <c r="E1554" s="96"/>
      <c r="F1554" s="85"/>
      <c r="G1554" s="94"/>
      <c r="H1554" s="90"/>
    </row>
    <row r="1555" spans="2:8" ht="18" x14ac:dyDescent="0.25">
      <c r="C1555" s="85"/>
      <c r="D1555" s="85"/>
      <c r="E1555" s="85" t="s">
        <v>200</v>
      </c>
      <c r="F1555" s="106" t="e">
        <f>+F1538</f>
        <v>#REF!</v>
      </c>
      <c r="H1555" s="99">
        <f>+B1560</f>
        <v>46188</v>
      </c>
    </row>
    <row r="1556" spans="2:8" ht="18" x14ac:dyDescent="0.25">
      <c r="B1556" s="86"/>
      <c r="C1556" s="85"/>
      <c r="D1556" s="85"/>
      <c r="E1556" s="85" t="s">
        <v>201</v>
      </c>
      <c r="F1556" s="106" t="e">
        <f>+F1539</f>
        <v>#REF!</v>
      </c>
    </row>
    <row r="1557" spans="2:8" ht="18" x14ac:dyDescent="0.25">
      <c r="B1557" s="86"/>
      <c r="C1557" s="85"/>
      <c r="D1557" s="85"/>
      <c r="E1557" s="85" t="s">
        <v>81</v>
      </c>
      <c r="F1557" s="106" t="e">
        <f>+F1540</f>
        <v>#REF!</v>
      </c>
      <c r="G1557" s="85"/>
      <c r="H1557" s="90"/>
    </row>
    <row r="1558" spans="2:8" ht="18" x14ac:dyDescent="0.25">
      <c r="B1558" s="85"/>
      <c r="C1558" s="85"/>
      <c r="D1558" s="85"/>
      <c r="E1558" s="85" t="s">
        <v>82</v>
      </c>
      <c r="F1558" s="106" t="e">
        <f>+F1541</f>
        <v>#REF!</v>
      </c>
      <c r="G1558" s="85"/>
      <c r="H1558" s="90"/>
    </row>
    <row r="1559" spans="2:8" ht="18" x14ac:dyDescent="0.25">
      <c r="B1559" s="96"/>
      <c r="C1559" s="96"/>
      <c r="D1559" s="96"/>
      <c r="E1559" s="85" t="s">
        <v>188</v>
      </c>
      <c r="F1559" s="106">
        <v>0</v>
      </c>
      <c r="G1559" s="85"/>
      <c r="H1559" s="90"/>
    </row>
    <row r="1560" spans="2:8" ht="18" x14ac:dyDescent="0.25">
      <c r="B1560" s="99">
        <f>+$G$30</f>
        <v>46188</v>
      </c>
      <c r="C1560" s="105" t="e">
        <f>+F1542</f>
        <v>#REF!</v>
      </c>
      <c r="D1560" s="85"/>
      <c r="E1560" s="85" t="s">
        <v>83</v>
      </c>
      <c r="F1560" s="106" t="e">
        <f>+F1542</f>
        <v>#REF!</v>
      </c>
      <c r="G1560" s="85"/>
      <c r="H1560" s="90"/>
    </row>
    <row r="1561" spans="2:8" ht="18" x14ac:dyDescent="0.25">
      <c r="B1561" s="85"/>
      <c r="C1561" s="85"/>
      <c r="D1561" s="85"/>
      <c r="E1561" s="85"/>
      <c r="F1561" s="85"/>
      <c r="G1561" s="85"/>
      <c r="H1561" s="90"/>
    </row>
    <row r="1562" spans="2:8" ht="18" x14ac:dyDescent="0.25">
      <c r="B1562" s="85"/>
      <c r="C1562" s="85"/>
      <c r="D1562" s="85"/>
      <c r="E1562" s="85"/>
      <c r="F1562" s="85"/>
      <c r="G1562" s="345"/>
      <c r="H1562" s="345"/>
    </row>
    <row r="1563" spans="2:8" ht="18" x14ac:dyDescent="0.25">
      <c r="B1563" s="85"/>
      <c r="C1563" s="85"/>
      <c r="D1563" s="85"/>
      <c r="E1563" s="85"/>
      <c r="F1563" s="85"/>
      <c r="G1563" s="85"/>
      <c r="H1563" s="90"/>
    </row>
    <row r="1564" spans="2:8" ht="18" x14ac:dyDescent="0.25">
      <c r="B1564" s="85"/>
      <c r="C1564" s="85"/>
      <c r="D1564" s="85"/>
      <c r="E1564" s="85"/>
      <c r="F1564" s="85"/>
      <c r="G1564" s="85"/>
      <c r="H1564" s="90"/>
    </row>
    <row r="1565" spans="2:8" ht="18" x14ac:dyDescent="0.25">
      <c r="B1565" s="85"/>
      <c r="C1565" s="85"/>
      <c r="D1565" s="85"/>
      <c r="E1565" s="85"/>
      <c r="F1565" s="85"/>
      <c r="G1565" s="85"/>
      <c r="H1565" s="90"/>
    </row>
    <row r="1566" spans="2:8" ht="18" x14ac:dyDescent="0.25">
      <c r="B1566" s="85"/>
      <c r="C1566" s="85"/>
      <c r="D1566" s="85"/>
      <c r="E1566" s="85"/>
      <c r="F1566" s="85"/>
      <c r="H1566" s="90"/>
    </row>
    <row r="1567" spans="2:8" ht="18" x14ac:dyDescent="0.25">
      <c r="B1567" s="85"/>
      <c r="C1567" s="85"/>
      <c r="D1567" s="85"/>
      <c r="E1567" s="85"/>
      <c r="F1567" s="85"/>
      <c r="H1567" s="90"/>
    </row>
    <row r="1568" spans="2:8" ht="18" x14ac:dyDescent="0.25">
      <c r="B1568" s="343"/>
      <c r="C1568" s="343"/>
      <c r="D1568" s="343"/>
      <c r="E1568" s="85"/>
      <c r="F1568" s="85"/>
      <c r="H1568" s="90"/>
    </row>
    <row r="1569" spans="2:8" ht="18" x14ac:dyDescent="0.25">
      <c r="B1569" s="343"/>
      <c r="C1569" s="343"/>
      <c r="D1569" s="343"/>
      <c r="E1569" s="98">
        <f>+$B$1</f>
        <v>46143</v>
      </c>
      <c r="F1569" s="85"/>
      <c r="G1569" s="99">
        <f>+$D$1</f>
        <v>46188</v>
      </c>
      <c r="H1569" s="160"/>
    </row>
    <row r="1570" spans="2:8" ht="18" x14ac:dyDescent="0.25">
      <c r="B1570" s="84"/>
      <c r="C1570" s="84"/>
      <c r="D1570" s="100"/>
      <c r="E1570" s="98"/>
      <c r="F1570" s="85"/>
    </row>
    <row r="1571" spans="2:8" ht="18" x14ac:dyDescent="0.25">
      <c r="B1571" s="85" t="e">
        <f>+#REF!</f>
        <v>#REF!</v>
      </c>
      <c r="C1571" s="85"/>
      <c r="D1571" s="85"/>
      <c r="F1571" s="85"/>
    </row>
    <row r="1572" spans="2:8" ht="18" x14ac:dyDescent="0.25">
      <c r="C1572" s="85"/>
      <c r="D1572" s="85"/>
      <c r="E1572" s="85" t="str">
        <f>+$E$1</f>
        <v>Lima 461 C:A:B:A:</v>
      </c>
      <c r="F1572" s="85"/>
      <c r="H1572" s="90" t="s">
        <v>125</v>
      </c>
    </row>
    <row r="1573" spans="2:8" ht="18" x14ac:dyDescent="0.25">
      <c r="B1573" s="86"/>
      <c r="C1573" s="85"/>
      <c r="D1573" s="85"/>
      <c r="F1573" s="85"/>
      <c r="G1573" s="86"/>
    </row>
    <row r="1574" spans="2:8" ht="18" x14ac:dyDescent="0.25">
      <c r="B1574" s="85"/>
      <c r="C1574" s="85"/>
      <c r="D1574" s="85"/>
      <c r="E1574" s="86"/>
      <c r="F1574" s="86"/>
      <c r="G1574" s="85"/>
      <c r="H1574" s="94"/>
    </row>
    <row r="1575" spans="2:8" ht="18" x14ac:dyDescent="0.25">
      <c r="B1575" s="94"/>
      <c r="C1575" s="85"/>
      <c r="D1575" s="94"/>
      <c r="E1575" s="85"/>
      <c r="F1575" s="85"/>
      <c r="G1575" s="85"/>
      <c r="H1575" s="90"/>
    </row>
    <row r="1576" spans="2:8" ht="18" x14ac:dyDescent="0.25">
      <c r="B1576" s="85" t="s">
        <v>198</v>
      </c>
      <c r="C1576" s="85"/>
      <c r="D1576" s="107">
        <f>+'RES CUENTA'!$L$25</f>
        <v>10859801.41</v>
      </c>
      <c r="E1576" s="108" t="e">
        <f>+'RES CUENTA'!#REF!</f>
        <v>#REF!</v>
      </c>
      <c r="F1576" s="103" t="e">
        <f>+D1576*E1576/100</f>
        <v>#REF!</v>
      </c>
      <c r="G1576" s="85"/>
      <c r="H1576" s="94"/>
    </row>
    <row r="1577" spans="2:8" ht="18" x14ac:dyDescent="0.25">
      <c r="B1577" s="85" t="s">
        <v>199</v>
      </c>
      <c r="C1577" s="85"/>
      <c r="D1577" s="107" t="e">
        <f>+'RES CUENTA'!#REF!</f>
        <v>#REF!</v>
      </c>
      <c r="E1577" s="108" t="e">
        <f>+'RES CUENTA'!#REF!</f>
        <v>#REF!</v>
      </c>
      <c r="F1577" s="103" t="e">
        <f>+D1577*E1577/100</f>
        <v>#REF!</v>
      </c>
      <c r="G1577" s="94"/>
      <c r="H1577" s="89"/>
    </row>
    <row r="1578" spans="2:8" ht="18" x14ac:dyDescent="0.25">
      <c r="B1578" s="85" t="s">
        <v>79</v>
      </c>
      <c r="C1578" s="85"/>
      <c r="D1578" s="107" t="e">
        <f>+'RES CUENTA'!#REF!</f>
        <v>#REF!</v>
      </c>
      <c r="E1578" s="108">
        <f>+'RES CUENTA'!P675</f>
        <v>0</v>
      </c>
      <c r="F1578" s="103" t="e">
        <f>+D1578</f>
        <v>#REF!</v>
      </c>
      <c r="G1578" s="89"/>
      <c r="H1578" s="89"/>
    </row>
    <row r="1579" spans="2:8" ht="18" x14ac:dyDescent="0.25">
      <c r="B1579" s="85" t="s">
        <v>80</v>
      </c>
      <c r="C1579" s="85"/>
      <c r="D1579" s="107" t="e">
        <f>+'RES CUENTA'!#REF!</f>
        <v>#REF!</v>
      </c>
      <c r="E1579" s="108">
        <f>+'RES CUENTA'!R670</f>
        <v>0</v>
      </c>
      <c r="F1579" s="103" t="e">
        <f>+D1579</f>
        <v>#REF!</v>
      </c>
      <c r="G1579" s="89"/>
      <c r="H1579" s="89"/>
    </row>
    <row r="1580" spans="2:8" ht="18" x14ac:dyDescent="0.25">
      <c r="B1580" s="86"/>
      <c r="C1580" s="85"/>
      <c r="D1580" s="85"/>
      <c r="F1580" s="104" t="e">
        <f>SUM(F1576:F1579)</f>
        <v>#REF!</v>
      </c>
      <c r="G1580" s="89"/>
      <c r="H1580" s="90"/>
    </row>
    <row r="1581" spans="2:8" ht="18" x14ac:dyDescent="0.25">
      <c r="B1581" s="86"/>
      <c r="C1581" s="85"/>
      <c r="D1581" s="85"/>
      <c r="F1581" s="104"/>
      <c r="G1581" s="89"/>
      <c r="H1581" s="90"/>
    </row>
    <row r="1582" spans="2:8" ht="18" x14ac:dyDescent="0.25">
      <c r="B1582" s="85"/>
      <c r="C1582" s="85"/>
      <c r="D1582" s="85"/>
      <c r="E1582" s="85"/>
      <c r="F1582" s="92"/>
      <c r="G1582" s="90"/>
      <c r="H1582" s="90"/>
    </row>
    <row r="1583" spans="2:8" ht="18" x14ac:dyDescent="0.25">
      <c r="B1583" s="85"/>
      <c r="C1583" s="85"/>
      <c r="D1583" s="85"/>
      <c r="E1583" s="85"/>
      <c r="F1583" s="92"/>
      <c r="G1583" s="90"/>
      <c r="H1583" s="90"/>
    </row>
    <row r="1584" spans="2:8" ht="18" x14ac:dyDescent="0.25">
      <c r="B1584" s="85"/>
      <c r="C1584" s="85"/>
      <c r="D1584" s="85"/>
      <c r="E1584" s="85"/>
      <c r="F1584" s="92"/>
      <c r="G1584" s="90"/>
      <c r="H1584" s="90"/>
    </row>
    <row r="1585" spans="2:8" ht="18" x14ac:dyDescent="0.25">
      <c r="B1585" s="85"/>
      <c r="C1585" s="85"/>
      <c r="D1585" s="85"/>
      <c r="E1585" s="85"/>
      <c r="F1585" s="92"/>
      <c r="G1585" s="90"/>
      <c r="H1585" s="90"/>
    </row>
    <row r="1586" spans="2:8" ht="18" x14ac:dyDescent="0.25">
      <c r="B1586" s="85" t="e">
        <f>+B1571</f>
        <v>#REF!</v>
      </c>
      <c r="C1586" s="85"/>
      <c r="D1586" s="85"/>
      <c r="E1586" s="85" t="e">
        <f>+B1571</f>
        <v>#REF!</v>
      </c>
      <c r="F1586" s="85"/>
      <c r="G1586" s="85"/>
      <c r="H1586" s="94"/>
    </row>
    <row r="1587" spans="2:8" ht="18" x14ac:dyDescent="0.25">
      <c r="B1587" s="86"/>
      <c r="C1587" s="85"/>
      <c r="D1587" s="85"/>
      <c r="F1587" s="85"/>
      <c r="G1587" s="101"/>
      <c r="H1587" s="90" t="str">
        <f>+H1572</f>
        <v>Unid. 42</v>
      </c>
    </row>
    <row r="1588" spans="2:8" ht="18" x14ac:dyDescent="0.25">
      <c r="B1588" s="85" t="str">
        <f>+$E$1</f>
        <v>Lima 461 C:A:B:A:</v>
      </c>
      <c r="C1588" s="85"/>
      <c r="D1588" s="93" t="str">
        <f>+H1587</f>
        <v>Unid. 42</v>
      </c>
      <c r="E1588" s="85" t="str">
        <f>+$E$1</f>
        <v>Lima 461 C:A:B:A:</v>
      </c>
      <c r="F1588" s="85"/>
      <c r="G1588" s="85"/>
      <c r="H1588" s="94"/>
    </row>
    <row r="1589" spans="2:8" ht="18" x14ac:dyDescent="0.25">
      <c r="B1589" s="86"/>
      <c r="C1589" s="86"/>
      <c r="D1589" s="86"/>
      <c r="F1589" s="85"/>
      <c r="G1589" s="85"/>
    </row>
    <row r="1590" spans="2:8" ht="18" x14ac:dyDescent="0.25">
      <c r="B1590" s="85"/>
      <c r="C1590" s="85"/>
      <c r="D1590" s="85"/>
      <c r="E1590" s="86"/>
      <c r="F1590" s="85"/>
      <c r="G1590" s="85"/>
      <c r="H1590" s="94"/>
    </row>
    <row r="1591" spans="2:8" ht="18" x14ac:dyDescent="0.25">
      <c r="B1591" s="85">
        <f>+$E$2</f>
        <v>0</v>
      </c>
      <c r="C1591" s="85"/>
      <c r="D1591" s="85"/>
      <c r="E1591" s="85"/>
      <c r="F1591" s="96"/>
      <c r="G1591" s="86"/>
      <c r="H1591" s="90"/>
    </row>
    <row r="1592" spans="2:8" ht="18" x14ac:dyDescent="0.25">
      <c r="B1592" s="85">
        <f>+$E$3</f>
        <v>0</v>
      </c>
      <c r="C1592" s="85"/>
      <c r="D1592" s="85"/>
      <c r="E1592" s="96"/>
      <c r="G1592" s="94"/>
      <c r="H1592" s="96"/>
    </row>
    <row r="1593" spans="2:8" ht="18" x14ac:dyDescent="0.25">
      <c r="B1593" s="86"/>
      <c r="C1593" s="85"/>
      <c r="D1593" s="85"/>
      <c r="E1593" s="85" t="s">
        <v>200</v>
      </c>
      <c r="F1593" s="106" t="e">
        <f>+F1576</f>
        <v>#REF!</v>
      </c>
      <c r="G1593" s="95"/>
      <c r="H1593" s="99">
        <f>+B1597</f>
        <v>46188</v>
      </c>
    </row>
    <row r="1594" spans="2:8" ht="18" x14ac:dyDescent="0.25">
      <c r="B1594" s="86"/>
      <c r="C1594" s="85"/>
      <c r="D1594" s="85"/>
      <c r="E1594" s="85" t="s">
        <v>201</v>
      </c>
      <c r="F1594" s="106" t="e">
        <f>+F1577</f>
        <v>#REF!</v>
      </c>
      <c r="H1594" s="90"/>
    </row>
    <row r="1595" spans="2:8" ht="18" x14ac:dyDescent="0.25">
      <c r="B1595" s="85"/>
      <c r="C1595" s="85"/>
      <c r="D1595" s="85"/>
      <c r="E1595" s="85" t="s">
        <v>81</v>
      </c>
      <c r="F1595" s="106" t="e">
        <f>+F1578</f>
        <v>#REF!</v>
      </c>
      <c r="G1595" s="85"/>
      <c r="H1595" s="90"/>
    </row>
    <row r="1596" spans="2:8" ht="18" x14ac:dyDescent="0.25">
      <c r="B1596" s="96"/>
      <c r="C1596" s="96"/>
      <c r="D1596" s="96"/>
      <c r="E1596" s="85" t="s">
        <v>82</v>
      </c>
      <c r="F1596" s="106" t="e">
        <f>+F1579</f>
        <v>#REF!</v>
      </c>
      <c r="G1596" s="85"/>
      <c r="H1596" s="90"/>
    </row>
    <row r="1597" spans="2:8" ht="18" x14ac:dyDescent="0.25">
      <c r="B1597" s="99">
        <f>+$G$30</f>
        <v>46188</v>
      </c>
      <c r="C1597" s="105" t="e">
        <f>+F1580</f>
        <v>#REF!</v>
      </c>
      <c r="D1597" s="85"/>
      <c r="E1597" s="85" t="s">
        <v>188</v>
      </c>
      <c r="F1597" s="106">
        <v>0</v>
      </c>
      <c r="G1597" s="85"/>
      <c r="H1597" s="90"/>
    </row>
    <row r="1598" spans="2:8" ht="18" x14ac:dyDescent="0.25">
      <c r="B1598" s="85"/>
      <c r="C1598" s="85"/>
      <c r="D1598" s="85"/>
      <c r="E1598" s="85" t="s">
        <v>83</v>
      </c>
      <c r="F1598" s="106" t="e">
        <f>+F1580</f>
        <v>#REF!</v>
      </c>
      <c r="G1598" s="85"/>
      <c r="H1598" s="90"/>
    </row>
    <row r="1599" spans="2:8" ht="18" x14ac:dyDescent="0.25">
      <c r="B1599" s="85"/>
      <c r="C1599" s="85"/>
      <c r="D1599" s="85"/>
      <c r="E1599" s="85"/>
      <c r="F1599" s="85"/>
      <c r="G1599" s="85"/>
      <c r="H1599" s="90"/>
    </row>
    <row r="1600" spans="2:8" ht="18" x14ac:dyDescent="0.25">
      <c r="B1600" s="85"/>
      <c r="C1600" s="85"/>
      <c r="D1600" s="85"/>
      <c r="E1600" s="102"/>
      <c r="F1600" s="85"/>
      <c r="G1600" s="85"/>
      <c r="H1600" s="90"/>
    </row>
    <row r="1601" spans="2:8" ht="18" x14ac:dyDescent="0.25">
      <c r="B1601" s="85"/>
      <c r="C1601" s="85"/>
      <c r="D1601" s="85"/>
      <c r="E1601" s="85"/>
      <c r="F1601" s="85"/>
      <c r="G1601" s="85"/>
      <c r="H1601" s="94"/>
    </row>
    <row r="1602" spans="2:8" ht="18" x14ac:dyDescent="0.25">
      <c r="E1602" s="85"/>
      <c r="G1602" s="94"/>
      <c r="H1602" s="90"/>
    </row>
    <row r="1605" spans="2:8" ht="18" x14ac:dyDescent="0.25">
      <c r="B1605" s="343"/>
      <c r="C1605" s="343"/>
      <c r="D1605" s="343"/>
      <c r="E1605" s="342">
        <f>+$B$1</f>
        <v>46143</v>
      </c>
      <c r="F1605" s="85"/>
      <c r="G1605" s="337">
        <f>+$D$1</f>
        <v>46188</v>
      </c>
      <c r="H1605" s="90"/>
    </row>
    <row r="1606" spans="2:8" ht="18" x14ac:dyDescent="0.25">
      <c r="B1606" s="84"/>
      <c r="C1606" s="84"/>
      <c r="D1606" s="100"/>
      <c r="E1606" s="342"/>
      <c r="F1606" s="85"/>
      <c r="G1606" s="337"/>
      <c r="H1606" s="90"/>
    </row>
    <row r="1607" spans="2:8" ht="18" x14ac:dyDescent="0.25">
      <c r="B1607" s="85"/>
      <c r="C1607" s="85"/>
      <c r="D1607" s="85"/>
      <c r="E1607" s="86"/>
      <c r="F1607" s="85"/>
      <c r="G1607" s="86"/>
      <c r="H1607" s="90"/>
    </row>
    <row r="1608" spans="2:8" ht="18" x14ac:dyDescent="0.25">
      <c r="B1608" s="85" t="e">
        <f>+#REF!</f>
        <v>#REF!</v>
      </c>
      <c r="C1608" s="85"/>
      <c r="D1608" s="85"/>
      <c r="E1608" s="86"/>
      <c r="F1608" s="85"/>
      <c r="G1608" s="86"/>
      <c r="H1608" s="90"/>
    </row>
    <row r="1609" spans="2:8" ht="18" x14ac:dyDescent="0.25">
      <c r="B1609" s="86"/>
      <c r="C1609" s="85"/>
      <c r="D1609" s="85"/>
      <c r="E1609" s="85" t="s">
        <v>78</v>
      </c>
      <c r="F1609" s="85"/>
      <c r="G1609" s="85"/>
      <c r="H1609" s="90" t="s">
        <v>126</v>
      </c>
    </row>
    <row r="1610" spans="2:8" ht="18" x14ac:dyDescent="0.25">
      <c r="B1610" s="85"/>
      <c r="C1610" s="85"/>
      <c r="D1610" s="85"/>
      <c r="E1610" s="86"/>
      <c r="F1610" s="86"/>
      <c r="G1610" s="85"/>
      <c r="H1610" s="94"/>
    </row>
    <row r="1611" spans="2:8" ht="18" x14ac:dyDescent="0.25">
      <c r="B1611" s="94"/>
      <c r="C1611" s="85"/>
      <c r="D1611" s="94"/>
      <c r="E1611" s="85"/>
      <c r="F1611" s="85"/>
      <c r="G1611" s="85"/>
      <c r="H1611" s="90"/>
    </row>
    <row r="1612" spans="2:8" ht="18" x14ac:dyDescent="0.25">
      <c r="B1612" s="94"/>
      <c r="C1612" s="85"/>
      <c r="D1612" s="94"/>
      <c r="E1612" s="85"/>
      <c r="F1612" s="85"/>
      <c r="G1612" s="85"/>
      <c r="H1612" s="90"/>
    </row>
    <row r="1613" spans="2:8" ht="18" x14ac:dyDescent="0.25">
      <c r="B1613" s="85" t="s">
        <v>198</v>
      </c>
      <c r="C1613" s="85"/>
      <c r="D1613" s="107">
        <f>+'RES CUENTA'!$L$25</f>
        <v>10859801.41</v>
      </c>
      <c r="E1613" s="108" t="e">
        <f>+'RES CUENTA'!#REF!</f>
        <v>#REF!</v>
      </c>
      <c r="F1613" s="103" t="e">
        <f>+D1613*E1613/100</f>
        <v>#REF!</v>
      </c>
      <c r="G1613" s="345"/>
      <c r="H1613" s="345"/>
    </row>
    <row r="1614" spans="2:8" ht="18" x14ac:dyDescent="0.25">
      <c r="B1614" s="85" t="s">
        <v>199</v>
      </c>
      <c r="C1614" s="85"/>
      <c r="D1614" s="107" t="e">
        <f>+'RES CUENTA'!#REF!</f>
        <v>#REF!</v>
      </c>
      <c r="E1614" s="108" t="e">
        <f>+'RES CUENTA'!#REF!</f>
        <v>#REF!</v>
      </c>
      <c r="F1614" s="103" t="e">
        <f>+D1614*E1614/100</f>
        <v>#REF!</v>
      </c>
      <c r="G1614" s="341"/>
      <c r="H1614" s="341"/>
    </row>
    <row r="1615" spans="2:8" ht="18" x14ac:dyDescent="0.25">
      <c r="B1615" s="85" t="s">
        <v>79</v>
      </c>
      <c r="C1615" s="85"/>
      <c r="D1615" s="107" t="e">
        <f>+'RES CUENTA'!#REF!</f>
        <v>#REF!</v>
      </c>
      <c r="E1615" s="108">
        <v>0</v>
      </c>
      <c r="F1615" s="103" t="e">
        <f>+D1615</f>
        <v>#REF!</v>
      </c>
      <c r="G1615" s="341"/>
      <c r="H1615" s="341"/>
    </row>
    <row r="1616" spans="2:8" ht="18" x14ac:dyDescent="0.25">
      <c r="B1616" s="85" t="s">
        <v>80</v>
      </c>
      <c r="C1616" s="85"/>
      <c r="D1616" s="107" t="e">
        <f>+'RES CUENTA'!#REF!</f>
        <v>#REF!</v>
      </c>
      <c r="E1616" s="108">
        <v>0</v>
      </c>
      <c r="F1616" s="103" t="e">
        <f>+D1616</f>
        <v>#REF!</v>
      </c>
      <c r="G1616" s="341"/>
      <c r="H1616" s="341"/>
    </row>
    <row r="1617" spans="2:8" ht="18" x14ac:dyDescent="0.25">
      <c r="B1617" s="86"/>
      <c r="C1617" s="85"/>
      <c r="D1617" s="85"/>
      <c r="E1617" s="92"/>
      <c r="F1617" s="104" t="e">
        <f>SUM(F1613:F1616)</f>
        <v>#REF!</v>
      </c>
      <c r="G1617" s="341"/>
      <c r="H1617" s="341"/>
    </row>
    <row r="1618" spans="2:8" ht="18" x14ac:dyDescent="0.25">
      <c r="B1618" s="86"/>
      <c r="C1618" s="85"/>
      <c r="D1618" s="85"/>
      <c r="E1618" s="85"/>
      <c r="G1618" s="338"/>
      <c r="H1618" s="338"/>
    </row>
    <row r="1619" spans="2:8" ht="18" x14ac:dyDescent="0.25">
      <c r="B1619" s="86"/>
      <c r="C1619" s="85"/>
      <c r="D1619" s="85"/>
      <c r="E1619" s="85"/>
      <c r="G1619" s="90"/>
      <c r="H1619" s="90"/>
    </row>
    <row r="1620" spans="2:8" ht="18" x14ac:dyDescent="0.25">
      <c r="B1620" s="85"/>
      <c r="C1620" s="85"/>
      <c r="D1620" s="85"/>
      <c r="E1620" s="85"/>
      <c r="F1620" s="91"/>
      <c r="G1620" s="90"/>
      <c r="H1620" s="90"/>
    </row>
    <row r="1621" spans="2:8" ht="18" x14ac:dyDescent="0.25">
      <c r="B1621" s="85"/>
      <c r="C1621" s="85"/>
      <c r="D1621" s="85"/>
      <c r="E1621" s="85"/>
      <c r="F1621" s="92"/>
      <c r="G1621" s="85"/>
      <c r="H1621" s="90"/>
    </row>
    <row r="1622" spans="2:8" ht="18" x14ac:dyDescent="0.25">
      <c r="B1622" s="85"/>
      <c r="C1622" s="85"/>
      <c r="D1622" s="85"/>
      <c r="E1622" s="85"/>
      <c r="F1622" s="92"/>
      <c r="G1622" s="85"/>
      <c r="H1622" s="90"/>
    </row>
    <row r="1623" spans="2:8" ht="18" x14ac:dyDescent="0.25">
      <c r="B1623" s="85" t="e">
        <f>+B1608</f>
        <v>#REF!</v>
      </c>
      <c r="C1623" s="344"/>
      <c r="D1623" s="344"/>
      <c r="E1623" s="85" t="e">
        <f>+B1623</f>
        <v>#REF!</v>
      </c>
      <c r="F1623" s="92"/>
      <c r="G1623" s="85"/>
      <c r="H1623" s="90"/>
    </row>
    <row r="1624" spans="2:8" ht="18" x14ac:dyDescent="0.25">
      <c r="C1624" s="85"/>
      <c r="D1624" s="85"/>
      <c r="F1624" s="344"/>
      <c r="G1624" s="344"/>
      <c r="H1624" s="344"/>
    </row>
    <row r="1625" spans="2:8" ht="18" x14ac:dyDescent="0.25">
      <c r="B1625" s="85" t="str">
        <f>+$E$1</f>
        <v>Lima 461 C:A:B:A:</v>
      </c>
      <c r="C1625" s="85"/>
      <c r="D1625" s="93" t="str">
        <f>+H1609</f>
        <v>Unid. 43</v>
      </c>
      <c r="E1625" s="85" t="str">
        <f>+$E$1</f>
        <v>Lima 461 C:A:B:A:</v>
      </c>
      <c r="F1625" s="85"/>
      <c r="G1625" s="85"/>
      <c r="H1625" s="90" t="str">
        <f>+D1625</f>
        <v>Unid. 43</v>
      </c>
    </row>
    <row r="1626" spans="2:8" ht="18" x14ac:dyDescent="0.25">
      <c r="H1626" s="94"/>
    </row>
    <row r="1627" spans="2:8" ht="18" x14ac:dyDescent="0.25">
      <c r="B1627" s="86"/>
      <c r="C1627" s="86"/>
      <c r="D1627" s="86"/>
      <c r="E1627" s="86"/>
      <c r="F1627" s="85"/>
      <c r="G1627" s="85"/>
    </row>
    <row r="1628" spans="2:8" ht="18" x14ac:dyDescent="0.25">
      <c r="B1628" s="85">
        <f>+$E$2</f>
        <v>0</v>
      </c>
      <c r="C1628" s="85"/>
      <c r="D1628" s="85"/>
      <c r="E1628" s="85"/>
      <c r="F1628" s="85"/>
      <c r="G1628" s="86"/>
      <c r="H1628" s="94"/>
    </row>
    <row r="1629" spans="2:8" ht="18" x14ac:dyDescent="0.25">
      <c r="B1629" s="85">
        <f>+$E$3</f>
        <v>0</v>
      </c>
      <c r="C1629" s="85"/>
      <c r="D1629" s="85"/>
      <c r="E1629" s="96"/>
      <c r="F1629" s="85"/>
      <c r="G1629" s="94"/>
      <c r="H1629" s="90"/>
    </row>
    <row r="1630" spans="2:8" ht="18" x14ac:dyDescent="0.25">
      <c r="C1630" s="85"/>
      <c r="D1630" s="85"/>
      <c r="E1630" s="85" t="s">
        <v>200</v>
      </c>
      <c r="F1630" s="106" t="e">
        <f>+F1613</f>
        <v>#REF!</v>
      </c>
      <c r="H1630" s="99">
        <f>+B1635</f>
        <v>46188</v>
      </c>
    </row>
    <row r="1631" spans="2:8" ht="18" x14ac:dyDescent="0.25">
      <c r="B1631" s="86"/>
      <c r="C1631" s="85"/>
      <c r="D1631" s="85"/>
      <c r="E1631" s="85" t="s">
        <v>201</v>
      </c>
      <c r="F1631" s="106" t="e">
        <f>+F1614</f>
        <v>#REF!</v>
      </c>
    </row>
    <row r="1632" spans="2:8" ht="18" x14ac:dyDescent="0.25">
      <c r="B1632" s="86"/>
      <c r="C1632" s="85"/>
      <c r="D1632" s="85"/>
      <c r="E1632" s="85" t="s">
        <v>81</v>
      </c>
      <c r="F1632" s="106" t="e">
        <f>+F1615</f>
        <v>#REF!</v>
      </c>
      <c r="G1632" s="85"/>
      <c r="H1632" s="90"/>
    </row>
    <row r="1633" spans="2:8" ht="18" x14ac:dyDescent="0.25">
      <c r="B1633" s="85"/>
      <c r="C1633" s="85"/>
      <c r="D1633" s="85"/>
      <c r="E1633" s="85" t="s">
        <v>82</v>
      </c>
      <c r="F1633" s="106" t="e">
        <f>+F1616</f>
        <v>#REF!</v>
      </c>
      <c r="G1633" s="85"/>
      <c r="H1633" s="90"/>
    </row>
    <row r="1634" spans="2:8" ht="18" x14ac:dyDescent="0.25">
      <c r="B1634" s="96"/>
      <c r="C1634" s="96"/>
      <c r="D1634" s="96"/>
      <c r="E1634" s="85" t="s">
        <v>188</v>
      </c>
      <c r="F1634" s="106">
        <v>0</v>
      </c>
      <c r="G1634" s="85"/>
      <c r="H1634" s="90"/>
    </row>
    <row r="1635" spans="2:8" ht="18" x14ac:dyDescent="0.25">
      <c r="B1635" s="99">
        <f>+$G$30</f>
        <v>46188</v>
      </c>
      <c r="C1635" s="105" t="e">
        <f>+F1617</f>
        <v>#REF!</v>
      </c>
      <c r="D1635" s="85"/>
      <c r="E1635" s="85" t="s">
        <v>83</v>
      </c>
      <c r="F1635" s="106" t="e">
        <f>+F1617</f>
        <v>#REF!</v>
      </c>
      <c r="G1635" s="85"/>
      <c r="H1635" s="90"/>
    </row>
    <row r="1636" spans="2:8" ht="18" x14ac:dyDescent="0.25">
      <c r="B1636" s="85"/>
      <c r="C1636" s="85"/>
      <c r="D1636" s="85"/>
      <c r="E1636" s="85"/>
      <c r="F1636" s="85"/>
      <c r="G1636" s="85"/>
      <c r="H1636" s="90"/>
    </row>
    <row r="1637" spans="2:8" ht="18" x14ac:dyDescent="0.25">
      <c r="B1637" s="85"/>
      <c r="C1637" s="85"/>
      <c r="D1637" s="85"/>
      <c r="E1637" s="85"/>
      <c r="F1637" s="85"/>
      <c r="G1637" s="345"/>
      <c r="H1637" s="345"/>
    </row>
    <row r="1638" spans="2:8" ht="18" x14ac:dyDescent="0.25">
      <c r="B1638" s="85"/>
      <c r="C1638" s="85"/>
      <c r="D1638" s="85"/>
      <c r="E1638" s="85"/>
      <c r="F1638" s="85"/>
      <c r="G1638" s="85"/>
      <c r="H1638" s="90"/>
    </row>
    <row r="1639" spans="2:8" ht="18" x14ac:dyDescent="0.25">
      <c r="B1639" s="85"/>
      <c r="C1639" s="85"/>
      <c r="D1639" s="85"/>
      <c r="E1639" s="85"/>
      <c r="F1639" s="85"/>
      <c r="G1639" s="85"/>
      <c r="H1639" s="90"/>
    </row>
    <row r="1640" spans="2:8" ht="18" x14ac:dyDescent="0.25">
      <c r="B1640" s="85"/>
      <c r="C1640" s="85"/>
      <c r="D1640" s="85"/>
      <c r="E1640" s="85"/>
      <c r="F1640" s="85"/>
      <c r="G1640" s="85"/>
      <c r="H1640" s="90"/>
    </row>
    <row r="1641" spans="2:8" ht="18" x14ac:dyDescent="0.25">
      <c r="B1641" s="85"/>
      <c r="C1641" s="85"/>
      <c r="D1641" s="85"/>
      <c r="E1641" s="85"/>
      <c r="F1641" s="85"/>
      <c r="H1641" s="90"/>
    </row>
    <row r="1642" spans="2:8" ht="18" x14ac:dyDescent="0.25">
      <c r="B1642" s="85"/>
      <c r="C1642" s="85"/>
      <c r="D1642" s="85"/>
      <c r="E1642" s="85"/>
      <c r="F1642" s="85"/>
      <c r="H1642" s="90"/>
    </row>
    <row r="1643" spans="2:8" ht="18" x14ac:dyDescent="0.25">
      <c r="B1643" s="343"/>
      <c r="C1643" s="343"/>
      <c r="D1643" s="343"/>
      <c r="E1643" s="85"/>
      <c r="F1643" s="85"/>
      <c r="H1643" s="90"/>
    </row>
    <row r="1644" spans="2:8" ht="18" x14ac:dyDescent="0.25">
      <c r="B1644" s="343"/>
      <c r="C1644" s="343"/>
      <c r="D1644" s="343"/>
      <c r="E1644" s="98">
        <f>+$B$1</f>
        <v>46143</v>
      </c>
      <c r="F1644" s="85"/>
      <c r="G1644" s="99">
        <f>+$D$1</f>
        <v>46188</v>
      </c>
      <c r="H1644" s="160"/>
    </row>
    <row r="1645" spans="2:8" ht="18" x14ac:dyDescent="0.25">
      <c r="B1645" s="84"/>
      <c r="C1645" s="84"/>
      <c r="D1645" s="100"/>
      <c r="E1645" s="98"/>
      <c r="F1645" s="85"/>
    </row>
    <row r="1646" spans="2:8" ht="18" x14ac:dyDescent="0.25">
      <c r="B1646" s="85" t="e">
        <f>+#REF!</f>
        <v>#REF!</v>
      </c>
      <c r="C1646" s="85"/>
      <c r="D1646" s="85"/>
      <c r="F1646" s="85"/>
    </row>
    <row r="1647" spans="2:8" ht="18" x14ac:dyDescent="0.25">
      <c r="C1647" s="85"/>
      <c r="D1647" s="85"/>
      <c r="E1647" s="85" t="str">
        <f>+$E$1</f>
        <v>Lima 461 C:A:B:A:</v>
      </c>
      <c r="F1647" s="85"/>
      <c r="H1647" s="90" t="s">
        <v>127</v>
      </c>
    </row>
    <row r="1648" spans="2:8" ht="18" x14ac:dyDescent="0.25">
      <c r="B1648" s="86"/>
      <c r="C1648" s="85"/>
      <c r="D1648" s="85"/>
      <c r="F1648" s="85"/>
      <c r="G1648" s="86"/>
    </row>
    <row r="1649" spans="2:8" ht="18" x14ac:dyDescent="0.25">
      <c r="B1649" s="85"/>
      <c r="C1649" s="85"/>
      <c r="D1649" s="85"/>
      <c r="E1649" s="86"/>
      <c r="F1649" s="86"/>
      <c r="G1649" s="85"/>
      <c r="H1649" s="94"/>
    </row>
    <row r="1650" spans="2:8" ht="18" x14ac:dyDescent="0.25">
      <c r="B1650" s="94"/>
      <c r="C1650" s="85"/>
      <c r="D1650" s="94"/>
      <c r="E1650" s="85"/>
      <c r="F1650" s="85"/>
      <c r="G1650" s="85"/>
      <c r="H1650" s="90"/>
    </row>
    <row r="1651" spans="2:8" ht="18" x14ac:dyDescent="0.25">
      <c r="B1651" s="85" t="s">
        <v>198</v>
      </c>
      <c r="C1651" s="85"/>
      <c r="D1651" s="107">
        <f>+'RES CUENTA'!$L$25</f>
        <v>10859801.41</v>
      </c>
      <c r="E1651" s="108" t="e">
        <f>+'RES CUENTA'!#REF!</f>
        <v>#REF!</v>
      </c>
      <c r="F1651" s="103" t="e">
        <f>+D1651*E1651/100</f>
        <v>#REF!</v>
      </c>
      <c r="G1651" s="85"/>
      <c r="H1651" s="94"/>
    </row>
    <row r="1652" spans="2:8" ht="18" x14ac:dyDescent="0.25">
      <c r="B1652" s="85" t="s">
        <v>199</v>
      </c>
      <c r="C1652" s="85"/>
      <c r="D1652" s="107" t="e">
        <f>+'RES CUENTA'!#REF!</f>
        <v>#REF!</v>
      </c>
      <c r="E1652" s="108" t="e">
        <f>+'RES CUENTA'!#REF!</f>
        <v>#REF!</v>
      </c>
      <c r="F1652" s="103" t="e">
        <f>+D1652*E1652/100</f>
        <v>#REF!</v>
      </c>
      <c r="G1652" s="94"/>
      <c r="H1652" s="89"/>
    </row>
    <row r="1653" spans="2:8" ht="18" x14ac:dyDescent="0.25">
      <c r="B1653" s="85" t="s">
        <v>79</v>
      </c>
      <c r="C1653" s="85"/>
      <c r="D1653" s="107" t="e">
        <f>+'RES CUENTA'!#REF!</f>
        <v>#REF!</v>
      </c>
      <c r="E1653" s="108">
        <f>+'RES CUENTA'!P752</f>
        <v>0</v>
      </c>
      <c r="F1653" s="103" t="e">
        <f>+D1653</f>
        <v>#REF!</v>
      </c>
      <c r="G1653" s="89"/>
      <c r="H1653" s="89"/>
    </row>
    <row r="1654" spans="2:8" ht="18" x14ac:dyDescent="0.25">
      <c r="B1654" s="85" t="s">
        <v>80</v>
      </c>
      <c r="C1654" s="85"/>
      <c r="D1654" s="107" t="e">
        <f>+'RES CUENTA'!#REF!</f>
        <v>#REF!</v>
      </c>
      <c r="E1654" s="108">
        <f>+'RES CUENTA'!R747</f>
        <v>0</v>
      </c>
      <c r="F1654" s="103" t="e">
        <f>+D1654</f>
        <v>#REF!</v>
      </c>
      <c r="G1654" s="89"/>
      <c r="H1654" s="89"/>
    </row>
    <row r="1655" spans="2:8" ht="18" x14ac:dyDescent="0.25">
      <c r="B1655" s="86"/>
      <c r="C1655" s="85"/>
      <c r="D1655" s="85"/>
      <c r="F1655" s="104" t="e">
        <f>SUM(F1651:F1654)</f>
        <v>#REF!</v>
      </c>
      <c r="G1655" s="89"/>
      <c r="H1655" s="89"/>
    </row>
    <row r="1656" spans="2:8" ht="18" x14ac:dyDescent="0.25">
      <c r="B1656" s="86"/>
      <c r="C1656" s="85"/>
      <c r="D1656" s="85"/>
      <c r="F1656" s="91"/>
      <c r="G1656" s="89"/>
      <c r="H1656" s="90"/>
    </row>
    <row r="1657" spans="2:8" ht="18" x14ac:dyDescent="0.25">
      <c r="B1657" s="86"/>
      <c r="C1657" s="85"/>
      <c r="D1657" s="85"/>
      <c r="F1657" s="91"/>
      <c r="G1657" s="89"/>
      <c r="H1657" s="90"/>
    </row>
    <row r="1658" spans="2:8" ht="18" x14ac:dyDescent="0.25">
      <c r="B1658" s="85"/>
      <c r="C1658" s="85"/>
      <c r="D1658" s="85"/>
      <c r="E1658" s="85"/>
      <c r="F1658" s="92"/>
      <c r="G1658" s="90"/>
      <c r="H1658" s="90"/>
    </row>
    <row r="1659" spans="2:8" ht="18" x14ac:dyDescent="0.25">
      <c r="B1659" s="85"/>
      <c r="C1659" s="85"/>
      <c r="D1659" s="85"/>
      <c r="E1659" s="85"/>
      <c r="F1659" s="92"/>
      <c r="G1659" s="90"/>
      <c r="H1659" s="90"/>
    </row>
    <row r="1660" spans="2:8" ht="18" x14ac:dyDescent="0.25">
      <c r="B1660" s="85"/>
      <c r="C1660" s="85"/>
      <c r="D1660" s="85"/>
      <c r="E1660" s="85"/>
      <c r="F1660" s="92"/>
      <c r="G1660" s="90"/>
      <c r="H1660" s="90"/>
    </row>
    <row r="1661" spans="2:8" ht="18" x14ac:dyDescent="0.25">
      <c r="B1661" s="85" t="e">
        <f>+B1646</f>
        <v>#REF!</v>
      </c>
      <c r="C1661" s="85"/>
      <c r="D1661" s="85"/>
      <c r="E1661" s="85" t="e">
        <f>+B1646</f>
        <v>#REF!</v>
      </c>
      <c r="F1661" s="85"/>
      <c r="G1661" s="85"/>
      <c r="H1661" s="94"/>
    </row>
    <row r="1662" spans="2:8" ht="18" x14ac:dyDescent="0.25">
      <c r="B1662" s="86"/>
      <c r="C1662" s="85"/>
      <c r="D1662" s="85"/>
      <c r="F1662" s="85"/>
      <c r="G1662" s="101"/>
      <c r="H1662" s="90" t="str">
        <f>+H1647</f>
        <v>Unid. 44</v>
      </c>
    </row>
    <row r="1663" spans="2:8" ht="18" x14ac:dyDescent="0.25">
      <c r="B1663" s="85" t="str">
        <f>+$E$1</f>
        <v>Lima 461 C:A:B:A:</v>
      </c>
      <c r="C1663" s="85"/>
      <c r="D1663" s="93" t="str">
        <f>+H1662</f>
        <v>Unid. 44</v>
      </c>
      <c r="E1663" s="85" t="str">
        <f>+$E$1</f>
        <v>Lima 461 C:A:B:A:</v>
      </c>
      <c r="F1663" s="85"/>
      <c r="G1663" s="85"/>
      <c r="H1663" s="94"/>
    </row>
    <row r="1664" spans="2:8" ht="18" x14ac:dyDescent="0.25">
      <c r="B1664" s="86"/>
      <c r="C1664" s="86"/>
      <c r="D1664" s="86"/>
      <c r="F1664" s="85"/>
      <c r="G1664" s="85"/>
    </row>
    <row r="1665" spans="2:8" ht="18" x14ac:dyDescent="0.25">
      <c r="B1665" s="85"/>
      <c r="C1665" s="85"/>
      <c r="D1665" s="85"/>
      <c r="E1665" s="86"/>
      <c r="F1665" s="85"/>
      <c r="G1665" s="85"/>
      <c r="H1665" s="94"/>
    </row>
    <row r="1666" spans="2:8" ht="18" x14ac:dyDescent="0.25">
      <c r="B1666" s="85">
        <f>+$E$2</f>
        <v>0</v>
      </c>
      <c r="C1666" s="85"/>
      <c r="D1666" s="85"/>
      <c r="E1666" s="85"/>
      <c r="F1666" s="96"/>
      <c r="G1666" s="86"/>
      <c r="H1666" s="90"/>
    </row>
    <row r="1667" spans="2:8" ht="18" x14ac:dyDescent="0.25">
      <c r="B1667" s="85">
        <f>+$E$3</f>
        <v>0</v>
      </c>
      <c r="C1667" s="85"/>
      <c r="D1667" s="85"/>
      <c r="E1667" s="96"/>
      <c r="G1667" s="94"/>
      <c r="H1667" s="96"/>
    </row>
    <row r="1668" spans="2:8" ht="18" x14ac:dyDescent="0.25">
      <c r="B1668" s="86"/>
      <c r="C1668" s="85"/>
      <c r="D1668" s="85"/>
      <c r="E1668" s="85" t="s">
        <v>200</v>
      </c>
      <c r="F1668" s="106" t="e">
        <f>+F1651</f>
        <v>#REF!</v>
      </c>
      <c r="G1668" s="95"/>
      <c r="H1668" s="99">
        <f>+B1672</f>
        <v>46188</v>
      </c>
    </row>
    <row r="1669" spans="2:8" ht="18" x14ac:dyDescent="0.25">
      <c r="B1669" s="86"/>
      <c r="C1669" s="85"/>
      <c r="D1669" s="85"/>
      <c r="E1669" s="85" t="s">
        <v>201</v>
      </c>
      <c r="F1669" s="106" t="e">
        <f>+F1652</f>
        <v>#REF!</v>
      </c>
      <c r="H1669" s="90"/>
    </row>
    <row r="1670" spans="2:8" ht="18" x14ac:dyDescent="0.25">
      <c r="B1670" s="85"/>
      <c r="C1670" s="85"/>
      <c r="D1670" s="85"/>
      <c r="E1670" s="85" t="s">
        <v>81</v>
      </c>
      <c r="F1670" s="106" t="e">
        <f>+F1653</f>
        <v>#REF!</v>
      </c>
      <c r="G1670" s="85"/>
      <c r="H1670" s="90"/>
    </row>
    <row r="1671" spans="2:8" ht="18" x14ac:dyDescent="0.25">
      <c r="B1671" s="96"/>
      <c r="C1671" s="96"/>
      <c r="D1671" s="96"/>
      <c r="E1671" s="85" t="s">
        <v>82</v>
      </c>
      <c r="F1671" s="106" t="e">
        <f>+F1654</f>
        <v>#REF!</v>
      </c>
      <c r="G1671" s="85"/>
      <c r="H1671" s="90"/>
    </row>
    <row r="1672" spans="2:8" ht="18" x14ac:dyDescent="0.25">
      <c r="B1672" s="99">
        <f>+$G$30</f>
        <v>46188</v>
      </c>
      <c r="C1672" s="105" t="e">
        <f>+F1655</f>
        <v>#REF!</v>
      </c>
      <c r="D1672" s="85"/>
      <c r="E1672" s="85" t="s">
        <v>188</v>
      </c>
      <c r="F1672" s="106">
        <v>0</v>
      </c>
      <c r="G1672" s="85"/>
      <c r="H1672" s="90"/>
    </row>
    <row r="1673" spans="2:8" ht="18" x14ac:dyDescent="0.25">
      <c r="B1673" s="85"/>
      <c r="C1673" s="85"/>
      <c r="D1673" s="85"/>
      <c r="E1673" s="85" t="s">
        <v>83</v>
      </c>
      <c r="F1673" s="106" t="e">
        <f>+F1655</f>
        <v>#REF!</v>
      </c>
      <c r="H1673" s="90"/>
    </row>
    <row r="1674" spans="2:8" ht="18" x14ac:dyDescent="0.25">
      <c r="B1674" s="85"/>
      <c r="C1674" s="85"/>
      <c r="D1674" s="85"/>
      <c r="E1674" s="85"/>
      <c r="F1674" s="85"/>
      <c r="G1674" s="85"/>
      <c r="H1674" s="90"/>
    </row>
    <row r="1675" spans="2:8" ht="18" x14ac:dyDescent="0.25">
      <c r="B1675" s="85"/>
      <c r="C1675" s="85"/>
      <c r="D1675" s="85"/>
      <c r="E1675" s="102"/>
      <c r="F1675" s="85"/>
      <c r="G1675" s="85"/>
      <c r="H1675" s="90"/>
    </row>
    <row r="1676" spans="2:8" ht="18" x14ac:dyDescent="0.25">
      <c r="B1676" s="85"/>
      <c r="C1676" s="85"/>
      <c r="D1676" s="85"/>
      <c r="E1676" s="85"/>
      <c r="F1676" s="85"/>
      <c r="G1676" s="85"/>
      <c r="H1676" s="94"/>
    </row>
    <row r="1677" spans="2:8" ht="18" x14ac:dyDescent="0.25">
      <c r="E1677" s="85"/>
      <c r="G1677" s="94"/>
      <c r="H1677" s="90"/>
    </row>
    <row r="1679" spans="2:8" ht="18" x14ac:dyDescent="0.25">
      <c r="B1679" s="343"/>
      <c r="C1679" s="343"/>
      <c r="D1679" s="343"/>
      <c r="E1679" s="342">
        <f>+$B$1</f>
        <v>46143</v>
      </c>
      <c r="F1679" s="85"/>
      <c r="G1679" s="337">
        <f>+$D$1</f>
        <v>46188</v>
      </c>
      <c r="H1679" s="90"/>
    </row>
    <row r="1680" spans="2:8" ht="18" x14ac:dyDescent="0.25">
      <c r="B1680" s="84"/>
      <c r="C1680" s="84"/>
      <c r="D1680" s="100"/>
      <c r="E1680" s="342"/>
      <c r="F1680" s="85"/>
      <c r="G1680" s="337"/>
      <c r="H1680" s="90"/>
    </row>
    <row r="1681" spans="2:8" ht="18" x14ac:dyDescent="0.25">
      <c r="B1681" s="85"/>
      <c r="C1681" s="85"/>
      <c r="D1681" s="85"/>
      <c r="E1681" s="86"/>
      <c r="F1681" s="85"/>
      <c r="G1681" s="86"/>
      <c r="H1681" s="90"/>
    </row>
    <row r="1682" spans="2:8" ht="18" x14ac:dyDescent="0.25">
      <c r="B1682" s="85" t="e">
        <f>+#REF!</f>
        <v>#REF!</v>
      </c>
      <c r="C1682" s="85"/>
      <c r="D1682" s="85"/>
      <c r="E1682" s="86"/>
      <c r="F1682" s="85"/>
      <c r="G1682" s="86"/>
      <c r="H1682" s="90"/>
    </row>
    <row r="1683" spans="2:8" ht="18" x14ac:dyDescent="0.25">
      <c r="B1683" s="86"/>
      <c r="C1683" s="85"/>
      <c r="D1683" s="85"/>
      <c r="E1683" s="85" t="s">
        <v>78</v>
      </c>
      <c r="F1683" s="85"/>
      <c r="G1683" s="85"/>
      <c r="H1683" s="90" t="s">
        <v>128</v>
      </c>
    </row>
    <row r="1684" spans="2:8" ht="18" x14ac:dyDescent="0.25">
      <c r="B1684" s="85"/>
      <c r="C1684" s="85"/>
      <c r="D1684" s="85"/>
      <c r="E1684" s="86"/>
      <c r="F1684" s="86"/>
      <c r="G1684" s="85"/>
      <c r="H1684" s="94"/>
    </row>
    <row r="1685" spans="2:8" ht="18" x14ac:dyDescent="0.25">
      <c r="B1685" s="94"/>
      <c r="C1685" s="85"/>
      <c r="D1685" s="94"/>
      <c r="E1685" s="85"/>
      <c r="F1685" s="85"/>
      <c r="G1685" s="85"/>
      <c r="H1685" s="90"/>
    </row>
    <row r="1686" spans="2:8" ht="18" x14ac:dyDescent="0.25">
      <c r="B1686" s="94"/>
      <c r="C1686" s="85"/>
      <c r="D1686" s="94"/>
      <c r="E1686" s="85"/>
      <c r="F1686" s="85"/>
      <c r="G1686" s="85"/>
      <c r="H1686" s="90"/>
    </row>
    <row r="1687" spans="2:8" ht="18" x14ac:dyDescent="0.25">
      <c r="B1687" s="85" t="s">
        <v>198</v>
      </c>
      <c r="C1687" s="85"/>
      <c r="D1687" s="107">
        <f>+'RES CUENTA'!$L$25</f>
        <v>10859801.41</v>
      </c>
      <c r="E1687" s="108" t="e">
        <f>+'RES CUENTA'!#REF!</f>
        <v>#REF!</v>
      </c>
      <c r="F1687" s="103" t="e">
        <f>+D1687*E1687/100</f>
        <v>#REF!</v>
      </c>
      <c r="G1687" s="345"/>
      <c r="H1687" s="345"/>
    </row>
    <row r="1688" spans="2:8" ht="18" x14ac:dyDescent="0.25">
      <c r="B1688" s="85" t="s">
        <v>199</v>
      </c>
      <c r="C1688" s="85"/>
      <c r="D1688" s="107" t="e">
        <f>+'RES CUENTA'!#REF!</f>
        <v>#REF!</v>
      </c>
      <c r="E1688" s="108" t="e">
        <f>+'RES CUENTA'!#REF!</f>
        <v>#REF!</v>
      </c>
      <c r="F1688" s="103" t="e">
        <f>+D1688*E1688/100</f>
        <v>#REF!</v>
      </c>
      <c r="G1688" s="341"/>
      <c r="H1688" s="341"/>
    </row>
    <row r="1689" spans="2:8" ht="18" x14ac:dyDescent="0.25">
      <c r="B1689" s="85" t="s">
        <v>79</v>
      </c>
      <c r="C1689" s="85"/>
      <c r="D1689" s="107" t="e">
        <f>+'RES CUENTA'!#REF!</f>
        <v>#REF!</v>
      </c>
      <c r="E1689" s="108">
        <v>0</v>
      </c>
      <c r="F1689" s="103" t="e">
        <f>+D1689</f>
        <v>#REF!</v>
      </c>
      <c r="G1689" s="341"/>
      <c r="H1689" s="341"/>
    </row>
    <row r="1690" spans="2:8" ht="18" x14ac:dyDescent="0.25">
      <c r="B1690" s="85" t="s">
        <v>80</v>
      </c>
      <c r="C1690" s="85"/>
      <c r="D1690" s="107" t="e">
        <f>+'RES CUENTA'!#REF!</f>
        <v>#REF!</v>
      </c>
      <c r="E1690" s="108">
        <v>0</v>
      </c>
      <c r="F1690" s="103" t="e">
        <f>+D1690</f>
        <v>#REF!</v>
      </c>
      <c r="G1690" s="341"/>
      <c r="H1690" s="341"/>
    </row>
    <row r="1691" spans="2:8" ht="18" x14ac:dyDescent="0.25">
      <c r="B1691" s="86"/>
      <c r="C1691" s="85"/>
      <c r="D1691" s="85"/>
      <c r="E1691" s="92"/>
      <c r="F1691" s="104" t="e">
        <f>SUM(F1687:F1690)</f>
        <v>#REF!</v>
      </c>
      <c r="G1691" s="341"/>
      <c r="H1691" s="341"/>
    </row>
    <row r="1692" spans="2:8" ht="18" x14ac:dyDescent="0.25">
      <c r="B1692" s="86"/>
      <c r="C1692" s="85"/>
      <c r="D1692" s="85"/>
      <c r="E1692" s="92"/>
      <c r="F1692" s="104"/>
      <c r="G1692" s="89"/>
      <c r="H1692" s="89"/>
    </row>
    <row r="1693" spans="2:8" ht="18" x14ac:dyDescent="0.25">
      <c r="B1693" s="86"/>
      <c r="C1693" s="85"/>
      <c r="D1693" s="85"/>
      <c r="E1693" s="85"/>
      <c r="G1693" s="338"/>
      <c r="H1693" s="338"/>
    </row>
    <row r="1694" spans="2:8" ht="18" x14ac:dyDescent="0.25">
      <c r="B1694" s="85"/>
      <c r="C1694" s="85"/>
      <c r="D1694" s="85"/>
      <c r="E1694" s="85"/>
      <c r="F1694" s="91"/>
      <c r="G1694" s="90"/>
      <c r="H1694" s="90"/>
    </row>
    <row r="1695" spans="2:8" ht="18" x14ac:dyDescent="0.25">
      <c r="B1695" s="85"/>
      <c r="C1695" s="85"/>
      <c r="D1695" s="85"/>
      <c r="E1695" s="85"/>
      <c r="F1695" s="92"/>
      <c r="G1695" s="85"/>
      <c r="H1695" s="90"/>
    </row>
    <row r="1696" spans="2:8" ht="18" x14ac:dyDescent="0.25">
      <c r="B1696" s="85"/>
      <c r="C1696" s="85"/>
      <c r="D1696" s="85"/>
      <c r="E1696" s="85"/>
      <c r="F1696" s="92"/>
      <c r="G1696" s="85"/>
      <c r="H1696" s="90"/>
    </row>
    <row r="1697" spans="2:8" ht="18" x14ac:dyDescent="0.25">
      <c r="B1697" s="85" t="e">
        <f>+B1682</f>
        <v>#REF!</v>
      </c>
      <c r="C1697" s="344"/>
      <c r="D1697" s="344"/>
      <c r="E1697" s="85" t="e">
        <f>+B1697</f>
        <v>#REF!</v>
      </c>
      <c r="F1697" s="92"/>
      <c r="G1697" s="85"/>
      <c r="H1697" s="90"/>
    </row>
    <row r="1698" spans="2:8" ht="18" x14ac:dyDescent="0.25">
      <c r="C1698" s="85"/>
      <c r="D1698" s="85"/>
      <c r="F1698" s="344"/>
      <c r="G1698" s="344"/>
      <c r="H1698" s="344"/>
    </row>
    <row r="1699" spans="2:8" ht="18" x14ac:dyDescent="0.25">
      <c r="B1699" s="85" t="str">
        <f>+$E$1</f>
        <v>Lima 461 C:A:B:A:</v>
      </c>
      <c r="C1699" s="85"/>
      <c r="D1699" s="93" t="str">
        <f>+H1683</f>
        <v>Unid. 45</v>
      </c>
      <c r="E1699" s="85" t="str">
        <f>+$E$1</f>
        <v>Lima 461 C:A:B:A:</v>
      </c>
      <c r="F1699" s="85"/>
      <c r="G1699" s="85"/>
      <c r="H1699" s="90" t="str">
        <f>+D1699</f>
        <v>Unid. 45</v>
      </c>
    </row>
    <row r="1700" spans="2:8" ht="18" x14ac:dyDescent="0.25">
      <c r="H1700" s="94"/>
    </row>
    <row r="1701" spans="2:8" ht="18" x14ac:dyDescent="0.25">
      <c r="B1701" s="86"/>
      <c r="C1701" s="86"/>
      <c r="D1701" s="86"/>
      <c r="E1701" s="86"/>
      <c r="F1701" s="85"/>
      <c r="G1701" s="85"/>
    </row>
    <row r="1702" spans="2:8" ht="18" x14ac:dyDescent="0.25">
      <c r="B1702" s="85">
        <f>+$E$2</f>
        <v>0</v>
      </c>
      <c r="C1702" s="85"/>
      <c r="D1702" s="85"/>
      <c r="E1702" s="85"/>
      <c r="F1702" s="85"/>
      <c r="G1702" s="86"/>
      <c r="H1702" s="94"/>
    </row>
    <row r="1703" spans="2:8" ht="18" x14ac:dyDescent="0.25">
      <c r="B1703" s="85">
        <f>+$E$3</f>
        <v>0</v>
      </c>
      <c r="C1703" s="85"/>
      <c r="D1703" s="85"/>
      <c r="E1703" s="96"/>
      <c r="F1703" s="85"/>
      <c r="G1703" s="94"/>
      <c r="H1703" s="90"/>
    </row>
    <row r="1704" spans="2:8" ht="18" x14ac:dyDescent="0.25">
      <c r="C1704" s="85"/>
      <c r="D1704" s="85"/>
      <c r="E1704" s="85" t="s">
        <v>200</v>
      </c>
      <c r="F1704" s="106" t="e">
        <f>+F1687</f>
        <v>#REF!</v>
      </c>
      <c r="H1704" s="99">
        <f>+B1709</f>
        <v>46188</v>
      </c>
    </row>
    <row r="1705" spans="2:8" ht="18" x14ac:dyDescent="0.25">
      <c r="B1705" s="86"/>
      <c r="C1705" s="85"/>
      <c r="D1705" s="85"/>
      <c r="E1705" s="85" t="s">
        <v>201</v>
      </c>
      <c r="F1705" s="106" t="e">
        <f>+F1688</f>
        <v>#REF!</v>
      </c>
    </row>
    <row r="1706" spans="2:8" ht="18" x14ac:dyDescent="0.25">
      <c r="B1706" s="86"/>
      <c r="C1706" s="85"/>
      <c r="D1706" s="85"/>
      <c r="E1706" s="85" t="s">
        <v>81</v>
      </c>
      <c r="F1706" s="106" t="e">
        <f>+F1689</f>
        <v>#REF!</v>
      </c>
      <c r="G1706" s="85"/>
      <c r="H1706" s="90"/>
    </row>
    <row r="1707" spans="2:8" ht="18" x14ac:dyDescent="0.25">
      <c r="B1707" s="85"/>
      <c r="C1707" s="85"/>
      <c r="D1707" s="85"/>
      <c r="E1707" s="85" t="s">
        <v>82</v>
      </c>
      <c r="F1707" s="106" t="e">
        <f>+F1690</f>
        <v>#REF!</v>
      </c>
      <c r="G1707" s="85"/>
      <c r="H1707" s="90"/>
    </row>
    <row r="1708" spans="2:8" ht="18" x14ac:dyDescent="0.25">
      <c r="B1708" s="96"/>
      <c r="C1708" s="96"/>
      <c r="D1708" s="96"/>
      <c r="E1708" s="85" t="s">
        <v>188</v>
      </c>
      <c r="F1708" s="106">
        <v>0</v>
      </c>
      <c r="G1708" s="85"/>
      <c r="H1708" s="90"/>
    </row>
    <row r="1709" spans="2:8" ht="18" x14ac:dyDescent="0.25">
      <c r="B1709" s="99">
        <f>+$G$30</f>
        <v>46188</v>
      </c>
      <c r="C1709" s="105" t="e">
        <f>+F1691</f>
        <v>#REF!</v>
      </c>
      <c r="D1709" s="85"/>
      <c r="E1709" s="85" t="s">
        <v>83</v>
      </c>
      <c r="F1709" s="106" t="e">
        <f>+F1691</f>
        <v>#REF!</v>
      </c>
      <c r="G1709" s="85"/>
      <c r="H1709" s="90"/>
    </row>
    <row r="1710" spans="2:8" ht="18" x14ac:dyDescent="0.25">
      <c r="B1710" s="85"/>
      <c r="C1710" s="85"/>
      <c r="D1710" s="85"/>
      <c r="E1710" s="85"/>
      <c r="F1710" s="85"/>
      <c r="G1710" s="85"/>
      <c r="H1710" s="90"/>
    </row>
    <row r="1711" spans="2:8" ht="18" x14ac:dyDescent="0.25">
      <c r="B1711" s="85"/>
      <c r="C1711" s="85"/>
      <c r="D1711" s="85"/>
      <c r="E1711" s="85"/>
      <c r="F1711" s="85"/>
      <c r="G1711" s="345"/>
      <c r="H1711" s="345"/>
    </row>
    <row r="1712" spans="2:8" ht="18" x14ac:dyDescent="0.25">
      <c r="B1712" s="85"/>
      <c r="C1712" s="85"/>
      <c r="D1712" s="85"/>
      <c r="E1712" s="85"/>
      <c r="F1712" s="85"/>
      <c r="G1712" s="85"/>
      <c r="H1712" s="90"/>
    </row>
    <row r="1713" spans="2:8" ht="18" x14ac:dyDescent="0.25">
      <c r="B1713" s="85"/>
      <c r="C1713" s="85"/>
      <c r="D1713" s="85"/>
      <c r="E1713" s="85"/>
      <c r="F1713" s="85"/>
      <c r="G1713" s="85"/>
      <c r="H1713" s="90"/>
    </row>
    <row r="1714" spans="2:8" ht="18" x14ac:dyDescent="0.25">
      <c r="B1714" s="85"/>
      <c r="C1714" s="85"/>
      <c r="D1714" s="85"/>
      <c r="E1714" s="85"/>
      <c r="F1714" s="85"/>
      <c r="G1714" s="85"/>
      <c r="H1714" s="90"/>
    </row>
    <row r="1715" spans="2:8" ht="18" x14ac:dyDescent="0.25">
      <c r="B1715" s="85"/>
      <c r="C1715" s="85"/>
      <c r="D1715" s="85"/>
      <c r="E1715" s="85"/>
      <c r="F1715" s="85"/>
      <c r="G1715" s="85"/>
      <c r="H1715" s="90"/>
    </row>
    <row r="1716" spans="2:8" ht="18" x14ac:dyDescent="0.25">
      <c r="B1716" s="85"/>
      <c r="C1716" s="85"/>
      <c r="D1716" s="85"/>
      <c r="E1716" s="85"/>
      <c r="F1716" s="85"/>
      <c r="H1716" s="90"/>
    </row>
    <row r="1717" spans="2:8" ht="18" x14ac:dyDescent="0.25">
      <c r="B1717" s="343"/>
      <c r="C1717" s="343"/>
      <c r="D1717" s="343"/>
      <c r="E1717" s="85"/>
      <c r="F1717" s="85"/>
      <c r="H1717" s="90"/>
    </row>
    <row r="1718" spans="2:8" ht="18" x14ac:dyDescent="0.25">
      <c r="B1718" s="343"/>
      <c r="C1718" s="343"/>
      <c r="D1718" s="343"/>
      <c r="E1718" s="98">
        <f>+$B$1</f>
        <v>46143</v>
      </c>
      <c r="F1718" s="85"/>
      <c r="G1718" s="99">
        <f>+$D$1</f>
        <v>46188</v>
      </c>
      <c r="H1718" s="160"/>
    </row>
    <row r="1719" spans="2:8" ht="18" x14ac:dyDescent="0.25">
      <c r="B1719" s="84"/>
      <c r="C1719" s="84"/>
      <c r="D1719" s="100"/>
      <c r="E1719" s="98"/>
      <c r="F1719" s="85"/>
    </row>
    <row r="1720" spans="2:8" ht="18" x14ac:dyDescent="0.25">
      <c r="B1720" s="85" t="e">
        <f>+#REF!</f>
        <v>#REF!</v>
      </c>
      <c r="C1720" s="85"/>
      <c r="D1720" s="85"/>
      <c r="F1720" s="85"/>
    </row>
    <row r="1721" spans="2:8" ht="18" x14ac:dyDescent="0.25">
      <c r="C1721" s="85"/>
      <c r="D1721" s="85"/>
      <c r="E1721" s="85" t="str">
        <f>+$E$1</f>
        <v>Lima 461 C:A:B:A:</v>
      </c>
      <c r="F1721" s="85"/>
      <c r="H1721" s="90" t="s">
        <v>129</v>
      </c>
    </row>
    <row r="1722" spans="2:8" ht="18" x14ac:dyDescent="0.25">
      <c r="B1722" s="86"/>
      <c r="C1722" s="85"/>
      <c r="D1722" s="85"/>
      <c r="F1722" s="85"/>
      <c r="G1722" s="86"/>
    </row>
    <row r="1723" spans="2:8" ht="18" x14ac:dyDescent="0.25">
      <c r="B1723" s="85"/>
      <c r="C1723" s="85"/>
      <c r="D1723" s="85"/>
      <c r="E1723" s="86"/>
      <c r="F1723" s="86"/>
      <c r="G1723" s="85"/>
      <c r="H1723" s="94"/>
    </row>
    <row r="1724" spans="2:8" ht="18" x14ac:dyDescent="0.25">
      <c r="B1724" s="94"/>
      <c r="C1724" s="85"/>
      <c r="D1724" s="94"/>
      <c r="E1724" s="85"/>
      <c r="F1724" s="85"/>
      <c r="G1724" s="85"/>
      <c r="H1724" s="90"/>
    </row>
    <row r="1725" spans="2:8" ht="18" x14ac:dyDescent="0.25">
      <c r="B1725" s="85" t="s">
        <v>198</v>
      </c>
      <c r="C1725" s="85"/>
      <c r="D1725" s="107">
        <f>+'RES CUENTA'!$L$25</f>
        <v>10859801.41</v>
      </c>
      <c r="E1725" s="108" t="e">
        <f>+'RES CUENTA'!#REF!</f>
        <v>#REF!</v>
      </c>
      <c r="F1725" s="103" t="e">
        <f>+D1725*E1725/100</f>
        <v>#REF!</v>
      </c>
      <c r="G1725" s="85"/>
      <c r="H1725" s="94"/>
    </row>
    <row r="1726" spans="2:8" ht="18" x14ac:dyDescent="0.25">
      <c r="B1726" s="85" t="s">
        <v>199</v>
      </c>
      <c r="C1726" s="85"/>
      <c r="D1726" s="107" t="e">
        <f>+'RES CUENTA'!#REF!</f>
        <v>#REF!</v>
      </c>
      <c r="E1726" s="108" t="e">
        <f>+'RES CUENTA'!#REF!</f>
        <v>#REF!</v>
      </c>
      <c r="F1726" s="103" t="e">
        <f>+D1726*E1726/100</f>
        <v>#REF!</v>
      </c>
      <c r="G1726" s="94"/>
      <c r="H1726" s="89"/>
    </row>
    <row r="1727" spans="2:8" ht="18" x14ac:dyDescent="0.25">
      <c r="B1727" s="85" t="s">
        <v>79</v>
      </c>
      <c r="C1727" s="85"/>
      <c r="D1727" s="107" t="e">
        <f>+'RES CUENTA'!#REF!</f>
        <v>#REF!</v>
      </c>
      <c r="E1727" s="108">
        <f>+'RES CUENTA'!P828</f>
        <v>0</v>
      </c>
      <c r="F1727" s="103" t="e">
        <f>+D1727</f>
        <v>#REF!</v>
      </c>
      <c r="G1727" s="89"/>
      <c r="H1727" s="89"/>
    </row>
    <row r="1728" spans="2:8" ht="18" x14ac:dyDescent="0.25">
      <c r="B1728" s="85" t="s">
        <v>80</v>
      </c>
      <c r="C1728" s="85"/>
      <c r="D1728" s="107" t="e">
        <f>+'RES CUENTA'!#REF!</f>
        <v>#REF!</v>
      </c>
      <c r="E1728" s="108">
        <f>+'RES CUENTA'!R823</f>
        <v>0</v>
      </c>
      <c r="F1728" s="103" t="e">
        <f>+D1728</f>
        <v>#REF!</v>
      </c>
      <c r="G1728" s="89"/>
      <c r="H1728" s="89"/>
    </row>
    <row r="1729" spans="2:8" ht="18" x14ac:dyDescent="0.25">
      <c r="B1729" s="86"/>
      <c r="C1729" s="85"/>
      <c r="D1729" s="85"/>
      <c r="F1729" s="104" t="e">
        <f>SUM(F1725:F1728)</f>
        <v>#REF!</v>
      </c>
      <c r="G1729" s="89"/>
      <c r="H1729" s="89"/>
    </row>
    <row r="1730" spans="2:8" ht="18" x14ac:dyDescent="0.25">
      <c r="B1730" s="86"/>
      <c r="C1730" s="85"/>
      <c r="D1730" s="85"/>
      <c r="F1730" s="104"/>
      <c r="G1730" s="89"/>
      <c r="H1730" s="89"/>
    </row>
    <row r="1731" spans="2:8" ht="18" x14ac:dyDescent="0.25">
      <c r="B1731" s="85"/>
      <c r="C1731" s="85"/>
      <c r="D1731" s="85"/>
      <c r="E1731" s="85"/>
      <c r="F1731" s="92"/>
      <c r="G1731" s="90"/>
      <c r="H1731" s="90"/>
    </row>
    <row r="1732" spans="2:8" ht="18" x14ac:dyDescent="0.25">
      <c r="B1732" s="85"/>
      <c r="C1732" s="85"/>
      <c r="D1732" s="85"/>
      <c r="E1732" s="85"/>
      <c r="F1732" s="92"/>
      <c r="G1732" s="90"/>
      <c r="H1732" s="90"/>
    </row>
    <row r="1733" spans="2:8" ht="18" x14ac:dyDescent="0.25">
      <c r="B1733" s="85"/>
      <c r="C1733" s="85"/>
      <c r="D1733" s="85"/>
      <c r="E1733" s="85"/>
      <c r="F1733" s="92"/>
      <c r="G1733" s="90"/>
      <c r="H1733" s="90"/>
    </row>
    <row r="1734" spans="2:8" ht="18" x14ac:dyDescent="0.25">
      <c r="B1734" s="85"/>
      <c r="C1734" s="85"/>
      <c r="D1734" s="85"/>
      <c r="E1734" s="85"/>
      <c r="F1734" s="92"/>
      <c r="G1734" s="90"/>
      <c r="H1734" s="90"/>
    </row>
    <row r="1735" spans="2:8" ht="18" x14ac:dyDescent="0.25">
      <c r="B1735" s="85" t="e">
        <f>+B1720</f>
        <v>#REF!</v>
      </c>
      <c r="C1735" s="85"/>
      <c r="D1735" s="85"/>
      <c r="E1735" s="85" t="e">
        <f>+B1720</f>
        <v>#REF!</v>
      </c>
      <c r="F1735" s="85"/>
      <c r="G1735" s="85"/>
      <c r="H1735" s="94"/>
    </row>
    <row r="1736" spans="2:8" ht="18" x14ac:dyDescent="0.25">
      <c r="B1736" s="86"/>
      <c r="C1736" s="85"/>
      <c r="D1736" s="85"/>
      <c r="F1736" s="85"/>
      <c r="G1736" s="101"/>
      <c r="H1736" s="90" t="str">
        <f>+H1721</f>
        <v>Unid. 46</v>
      </c>
    </row>
    <row r="1737" spans="2:8" ht="18" x14ac:dyDescent="0.25">
      <c r="B1737" s="85" t="str">
        <f>+$E$1</f>
        <v>Lima 461 C:A:B:A:</v>
      </c>
      <c r="C1737" s="85"/>
      <c r="D1737" s="93" t="str">
        <f>+H1736</f>
        <v>Unid. 46</v>
      </c>
      <c r="E1737" s="85" t="str">
        <f>+$E$1</f>
        <v>Lima 461 C:A:B:A:</v>
      </c>
      <c r="F1737" s="85"/>
      <c r="G1737" s="85"/>
      <c r="H1737" s="94"/>
    </row>
    <row r="1738" spans="2:8" ht="18" x14ac:dyDescent="0.25">
      <c r="B1738" s="86"/>
      <c r="C1738" s="86"/>
      <c r="D1738" s="86"/>
      <c r="F1738" s="85"/>
      <c r="G1738" s="85"/>
    </row>
    <row r="1739" spans="2:8" ht="18" x14ac:dyDescent="0.25">
      <c r="B1739" s="85"/>
      <c r="C1739" s="85"/>
      <c r="D1739" s="85"/>
      <c r="E1739" s="86"/>
      <c r="F1739" s="85"/>
      <c r="G1739" s="85"/>
      <c r="H1739" s="94"/>
    </row>
    <row r="1740" spans="2:8" ht="18" x14ac:dyDescent="0.25">
      <c r="B1740" s="85">
        <f>+$E$2</f>
        <v>0</v>
      </c>
      <c r="C1740" s="85"/>
      <c r="D1740" s="85"/>
      <c r="E1740" s="85"/>
      <c r="F1740" s="96"/>
      <c r="G1740" s="86"/>
      <c r="H1740" s="90"/>
    </row>
    <row r="1741" spans="2:8" ht="18" x14ac:dyDescent="0.25">
      <c r="B1741" s="85">
        <f>+$E$3</f>
        <v>0</v>
      </c>
      <c r="C1741" s="85"/>
      <c r="D1741" s="85"/>
      <c r="E1741" s="96"/>
      <c r="G1741" s="94"/>
      <c r="H1741" s="96"/>
    </row>
    <row r="1742" spans="2:8" ht="18" x14ac:dyDescent="0.25">
      <c r="B1742" s="86"/>
      <c r="C1742" s="85"/>
      <c r="D1742" s="85"/>
      <c r="E1742" s="85" t="s">
        <v>200</v>
      </c>
      <c r="F1742" s="106" t="e">
        <f>+F1725</f>
        <v>#REF!</v>
      </c>
      <c r="G1742" s="95"/>
      <c r="H1742" s="99">
        <f>+B1746</f>
        <v>46188</v>
      </c>
    </row>
    <row r="1743" spans="2:8" ht="18" x14ac:dyDescent="0.25">
      <c r="B1743" s="86"/>
      <c r="C1743" s="85"/>
      <c r="D1743" s="85"/>
      <c r="E1743" s="85" t="s">
        <v>201</v>
      </c>
      <c r="F1743" s="106" t="e">
        <f>+F1726</f>
        <v>#REF!</v>
      </c>
      <c r="H1743" s="90"/>
    </row>
    <row r="1744" spans="2:8" ht="18" x14ac:dyDescent="0.25">
      <c r="B1744" s="85"/>
      <c r="C1744" s="85"/>
      <c r="D1744" s="85"/>
      <c r="E1744" s="85" t="s">
        <v>81</v>
      </c>
      <c r="F1744" s="106" t="e">
        <f>+F1727</f>
        <v>#REF!</v>
      </c>
      <c r="G1744" s="85"/>
      <c r="H1744" s="90"/>
    </row>
    <row r="1745" spans="2:8" ht="18" x14ac:dyDescent="0.25">
      <c r="B1745" s="96"/>
      <c r="C1745" s="96"/>
      <c r="D1745" s="96"/>
      <c r="E1745" s="85" t="s">
        <v>82</v>
      </c>
      <c r="F1745" s="106" t="e">
        <f>+F1728</f>
        <v>#REF!</v>
      </c>
      <c r="G1745" s="85"/>
      <c r="H1745" s="90"/>
    </row>
    <row r="1746" spans="2:8" ht="18" x14ac:dyDescent="0.25">
      <c r="B1746" s="99">
        <f>+$G$30</f>
        <v>46188</v>
      </c>
      <c r="C1746" s="105" t="e">
        <f>+F1729</f>
        <v>#REF!</v>
      </c>
      <c r="D1746" s="85"/>
      <c r="E1746" s="85" t="s">
        <v>188</v>
      </c>
      <c r="F1746" s="106">
        <v>0</v>
      </c>
      <c r="G1746" s="85"/>
      <c r="H1746" s="90"/>
    </row>
    <row r="1747" spans="2:8" ht="18" x14ac:dyDescent="0.25">
      <c r="B1747" s="85"/>
      <c r="C1747" s="85"/>
      <c r="D1747" s="85"/>
      <c r="E1747" s="85" t="s">
        <v>83</v>
      </c>
      <c r="F1747" s="106" t="e">
        <f>+F1729</f>
        <v>#REF!</v>
      </c>
      <c r="G1747" s="85"/>
      <c r="H1747" s="90"/>
    </row>
    <row r="1748" spans="2:8" ht="18" x14ac:dyDescent="0.25">
      <c r="B1748" s="85"/>
      <c r="C1748" s="85"/>
      <c r="D1748" s="85"/>
      <c r="E1748" s="85"/>
      <c r="F1748" s="85"/>
      <c r="G1748" s="85"/>
      <c r="H1748" s="90"/>
    </row>
    <row r="1749" spans="2:8" ht="18" x14ac:dyDescent="0.25">
      <c r="B1749" s="85"/>
      <c r="C1749" s="85"/>
      <c r="D1749" s="85"/>
      <c r="E1749" s="102"/>
      <c r="F1749" s="85"/>
      <c r="G1749" s="85"/>
      <c r="H1749" s="90"/>
    </row>
    <row r="1750" spans="2:8" ht="18" x14ac:dyDescent="0.25">
      <c r="B1750" s="85"/>
      <c r="C1750" s="85"/>
      <c r="D1750" s="85"/>
      <c r="E1750" s="85"/>
      <c r="F1750" s="85"/>
      <c r="G1750" s="85"/>
      <c r="H1750" s="94"/>
    </row>
    <row r="1751" spans="2:8" ht="18" x14ac:dyDescent="0.25">
      <c r="E1751" s="85"/>
      <c r="G1751" s="94"/>
      <c r="H1751" s="90"/>
    </row>
    <row r="1753" spans="2:8" ht="18" x14ac:dyDescent="0.25">
      <c r="B1753" s="343"/>
      <c r="C1753" s="343"/>
      <c r="D1753" s="343"/>
      <c r="E1753" s="342">
        <f>+$B$1</f>
        <v>46143</v>
      </c>
      <c r="F1753" s="85"/>
      <c r="G1753" s="337">
        <f>+$D$1</f>
        <v>46188</v>
      </c>
      <c r="H1753" s="90"/>
    </row>
    <row r="1754" spans="2:8" ht="18" x14ac:dyDescent="0.25">
      <c r="B1754" s="84"/>
      <c r="C1754" s="84"/>
      <c r="D1754" s="100"/>
      <c r="E1754" s="342"/>
      <c r="F1754" s="85"/>
      <c r="G1754" s="337"/>
      <c r="H1754" s="90"/>
    </row>
    <row r="1755" spans="2:8" ht="18" x14ac:dyDescent="0.25">
      <c r="B1755" s="85"/>
      <c r="C1755" s="85"/>
      <c r="D1755" s="85"/>
      <c r="E1755" s="86"/>
      <c r="F1755" s="85"/>
      <c r="G1755" s="86"/>
      <c r="H1755" s="90"/>
    </row>
    <row r="1756" spans="2:8" ht="18" x14ac:dyDescent="0.25">
      <c r="B1756" s="85" t="e">
        <f>+#REF!</f>
        <v>#REF!</v>
      </c>
      <c r="C1756" s="85"/>
      <c r="D1756" s="85"/>
      <c r="E1756" s="86"/>
      <c r="F1756" s="85"/>
      <c r="G1756" s="86"/>
      <c r="H1756" s="90"/>
    </row>
    <row r="1757" spans="2:8" ht="18" x14ac:dyDescent="0.25">
      <c r="B1757" s="86"/>
      <c r="C1757" s="85"/>
      <c r="D1757" s="85"/>
      <c r="E1757" s="85" t="s">
        <v>78</v>
      </c>
      <c r="F1757" s="85"/>
      <c r="G1757" s="85"/>
      <c r="H1757" s="90" t="s">
        <v>130</v>
      </c>
    </row>
    <row r="1758" spans="2:8" ht="18" x14ac:dyDescent="0.25">
      <c r="B1758" s="85"/>
      <c r="C1758" s="85"/>
      <c r="D1758" s="85"/>
      <c r="E1758" s="86"/>
      <c r="F1758" s="86"/>
      <c r="G1758" s="85"/>
      <c r="H1758" s="94"/>
    </row>
    <row r="1759" spans="2:8" ht="18" x14ac:dyDescent="0.25">
      <c r="B1759" s="94"/>
      <c r="C1759" s="85"/>
      <c r="D1759" s="94"/>
      <c r="E1759" s="85"/>
      <c r="F1759" s="85"/>
      <c r="G1759" s="85"/>
      <c r="H1759" s="90"/>
    </row>
    <row r="1760" spans="2:8" ht="18" x14ac:dyDescent="0.25">
      <c r="B1760" s="94"/>
      <c r="C1760" s="85"/>
      <c r="D1760" s="94"/>
      <c r="E1760" s="85"/>
      <c r="F1760" s="85"/>
      <c r="G1760" s="85"/>
      <c r="H1760" s="90"/>
    </row>
    <row r="1761" spans="2:8" ht="18" x14ac:dyDescent="0.25">
      <c r="B1761" s="85" t="s">
        <v>198</v>
      </c>
      <c r="C1761" s="85"/>
      <c r="D1761" s="107">
        <f>+'RES CUENTA'!$L$25</f>
        <v>10859801.41</v>
      </c>
      <c r="E1761" s="108" t="e">
        <f>+'RES CUENTA'!#REF!</f>
        <v>#REF!</v>
      </c>
      <c r="F1761" s="103" t="e">
        <f>+D1761*E1761/100</f>
        <v>#REF!</v>
      </c>
      <c r="G1761" s="345"/>
      <c r="H1761" s="345"/>
    </row>
    <row r="1762" spans="2:8" ht="18" x14ac:dyDescent="0.25">
      <c r="B1762" s="85" t="s">
        <v>199</v>
      </c>
      <c r="C1762" s="85"/>
      <c r="D1762" s="107" t="e">
        <f>+'RES CUENTA'!#REF!</f>
        <v>#REF!</v>
      </c>
      <c r="E1762" s="108" t="e">
        <f>+'RES CUENTA'!#REF!</f>
        <v>#REF!</v>
      </c>
      <c r="F1762" s="103" t="e">
        <f>+D1762*E1762/100</f>
        <v>#REF!</v>
      </c>
      <c r="G1762" s="341"/>
      <c r="H1762" s="341"/>
    </row>
    <row r="1763" spans="2:8" ht="18" x14ac:dyDescent="0.25">
      <c r="B1763" s="85" t="s">
        <v>79</v>
      </c>
      <c r="C1763" s="85"/>
      <c r="D1763" s="107" t="e">
        <f>+'RES CUENTA'!#REF!</f>
        <v>#REF!</v>
      </c>
      <c r="E1763" s="108">
        <v>0</v>
      </c>
      <c r="F1763" s="103" t="e">
        <f>+D1763</f>
        <v>#REF!</v>
      </c>
      <c r="G1763" s="341"/>
      <c r="H1763" s="341"/>
    </row>
    <row r="1764" spans="2:8" ht="18" x14ac:dyDescent="0.25">
      <c r="B1764" s="85" t="s">
        <v>80</v>
      </c>
      <c r="C1764" s="85"/>
      <c r="D1764" s="107" t="e">
        <f>+'RES CUENTA'!#REF!</f>
        <v>#REF!</v>
      </c>
      <c r="E1764" s="108">
        <v>0</v>
      </c>
      <c r="F1764" s="103" t="e">
        <f>+D1764</f>
        <v>#REF!</v>
      </c>
      <c r="G1764" s="341"/>
      <c r="H1764" s="341"/>
    </row>
    <row r="1765" spans="2:8" ht="18" x14ac:dyDescent="0.25">
      <c r="B1765" s="86"/>
      <c r="C1765" s="85"/>
      <c r="D1765" s="85"/>
      <c r="E1765" s="92"/>
      <c r="F1765" s="104" t="e">
        <f>SUM(F1761:F1764)</f>
        <v>#REF!</v>
      </c>
      <c r="G1765" s="341"/>
      <c r="H1765" s="341"/>
    </row>
    <row r="1766" spans="2:8" ht="18" x14ac:dyDescent="0.25">
      <c r="B1766" s="86"/>
      <c r="C1766" s="85"/>
      <c r="D1766" s="85"/>
      <c r="E1766" s="92"/>
      <c r="F1766" s="104"/>
      <c r="G1766" s="89"/>
      <c r="H1766" s="89"/>
    </row>
    <row r="1767" spans="2:8" ht="18" x14ac:dyDescent="0.25">
      <c r="B1767" s="86"/>
      <c r="C1767" s="85"/>
      <c r="D1767" s="85"/>
      <c r="E1767" s="85"/>
      <c r="G1767" s="338"/>
      <c r="H1767" s="338"/>
    </row>
    <row r="1768" spans="2:8" ht="18" x14ac:dyDescent="0.25">
      <c r="B1768" s="85"/>
      <c r="C1768" s="85"/>
      <c r="D1768" s="85"/>
      <c r="E1768" s="85"/>
      <c r="F1768" s="91"/>
      <c r="G1768" s="90"/>
      <c r="H1768" s="90"/>
    </row>
    <row r="1769" spans="2:8" ht="18" x14ac:dyDescent="0.25">
      <c r="B1769" s="85"/>
      <c r="C1769" s="85"/>
      <c r="D1769" s="85"/>
      <c r="E1769" s="85"/>
      <c r="F1769" s="92"/>
      <c r="G1769" s="85"/>
      <c r="H1769" s="90"/>
    </row>
    <row r="1770" spans="2:8" ht="18" x14ac:dyDescent="0.25">
      <c r="B1770" s="85"/>
      <c r="C1770" s="85"/>
      <c r="D1770" s="85"/>
      <c r="E1770" s="85"/>
      <c r="F1770" s="92"/>
      <c r="G1770" s="85"/>
      <c r="H1770" s="90"/>
    </row>
    <row r="1771" spans="2:8" ht="18" x14ac:dyDescent="0.25">
      <c r="B1771" s="85" t="e">
        <f>+B1756</f>
        <v>#REF!</v>
      </c>
      <c r="C1771" s="344"/>
      <c r="D1771" s="344"/>
      <c r="E1771" s="85" t="e">
        <f>+B1771</f>
        <v>#REF!</v>
      </c>
      <c r="F1771" s="92"/>
      <c r="G1771" s="85"/>
      <c r="H1771" s="90"/>
    </row>
    <row r="1772" spans="2:8" ht="18" x14ac:dyDescent="0.25">
      <c r="C1772" s="85"/>
      <c r="D1772" s="85"/>
      <c r="F1772" s="344"/>
      <c r="G1772" s="344"/>
      <c r="H1772" s="344"/>
    </row>
    <row r="1773" spans="2:8" ht="18" x14ac:dyDescent="0.25">
      <c r="B1773" s="85" t="str">
        <f>+$E$1</f>
        <v>Lima 461 C:A:B:A:</v>
      </c>
      <c r="C1773" s="85"/>
      <c r="D1773" s="93" t="str">
        <f>+H1757</f>
        <v>Unid. 47</v>
      </c>
      <c r="E1773" s="85" t="str">
        <f>+$E$1</f>
        <v>Lima 461 C:A:B:A:</v>
      </c>
      <c r="F1773" s="85"/>
      <c r="G1773" s="85"/>
      <c r="H1773" s="90" t="str">
        <f>+D1773</f>
        <v>Unid. 47</v>
      </c>
    </row>
    <row r="1774" spans="2:8" ht="18" x14ac:dyDescent="0.25">
      <c r="H1774" s="94"/>
    </row>
    <row r="1775" spans="2:8" ht="18" x14ac:dyDescent="0.25">
      <c r="B1775" s="86"/>
      <c r="C1775" s="86"/>
      <c r="D1775" s="86"/>
      <c r="E1775" s="86"/>
      <c r="F1775" s="85"/>
      <c r="G1775" s="85"/>
    </row>
    <row r="1776" spans="2:8" ht="18" x14ac:dyDescent="0.25">
      <c r="B1776" s="85">
        <f>+$E$2</f>
        <v>0</v>
      </c>
      <c r="C1776" s="85"/>
      <c r="D1776" s="85"/>
      <c r="E1776" s="85"/>
      <c r="F1776" s="85"/>
      <c r="G1776" s="86"/>
      <c r="H1776" s="94"/>
    </row>
    <row r="1777" spans="2:8" ht="18" x14ac:dyDescent="0.25">
      <c r="B1777" s="85">
        <f>+$E$3</f>
        <v>0</v>
      </c>
      <c r="C1777" s="85"/>
      <c r="D1777" s="85"/>
      <c r="E1777" s="96"/>
      <c r="F1777" s="85"/>
      <c r="G1777" s="94"/>
      <c r="H1777" s="90"/>
    </row>
    <row r="1778" spans="2:8" ht="18" x14ac:dyDescent="0.25">
      <c r="C1778" s="85"/>
      <c r="D1778" s="85"/>
      <c r="E1778" s="85" t="s">
        <v>200</v>
      </c>
      <c r="F1778" s="106" t="e">
        <f>+F1761</f>
        <v>#REF!</v>
      </c>
      <c r="H1778" s="99">
        <f>+B1783</f>
        <v>46188</v>
      </c>
    </row>
    <row r="1779" spans="2:8" ht="18" x14ac:dyDescent="0.25">
      <c r="B1779" s="86"/>
      <c r="C1779" s="85"/>
      <c r="D1779" s="85"/>
      <c r="E1779" s="85" t="s">
        <v>201</v>
      </c>
      <c r="F1779" s="106" t="e">
        <f>+F1762</f>
        <v>#REF!</v>
      </c>
    </row>
    <row r="1780" spans="2:8" ht="18" x14ac:dyDescent="0.25">
      <c r="B1780" s="86"/>
      <c r="C1780" s="85"/>
      <c r="D1780" s="85"/>
      <c r="E1780" s="85" t="s">
        <v>81</v>
      </c>
      <c r="F1780" s="106" t="e">
        <f>+F1763</f>
        <v>#REF!</v>
      </c>
      <c r="G1780" s="85"/>
      <c r="H1780" s="90"/>
    </row>
    <row r="1781" spans="2:8" ht="18" x14ac:dyDescent="0.25">
      <c r="B1781" s="85"/>
      <c r="C1781" s="85"/>
      <c r="D1781" s="85"/>
      <c r="E1781" s="85" t="s">
        <v>82</v>
      </c>
      <c r="F1781" s="106" t="e">
        <f>+F1764</f>
        <v>#REF!</v>
      </c>
      <c r="G1781" s="85"/>
      <c r="H1781" s="90"/>
    </row>
    <row r="1782" spans="2:8" ht="18" x14ac:dyDescent="0.25">
      <c r="B1782" s="96"/>
      <c r="C1782" s="96"/>
      <c r="D1782" s="96"/>
      <c r="E1782" s="85" t="s">
        <v>188</v>
      </c>
      <c r="F1782" s="106">
        <v>0</v>
      </c>
      <c r="G1782" s="85"/>
      <c r="H1782" s="90"/>
    </row>
    <row r="1783" spans="2:8" ht="18" x14ac:dyDescent="0.25">
      <c r="B1783" s="99">
        <f>+$G$30</f>
        <v>46188</v>
      </c>
      <c r="C1783" s="105" t="e">
        <f>+F1765</f>
        <v>#REF!</v>
      </c>
      <c r="D1783" s="85"/>
      <c r="E1783" s="85" t="s">
        <v>83</v>
      </c>
      <c r="F1783" s="106" t="e">
        <f>+F1765</f>
        <v>#REF!</v>
      </c>
      <c r="G1783" s="85"/>
      <c r="H1783" s="90"/>
    </row>
    <row r="1784" spans="2:8" ht="18" x14ac:dyDescent="0.25">
      <c r="B1784" s="85"/>
      <c r="C1784" s="85"/>
      <c r="D1784" s="85"/>
      <c r="E1784" s="85"/>
      <c r="F1784" s="85"/>
      <c r="G1784" s="85"/>
      <c r="H1784" s="90"/>
    </row>
    <row r="1785" spans="2:8" ht="18" x14ac:dyDescent="0.25">
      <c r="B1785" s="85"/>
      <c r="C1785" s="85"/>
      <c r="D1785" s="85"/>
      <c r="E1785" s="85"/>
      <c r="F1785" s="85"/>
      <c r="G1785" s="345"/>
      <c r="H1785" s="345"/>
    </row>
    <row r="1786" spans="2:8" ht="18" x14ac:dyDescent="0.25">
      <c r="B1786" s="85"/>
      <c r="C1786" s="85"/>
      <c r="D1786" s="85"/>
      <c r="E1786" s="85"/>
      <c r="F1786" s="85"/>
      <c r="G1786" s="85"/>
      <c r="H1786" s="90"/>
    </row>
    <row r="1787" spans="2:8" ht="18" x14ac:dyDescent="0.25">
      <c r="B1787" s="85"/>
      <c r="C1787" s="85"/>
      <c r="D1787" s="85"/>
      <c r="E1787" s="85"/>
      <c r="F1787" s="85"/>
      <c r="G1787" s="85"/>
      <c r="H1787" s="90"/>
    </row>
    <row r="1788" spans="2:8" ht="18" x14ac:dyDescent="0.25">
      <c r="B1788" s="85"/>
      <c r="C1788" s="85"/>
      <c r="D1788" s="85"/>
      <c r="E1788" s="85"/>
      <c r="F1788" s="85"/>
      <c r="G1788" s="85"/>
      <c r="H1788" s="90"/>
    </row>
    <row r="1789" spans="2:8" ht="18" x14ac:dyDescent="0.25">
      <c r="B1789" s="85"/>
      <c r="C1789" s="85"/>
      <c r="D1789" s="85"/>
      <c r="E1789" s="85"/>
      <c r="F1789" s="85"/>
      <c r="H1789" s="90"/>
    </row>
    <row r="1790" spans="2:8" ht="18" x14ac:dyDescent="0.25">
      <c r="B1790" s="85"/>
      <c r="C1790" s="85"/>
      <c r="D1790" s="85"/>
      <c r="E1790" s="85"/>
      <c r="F1790" s="85"/>
      <c r="H1790" s="90"/>
    </row>
    <row r="1791" spans="2:8" ht="18" x14ac:dyDescent="0.25">
      <c r="B1791" s="343"/>
      <c r="C1791" s="343"/>
      <c r="D1791" s="343"/>
      <c r="E1791" s="85"/>
      <c r="F1791" s="85"/>
      <c r="H1791" s="90"/>
    </row>
    <row r="1792" spans="2:8" ht="18" x14ac:dyDescent="0.25">
      <c r="B1792" s="343"/>
      <c r="C1792" s="343"/>
      <c r="D1792" s="343"/>
      <c r="E1792" s="98">
        <f>+$B$1</f>
        <v>46143</v>
      </c>
      <c r="F1792" s="85"/>
      <c r="G1792" s="99">
        <f>+$D$1</f>
        <v>46188</v>
      </c>
      <c r="H1792" s="160"/>
    </row>
    <row r="1793" spans="2:8" ht="18" x14ac:dyDescent="0.25">
      <c r="B1793" s="84"/>
      <c r="C1793" s="84"/>
      <c r="D1793" s="100"/>
      <c r="E1793" s="98"/>
      <c r="F1793" s="85"/>
    </row>
    <row r="1794" spans="2:8" ht="18" x14ac:dyDescent="0.25">
      <c r="B1794" s="85" t="e">
        <f>+#REF!</f>
        <v>#REF!</v>
      </c>
      <c r="C1794" s="85"/>
      <c r="D1794" s="85"/>
      <c r="F1794" s="85"/>
    </row>
    <row r="1795" spans="2:8" ht="18" x14ac:dyDescent="0.25">
      <c r="C1795" s="85"/>
      <c r="D1795" s="85"/>
      <c r="E1795" s="85" t="str">
        <f>+$E$1</f>
        <v>Lima 461 C:A:B:A:</v>
      </c>
      <c r="F1795" s="85"/>
      <c r="H1795" s="90" t="s">
        <v>131</v>
      </c>
    </row>
    <row r="1796" spans="2:8" ht="18" x14ac:dyDescent="0.25">
      <c r="B1796" s="86"/>
      <c r="C1796" s="85"/>
      <c r="D1796" s="85"/>
      <c r="F1796" s="85"/>
      <c r="G1796" s="86"/>
    </row>
    <row r="1797" spans="2:8" ht="18" x14ac:dyDescent="0.25">
      <c r="B1797" s="85"/>
      <c r="C1797" s="85"/>
      <c r="D1797" s="85"/>
      <c r="E1797" s="86"/>
      <c r="F1797" s="86"/>
      <c r="G1797" s="85"/>
      <c r="H1797" s="94"/>
    </row>
    <row r="1798" spans="2:8" ht="18" x14ac:dyDescent="0.25">
      <c r="B1798" s="94"/>
      <c r="C1798" s="85"/>
      <c r="D1798" s="94"/>
      <c r="E1798" s="85"/>
      <c r="F1798" s="85"/>
      <c r="G1798" s="85"/>
      <c r="H1798" s="90"/>
    </row>
    <row r="1799" spans="2:8" ht="18" x14ac:dyDescent="0.25">
      <c r="B1799" s="85" t="s">
        <v>198</v>
      </c>
      <c r="C1799" s="85"/>
      <c r="D1799" s="107">
        <f>+'RES CUENTA'!$L$25</f>
        <v>10859801.41</v>
      </c>
      <c r="E1799" s="108" t="e">
        <f>+'RES CUENTA'!#REF!</f>
        <v>#REF!</v>
      </c>
      <c r="F1799" s="103" t="e">
        <f>+D1799*E1799/100</f>
        <v>#REF!</v>
      </c>
      <c r="G1799" s="85"/>
      <c r="H1799" s="94"/>
    </row>
    <row r="1800" spans="2:8" ht="18" x14ac:dyDescent="0.25">
      <c r="B1800" s="85" t="s">
        <v>199</v>
      </c>
      <c r="C1800" s="85"/>
      <c r="D1800" s="107" t="e">
        <f>+'RES CUENTA'!#REF!</f>
        <v>#REF!</v>
      </c>
      <c r="E1800" s="108" t="e">
        <f>+'RES CUENTA'!#REF!</f>
        <v>#REF!</v>
      </c>
      <c r="F1800" s="103" t="e">
        <f>+D1800*E1800/100</f>
        <v>#REF!</v>
      </c>
      <c r="G1800" s="94"/>
      <c r="H1800" s="89"/>
    </row>
    <row r="1801" spans="2:8" ht="18" x14ac:dyDescent="0.25">
      <c r="B1801" s="85" t="s">
        <v>79</v>
      </c>
      <c r="C1801" s="85"/>
      <c r="D1801" s="107" t="e">
        <f>+'RES CUENTA'!#REF!</f>
        <v>#REF!</v>
      </c>
      <c r="E1801" s="108">
        <f>+'RES CUENTA'!P904</f>
        <v>0</v>
      </c>
      <c r="F1801" s="103" t="e">
        <f>+D1801</f>
        <v>#REF!</v>
      </c>
      <c r="G1801" s="89"/>
      <c r="H1801" s="89"/>
    </row>
    <row r="1802" spans="2:8" ht="18" x14ac:dyDescent="0.25">
      <c r="B1802" s="85" t="s">
        <v>80</v>
      </c>
      <c r="C1802" s="85"/>
      <c r="D1802" s="107" t="e">
        <f>+'RES CUENTA'!#REF!</f>
        <v>#REF!</v>
      </c>
      <c r="E1802" s="108">
        <f>+'RES CUENTA'!R899</f>
        <v>0</v>
      </c>
      <c r="F1802" s="103" t="e">
        <f>+D1802</f>
        <v>#REF!</v>
      </c>
      <c r="G1802" s="89"/>
      <c r="H1802" s="89"/>
    </row>
    <row r="1803" spans="2:8" ht="18" x14ac:dyDescent="0.25">
      <c r="B1803" s="86"/>
      <c r="C1803" s="85"/>
      <c r="D1803" s="85"/>
      <c r="F1803" s="104" t="e">
        <f>SUM(F1799:F1802)</f>
        <v>#REF!</v>
      </c>
      <c r="G1803" s="89"/>
      <c r="H1803" s="89"/>
    </row>
    <row r="1804" spans="2:8" ht="18" x14ac:dyDescent="0.25">
      <c r="B1804" s="86"/>
      <c r="C1804" s="85"/>
      <c r="D1804" s="85"/>
      <c r="F1804" s="104"/>
      <c r="G1804" s="89"/>
      <c r="H1804" s="89"/>
    </row>
    <row r="1805" spans="2:8" ht="18" x14ac:dyDescent="0.25">
      <c r="B1805" s="86"/>
      <c r="C1805" s="85"/>
      <c r="D1805" s="85"/>
      <c r="F1805" s="91"/>
      <c r="G1805" s="89"/>
      <c r="H1805" s="90"/>
    </row>
    <row r="1806" spans="2:8" ht="18" x14ac:dyDescent="0.25">
      <c r="B1806" s="85"/>
      <c r="C1806" s="85"/>
      <c r="D1806" s="85"/>
      <c r="E1806" s="85"/>
      <c r="F1806" s="92"/>
      <c r="G1806" s="90"/>
      <c r="H1806" s="90"/>
    </row>
    <row r="1807" spans="2:8" ht="18" x14ac:dyDescent="0.25">
      <c r="B1807" s="85"/>
      <c r="C1807" s="85"/>
      <c r="D1807" s="85"/>
      <c r="E1807" s="85"/>
      <c r="F1807" s="92"/>
      <c r="G1807" s="90"/>
      <c r="H1807" s="90"/>
    </row>
    <row r="1808" spans="2:8" ht="18" x14ac:dyDescent="0.25">
      <c r="B1808" s="85"/>
      <c r="C1808" s="85"/>
      <c r="D1808" s="85"/>
      <c r="E1808" s="85"/>
      <c r="F1808" s="92"/>
      <c r="G1808" s="90"/>
      <c r="H1808" s="90"/>
    </row>
    <row r="1809" spans="2:8" ht="18" x14ac:dyDescent="0.25">
      <c r="B1809" s="85" t="e">
        <f>+B1794</f>
        <v>#REF!</v>
      </c>
      <c r="C1809" s="85"/>
      <c r="D1809" s="85"/>
      <c r="E1809" s="85" t="e">
        <f>+B1794</f>
        <v>#REF!</v>
      </c>
      <c r="F1809" s="85"/>
      <c r="G1809" s="85"/>
      <c r="H1809" s="94"/>
    </row>
    <row r="1810" spans="2:8" ht="18" x14ac:dyDescent="0.25">
      <c r="B1810" s="86"/>
      <c r="C1810" s="85"/>
      <c r="D1810" s="85"/>
      <c r="F1810" s="85"/>
      <c r="G1810" s="101"/>
      <c r="H1810" s="90" t="str">
        <f>+H1795</f>
        <v>Unid. 48</v>
      </c>
    </row>
    <row r="1811" spans="2:8" ht="18" x14ac:dyDescent="0.25">
      <c r="B1811" s="85" t="str">
        <f>+$E$1</f>
        <v>Lima 461 C:A:B:A:</v>
      </c>
      <c r="C1811" s="85"/>
      <c r="D1811" s="93" t="str">
        <f>+H1810</f>
        <v>Unid. 48</v>
      </c>
      <c r="E1811" s="85" t="str">
        <f>+$E$1</f>
        <v>Lima 461 C:A:B:A:</v>
      </c>
      <c r="F1811" s="85"/>
      <c r="G1811" s="85"/>
      <c r="H1811" s="94"/>
    </row>
    <row r="1812" spans="2:8" ht="18" x14ac:dyDescent="0.25">
      <c r="B1812" s="86"/>
      <c r="C1812" s="86"/>
      <c r="D1812" s="86"/>
      <c r="F1812" s="85"/>
      <c r="G1812" s="85"/>
    </row>
    <row r="1813" spans="2:8" ht="18" x14ac:dyDescent="0.25">
      <c r="B1813" s="85"/>
      <c r="C1813" s="85"/>
      <c r="D1813" s="85"/>
      <c r="E1813" s="86"/>
      <c r="F1813" s="85"/>
      <c r="G1813" s="85"/>
      <c r="H1813" s="94"/>
    </row>
    <row r="1814" spans="2:8" ht="18" x14ac:dyDescent="0.25">
      <c r="B1814" s="85">
        <f>+$E$2</f>
        <v>0</v>
      </c>
      <c r="C1814" s="85"/>
      <c r="D1814" s="85"/>
      <c r="E1814" s="85"/>
      <c r="F1814" s="96"/>
      <c r="G1814" s="86"/>
      <c r="H1814" s="90"/>
    </row>
    <row r="1815" spans="2:8" ht="18" x14ac:dyDescent="0.25">
      <c r="B1815" s="85">
        <f>+$E$3</f>
        <v>0</v>
      </c>
      <c r="C1815" s="85"/>
      <c r="D1815" s="85"/>
      <c r="E1815" s="96"/>
      <c r="G1815" s="94"/>
      <c r="H1815" s="96"/>
    </row>
    <row r="1816" spans="2:8" ht="18" x14ac:dyDescent="0.25">
      <c r="B1816" s="86"/>
      <c r="C1816" s="85"/>
      <c r="D1816" s="85"/>
      <c r="E1816" s="85" t="s">
        <v>200</v>
      </c>
      <c r="F1816" s="106" t="e">
        <f>+F1799</f>
        <v>#REF!</v>
      </c>
      <c r="G1816" s="95"/>
      <c r="H1816" s="99">
        <f>+B1820</f>
        <v>46188</v>
      </c>
    </row>
    <row r="1817" spans="2:8" ht="18" x14ac:dyDescent="0.25">
      <c r="B1817" s="86"/>
      <c r="C1817" s="85"/>
      <c r="D1817" s="85"/>
      <c r="E1817" s="85" t="s">
        <v>201</v>
      </c>
      <c r="F1817" s="106" t="e">
        <f>+F1800</f>
        <v>#REF!</v>
      </c>
      <c r="H1817" s="90"/>
    </row>
    <row r="1818" spans="2:8" ht="18" x14ac:dyDescent="0.25">
      <c r="B1818" s="85"/>
      <c r="C1818" s="85"/>
      <c r="D1818" s="85"/>
      <c r="E1818" s="85" t="s">
        <v>81</v>
      </c>
      <c r="F1818" s="106" t="e">
        <f>+F1801</f>
        <v>#REF!</v>
      </c>
      <c r="G1818" s="85"/>
      <c r="H1818" s="90"/>
    </row>
    <row r="1819" spans="2:8" ht="18" x14ac:dyDescent="0.25">
      <c r="B1819" s="96"/>
      <c r="C1819" s="96"/>
      <c r="D1819" s="96"/>
      <c r="E1819" s="85" t="s">
        <v>82</v>
      </c>
      <c r="F1819" s="106" t="e">
        <f>+F1802</f>
        <v>#REF!</v>
      </c>
      <c r="G1819" s="85"/>
      <c r="H1819" s="90"/>
    </row>
    <row r="1820" spans="2:8" ht="18" x14ac:dyDescent="0.25">
      <c r="B1820" s="99">
        <f>+$G$30</f>
        <v>46188</v>
      </c>
      <c r="C1820" s="105" t="e">
        <f>+F1803</f>
        <v>#REF!</v>
      </c>
      <c r="D1820" s="85"/>
      <c r="E1820" s="85" t="s">
        <v>188</v>
      </c>
      <c r="F1820" s="106">
        <v>0</v>
      </c>
      <c r="G1820" s="85"/>
      <c r="H1820" s="90"/>
    </row>
    <row r="1821" spans="2:8" ht="18" x14ac:dyDescent="0.25">
      <c r="B1821" s="85"/>
      <c r="C1821" s="85"/>
      <c r="D1821" s="85"/>
      <c r="E1821" s="85" t="s">
        <v>83</v>
      </c>
      <c r="F1821" s="106" t="e">
        <f>+F1803</f>
        <v>#REF!</v>
      </c>
      <c r="G1821" s="85"/>
      <c r="H1821" s="90"/>
    </row>
    <row r="1822" spans="2:8" ht="18" x14ac:dyDescent="0.25">
      <c r="B1822" s="85"/>
      <c r="C1822" s="85"/>
      <c r="D1822" s="85"/>
      <c r="E1822" s="85"/>
      <c r="F1822" s="85"/>
      <c r="G1822" s="85"/>
      <c r="H1822" s="90"/>
    </row>
    <row r="1823" spans="2:8" ht="18" x14ac:dyDescent="0.25">
      <c r="B1823" s="85"/>
      <c r="C1823" s="85"/>
      <c r="D1823" s="85"/>
      <c r="E1823" s="102"/>
      <c r="F1823" s="85"/>
      <c r="G1823" s="85"/>
      <c r="H1823" s="90"/>
    </row>
    <row r="1824" spans="2:8" ht="18" x14ac:dyDescent="0.25">
      <c r="B1824" s="85"/>
      <c r="C1824" s="85"/>
      <c r="D1824" s="85"/>
      <c r="E1824" s="85"/>
      <c r="F1824" s="85"/>
      <c r="G1824" s="85"/>
      <c r="H1824" s="94"/>
    </row>
    <row r="1825" spans="2:8" ht="18" x14ac:dyDescent="0.25">
      <c r="E1825" s="85"/>
      <c r="G1825" s="94"/>
      <c r="H1825" s="90"/>
    </row>
    <row r="1827" spans="2:8" ht="18" x14ac:dyDescent="0.25">
      <c r="B1827" s="343"/>
      <c r="C1827" s="343"/>
      <c r="D1827" s="343"/>
      <c r="E1827" s="342">
        <f>+$B$1</f>
        <v>46143</v>
      </c>
      <c r="F1827" s="85"/>
      <c r="G1827" s="337">
        <f>+$D$1</f>
        <v>46188</v>
      </c>
      <c r="H1827" s="90"/>
    </row>
    <row r="1828" spans="2:8" ht="18" x14ac:dyDescent="0.25">
      <c r="B1828" s="84"/>
      <c r="C1828" s="84"/>
      <c r="D1828" s="100"/>
      <c r="E1828" s="342"/>
      <c r="F1828" s="85"/>
      <c r="G1828" s="337"/>
      <c r="H1828" s="90"/>
    </row>
    <row r="1829" spans="2:8" ht="18" x14ac:dyDescent="0.25">
      <c r="B1829" s="85"/>
      <c r="C1829" s="85"/>
      <c r="D1829" s="85"/>
      <c r="E1829" s="86"/>
      <c r="F1829" s="85"/>
      <c r="G1829" s="86"/>
      <c r="H1829" s="90"/>
    </row>
    <row r="1830" spans="2:8" ht="18" x14ac:dyDescent="0.25">
      <c r="B1830" s="85" t="e">
        <f>+#REF!</f>
        <v>#REF!</v>
      </c>
      <c r="C1830" s="85"/>
      <c r="D1830" s="85"/>
      <c r="E1830" s="86"/>
      <c r="F1830" s="85"/>
      <c r="G1830" s="86"/>
      <c r="H1830" s="90"/>
    </row>
    <row r="1831" spans="2:8" ht="18" x14ac:dyDescent="0.25">
      <c r="B1831" s="86"/>
      <c r="C1831" s="85"/>
      <c r="D1831" s="85"/>
      <c r="E1831" s="85" t="s">
        <v>78</v>
      </c>
      <c r="F1831" s="85"/>
      <c r="G1831" s="85"/>
      <c r="H1831" s="90" t="s">
        <v>132</v>
      </c>
    </row>
    <row r="1832" spans="2:8" ht="18" x14ac:dyDescent="0.25">
      <c r="B1832" s="85"/>
      <c r="C1832" s="85"/>
      <c r="D1832" s="85"/>
      <c r="E1832" s="86"/>
      <c r="F1832" s="86"/>
      <c r="G1832" s="85"/>
      <c r="H1832" s="94"/>
    </row>
    <row r="1833" spans="2:8" ht="18" x14ac:dyDescent="0.25">
      <c r="B1833" s="94"/>
      <c r="C1833" s="85"/>
      <c r="D1833" s="94"/>
      <c r="E1833" s="85"/>
      <c r="F1833" s="85"/>
      <c r="G1833" s="85"/>
      <c r="H1833" s="90"/>
    </row>
    <row r="1834" spans="2:8" ht="18" x14ac:dyDescent="0.25">
      <c r="B1834" s="94"/>
      <c r="C1834" s="85"/>
      <c r="D1834" s="94"/>
      <c r="E1834" s="85"/>
      <c r="F1834" s="85"/>
      <c r="G1834" s="85"/>
      <c r="H1834" s="90"/>
    </row>
    <row r="1835" spans="2:8" ht="18" x14ac:dyDescent="0.25">
      <c r="B1835" s="85" t="s">
        <v>198</v>
      </c>
      <c r="C1835" s="85"/>
      <c r="D1835" s="107">
        <f>+'RES CUENTA'!$L$25</f>
        <v>10859801.41</v>
      </c>
      <c r="E1835" s="108" t="e">
        <f>+'RES CUENTA'!#REF!</f>
        <v>#REF!</v>
      </c>
      <c r="F1835" s="103" t="e">
        <f>+D1835*E1835/100</f>
        <v>#REF!</v>
      </c>
      <c r="G1835" s="345"/>
      <c r="H1835" s="345"/>
    </row>
    <row r="1836" spans="2:8" ht="18" x14ac:dyDescent="0.25">
      <c r="B1836" s="85" t="s">
        <v>199</v>
      </c>
      <c r="C1836" s="85"/>
      <c r="D1836" s="107" t="e">
        <f>+'RES CUENTA'!#REF!</f>
        <v>#REF!</v>
      </c>
      <c r="E1836" s="108" t="e">
        <f>+'RES CUENTA'!#REF!</f>
        <v>#REF!</v>
      </c>
      <c r="F1836" s="103" t="e">
        <f>+D1836*E1836/100</f>
        <v>#REF!</v>
      </c>
      <c r="G1836" s="341"/>
      <c r="H1836" s="341"/>
    </row>
    <row r="1837" spans="2:8" ht="18" x14ac:dyDescent="0.25">
      <c r="B1837" s="85" t="s">
        <v>79</v>
      </c>
      <c r="C1837" s="85"/>
      <c r="D1837" s="107" t="e">
        <f>+'RES CUENTA'!#REF!</f>
        <v>#REF!</v>
      </c>
      <c r="E1837" s="108">
        <v>0</v>
      </c>
      <c r="F1837" s="103" t="e">
        <f>+D1837</f>
        <v>#REF!</v>
      </c>
      <c r="G1837" s="341"/>
      <c r="H1837" s="341"/>
    </row>
    <row r="1838" spans="2:8" ht="18" x14ac:dyDescent="0.25">
      <c r="B1838" s="85" t="s">
        <v>80</v>
      </c>
      <c r="C1838" s="85"/>
      <c r="D1838" s="107" t="e">
        <f>+'RES CUENTA'!#REF!</f>
        <v>#REF!</v>
      </c>
      <c r="E1838" s="108">
        <v>0</v>
      </c>
      <c r="F1838" s="103" t="e">
        <f>+D1838</f>
        <v>#REF!</v>
      </c>
      <c r="G1838" s="341"/>
      <c r="H1838" s="341"/>
    </row>
    <row r="1839" spans="2:8" ht="18" x14ac:dyDescent="0.25">
      <c r="B1839" s="86"/>
      <c r="C1839" s="85"/>
      <c r="D1839" s="85"/>
      <c r="E1839" s="92"/>
      <c r="F1839" s="104" t="e">
        <f>SUM(F1835:F1838)</f>
        <v>#REF!</v>
      </c>
      <c r="G1839" s="341"/>
      <c r="H1839" s="341"/>
    </row>
    <row r="1840" spans="2:8" ht="18" x14ac:dyDescent="0.25">
      <c r="B1840" s="86"/>
      <c r="C1840" s="85"/>
      <c r="D1840" s="85"/>
      <c r="E1840" s="92"/>
      <c r="F1840" s="104"/>
      <c r="G1840" s="89"/>
      <c r="H1840" s="89"/>
    </row>
    <row r="1841" spans="2:8" ht="18" x14ac:dyDescent="0.25">
      <c r="B1841" s="86"/>
      <c r="C1841" s="85"/>
      <c r="D1841" s="85"/>
      <c r="E1841" s="85"/>
      <c r="G1841" s="338"/>
      <c r="H1841" s="338"/>
    </row>
    <row r="1842" spans="2:8" ht="18" x14ac:dyDescent="0.25">
      <c r="B1842" s="85"/>
      <c r="C1842" s="85"/>
      <c r="D1842" s="85"/>
      <c r="E1842" s="85"/>
      <c r="F1842" s="91"/>
      <c r="G1842" s="90"/>
      <c r="H1842" s="90"/>
    </row>
    <row r="1843" spans="2:8" ht="18" x14ac:dyDescent="0.25">
      <c r="B1843" s="85"/>
      <c r="C1843" s="85"/>
      <c r="D1843" s="85"/>
      <c r="E1843" s="85"/>
      <c r="F1843" s="92"/>
      <c r="G1843" s="85"/>
      <c r="H1843" s="90"/>
    </row>
    <row r="1844" spans="2:8" ht="18" x14ac:dyDescent="0.25">
      <c r="B1844" s="85"/>
      <c r="C1844" s="85"/>
      <c r="D1844" s="85"/>
      <c r="E1844" s="85"/>
      <c r="F1844" s="92"/>
      <c r="G1844" s="85"/>
      <c r="H1844" s="90"/>
    </row>
    <row r="1845" spans="2:8" ht="18" x14ac:dyDescent="0.25">
      <c r="B1845" s="85" t="e">
        <f>+B1830</f>
        <v>#REF!</v>
      </c>
      <c r="C1845" s="344"/>
      <c r="D1845" s="344"/>
      <c r="E1845" s="85" t="e">
        <f>+B1845</f>
        <v>#REF!</v>
      </c>
      <c r="F1845" s="92"/>
      <c r="G1845" s="85"/>
      <c r="H1845" s="90"/>
    </row>
    <row r="1846" spans="2:8" ht="18" x14ac:dyDescent="0.25">
      <c r="C1846" s="85"/>
      <c r="D1846" s="85"/>
      <c r="F1846" s="344"/>
      <c r="G1846" s="344"/>
      <c r="H1846" s="344"/>
    </row>
    <row r="1847" spans="2:8" ht="18" x14ac:dyDescent="0.25">
      <c r="B1847" s="85" t="str">
        <f>+$E$1</f>
        <v>Lima 461 C:A:B:A:</v>
      </c>
      <c r="C1847" s="85"/>
      <c r="D1847" s="93" t="str">
        <f>+H1831</f>
        <v>Unid. 49</v>
      </c>
      <c r="E1847" s="85" t="str">
        <f>+$E$1</f>
        <v>Lima 461 C:A:B:A:</v>
      </c>
      <c r="F1847" s="85"/>
      <c r="G1847" s="85"/>
      <c r="H1847" s="90" t="str">
        <f>+D1847</f>
        <v>Unid. 49</v>
      </c>
    </row>
    <row r="1848" spans="2:8" ht="18" x14ac:dyDescent="0.25">
      <c r="H1848" s="94"/>
    </row>
    <row r="1849" spans="2:8" ht="18" x14ac:dyDescent="0.25">
      <c r="B1849" s="86"/>
      <c r="C1849" s="86"/>
      <c r="D1849" s="86"/>
      <c r="E1849" s="86"/>
      <c r="F1849" s="85"/>
      <c r="G1849" s="85"/>
    </row>
    <row r="1850" spans="2:8" ht="18" x14ac:dyDescent="0.25">
      <c r="B1850" s="85">
        <f>+$E$2</f>
        <v>0</v>
      </c>
      <c r="C1850" s="85"/>
      <c r="D1850" s="85"/>
      <c r="E1850" s="85"/>
      <c r="F1850" s="85"/>
      <c r="G1850" s="86"/>
      <c r="H1850" s="94"/>
    </row>
    <row r="1851" spans="2:8" ht="18" x14ac:dyDescent="0.25">
      <c r="B1851" s="85">
        <f>+$E$3</f>
        <v>0</v>
      </c>
      <c r="C1851" s="85"/>
      <c r="D1851" s="85"/>
      <c r="E1851" s="96"/>
      <c r="F1851" s="85"/>
      <c r="G1851" s="94"/>
      <c r="H1851" s="90"/>
    </row>
    <row r="1852" spans="2:8" ht="18" x14ac:dyDescent="0.25">
      <c r="C1852" s="85"/>
      <c r="D1852" s="85"/>
      <c r="E1852" s="85" t="s">
        <v>200</v>
      </c>
      <c r="F1852" s="106" t="e">
        <f>+F1835</f>
        <v>#REF!</v>
      </c>
      <c r="H1852" s="99">
        <f>+B1857</f>
        <v>46188</v>
      </c>
    </row>
    <row r="1853" spans="2:8" ht="18" x14ac:dyDescent="0.25">
      <c r="B1853" s="86"/>
      <c r="C1853" s="85"/>
      <c r="D1853" s="85"/>
      <c r="E1853" s="85" t="s">
        <v>201</v>
      </c>
      <c r="F1853" s="106" t="e">
        <f>+F1836</f>
        <v>#REF!</v>
      </c>
    </row>
    <row r="1854" spans="2:8" ht="18" x14ac:dyDescent="0.25">
      <c r="B1854" s="86"/>
      <c r="C1854" s="85"/>
      <c r="D1854" s="85"/>
      <c r="E1854" s="85" t="s">
        <v>81</v>
      </c>
      <c r="F1854" s="106" t="e">
        <f>+F1837</f>
        <v>#REF!</v>
      </c>
      <c r="G1854" s="85"/>
      <c r="H1854" s="90"/>
    </row>
    <row r="1855" spans="2:8" ht="18" x14ac:dyDescent="0.25">
      <c r="B1855" s="85"/>
      <c r="C1855" s="85"/>
      <c r="D1855" s="85"/>
      <c r="E1855" s="85" t="s">
        <v>82</v>
      </c>
      <c r="F1855" s="106" t="e">
        <f>+F1838</f>
        <v>#REF!</v>
      </c>
      <c r="G1855" s="85"/>
      <c r="H1855" s="90"/>
    </row>
    <row r="1856" spans="2:8" ht="18" x14ac:dyDescent="0.25">
      <c r="B1856" s="96"/>
      <c r="C1856" s="96"/>
      <c r="D1856" s="96"/>
      <c r="E1856" s="85" t="s">
        <v>188</v>
      </c>
      <c r="F1856" s="106" t="e">
        <f>+F1876</f>
        <v>#REF!</v>
      </c>
      <c r="G1856" s="85"/>
      <c r="H1856" s="90"/>
    </row>
    <row r="1857" spans="2:8" ht="18" x14ac:dyDescent="0.25">
      <c r="B1857" s="99">
        <f>+$G$30</f>
        <v>46188</v>
      </c>
      <c r="C1857" s="105" t="e">
        <f>+F1839</f>
        <v>#REF!</v>
      </c>
      <c r="D1857" s="85"/>
      <c r="E1857" s="85" t="s">
        <v>83</v>
      </c>
      <c r="F1857" s="106" t="e">
        <f>+F1839</f>
        <v>#REF!</v>
      </c>
      <c r="G1857" s="85"/>
      <c r="H1857" s="90"/>
    </row>
    <row r="1858" spans="2:8" ht="18" x14ac:dyDescent="0.25">
      <c r="B1858" s="85"/>
      <c r="C1858" s="85"/>
      <c r="D1858" s="85"/>
      <c r="F1858" s="85"/>
      <c r="G1858" s="85"/>
      <c r="H1858" s="90"/>
    </row>
    <row r="1859" spans="2:8" ht="18" x14ac:dyDescent="0.25">
      <c r="B1859" s="85"/>
      <c r="C1859" s="85"/>
      <c r="D1859" s="85"/>
      <c r="F1859" s="85"/>
      <c r="G1859" s="85"/>
      <c r="H1859" s="90"/>
    </row>
    <row r="1860" spans="2:8" ht="18" x14ac:dyDescent="0.25">
      <c r="B1860" s="85"/>
      <c r="C1860" s="85"/>
      <c r="D1860" s="85"/>
      <c r="E1860" s="85"/>
      <c r="F1860" s="85"/>
      <c r="G1860" s="85"/>
      <c r="H1860" s="90"/>
    </row>
    <row r="1861" spans="2:8" ht="18" x14ac:dyDescent="0.25">
      <c r="B1861" s="85"/>
      <c r="C1861" s="85"/>
      <c r="D1861" s="85"/>
      <c r="E1861" s="85"/>
      <c r="F1861" s="85"/>
      <c r="G1861" s="345"/>
      <c r="H1861" s="345"/>
    </row>
    <row r="1862" spans="2:8" ht="18" x14ac:dyDescent="0.25">
      <c r="B1862" s="85"/>
      <c r="C1862" s="85"/>
      <c r="D1862" s="85"/>
      <c r="E1862" s="85"/>
      <c r="F1862" s="85"/>
      <c r="G1862" s="94"/>
      <c r="H1862" s="94"/>
    </row>
    <row r="1863" spans="2:8" ht="18" x14ac:dyDescent="0.25">
      <c r="B1863" s="85"/>
      <c r="C1863" s="85"/>
      <c r="D1863" s="85"/>
      <c r="E1863" s="85"/>
      <c r="F1863" s="85"/>
      <c r="G1863" s="85"/>
      <c r="H1863" s="90"/>
    </row>
    <row r="1864" spans="2:8" ht="18" x14ac:dyDescent="0.25">
      <c r="B1864" s="85"/>
      <c r="C1864" s="85"/>
      <c r="D1864" s="85"/>
      <c r="E1864" s="85"/>
      <c r="F1864" s="85"/>
      <c r="G1864" s="85"/>
      <c r="H1864" s="90"/>
    </row>
    <row r="1865" spans="2:8" ht="18" x14ac:dyDescent="0.25">
      <c r="B1865" s="85"/>
      <c r="C1865" s="85"/>
      <c r="D1865" s="85"/>
      <c r="E1865" s="85"/>
      <c r="F1865" s="85"/>
      <c r="H1865" s="90"/>
    </row>
    <row r="1866" spans="2:8" ht="18" x14ac:dyDescent="0.25">
      <c r="B1866" s="343"/>
      <c r="C1866" s="343"/>
      <c r="D1866" s="343"/>
      <c r="E1866" s="98">
        <f>+$B$1</f>
        <v>46143</v>
      </c>
      <c r="F1866" s="85"/>
      <c r="G1866" s="99">
        <f>+$D$1</f>
        <v>46188</v>
      </c>
      <c r="H1866" s="160"/>
    </row>
    <row r="1867" spans="2:8" ht="18" x14ac:dyDescent="0.25">
      <c r="B1867" s="84"/>
      <c r="C1867" s="84"/>
      <c r="D1867" s="100"/>
      <c r="E1867" s="98"/>
      <c r="F1867" s="85"/>
    </row>
    <row r="1868" spans="2:8" ht="18" x14ac:dyDescent="0.25">
      <c r="B1868" s="85" t="e">
        <f>+#REF!</f>
        <v>#REF!</v>
      </c>
      <c r="C1868" s="85"/>
      <c r="D1868" s="85"/>
      <c r="F1868" s="85"/>
    </row>
    <row r="1869" spans="2:8" ht="18" x14ac:dyDescent="0.25">
      <c r="C1869" s="85"/>
      <c r="D1869" s="85"/>
      <c r="E1869" s="85" t="str">
        <f>+$E$1</f>
        <v>Lima 461 C:A:B:A:</v>
      </c>
      <c r="F1869" s="85"/>
      <c r="H1869" s="90" t="s">
        <v>133</v>
      </c>
    </row>
    <row r="1870" spans="2:8" ht="18" x14ac:dyDescent="0.25">
      <c r="B1870" s="86"/>
      <c r="C1870" s="85"/>
      <c r="D1870" s="85"/>
      <c r="F1870" s="85"/>
      <c r="G1870" s="86"/>
    </row>
    <row r="1871" spans="2:8" ht="18" x14ac:dyDescent="0.25">
      <c r="B1871" s="85"/>
      <c r="C1871" s="85"/>
      <c r="D1871" s="85"/>
      <c r="E1871" s="86"/>
      <c r="F1871" s="86"/>
      <c r="G1871" s="85"/>
      <c r="H1871" s="94"/>
    </row>
    <row r="1872" spans="2:8" ht="18" x14ac:dyDescent="0.25">
      <c r="B1872" s="94"/>
      <c r="C1872" s="85"/>
      <c r="D1872" s="94"/>
      <c r="E1872" s="85"/>
      <c r="F1872" s="85"/>
      <c r="G1872" s="85"/>
      <c r="H1872" s="90"/>
    </row>
    <row r="1873" spans="2:8" ht="18" x14ac:dyDescent="0.25">
      <c r="B1873" s="85" t="s">
        <v>198</v>
      </c>
      <c r="C1873" s="85"/>
      <c r="D1873" s="107">
        <f>+'RES CUENTA'!$L$25</f>
        <v>10859801.41</v>
      </c>
      <c r="E1873" s="108" t="e">
        <f>+'RES CUENTA'!#REF!</f>
        <v>#REF!</v>
      </c>
      <c r="F1873" s="103" t="e">
        <f>+D1873*E1873/100</f>
        <v>#REF!</v>
      </c>
      <c r="G1873" s="85"/>
      <c r="H1873" s="94"/>
    </row>
    <row r="1874" spans="2:8" ht="18" x14ac:dyDescent="0.25">
      <c r="B1874" s="85" t="s">
        <v>199</v>
      </c>
      <c r="C1874" s="85"/>
      <c r="D1874" s="107" t="e">
        <f>+'RES CUENTA'!#REF!</f>
        <v>#REF!</v>
      </c>
      <c r="E1874" s="108" t="e">
        <f>+'RES CUENTA'!#REF!</f>
        <v>#REF!</v>
      </c>
      <c r="F1874" s="103" t="e">
        <f>+D1874*E1874/100</f>
        <v>#REF!</v>
      </c>
      <c r="G1874" s="94"/>
      <c r="H1874" s="89"/>
    </row>
    <row r="1875" spans="2:8" ht="18" x14ac:dyDescent="0.25">
      <c r="B1875" s="85" t="s">
        <v>79</v>
      </c>
      <c r="C1875" s="85"/>
      <c r="D1875" s="107" t="e">
        <f>-'RES CUENTA'!#REF!</f>
        <v>#REF!</v>
      </c>
      <c r="E1875" s="108">
        <f>+'RES CUENTA'!P980</f>
        <v>0</v>
      </c>
      <c r="F1875" s="103" t="e">
        <f>+D1875</f>
        <v>#REF!</v>
      </c>
      <c r="G1875" s="89"/>
      <c r="H1875" s="89"/>
    </row>
    <row r="1876" spans="2:8" ht="18" x14ac:dyDescent="0.25">
      <c r="B1876" s="85" t="s">
        <v>80</v>
      </c>
      <c r="C1876" s="85"/>
      <c r="D1876" s="107" t="e">
        <f>+'RES CUENTA'!#REF!</f>
        <v>#REF!</v>
      </c>
      <c r="E1876" s="108">
        <f>+'RES CUENTA'!R975</f>
        <v>0</v>
      </c>
      <c r="F1876" s="103" t="e">
        <f>+D1876</f>
        <v>#REF!</v>
      </c>
      <c r="G1876" s="89"/>
      <c r="H1876" s="89"/>
    </row>
    <row r="1877" spans="2:8" ht="18" x14ac:dyDescent="0.25">
      <c r="B1877" s="86"/>
      <c r="C1877" s="85"/>
      <c r="D1877" s="85"/>
      <c r="F1877" s="104" t="e">
        <f>SUM(F1873:F1876)</f>
        <v>#REF!</v>
      </c>
      <c r="G1877" s="89"/>
      <c r="H1877" s="89"/>
    </row>
    <row r="1878" spans="2:8" ht="18" x14ac:dyDescent="0.25">
      <c r="B1878" s="86"/>
      <c r="C1878" s="85"/>
      <c r="D1878" s="85"/>
      <c r="F1878" s="104"/>
      <c r="G1878" s="89"/>
      <c r="H1878" s="89"/>
    </row>
    <row r="1879" spans="2:8" ht="18" x14ac:dyDescent="0.25">
      <c r="B1879" s="86"/>
      <c r="C1879" s="85"/>
      <c r="D1879" s="85"/>
      <c r="F1879" s="91"/>
      <c r="G1879" s="89"/>
      <c r="H1879" s="90"/>
    </row>
    <row r="1880" spans="2:8" ht="18" x14ac:dyDescent="0.25">
      <c r="B1880" s="85"/>
      <c r="C1880" s="85"/>
      <c r="D1880" s="85"/>
      <c r="E1880" s="85"/>
      <c r="F1880" s="92"/>
      <c r="G1880" s="90"/>
      <c r="H1880" s="90"/>
    </row>
    <row r="1881" spans="2:8" ht="18" x14ac:dyDescent="0.25">
      <c r="B1881" s="85"/>
      <c r="C1881" s="85"/>
      <c r="D1881" s="85"/>
      <c r="E1881" s="85"/>
      <c r="F1881" s="92"/>
      <c r="G1881" s="90"/>
      <c r="H1881" s="90"/>
    </row>
    <row r="1882" spans="2:8" ht="18" x14ac:dyDescent="0.25">
      <c r="B1882" s="85"/>
      <c r="C1882" s="85"/>
      <c r="D1882" s="85"/>
      <c r="E1882" s="85"/>
      <c r="F1882" s="92"/>
      <c r="G1882" s="90"/>
      <c r="H1882" s="90"/>
    </row>
    <row r="1883" spans="2:8" ht="18" x14ac:dyDescent="0.25">
      <c r="B1883" s="85" t="e">
        <f>+B1868</f>
        <v>#REF!</v>
      </c>
      <c r="C1883" s="85"/>
      <c r="D1883" s="85"/>
      <c r="E1883" s="85" t="e">
        <f>+B1868</f>
        <v>#REF!</v>
      </c>
      <c r="F1883" s="85"/>
      <c r="G1883" s="85"/>
      <c r="H1883" s="94"/>
    </row>
    <row r="1884" spans="2:8" ht="18" x14ac:dyDescent="0.25">
      <c r="B1884" s="86"/>
      <c r="C1884" s="85"/>
      <c r="D1884" s="85"/>
      <c r="F1884" s="85"/>
      <c r="G1884" s="101"/>
      <c r="H1884" s="90" t="str">
        <f>+H1869</f>
        <v>Unid. 50</v>
      </c>
    </row>
    <row r="1885" spans="2:8" ht="18" x14ac:dyDescent="0.25">
      <c r="B1885" s="85" t="str">
        <f>+$E$1</f>
        <v>Lima 461 C:A:B:A:</v>
      </c>
      <c r="C1885" s="85"/>
      <c r="D1885" s="93" t="str">
        <f>+H1884</f>
        <v>Unid. 50</v>
      </c>
      <c r="E1885" s="85" t="str">
        <f>+$E$1</f>
        <v>Lima 461 C:A:B:A:</v>
      </c>
      <c r="F1885" s="85"/>
      <c r="G1885" s="85"/>
      <c r="H1885" s="94"/>
    </row>
    <row r="1886" spans="2:8" ht="18" x14ac:dyDescent="0.25">
      <c r="B1886" s="86"/>
      <c r="C1886" s="86"/>
      <c r="D1886" s="86"/>
      <c r="F1886" s="85"/>
      <c r="G1886" s="85"/>
    </row>
    <row r="1887" spans="2:8" ht="18" x14ac:dyDescent="0.25">
      <c r="B1887" s="85"/>
      <c r="C1887" s="85"/>
      <c r="D1887" s="85"/>
      <c r="E1887" s="86"/>
      <c r="F1887" s="85"/>
      <c r="G1887" s="85"/>
      <c r="H1887" s="94"/>
    </row>
    <row r="1888" spans="2:8" ht="18" x14ac:dyDescent="0.25">
      <c r="B1888" s="85">
        <f>+$E$2</f>
        <v>0</v>
      </c>
      <c r="C1888" s="85"/>
      <c r="D1888" s="85"/>
      <c r="E1888" s="85"/>
      <c r="F1888" s="96"/>
      <c r="G1888" s="86"/>
      <c r="H1888" s="90"/>
    </row>
    <row r="1889" spans="2:8" ht="18" x14ac:dyDescent="0.25">
      <c r="B1889" s="85">
        <f>+$E$3</f>
        <v>0</v>
      </c>
      <c r="C1889" s="85"/>
      <c r="D1889" s="85"/>
      <c r="E1889" s="96"/>
      <c r="G1889" s="94"/>
      <c r="H1889" s="96"/>
    </row>
    <row r="1890" spans="2:8" ht="18" x14ac:dyDescent="0.25">
      <c r="B1890" s="86"/>
      <c r="C1890" s="85"/>
      <c r="D1890" s="85"/>
      <c r="E1890" s="85" t="s">
        <v>200</v>
      </c>
      <c r="F1890" s="106" t="e">
        <f>+F1873</f>
        <v>#REF!</v>
      </c>
      <c r="G1890" s="95"/>
      <c r="H1890" s="99">
        <f>+B1894</f>
        <v>46188</v>
      </c>
    </row>
    <row r="1891" spans="2:8" ht="18" x14ac:dyDescent="0.25">
      <c r="B1891" s="86"/>
      <c r="C1891" s="85"/>
      <c r="D1891" s="85"/>
      <c r="E1891" s="85" t="s">
        <v>201</v>
      </c>
      <c r="F1891" s="106" t="e">
        <f>+F1874</f>
        <v>#REF!</v>
      </c>
      <c r="H1891" s="90"/>
    </row>
    <row r="1892" spans="2:8" ht="18" x14ac:dyDescent="0.25">
      <c r="B1892" s="85"/>
      <c r="C1892" s="85"/>
      <c r="D1892" s="85"/>
      <c r="E1892" s="85" t="s">
        <v>81</v>
      </c>
      <c r="F1892" s="106" t="e">
        <f>+F1875</f>
        <v>#REF!</v>
      </c>
      <c r="G1892" s="85"/>
      <c r="H1892" s="90"/>
    </row>
    <row r="1893" spans="2:8" ht="18" x14ac:dyDescent="0.25">
      <c r="B1893" s="96"/>
      <c r="C1893" s="96"/>
      <c r="D1893" s="96"/>
      <c r="E1893" s="85" t="s">
        <v>82</v>
      </c>
      <c r="F1893" s="106" t="e">
        <f>+F1876</f>
        <v>#REF!</v>
      </c>
      <c r="G1893" s="85"/>
      <c r="H1893" s="90"/>
    </row>
    <row r="1894" spans="2:8" ht="18" x14ac:dyDescent="0.25">
      <c r="B1894" s="99">
        <f>+$G$30</f>
        <v>46188</v>
      </c>
      <c r="C1894" s="105" t="e">
        <f>+F1877</f>
        <v>#REF!</v>
      </c>
      <c r="D1894" s="85"/>
      <c r="E1894" s="85" t="s">
        <v>188</v>
      </c>
      <c r="F1894" s="106">
        <v>0</v>
      </c>
      <c r="G1894" s="85"/>
      <c r="H1894" s="90"/>
    </row>
    <row r="1895" spans="2:8" ht="18" x14ac:dyDescent="0.25">
      <c r="B1895" s="85"/>
      <c r="C1895" s="85"/>
      <c r="D1895" s="85"/>
      <c r="E1895" s="85" t="s">
        <v>83</v>
      </c>
      <c r="F1895" s="106" t="e">
        <f>+F1877</f>
        <v>#REF!</v>
      </c>
      <c r="G1895" s="85"/>
      <c r="H1895" s="90"/>
    </row>
    <row r="1896" spans="2:8" ht="18" x14ac:dyDescent="0.25">
      <c r="B1896" s="85"/>
      <c r="C1896" s="85"/>
      <c r="D1896" s="85"/>
      <c r="E1896" s="85"/>
      <c r="F1896" s="85"/>
      <c r="G1896" s="85"/>
      <c r="H1896" s="90"/>
    </row>
    <row r="1897" spans="2:8" ht="18" x14ac:dyDescent="0.25">
      <c r="B1897" s="85"/>
      <c r="C1897" s="85"/>
      <c r="D1897" s="85"/>
      <c r="E1897" s="102"/>
      <c r="F1897" s="85"/>
      <c r="G1897" s="85"/>
      <c r="H1897" s="90"/>
    </row>
    <row r="1898" spans="2:8" ht="18" x14ac:dyDescent="0.25">
      <c r="B1898" s="85"/>
      <c r="C1898" s="85"/>
      <c r="D1898" s="85"/>
      <c r="E1898" s="85"/>
      <c r="F1898" s="85"/>
      <c r="G1898" s="85"/>
      <c r="H1898" s="94"/>
    </row>
    <row r="1899" spans="2:8" ht="18" x14ac:dyDescent="0.25">
      <c r="E1899" s="85"/>
      <c r="G1899" s="94"/>
      <c r="H1899" s="90"/>
    </row>
    <row r="1901" spans="2:8" ht="18" x14ac:dyDescent="0.25">
      <c r="B1901" s="343"/>
      <c r="C1901" s="343"/>
      <c r="D1901" s="343"/>
      <c r="E1901" s="342">
        <f>+$B$1</f>
        <v>46143</v>
      </c>
      <c r="F1901" s="85"/>
      <c r="G1901" s="337">
        <f>+$D$1</f>
        <v>46188</v>
      </c>
      <c r="H1901" s="90"/>
    </row>
    <row r="1902" spans="2:8" ht="18" x14ac:dyDescent="0.25">
      <c r="B1902" s="84"/>
      <c r="C1902" s="84"/>
      <c r="D1902" s="100"/>
      <c r="E1902" s="342"/>
      <c r="F1902" s="85"/>
      <c r="G1902" s="337"/>
      <c r="H1902" s="90"/>
    </row>
    <row r="1903" spans="2:8" ht="18" x14ac:dyDescent="0.25">
      <c r="B1903" s="85"/>
      <c r="C1903" s="85"/>
      <c r="D1903" s="85"/>
      <c r="E1903" s="86"/>
      <c r="F1903" s="85"/>
      <c r="G1903" s="86"/>
      <c r="H1903" s="90"/>
    </row>
    <row r="1904" spans="2:8" ht="18" x14ac:dyDescent="0.25">
      <c r="B1904" s="85" t="e">
        <f>+#REF!</f>
        <v>#REF!</v>
      </c>
      <c r="C1904" s="85"/>
      <c r="D1904" s="85"/>
      <c r="E1904" s="86"/>
      <c r="F1904" s="85"/>
      <c r="G1904" s="86"/>
      <c r="H1904" s="90"/>
    </row>
    <row r="1905" spans="2:8" ht="18" x14ac:dyDescent="0.25">
      <c r="B1905" s="86"/>
      <c r="C1905" s="85"/>
      <c r="D1905" s="85"/>
      <c r="E1905" s="85" t="s">
        <v>78</v>
      </c>
      <c r="F1905" s="85"/>
      <c r="G1905" s="85"/>
      <c r="H1905" s="90" t="s">
        <v>134</v>
      </c>
    </row>
    <row r="1906" spans="2:8" ht="18" x14ac:dyDescent="0.25">
      <c r="B1906" s="85"/>
      <c r="C1906" s="85"/>
      <c r="D1906" s="85"/>
      <c r="E1906" s="86"/>
      <c r="F1906" s="86"/>
      <c r="G1906" s="85"/>
      <c r="H1906" s="94"/>
    </row>
    <row r="1907" spans="2:8" ht="18" x14ac:dyDescent="0.25">
      <c r="B1907" s="94"/>
      <c r="C1907" s="85"/>
      <c r="D1907" s="94"/>
      <c r="E1907" s="85"/>
      <c r="F1907" s="85"/>
      <c r="G1907" s="85"/>
      <c r="H1907" s="90"/>
    </row>
    <row r="1908" spans="2:8" ht="18" x14ac:dyDescent="0.25">
      <c r="B1908" s="94"/>
      <c r="C1908" s="85"/>
      <c r="D1908" s="94"/>
      <c r="E1908" s="85"/>
      <c r="F1908" s="85"/>
      <c r="G1908" s="85"/>
      <c r="H1908" s="90"/>
    </row>
    <row r="1909" spans="2:8" ht="18" x14ac:dyDescent="0.25">
      <c r="B1909" s="85" t="s">
        <v>198</v>
      </c>
      <c r="C1909" s="85"/>
      <c r="D1909" s="107">
        <f>+'RES CUENTA'!$L$25</f>
        <v>10859801.41</v>
      </c>
      <c r="E1909" s="108" t="e">
        <f>+'RES CUENTA'!#REF!</f>
        <v>#REF!</v>
      </c>
      <c r="F1909" s="103" t="e">
        <f>+D1909*E1909/100</f>
        <v>#REF!</v>
      </c>
      <c r="G1909" s="345"/>
      <c r="H1909" s="345"/>
    </row>
    <row r="1910" spans="2:8" ht="18" x14ac:dyDescent="0.25">
      <c r="B1910" s="85" t="s">
        <v>199</v>
      </c>
      <c r="C1910" s="85"/>
      <c r="D1910" s="107" t="e">
        <f>+'RES CUENTA'!#REF!</f>
        <v>#REF!</v>
      </c>
      <c r="E1910" s="108" t="e">
        <f>+'RES CUENTA'!#REF!</f>
        <v>#REF!</v>
      </c>
      <c r="F1910" s="103" t="e">
        <f>+D1910*E1910/100</f>
        <v>#REF!</v>
      </c>
      <c r="G1910" s="341"/>
      <c r="H1910" s="341"/>
    </row>
    <row r="1911" spans="2:8" ht="18" x14ac:dyDescent="0.25">
      <c r="B1911" s="85" t="s">
        <v>79</v>
      </c>
      <c r="C1911" s="85"/>
      <c r="D1911" s="107" t="e">
        <f>+'RES CUENTA'!#REF!</f>
        <v>#REF!</v>
      </c>
      <c r="E1911" s="108">
        <v>0</v>
      </c>
      <c r="F1911" s="103" t="e">
        <f>+D1911</f>
        <v>#REF!</v>
      </c>
      <c r="G1911" s="341"/>
      <c r="H1911" s="341"/>
    </row>
    <row r="1912" spans="2:8" ht="18" x14ac:dyDescent="0.25">
      <c r="B1912" s="85" t="s">
        <v>80</v>
      </c>
      <c r="C1912" s="85"/>
      <c r="D1912" s="107" t="e">
        <f>+'RES CUENTA'!#REF!</f>
        <v>#REF!</v>
      </c>
      <c r="E1912" s="108">
        <v>0</v>
      </c>
      <c r="F1912" s="103" t="e">
        <f>+D1912</f>
        <v>#REF!</v>
      </c>
      <c r="G1912" s="341"/>
      <c r="H1912" s="341"/>
    </row>
    <row r="1913" spans="2:8" ht="18" x14ac:dyDescent="0.25">
      <c r="B1913" s="86"/>
      <c r="C1913" s="85"/>
      <c r="D1913" s="85"/>
      <c r="E1913" s="92"/>
      <c r="F1913" s="104" t="e">
        <f>SUM(F1909:F1912)</f>
        <v>#REF!</v>
      </c>
      <c r="G1913" s="341"/>
      <c r="H1913" s="341"/>
    </row>
    <row r="1914" spans="2:8" ht="18" x14ac:dyDescent="0.25">
      <c r="B1914" s="86"/>
      <c r="C1914" s="85"/>
      <c r="D1914" s="85"/>
      <c r="E1914" s="92"/>
      <c r="F1914" s="104"/>
      <c r="G1914" s="89"/>
      <c r="H1914" s="89"/>
    </row>
    <row r="1915" spans="2:8" ht="18" x14ac:dyDescent="0.25">
      <c r="B1915" s="86"/>
      <c r="C1915" s="85"/>
      <c r="D1915" s="85"/>
      <c r="E1915" s="85"/>
      <c r="G1915" s="338"/>
      <c r="H1915" s="338"/>
    </row>
    <row r="1916" spans="2:8" ht="18" x14ac:dyDescent="0.25">
      <c r="B1916" s="85"/>
      <c r="C1916" s="85"/>
      <c r="D1916" s="85"/>
      <c r="E1916" s="85"/>
      <c r="F1916" s="91"/>
      <c r="G1916" s="90"/>
      <c r="H1916" s="90"/>
    </row>
    <row r="1917" spans="2:8" ht="18" x14ac:dyDescent="0.25">
      <c r="B1917" s="85"/>
      <c r="C1917" s="85"/>
      <c r="D1917" s="85"/>
      <c r="E1917" s="85"/>
      <c r="F1917" s="92"/>
      <c r="G1917" s="85"/>
      <c r="H1917" s="90"/>
    </row>
    <row r="1918" spans="2:8" ht="18" x14ac:dyDescent="0.25">
      <c r="B1918" s="85"/>
      <c r="C1918" s="85"/>
      <c r="D1918" s="85"/>
      <c r="E1918" s="85"/>
      <c r="F1918" s="92"/>
      <c r="G1918" s="85"/>
      <c r="H1918" s="90"/>
    </row>
    <row r="1919" spans="2:8" ht="18" x14ac:dyDescent="0.25">
      <c r="B1919" s="85" t="e">
        <f>+B1904</f>
        <v>#REF!</v>
      </c>
      <c r="C1919" s="344"/>
      <c r="D1919" s="344"/>
      <c r="E1919" s="85" t="e">
        <f>+B1919</f>
        <v>#REF!</v>
      </c>
      <c r="F1919" s="92"/>
      <c r="G1919" s="85"/>
      <c r="H1919" s="90"/>
    </row>
    <row r="1920" spans="2:8" ht="18" x14ac:dyDescent="0.25">
      <c r="C1920" s="85"/>
      <c r="D1920" s="85"/>
      <c r="F1920" s="344"/>
      <c r="G1920" s="344"/>
      <c r="H1920" s="344"/>
    </row>
    <row r="1921" spans="2:8" ht="18" x14ac:dyDescent="0.25">
      <c r="B1921" s="85" t="str">
        <f>+$E$1</f>
        <v>Lima 461 C:A:B:A:</v>
      </c>
      <c r="C1921" s="85"/>
      <c r="D1921" s="93" t="str">
        <f>+H1905</f>
        <v>Unid. 51</v>
      </c>
      <c r="E1921" s="85" t="str">
        <f>+$E$1</f>
        <v>Lima 461 C:A:B:A:</v>
      </c>
      <c r="F1921" s="85"/>
      <c r="G1921" s="85"/>
      <c r="H1921" s="90" t="str">
        <f>+D1921</f>
        <v>Unid. 51</v>
      </c>
    </row>
    <row r="1922" spans="2:8" ht="18" x14ac:dyDescent="0.25">
      <c r="H1922" s="94"/>
    </row>
    <row r="1923" spans="2:8" ht="18" x14ac:dyDescent="0.25">
      <c r="B1923" s="86"/>
      <c r="C1923" s="86"/>
      <c r="D1923" s="86"/>
      <c r="E1923" s="86"/>
      <c r="F1923" s="85"/>
      <c r="G1923" s="85"/>
    </row>
    <row r="1924" spans="2:8" ht="18" x14ac:dyDescent="0.25">
      <c r="B1924" s="85">
        <f>+$E$2</f>
        <v>0</v>
      </c>
      <c r="C1924" s="85"/>
      <c r="D1924" s="85"/>
      <c r="E1924" s="85"/>
      <c r="F1924" s="85"/>
      <c r="G1924" s="86"/>
      <c r="H1924" s="94"/>
    </row>
    <row r="1925" spans="2:8" ht="18" x14ac:dyDescent="0.25">
      <c r="B1925" s="85">
        <f>+$E$3</f>
        <v>0</v>
      </c>
      <c r="C1925" s="85"/>
      <c r="D1925" s="85"/>
      <c r="E1925" s="96"/>
      <c r="F1925" s="85"/>
      <c r="G1925" s="94"/>
      <c r="H1925" s="90"/>
    </row>
    <row r="1926" spans="2:8" ht="18" x14ac:dyDescent="0.25">
      <c r="C1926" s="85"/>
      <c r="D1926" s="85"/>
      <c r="E1926" s="85" t="s">
        <v>200</v>
      </c>
      <c r="F1926" s="106" t="e">
        <f>+F1909</f>
        <v>#REF!</v>
      </c>
      <c r="H1926" s="99">
        <f>+B1931</f>
        <v>46188</v>
      </c>
    </row>
    <row r="1927" spans="2:8" ht="18" x14ac:dyDescent="0.25">
      <c r="B1927" s="86"/>
      <c r="C1927" s="85"/>
      <c r="D1927" s="85"/>
      <c r="E1927" s="85" t="s">
        <v>201</v>
      </c>
      <c r="F1927" s="106" t="e">
        <f>+F1910</f>
        <v>#REF!</v>
      </c>
    </row>
    <row r="1928" spans="2:8" ht="18" x14ac:dyDescent="0.25">
      <c r="B1928" s="86"/>
      <c r="C1928" s="85"/>
      <c r="D1928" s="85"/>
      <c r="E1928" s="85" t="s">
        <v>81</v>
      </c>
      <c r="F1928" s="106" t="e">
        <f>+F1911</f>
        <v>#REF!</v>
      </c>
      <c r="G1928" s="85"/>
      <c r="H1928" s="90"/>
    </row>
    <row r="1929" spans="2:8" ht="18" x14ac:dyDescent="0.25">
      <c r="B1929" s="85"/>
      <c r="C1929" s="85"/>
      <c r="D1929" s="85"/>
      <c r="E1929" s="85" t="s">
        <v>82</v>
      </c>
      <c r="F1929" s="106" t="e">
        <f>+F1912</f>
        <v>#REF!</v>
      </c>
      <c r="G1929" s="85"/>
      <c r="H1929" s="90"/>
    </row>
    <row r="1930" spans="2:8" ht="18" x14ac:dyDescent="0.25">
      <c r="B1930" s="96"/>
      <c r="C1930" s="96"/>
      <c r="D1930" s="96"/>
      <c r="E1930" s="85" t="s">
        <v>188</v>
      </c>
      <c r="F1930" s="106">
        <v>0</v>
      </c>
      <c r="G1930" s="85"/>
      <c r="H1930" s="90"/>
    </row>
    <row r="1931" spans="2:8" ht="18" x14ac:dyDescent="0.25">
      <c r="B1931" s="99">
        <f>+$G$30</f>
        <v>46188</v>
      </c>
      <c r="C1931" s="105" t="e">
        <f>+F1913</f>
        <v>#REF!</v>
      </c>
      <c r="D1931" s="85"/>
      <c r="E1931" s="85" t="s">
        <v>83</v>
      </c>
      <c r="F1931" s="106" t="e">
        <f>+F1913</f>
        <v>#REF!</v>
      </c>
      <c r="G1931" s="85"/>
      <c r="H1931" s="90"/>
    </row>
    <row r="1932" spans="2:8" ht="18" x14ac:dyDescent="0.25">
      <c r="B1932" s="85"/>
      <c r="C1932" s="85"/>
      <c r="D1932" s="85"/>
      <c r="E1932" s="85"/>
      <c r="F1932" s="85"/>
      <c r="G1932" s="85"/>
      <c r="H1932" s="90"/>
    </row>
    <row r="1933" spans="2:8" ht="18" x14ac:dyDescent="0.25">
      <c r="B1933" s="85"/>
      <c r="C1933" s="85"/>
      <c r="D1933" s="85"/>
      <c r="E1933" s="85"/>
      <c r="F1933" s="85"/>
      <c r="G1933" s="345"/>
      <c r="H1933" s="345"/>
    </row>
    <row r="1934" spans="2:8" ht="18" x14ac:dyDescent="0.25">
      <c r="B1934" s="85"/>
      <c r="C1934" s="85"/>
      <c r="D1934" s="85"/>
      <c r="E1934" s="85"/>
      <c r="F1934" s="85"/>
      <c r="G1934" s="85"/>
      <c r="H1934" s="90"/>
    </row>
    <row r="1935" spans="2:8" ht="18" x14ac:dyDescent="0.25">
      <c r="B1935" s="85"/>
      <c r="C1935" s="85"/>
      <c r="D1935" s="85"/>
      <c r="E1935" s="85"/>
      <c r="F1935" s="85"/>
      <c r="G1935" s="85"/>
      <c r="H1935" s="90"/>
    </row>
    <row r="1936" spans="2:8" ht="18" x14ac:dyDescent="0.25">
      <c r="B1936" s="85"/>
      <c r="C1936" s="85"/>
      <c r="D1936" s="85"/>
      <c r="E1936" s="85"/>
      <c r="F1936" s="85"/>
      <c r="G1936" s="85"/>
      <c r="H1936" s="90"/>
    </row>
    <row r="1937" spans="2:8" ht="18" x14ac:dyDescent="0.25">
      <c r="B1937" s="85"/>
      <c r="C1937" s="85"/>
      <c r="D1937" s="85"/>
      <c r="E1937" s="85"/>
      <c r="F1937" s="85"/>
      <c r="G1937" s="85"/>
      <c r="H1937" s="90"/>
    </row>
    <row r="1938" spans="2:8" ht="18" x14ac:dyDescent="0.25">
      <c r="B1938" s="85"/>
      <c r="C1938" s="85"/>
      <c r="D1938" s="85"/>
      <c r="E1938" s="85"/>
      <c r="F1938" s="85"/>
      <c r="H1938" s="90"/>
    </row>
    <row r="1939" spans="2:8" ht="18" x14ac:dyDescent="0.25">
      <c r="B1939" s="343"/>
      <c r="C1939" s="343"/>
      <c r="D1939" s="343"/>
      <c r="E1939" s="85"/>
      <c r="F1939" s="85"/>
      <c r="H1939" s="90"/>
    </row>
    <row r="1940" spans="2:8" ht="18" x14ac:dyDescent="0.25">
      <c r="B1940" s="343"/>
      <c r="C1940" s="343"/>
      <c r="D1940" s="343"/>
      <c r="E1940" s="98">
        <f>+$B$1</f>
        <v>46143</v>
      </c>
      <c r="F1940" s="85"/>
      <c r="G1940" s="99">
        <f>+$D$1</f>
        <v>46188</v>
      </c>
      <c r="H1940" s="160"/>
    </row>
    <row r="1941" spans="2:8" ht="18" x14ac:dyDescent="0.25">
      <c r="B1941" s="84"/>
      <c r="C1941" s="84"/>
      <c r="D1941" s="100"/>
      <c r="E1941" s="98"/>
      <c r="F1941" s="85"/>
    </row>
    <row r="1942" spans="2:8" ht="18" x14ac:dyDescent="0.25">
      <c r="B1942" s="85" t="e">
        <f>+#REF!</f>
        <v>#REF!</v>
      </c>
      <c r="C1942" s="85"/>
      <c r="D1942" s="85"/>
      <c r="F1942" s="85"/>
    </row>
    <row r="1943" spans="2:8" ht="18" x14ac:dyDescent="0.25">
      <c r="C1943" s="85"/>
      <c r="D1943" s="85"/>
      <c r="E1943" s="85" t="str">
        <f>+$E$1</f>
        <v>Lima 461 C:A:B:A:</v>
      </c>
      <c r="F1943" s="85"/>
      <c r="H1943" s="90" t="s">
        <v>135</v>
      </c>
    </row>
    <row r="1944" spans="2:8" ht="18" x14ac:dyDescent="0.25">
      <c r="B1944" s="86"/>
      <c r="C1944" s="85"/>
      <c r="D1944" s="85"/>
      <c r="F1944" s="85"/>
      <c r="G1944" s="86"/>
    </row>
    <row r="1945" spans="2:8" ht="18" x14ac:dyDescent="0.25">
      <c r="B1945" s="85"/>
      <c r="C1945" s="85"/>
      <c r="D1945" s="85"/>
      <c r="E1945" s="86"/>
      <c r="F1945" s="86"/>
      <c r="G1945" s="85"/>
      <c r="H1945" s="94"/>
    </row>
    <row r="1946" spans="2:8" ht="18" x14ac:dyDescent="0.25">
      <c r="B1946" s="94"/>
      <c r="C1946" s="85"/>
      <c r="D1946" s="94"/>
      <c r="E1946" s="85"/>
      <c r="F1946" s="85"/>
      <c r="G1946" s="85"/>
      <c r="H1946" s="90"/>
    </row>
    <row r="1947" spans="2:8" ht="18" x14ac:dyDescent="0.25">
      <c r="B1947" s="85" t="s">
        <v>198</v>
      </c>
      <c r="C1947" s="85"/>
      <c r="D1947" s="107">
        <f>+'RES CUENTA'!$L$25</f>
        <v>10859801.41</v>
      </c>
      <c r="E1947" s="108" t="e">
        <f>+'RES CUENTA'!#REF!</f>
        <v>#REF!</v>
      </c>
      <c r="F1947" s="103" t="e">
        <f>+D1947*E1947/100</f>
        <v>#REF!</v>
      </c>
      <c r="G1947" s="85"/>
      <c r="H1947" s="94"/>
    </row>
    <row r="1948" spans="2:8" ht="18" x14ac:dyDescent="0.25">
      <c r="B1948" s="85" t="s">
        <v>199</v>
      </c>
      <c r="C1948" s="85"/>
      <c r="D1948" s="107" t="e">
        <f>+'RES CUENTA'!#REF!</f>
        <v>#REF!</v>
      </c>
      <c r="E1948" s="108" t="e">
        <f>+'RES CUENTA'!#REF!</f>
        <v>#REF!</v>
      </c>
      <c r="F1948" s="103" t="e">
        <f>+D1948*E1948/100</f>
        <v>#REF!</v>
      </c>
      <c r="G1948" s="94"/>
      <c r="H1948" s="89"/>
    </row>
    <row r="1949" spans="2:8" ht="18" x14ac:dyDescent="0.25">
      <c r="B1949" s="85" t="s">
        <v>79</v>
      </c>
      <c r="C1949" s="85"/>
      <c r="D1949" s="107" t="e">
        <f>+'RES CUENTA'!#REF!</f>
        <v>#REF!</v>
      </c>
      <c r="E1949" s="108">
        <f>+'RES CUENTA'!P1056</f>
        <v>0</v>
      </c>
      <c r="F1949" s="103" t="e">
        <f>+D1949</f>
        <v>#REF!</v>
      </c>
      <c r="G1949" s="89"/>
      <c r="H1949" s="89"/>
    </row>
    <row r="1950" spans="2:8" ht="18" x14ac:dyDescent="0.25">
      <c r="B1950" s="85" t="s">
        <v>80</v>
      </c>
      <c r="C1950" s="85"/>
      <c r="D1950" s="107" t="e">
        <f>+'RES CUENTA'!#REF!</f>
        <v>#REF!</v>
      </c>
      <c r="E1950" s="108">
        <f>+'RES CUENTA'!R1051</f>
        <v>0</v>
      </c>
      <c r="F1950" s="103" t="e">
        <f>+D1950</f>
        <v>#REF!</v>
      </c>
      <c r="G1950" s="89"/>
      <c r="H1950" s="89"/>
    </row>
    <row r="1951" spans="2:8" ht="18" x14ac:dyDescent="0.25">
      <c r="B1951" s="86"/>
      <c r="C1951" s="85"/>
      <c r="D1951" s="85"/>
      <c r="F1951" s="104" t="e">
        <f>SUM(F1947:F1950)</f>
        <v>#REF!</v>
      </c>
      <c r="G1951" s="89"/>
      <c r="H1951" s="89"/>
    </row>
    <row r="1952" spans="2:8" ht="18" x14ac:dyDescent="0.25">
      <c r="B1952" s="86"/>
      <c r="C1952" s="85"/>
      <c r="D1952" s="85"/>
      <c r="F1952" s="104"/>
      <c r="G1952" s="89"/>
      <c r="H1952" s="89"/>
    </row>
    <row r="1953" spans="2:8" ht="18" x14ac:dyDescent="0.25">
      <c r="B1953" s="86"/>
      <c r="C1953" s="85"/>
      <c r="D1953" s="85"/>
      <c r="F1953" s="91"/>
      <c r="G1953" s="89"/>
      <c r="H1953" s="90"/>
    </row>
    <row r="1954" spans="2:8" ht="18" x14ac:dyDescent="0.25">
      <c r="B1954" s="85"/>
      <c r="C1954" s="85"/>
      <c r="D1954" s="85"/>
      <c r="E1954" s="85"/>
      <c r="F1954" s="92"/>
      <c r="G1954" s="90"/>
      <c r="H1954" s="90"/>
    </row>
    <row r="1955" spans="2:8" ht="18" x14ac:dyDescent="0.25">
      <c r="B1955" s="85"/>
      <c r="C1955" s="85"/>
      <c r="D1955" s="85"/>
      <c r="E1955" s="85"/>
      <c r="F1955" s="92"/>
      <c r="G1955" s="90"/>
      <c r="H1955" s="90"/>
    </row>
    <row r="1956" spans="2:8" ht="18" x14ac:dyDescent="0.25">
      <c r="B1956" s="85"/>
      <c r="C1956" s="85"/>
      <c r="D1956" s="85"/>
      <c r="E1956" s="85"/>
      <c r="F1956" s="92"/>
      <c r="G1956" s="90"/>
      <c r="H1956" s="90"/>
    </row>
    <row r="1957" spans="2:8" ht="18" x14ac:dyDescent="0.25">
      <c r="B1957" s="85" t="e">
        <f>+B1942</f>
        <v>#REF!</v>
      </c>
      <c r="C1957" s="85"/>
      <c r="D1957" s="85"/>
      <c r="E1957" s="85" t="e">
        <f>+B1942</f>
        <v>#REF!</v>
      </c>
      <c r="F1957" s="85"/>
      <c r="G1957" s="85"/>
      <c r="H1957" s="94"/>
    </row>
    <row r="1958" spans="2:8" ht="18" x14ac:dyDescent="0.25">
      <c r="B1958" s="86"/>
      <c r="C1958" s="85"/>
      <c r="D1958" s="85"/>
      <c r="F1958" s="85"/>
      <c r="G1958" s="101"/>
      <c r="H1958" s="90" t="str">
        <f>+H1943</f>
        <v>Unid. 52</v>
      </c>
    </row>
    <row r="1959" spans="2:8" ht="18" x14ac:dyDescent="0.25">
      <c r="B1959" s="85" t="str">
        <f>+$E$1</f>
        <v>Lima 461 C:A:B:A:</v>
      </c>
      <c r="C1959" s="85"/>
      <c r="D1959" s="93" t="str">
        <f>+H1958</f>
        <v>Unid. 52</v>
      </c>
      <c r="E1959" s="85" t="str">
        <f>+$E$1</f>
        <v>Lima 461 C:A:B:A:</v>
      </c>
      <c r="F1959" s="85"/>
      <c r="G1959" s="85"/>
      <c r="H1959" s="94"/>
    </row>
    <row r="1960" spans="2:8" ht="18" x14ac:dyDescent="0.25">
      <c r="B1960" s="86"/>
      <c r="C1960" s="86"/>
      <c r="D1960" s="86"/>
      <c r="F1960" s="85"/>
      <c r="G1960" s="85"/>
    </row>
    <row r="1961" spans="2:8" ht="18" x14ac:dyDescent="0.25">
      <c r="B1961" s="85"/>
      <c r="C1961" s="85"/>
      <c r="D1961" s="85"/>
      <c r="E1961" s="86"/>
      <c r="F1961" s="85"/>
      <c r="G1961" s="85"/>
      <c r="H1961" s="94"/>
    </row>
    <row r="1962" spans="2:8" ht="18" x14ac:dyDescent="0.25">
      <c r="B1962" s="85">
        <f>+$E$2</f>
        <v>0</v>
      </c>
      <c r="C1962" s="85"/>
      <c r="D1962" s="85"/>
      <c r="E1962" s="85"/>
      <c r="F1962" s="96"/>
      <c r="G1962" s="86"/>
      <c r="H1962" s="90"/>
    </row>
    <row r="1963" spans="2:8" ht="18" x14ac:dyDescent="0.25">
      <c r="B1963" s="85">
        <f>+$E$3</f>
        <v>0</v>
      </c>
      <c r="C1963" s="85"/>
      <c r="D1963" s="85"/>
      <c r="E1963" s="96"/>
      <c r="G1963" s="94"/>
      <c r="H1963" s="96"/>
    </row>
    <row r="1964" spans="2:8" ht="18" x14ac:dyDescent="0.25">
      <c r="B1964" s="86"/>
      <c r="C1964" s="85"/>
      <c r="D1964" s="85"/>
      <c r="E1964" s="85" t="s">
        <v>200</v>
      </c>
      <c r="F1964" s="106" t="e">
        <f>+F1947</f>
        <v>#REF!</v>
      </c>
      <c r="G1964" s="95"/>
      <c r="H1964" s="99">
        <f>+B1968</f>
        <v>46188</v>
      </c>
    </row>
    <row r="1965" spans="2:8" ht="18" x14ac:dyDescent="0.25">
      <c r="B1965" s="86"/>
      <c r="C1965" s="85"/>
      <c r="D1965" s="85"/>
      <c r="E1965" s="85" t="s">
        <v>201</v>
      </c>
      <c r="F1965" s="106" t="e">
        <f>+F1948</f>
        <v>#REF!</v>
      </c>
      <c r="H1965" s="90"/>
    </row>
    <row r="1966" spans="2:8" ht="18" x14ac:dyDescent="0.25">
      <c r="B1966" s="85"/>
      <c r="C1966" s="85"/>
      <c r="D1966" s="85"/>
      <c r="E1966" s="85" t="s">
        <v>81</v>
      </c>
      <c r="F1966" s="106" t="e">
        <f>+F1949</f>
        <v>#REF!</v>
      </c>
      <c r="G1966" s="85"/>
      <c r="H1966" s="90"/>
    </row>
    <row r="1967" spans="2:8" ht="18" x14ac:dyDescent="0.25">
      <c r="B1967" s="96"/>
      <c r="C1967" s="96"/>
      <c r="D1967" s="96"/>
      <c r="E1967" s="85" t="s">
        <v>82</v>
      </c>
      <c r="F1967" s="106" t="e">
        <f>+F1950</f>
        <v>#REF!</v>
      </c>
      <c r="G1967" s="85"/>
      <c r="H1967" s="90"/>
    </row>
    <row r="1968" spans="2:8" ht="18" x14ac:dyDescent="0.25">
      <c r="B1968" s="99">
        <f>+$G$30</f>
        <v>46188</v>
      </c>
      <c r="C1968" s="105" t="e">
        <f>+F1951</f>
        <v>#REF!</v>
      </c>
      <c r="D1968" s="85"/>
      <c r="E1968" s="85" t="s">
        <v>188</v>
      </c>
      <c r="F1968" s="106">
        <v>0</v>
      </c>
      <c r="G1968" s="85"/>
      <c r="H1968" s="90"/>
    </row>
    <row r="1969" spans="2:8" ht="18" x14ac:dyDescent="0.25">
      <c r="B1969" s="85"/>
      <c r="C1969" s="85"/>
      <c r="D1969" s="85"/>
      <c r="E1969" s="85" t="s">
        <v>83</v>
      </c>
      <c r="F1969" s="106" t="e">
        <f>+F1951</f>
        <v>#REF!</v>
      </c>
      <c r="G1969" s="85"/>
      <c r="H1969" s="90"/>
    </row>
    <row r="1970" spans="2:8" ht="18" x14ac:dyDescent="0.25">
      <c r="B1970" s="85"/>
      <c r="C1970" s="85"/>
      <c r="D1970" s="85"/>
      <c r="E1970" s="85"/>
      <c r="F1970" s="85"/>
      <c r="G1970" s="85"/>
      <c r="H1970" s="90"/>
    </row>
    <row r="1971" spans="2:8" ht="18" x14ac:dyDescent="0.25">
      <c r="B1971" s="85"/>
      <c r="C1971" s="85"/>
      <c r="D1971" s="85"/>
      <c r="E1971" s="102"/>
      <c r="F1971" s="85"/>
      <c r="G1971" s="85"/>
      <c r="H1971" s="90"/>
    </row>
    <row r="1972" spans="2:8" ht="18" x14ac:dyDescent="0.25">
      <c r="B1972" s="85"/>
      <c r="C1972" s="85"/>
      <c r="D1972" s="85"/>
      <c r="E1972" s="85"/>
      <c r="F1972" s="85"/>
      <c r="G1972" s="85"/>
      <c r="H1972" s="94"/>
    </row>
    <row r="1973" spans="2:8" ht="18" x14ac:dyDescent="0.25">
      <c r="E1973" s="85"/>
      <c r="G1973" s="94"/>
      <c r="H1973" s="90"/>
    </row>
    <row r="1975" spans="2:8" ht="18" x14ac:dyDescent="0.25">
      <c r="B1975" s="343"/>
      <c r="C1975" s="343"/>
      <c r="D1975" s="343"/>
      <c r="E1975" s="342">
        <f>+$B$1</f>
        <v>46143</v>
      </c>
      <c r="F1975" s="85"/>
      <c r="G1975" s="337">
        <f>+$D$1</f>
        <v>46188</v>
      </c>
      <c r="H1975" s="90"/>
    </row>
    <row r="1976" spans="2:8" ht="18" x14ac:dyDescent="0.25">
      <c r="B1976" s="84"/>
      <c r="C1976" s="84"/>
      <c r="D1976" s="100"/>
      <c r="E1976" s="342"/>
      <c r="F1976" s="85"/>
      <c r="G1976" s="337"/>
      <c r="H1976" s="90"/>
    </row>
    <row r="1977" spans="2:8" ht="18" x14ac:dyDescent="0.25">
      <c r="B1977" s="85"/>
      <c r="C1977" s="85"/>
      <c r="D1977" s="85"/>
      <c r="E1977" s="86"/>
      <c r="F1977" s="85"/>
      <c r="G1977" s="86"/>
      <c r="H1977" s="90"/>
    </row>
    <row r="1978" spans="2:8" ht="18" x14ac:dyDescent="0.25">
      <c r="B1978" s="85" t="e">
        <f>+#REF!</f>
        <v>#REF!</v>
      </c>
      <c r="C1978" s="85"/>
      <c r="D1978" s="85"/>
      <c r="E1978" s="86"/>
      <c r="F1978" s="85"/>
      <c r="G1978" s="86"/>
      <c r="H1978" s="90"/>
    </row>
    <row r="1979" spans="2:8" ht="18" x14ac:dyDescent="0.25">
      <c r="B1979" s="86"/>
      <c r="C1979" s="85"/>
      <c r="D1979" s="85"/>
      <c r="E1979" s="85" t="s">
        <v>78</v>
      </c>
      <c r="F1979" s="85"/>
      <c r="G1979" s="85"/>
      <c r="H1979" s="90" t="s">
        <v>136</v>
      </c>
    </row>
    <row r="1980" spans="2:8" ht="18" x14ac:dyDescent="0.25">
      <c r="B1980" s="85"/>
      <c r="C1980" s="85"/>
      <c r="D1980" s="85"/>
      <c r="E1980" s="86"/>
      <c r="F1980" s="86"/>
      <c r="G1980" s="85"/>
      <c r="H1980" s="94"/>
    </row>
    <row r="1981" spans="2:8" ht="18" x14ac:dyDescent="0.25">
      <c r="B1981" s="94"/>
      <c r="C1981" s="85"/>
      <c r="D1981" s="94"/>
      <c r="E1981" s="85"/>
      <c r="F1981" s="85"/>
      <c r="G1981" s="85"/>
      <c r="H1981" s="90"/>
    </row>
    <row r="1982" spans="2:8" ht="18" x14ac:dyDescent="0.25">
      <c r="B1982" s="94"/>
      <c r="C1982" s="85"/>
      <c r="D1982" s="94"/>
      <c r="E1982" s="85"/>
      <c r="F1982" s="85"/>
      <c r="G1982" s="85"/>
      <c r="H1982" s="90"/>
    </row>
    <row r="1983" spans="2:8" ht="18" x14ac:dyDescent="0.25">
      <c r="B1983" s="85" t="s">
        <v>198</v>
      </c>
      <c r="C1983" s="85"/>
      <c r="D1983" s="107">
        <f>+'RES CUENTA'!$L$25</f>
        <v>10859801.41</v>
      </c>
      <c r="E1983" s="108" t="e">
        <f>+'RES CUENTA'!#REF!</f>
        <v>#REF!</v>
      </c>
      <c r="F1983" s="103" t="e">
        <f>+D1983*E1983/100</f>
        <v>#REF!</v>
      </c>
      <c r="G1983" s="345"/>
      <c r="H1983" s="345"/>
    </row>
    <row r="1984" spans="2:8" ht="18" x14ac:dyDescent="0.25">
      <c r="B1984" s="85" t="s">
        <v>199</v>
      </c>
      <c r="C1984" s="85"/>
      <c r="D1984" s="107" t="e">
        <f>+'RES CUENTA'!#REF!</f>
        <v>#REF!</v>
      </c>
      <c r="E1984" s="108" t="e">
        <f>+'RES CUENTA'!#REF!</f>
        <v>#REF!</v>
      </c>
      <c r="F1984" s="103" t="e">
        <f>+D1984*E1984/100</f>
        <v>#REF!</v>
      </c>
      <c r="G1984" s="341"/>
      <c r="H1984" s="341"/>
    </row>
    <row r="1985" spans="2:8" ht="18" x14ac:dyDescent="0.25">
      <c r="B1985" s="85" t="s">
        <v>79</v>
      </c>
      <c r="C1985" s="85"/>
      <c r="D1985" s="107" t="e">
        <f>+'RES CUENTA'!#REF!</f>
        <v>#REF!</v>
      </c>
      <c r="E1985" s="108">
        <v>0</v>
      </c>
      <c r="F1985" s="103" t="e">
        <f>+D1985</f>
        <v>#REF!</v>
      </c>
      <c r="G1985" s="341"/>
      <c r="H1985" s="341"/>
    </row>
    <row r="1986" spans="2:8" ht="18" x14ac:dyDescent="0.25">
      <c r="B1986" s="85" t="s">
        <v>80</v>
      </c>
      <c r="C1986" s="85"/>
      <c r="D1986" s="107" t="e">
        <f>+'RES CUENTA'!#REF!</f>
        <v>#REF!</v>
      </c>
      <c r="E1986" s="108">
        <v>0</v>
      </c>
      <c r="F1986" s="103" t="e">
        <f>+D1986</f>
        <v>#REF!</v>
      </c>
      <c r="G1986" s="341"/>
      <c r="H1986" s="341"/>
    </row>
    <row r="1987" spans="2:8" ht="18" x14ac:dyDescent="0.25">
      <c r="B1987" s="86"/>
      <c r="C1987" s="85"/>
      <c r="D1987" s="85"/>
      <c r="E1987" s="92"/>
      <c r="F1987" s="104" t="e">
        <f>SUM(F1983:F1986)</f>
        <v>#REF!</v>
      </c>
      <c r="G1987" s="341"/>
      <c r="H1987" s="341"/>
    </row>
    <row r="1988" spans="2:8" ht="18" x14ac:dyDescent="0.25">
      <c r="B1988" s="86"/>
      <c r="C1988" s="85"/>
      <c r="D1988" s="85"/>
      <c r="E1988" s="92"/>
      <c r="F1988" s="104"/>
      <c r="G1988" s="89"/>
      <c r="H1988" s="89"/>
    </row>
    <row r="1989" spans="2:8" ht="18" x14ac:dyDescent="0.25">
      <c r="B1989" s="86"/>
      <c r="C1989" s="85"/>
      <c r="D1989" s="85"/>
      <c r="E1989" s="85"/>
      <c r="G1989" s="338"/>
      <c r="H1989" s="338"/>
    </row>
    <row r="1990" spans="2:8" ht="18" x14ac:dyDescent="0.25">
      <c r="B1990" s="85"/>
      <c r="C1990" s="85"/>
      <c r="D1990" s="85"/>
      <c r="E1990" s="85"/>
      <c r="F1990" s="91"/>
      <c r="G1990" s="90"/>
      <c r="H1990" s="90"/>
    </row>
    <row r="1991" spans="2:8" ht="18" x14ac:dyDescent="0.25">
      <c r="B1991" s="85"/>
      <c r="C1991" s="85"/>
      <c r="D1991" s="85"/>
      <c r="E1991" s="85"/>
      <c r="F1991" s="92"/>
      <c r="G1991" s="85"/>
      <c r="H1991" s="90"/>
    </row>
    <row r="1992" spans="2:8" ht="18" x14ac:dyDescent="0.25">
      <c r="B1992" s="85"/>
      <c r="C1992" s="85"/>
      <c r="D1992" s="85"/>
      <c r="E1992" s="85"/>
      <c r="F1992" s="92"/>
      <c r="G1992" s="85"/>
      <c r="H1992" s="90"/>
    </row>
    <row r="1993" spans="2:8" ht="18" x14ac:dyDescent="0.25">
      <c r="B1993" s="85" t="e">
        <f>+B1978</f>
        <v>#REF!</v>
      </c>
      <c r="C1993" s="344"/>
      <c r="D1993" s="344"/>
      <c r="E1993" s="85" t="e">
        <f>+B1993</f>
        <v>#REF!</v>
      </c>
      <c r="F1993" s="92"/>
      <c r="G1993" s="85"/>
      <c r="H1993" s="90"/>
    </row>
    <row r="1994" spans="2:8" ht="18" x14ac:dyDescent="0.25">
      <c r="C1994" s="85"/>
      <c r="D1994" s="85"/>
      <c r="F1994" s="344"/>
      <c r="G1994" s="344"/>
      <c r="H1994" s="344"/>
    </row>
    <row r="1995" spans="2:8" ht="18" x14ac:dyDescent="0.25">
      <c r="B1995" s="85" t="str">
        <f>+$E$1</f>
        <v>Lima 461 C:A:B:A:</v>
      </c>
      <c r="C1995" s="85"/>
      <c r="D1995" s="93" t="str">
        <f>+H1979</f>
        <v>Unid. 53</v>
      </c>
      <c r="E1995" s="85" t="str">
        <f>+$E$1</f>
        <v>Lima 461 C:A:B:A:</v>
      </c>
      <c r="F1995" s="85"/>
      <c r="G1995" s="85"/>
      <c r="H1995" s="90" t="str">
        <f>+D1995</f>
        <v>Unid. 53</v>
      </c>
    </row>
    <row r="1996" spans="2:8" ht="18" x14ac:dyDescent="0.25">
      <c r="H1996" s="94"/>
    </row>
    <row r="1997" spans="2:8" ht="18" x14ac:dyDescent="0.25">
      <c r="B1997" s="86"/>
      <c r="C1997" s="86"/>
      <c r="D1997" s="86"/>
      <c r="E1997" s="86"/>
      <c r="F1997" s="85"/>
      <c r="G1997" s="85"/>
    </row>
    <row r="1998" spans="2:8" ht="18" x14ac:dyDescent="0.25">
      <c r="B1998" s="85">
        <f>+$E$2</f>
        <v>0</v>
      </c>
      <c r="C1998" s="85"/>
      <c r="D1998" s="85"/>
      <c r="E1998" s="85"/>
      <c r="F1998" s="85"/>
      <c r="G1998" s="86"/>
      <c r="H1998" s="94"/>
    </row>
    <row r="1999" spans="2:8" ht="18" x14ac:dyDescent="0.25">
      <c r="B1999" s="85">
        <f>+$E$3</f>
        <v>0</v>
      </c>
      <c r="C1999" s="85"/>
      <c r="D1999" s="85"/>
      <c r="E1999" s="96"/>
      <c r="F1999" s="85"/>
      <c r="G1999" s="94"/>
      <c r="H1999" s="90"/>
    </row>
    <row r="2000" spans="2:8" ht="18" x14ac:dyDescent="0.25">
      <c r="C2000" s="85"/>
      <c r="D2000" s="85"/>
      <c r="E2000" s="85" t="s">
        <v>200</v>
      </c>
      <c r="F2000" s="106" t="e">
        <f>+F1983</f>
        <v>#REF!</v>
      </c>
      <c r="H2000" s="99">
        <f>+B2005</f>
        <v>46188</v>
      </c>
    </row>
    <row r="2001" spans="2:8" ht="18" x14ac:dyDescent="0.25">
      <c r="B2001" s="86"/>
      <c r="C2001" s="85"/>
      <c r="D2001" s="85"/>
      <c r="E2001" s="85" t="s">
        <v>201</v>
      </c>
      <c r="F2001" s="106" t="e">
        <f>+F1984</f>
        <v>#REF!</v>
      </c>
    </row>
    <row r="2002" spans="2:8" ht="18" x14ac:dyDescent="0.25">
      <c r="B2002" s="86"/>
      <c r="C2002" s="85"/>
      <c r="D2002" s="85"/>
      <c r="E2002" s="85" t="s">
        <v>81</v>
      </c>
      <c r="F2002" s="106" t="e">
        <f>+F1985</f>
        <v>#REF!</v>
      </c>
      <c r="G2002" s="85"/>
      <c r="H2002" s="90"/>
    </row>
    <row r="2003" spans="2:8" ht="18" x14ac:dyDescent="0.25">
      <c r="B2003" s="85"/>
      <c r="C2003" s="85"/>
      <c r="D2003" s="85"/>
      <c r="E2003" s="85" t="s">
        <v>82</v>
      </c>
      <c r="F2003" s="106" t="e">
        <f>+F1986</f>
        <v>#REF!</v>
      </c>
      <c r="G2003" s="85"/>
      <c r="H2003" s="90"/>
    </row>
    <row r="2004" spans="2:8" ht="18" x14ac:dyDescent="0.25">
      <c r="B2004" s="96"/>
      <c r="C2004" s="96"/>
      <c r="D2004" s="96"/>
      <c r="E2004" s="85" t="s">
        <v>188</v>
      </c>
      <c r="F2004" s="106">
        <v>0</v>
      </c>
      <c r="G2004" s="85"/>
      <c r="H2004" s="90"/>
    </row>
    <row r="2005" spans="2:8" ht="18" x14ac:dyDescent="0.25">
      <c r="B2005" s="99">
        <f>+$G$30</f>
        <v>46188</v>
      </c>
      <c r="C2005" s="105" t="e">
        <f>+F1987</f>
        <v>#REF!</v>
      </c>
      <c r="D2005" s="85"/>
      <c r="E2005" s="85" t="s">
        <v>83</v>
      </c>
      <c r="F2005" s="106" t="e">
        <f>+F1987</f>
        <v>#REF!</v>
      </c>
      <c r="G2005" s="85"/>
      <c r="H2005" s="90"/>
    </row>
    <row r="2006" spans="2:8" ht="18" x14ac:dyDescent="0.25">
      <c r="B2006" s="85"/>
      <c r="C2006" s="85"/>
      <c r="D2006" s="85"/>
      <c r="E2006" s="85"/>
      <c r="F2006" s="85"/>
      <c r="G2006" s="85"/>
      <c r="H2006" s="90"/>
    </row>
    <row r="2007" spans="2:8" ht="18" x14ac:dyDescent="0.25">
      <c r="B2007" s="85"/>
      <c r="C2007" s="85"/>
      <c r="D2007" s="85"/>
      <c r="E2007" s="85"/>
      <c r="F2007" s="85"/>
      <c r="G2007" s="345"/>
      <c r="H2007" s="345"/>
    </row>
    <row r="2008" spans="2:8" ht="18" x14ac:dyDescent="0.25">
      <c r="B2008" s="85"/>
      <c r="C2008" s="85"/>
      <c r="D2008" s="85"/>
      <c r="E2008" s="85"/>
      <c r="F2008" s="85"/>
      <c r="G2008" s="85"/>
      <c r="H2008" s="90"/>
    </row>
    <row r="2009" spans="2:8" ht="18" x14ac:dyDescent="0.25">
      <c r="B2009" s="85"/>
      <c r="C2009" s="85"/>
      <c r="D2009" s="85"/>
      <c r="E2009" s="85"/>
      <c r="F2009" s="85"/>
      <c r="G2009" s="85"/>
      <c r="H2009" s="90"/>
    </row>
    <row r="2010" spans="2:8" ht="18" x14ac:dyDescent="0.25">
      <c r="B2010" s="85"/>
      <c r="C2010" s="85"/>
      <c r="D2010" s="85"/>
      <c r="E2010" s="85"/>
      <c r="F2010" s="85"/>
      <c r="G2010" s="85"/>
      <c r="H2010" s="90"/>
    </row>
    <row r="2011" spans="2:8" ht="18" x14ac:dyDescent="0.25">
      <c r="B2011" s="85"/>
      <c r="C2011" s="85"/>
      <c r="D2011" s="85"/>
      <c r="E2011" s="85"/>
      <c r="F2011" s="85"/>
      <c r="G2011" s="85"/>
      <c r="H2011" s="90"/>
    </row>
    <row r="2012" spans="2:8" ht="18" x14ac:dyDescent="0.25">
      <c r="B2012" s="85"/>
      <c r="C2012" s="85"/>
      <c r="D2012" s="85"/>
      <c r="E2012" s="85"/>
      <c r="F2012" s="85"/>
      <c r="H2012" s="90"/>
    </row>
    <row r="2013" spans="2:8" ht="18" x14ac:dyDescent="0.25">
      <c r="B2013" s="343"/>
      <c r="C2013" s="343"/>
      <c r="D2013" s="343"/>
      <c r="E2013" s="85"/>
      <c r="F2013" s="85"/>
      <c r="H2013" s="90"/>
    </row>
    <row r="2014" spans="2:8" ht="18" x14ac:dyDescent="0.25">
      <c r="B2014" s="343"/>
      <c r="C2014" s="343"/>
      <c r="D2014" s="343"/>
      <c r="E2014" s="98">
        <f>+$B$1</f>
        <v>46143</v>
      </c>
      <c r="F2014" s="85"/>
      <c r="G2014" s="99">
        <f>+$D$1</f>
        <v>46188</v>
      </c>
      <c r="H2014" s="160"/>
    </row>
    <row r="2015" spans="2:8" ht="18" x14ac:dyDescent="0.25">
      <c r="B2015" s="84"/>
      <c r="C2015" s="84"/>
      <c r="D2015" s="100"/>
      <c r="E2015" s="98"/>
      <c r="F2015" s="85"/>
    </row>
    <row r="2016" spans="2:8" ht="18" x14ac:dyDescent="0.25">
      <c r="B2016" s="85" t="e">
        <f>+#REF!</f>
        <v>#REF!</v>
      </c>
      <c r="C2016" s="85"/>
      <c r="D2016" s="85"/>
      <c r="F2016" s="85"/>
    </row>
    <row r="2017" spans="2:8" ht="18" x14ac:dyDescent="0.25">
      <c r="C2017" s="85"/>
      <c r="D2017" s="85"/>
      <c r="E2017" s="85" t="str">
        <f>+$E$1</f>
        <v>Lima 461 C:A:B:A:</v>
      </c>
      <c r="F2017" s="85"/>
      <c r="H2017" s="90" t="s">
        <v>137</v>
      </c>
    </row>
    <row r="2018" spans="2:8" ht="18" x14ac:dyDescent="0.25">
      <c r="B2018" s="86"/>
      <c r="C2018" s="85"/>
      <c r="D2018" s="85"/>
      <c r="F2018" s="85"/>
      <c r="G2018" s="86"/>
    </row>
    <row r="2019" spans="2:8" ht="18" x14ac:dyDescent="0.25">
      <c r="B2019" s="85"/>
      <c r="C2019" s="85"/>
      <c r="D2019" s="85"/>
      <c r="E2019" s="86"/>
      <c r="F2019" s="86"/>
      <c r="G2019" s="85"/>
      <c r="H2019" s="94"/>
    </row>
    <row r="2020" spans="2:8" ht="18" x14ac:dyDescent="0.25">
      <c r="B2020" s="94"/>
      <c r="C2020" s="85"/>
      <c r="D2020" s="94"/>
      <c r="E2020" s="85"/>
      <c r="F2020" s="85"/>
      <c r="G2020" s="85"/>
      <c r="H2020" s="90"/>
    </row>
    <row r="2021" spans="2:8" ht="18" x14ac:dyDescent="0.25">
      <c r="B2021" s="85" t="s">
        <v>198</v>
      </c>
      <c r="C2021" s="85"/>
      <c r="D2021" s="107">
        <f>+'RES CUENTA'!$L$25</f>
        <v>10859801.41</v>
      </c>
      <c r="E2021" s="108" t="e">
        <f>+'RES CUENTA'!#REF!</f>
        <v>#REF!</v>
      </c>
      <c r="F2021" s="103" t="e">
        <f>+D2021*E2021/100</f>
        <v>#REF!</v>
      </c>
      <c r="G2021" s="85"/>
      <c r="H2021" s="94"/>
    </row>
    <row r="2022" spans="2:8" ht="18" x14ac:dyDescent="0.25">
      <c r="B2022" s="85" t="s">
        <v>199</v>
      </c>
      <c r="C2022" s="85"/>
      <c r="D2022" s="107" t="e">
        <f>+'RES CUENTA'!#REF!</f>
        <v>#REF!</v>
      </c>
      <c r="E2022" s="108" t="e">
        <f>+'RES CUENTA'!#REF!</f>
        <v>#REF!</v>
      </c>
      <c r="F2022" s="103" t="e">
        <f>+D2022*E2022/100</f>
        <v>#REF!</v>
      </c>
      <c r="G2022" s="94"/>
      <c r="H2022" s="89"/>
    </row>
    <row r="2023" spans="2:8" ht="18" x14ac:dyDescent="0.25">
      <c r="B2023" s="85" t="s">
        <v>79</v>
      </c>
      <c r="C2023" s="85"/>
      <c r="D2023" s="107" t="e">
        <f>+'RES CUENTA'!#REF!</f>
        <v>#REF!</v>
      </c>
      <c r="E2023" s="108">
        <f>+'RES CUENTA'!P1132</f>
        <v>0</v>
      </c>
      <c r="F2023" s="103" t="e">
        <f>+D2023</f>
        <v>#REF!</v>
      </c>
      <c r="G2023" s="89"/>
      <c r="H2023" s="89"/>
    </row>
    <row r="2024" spans="2:8" ht="18" x14ac:dyDescent="0.25">
      <c r="B2024" s="85" t="s">
        <v>80</v>
      </c>
      <c r="C2024" s="85"/>
      <c r="D2024" s="107" t="e">
        <f>+'RES CUENTA'!#REF!</f>
        <v>#REF!</v>
      </c>
      <c r="E2024" s="108">
        <f>+'RES CUENTA'!R1127</f>
        <v>0</v>
      </c>
      <c r="F2024" s="103" t="e">
        <f>+D2024</f>
        <v>#REF!</v>
      </c>
      <c r="G2024" s="89"/>
      <c r="H2024" s="89"/>
    </row>
    <row r="2025" spans="2:8" ht="18" x14ac:dyDescent="0.25">
      <c r="B2025" s="86"/>
      <c r="C2025" s="85"/>
      <c r="D2025" s="85"/>
      <c r="F2025" s="104" t="e">
        <f>SUM(F2021:F2024)</f>
        <v>#REF!</v>
      </c>
      <c r="G2025" s="89"/>
      <c r="H2025" s="89"/>
    </row>
    <row r="2026" spans="2:8" ht="18" x14ac:dyDescent="0.25">
      <c r="B2026" s="86"/>
      <c r="C2026" s="85"/>
      <c r="D2026" s="85"/>
      <c r="F2026" s="104"/>
      <c r="G2026" s="89"/>
      <c r="H2026" s="89"/>
    </row>
    <row r="2027" spans="2:8" ht="18" x14ac:dyDescent="0.25">
      <c r="B2027" s="86"/>
      <c r="C2027" s="85"/>
      <c r="D2027" s="85"/>
      <c r="F2027" s="91"/>
      <c r="G2027" s="89"/>
      <c r="H2027" s="90"/>
    </row>
    <row r="2028" spans="2:8" ht="18" x14ac:dyDescent="0.25">
      <c r="B2028" s="85"/>
      <c r="C2028" s="85"/>
      <c r="D2028" s="85"/>
      <c r="E2028" s="85"/>
      <c r="F2028" s="92"/>
      <c r="G2028" s="90"/>
      <c r="H2028" s="90"/>
    </row>
    <row r="2029" spans="2:8" ht="18" x14ac:dyDescent="0.25">
      <c r="B2029" s="85"/>
      <c r="C2029" s="85"/>
      <c r="D2029" s="85"/>
      <c r="E2029" s="85"/>
      <c r="F2029" s="92"/>
      <c r="G2029" s="90"/>
      <c r="H2029" s="90"/>
    </row>
    <row r="2030" spans="2:8" ht="18" x14ac:dyDescent="0.25">
      <c r="B2030" s="85"/>
      <c r="C2030" s="85"/>
      <c r="D2030" s="85"/>
      <c r="E2030" s="85"/>
      <c r="F2030" s="92"/>
      <c r="G2030" s="90"/>
      <c r="H2030" s="90"/>
    </row>
    <row r="2031" spans="2:8" ht="18" x14ac:dyDescent="0.25">
      <c r="B2031" s="85" t="e">
        <f>+B2016</f>
        <v>#REF!</v>
      </c>
      <c r="C2031" s="85"/>
      <c r="D2031" s="85"/>
      <c r="E2031" s="85" t="e">
        <f>+B2016</f>
        <v>#REF!</v>
      </c>
      <c r="F2031" s="85"/>
      <c r="G2031" s="85"/>
      <c r="H2031" s="94"/>
    </row>
    <row r="2032" spans="2:8" ht="18" x14ac:dyDescent="0.25">
      <c r="B2032" s="86"/>
      <c r="C2032" s="85"/>
      <c r="D2032" s="85"/>
      <c r="F2032" s="85"/>
      <c r="G2032" s="101"/>
      <c r="H2032" s="90" t="str">
        <f>+H2017</f>
        <v>Unid. 54</v>
      </c>
    </row>
    <row r="2033" spans="2:8" ht="18" x14ac:dyDescent="0.25">
      <c r="B2033" s="85" t="str">
        <f>+$E$1</f>
        <v>Lima 461 C:A:B:A:</v>
      </c>
      <c r="C2033" s="85"/>
      <c r="D2033" s="93" t="str">
        <f>+H2032</f>
        <v>Unid. 54</v>
      </c>
      <c r="E2033" s="85" t="str">
        <f>+$E$1</f>
        <v>Lima 461 C:A:B:A:</v>
      </c>
      <c r="F2033" s="85"/>
      <c r="G2033" s="85"/>
      <c r="H2033" s="94"/>
    </row>
    <row r="2034" spans="2:8" ht="18" x14ac:dyDescent="0.25">
      <c r="B2034" s="86"/>
      <c r="C2034" s="86"/>
      <c r="D2034" s="86"/>
      <c r="F2034" s="85"/>
      <c r="G2034" s="85"/>
    </row>
    <row r="2035" spans="2:8" ht="18" x14ac:dyDescent="0.25">
      <c r="B2035" s="85"/>
      <c r="C2035" s="85"/>
      <c r="D2035" s="85"/>
      <c r="E2035" s="86"/>
      <c r="F2035" s="85"/>
      <c r="G2035" s="85"/>
      <c r="H2035" s="94"/>
    </row>
    <row r="2036" spans="2:8" ht="18" x14ac:dyDescent="0.25">
      <c r="B2036" s="85">
        <f>+$E$2</f>
        <v>0</v>
      </c>
      <c r="C2036" s="85"/>
      <c r="D2036" s="85"/>
      <c r="E2036" s="85"/>
      <c r="F2036" s="96"/>
      <c r="G2036" s="86"/>
      <c r="H2036" s="90"/>
    </row>
    <row r="2037" spans="2:8" ht="18" x14ac:dyDescent="0.25">
      <c r="B2037" s="85">
        <f>+$E$3</f>
        <v>0</v>
      </c>
      <c r="C2037" s="85"/>
      <c r="D2037" s="85"/>
      <c r="E2037" s="96"/>
      <c r="G2037" s="94"/>
      <c r="H2037" s="96"/>
    </row>
    <row r="2038" spans="2:8" ht="18" x14ac:dyDescent="0.25">
      <c r="B2038" s="86"/>
      <c r="C2038" s="85"/>
      <c r="D2038" s="85"/>
      <c r="E2038" s="85" t="s">
        <v>200</v>
      </c>
      <c r="F2038" s="106" t="e">
        <f>+F2021</f>
        <v>#REF!</v>
      </c>
      <c r="G2038" s="95"/>
      <c r="H2038" s="99">
        <f>+B2042</f>
        <v>46188</v>
      </c>
    </row>
    <row r="2039" spans="2:8" ht="18" x14ac:dyDescent="0.25">
      <c r="B2039" s="86"/>
      <c r="C2039" s="85"/>
      <c r="D2039" s="85"/>
      <c r="E2039" s="85" t="s">
        <v>201</v>
      </c>
      <c r="F2039" s="106" t="e">
        <f>+F2022</f>
        <v>#REF!</v>
      </c>
      <c r="H2039" s="90"/>
    </row>
    <row r="2040" spans="2:8" ht="18" x14ac:dyDescent="0.25">
      <c r="B2040" s="85"/>
      <c r="C2040" s="85"/>
      <c r="D2040" s="85"/>
      <c r="E2040" s="85" t="s">
        <v>81</v>
      </c>
      <c r="F2040" s="106" t="e">
        <f>+F2023</f>
        <v>#REF!</v>
      </c>
      <c r="G2040" s="85"/>
      <c r="H2040" s="90"/>
    </row>
    <row r="2041" spans="2:8" ht="18" x14ac:dyDescent="0.25">
      <c r="B2041" s="96"/>
      <c r="C2041" s="96"/>
      <c r="D2041" s="96"/>
      <c r="E2041" s="85" t="s">
        <v>82</v>
      </c>
      <c r="F2041" s="106" t="e">
        <f>+F2024</f>
        <v>#REF!</v>
      </c>
      <c r="G2041" s="85"/>
      <c r="H2041" s="90"/>
    </row>
    <row r="2042" spans="2:8" ht="18" x14ac:dyDescent="0.25">
      <c r="B2042" s="99">
        <f>+$G$30</f>
        <v>46188</v>
      </c>
      <c r="C2042" s="105" t="e">
        <f>+F2025</f>
        <v>#REF!</v>
      </c>
      <c r="D2042" s="85"/>
      <c r="E2042" s="85" t="s">
        <v>188</v>
      </c>
      <c r="F2042" s="106">
        <v>0</v>
      </c>
      <c r="G2042" s="85"/>
      <c r="H2042" s="90"/>
    </row>
    <row r="2043" spans="2:8" ht="18" x14ac:dyDescent="0.25">
      <c r="B2043" s="85"/>
      <c r="C2043" s="85"/>
      <c r="D2043" s="85"/>
      <c r="E2043" s="85" t="s">
        <v>83</v>
      </c>
      <c r="F2043" s="106" t="e">
        <f>+F2025</f>
        <v>#REF!</v>
      </c>
      <c r="G2043" s="85"/>
      <c r="H2043" s="90"/>
    </row>
    <row r="2044" spans="2:8" ht="18" x14ac:dyDescent="0.25">
      <c r="B2044" s="85"/>
      <c r="C2044" s="85"/>
      <c r="D2044" s="85"/>
      <c r="E2044" s="85"/>
      <c r="F2044" s="85"/>
      <c r="G2044" s="85"/>
      <c r="H2044" s="90"/>
    </row>
    <row r="2045" spans="2:8" ht="18" x14ac:dyDescent="0.25">
      <c r="B2045" s="85"/>
      <c r="C2045" s="85"/>
      <c r="D2045" s="85"/>
      <c r="E2045" s="102"/>
      <c r="F2045" s="85"/>
      <c r="G2045" s="85"/>
      <c r="H2045" s="90"/>
    </row>
    <row r="2046" spans="2:8" ht="18" x14ac:dyDescent="0.25">
      <c r="B2046" s="85"/>
      <c r="C2046" s="85"/>
      <c r="D2046" s="85"/>
      <c r="E2046" s="85"/>
      <c r="F2046" s="85"/>
      <c r="G2046" s="85"/>
      <c r="H2046" s="94"/>
    </row>
    <row r="2047" spans="2:8" ht="18" x14ac:dyDescent="0.25">
      <c r="E2047" s="85"/>
      <c r="G2047" s="94"/>
      <c r="H2047" s="90"/>
    </row>
    <row r="2049" spans="2:8" ht="18" x14ac:dyDescent="0.25">
      <c r="B2049" s="343"/>
      <c r="C2049" s="343"/>
      <c r="D2049" s="343"/>
      <c r="E2049" s="342">
        <f>+$B$1</f>
        <v>46143</v>
      </c>
      <c r="F2049" s="85"/>
      <c r="G2049" s="337">
        <f>+$D$1</f>
        <v>46188</v>
      </c>
      <c r="H2049" s="90"/>
    </row>
    <row r="2050" spans="2:8" ht="18" x14ac:dyDescent="0.25">
      <c r="B2050" s="84"/>
      <c r="C2050" s="84"/>
      <c r="D2050" s="100"/>
      <c r="E2050" s="342"/>
      <c r="F2050" s="85"/>
      <c r="G2050" s="337"/>
      <c r="H2050" s="90"/>
    </row>
    <row r="2051" spans="2:8" ht="18" x14ac:dyDescent="0.25">
      <c r="B2051" s="85"/>
      <c r="C2051" s="85"/>
      <c r="D2051" s="85"/>
      <c r="E2051" s="86"/>
      <c r="F2051" s="85"/>
      <c r="G2051" s="86"/>
      <c r="H2051" s="90"/>
    </row>
    <row r="2052" spans="2:8" ht="18" x14ac:dyDescent="0.25">
      <c r="B2052" s="85" t="e">
        <f>+#REF!</f>
        <v>#REF!</v>
      </c>
      <c r="C2052" s="85"/>
      <c r="D2052" s="85"/>
      <c r="E2052" s="86"/>
      <c r="F2052" s="85"/>
      <c r="G2052" s="86"/>
      <c r="H2052" s="90"/>
    </row>
    <row r="2053" spans="2:8" ht="18" x14ac:dyDescent="0.25">
      <c r="B2053" s="86"/>
      <c r="C2053" s="85"/>
      <c r="D2053" s="85"/>
      <c r="E2053" s="85" t="s">
        <v>78</v>
      </c>
      <c r="F2053" s="85"/>
      <c r="G2053" s="85"/>
      <c r="H2053" s="90" t="s">
        <v>138</v>
      </c>
    </row>
    <row r="2054" spans="2:8" ht="18" x14ac:dyDescent="0.25">
      <c r="B2054" s="85"/>
      <c r="C2054" s="85"/>
      <c r="D2054" s="85"/>
      <c r="E2054" s="86"/>
      <c r="F2054" s="86"/>
      <c r="G2054" s="85"/>
      <c r="H2054" s="94"/>
    </row>
    <row r="2055" spans="2:8" ht="18" x14ac:dyDescent="0.25">
      <c r="B2055" s="94"/>
      <c r="C2055" s="85"/>
      <c r="D2055" s="94"/>
      <c r="E2055" s="85"/>
      <c r="F2055" s="85"/>
      <c r="G2055" s="85"/>
      <c r="H2055" s="90"/>
    </row>
    <row r="2056" spans="2:8" ht="18" x14ac:dyDescent="0.25">
      <c r="B2056" s="94"/>
      <c r="C2056" s="85"/>
      <c r="D2056" s="94"/>
      <c r="E2056" s="85"/>
      <c r="F2056" s="85"/>
      <c r="G2056" s="85"/>
      <c r="H2056" s="90"/>
    </row>
    <row r="2057" spans="2:8" ht="18" x14ac:dyDescent="0.25">
      <c r="B2057" s="85" t="s">
        <v>198</v>
      </c>
      <c r="C2057" s="85"/>
      <c r="D2057" s="107">
        <f>+'RES CUENTA'!$L$25</f>
        <v>10859801.41</v>
      </c>
      <c r="E2057" s="108" t="e">
        <f>+'RES CUENTA'!#REF!</f>
        <v>#REF!</v>
      </c>
      <c r="F2057" s="103" t="e">
        <f>+D2057*E2057/100</f>
        <v>#REF!</v>
      </c>
      <c r="G2057" s="345"/>
      <c r="H2057" s="345"/>
    </row>
    <row r="2058" spans="2:8" ht="18" x14ac:dyDescent="0.25">
      <c r="B2058" s="85" t="s">
        <v>199</v>
      </c>
      <c r="C2058" s="85"/>
      <c r="D2058" s="107" t="e">
        <f>+'RES CUENTA'!#REF!</f>
        <v>#REF!</v>
      </c>
      <c r="E2058" s="108" t="e">
        <f>+'RES CUENTA'!#REF!</f>
        <v>#REF!</v>
      </c>
      <c r="F2058" s="103" t="e">
        <f>+D2058*E2058/100</f>
        <v>#REF!</v>
      </c>
      <c r="G2058" s="341"/>
      <c r="H2058" s="341"/>
    </row>
    <row r="2059" spans="2:8" ht="18" x14ac:dyDescent="0.25">
      <c r="B2059" s="85" t="s">
        <v>79</v>
      </c>
      <c r="C2059" s="85"/>
      <c r="D2059" s="107" t="e">
        <f>+'RES CUENTA'!#REF!</f>
        <v>#REF!</v>
      </c>
      <c r="E2059" s="108">
        <v>0</v>
      </c>
      <c r="F2059" s="103" t="e">
        <f>+D2059</f>
        <v>#REF!</v>
      </c>
      <c r="G2059" s="341"/>
      <c r="H2059" s="341"/>
    </row>
    <row r="2060" spans="2:8" ht="18" x14ac:dyDescent="0.25">
      <c r="B2060" s="85" t="s">
        <v>80</v>
      </c>
      <c r="C2060" s="85"/>
      <c r="D2060" s="107" t="e">
        <f>+'RES CUENTA'!#REF!</f>
        <v>#REF!</v>
      </c>
      <c r="E2060" s="108">
        <v>0</v>
      </c>
      <c r="F2060" s="103" t="e">
        <f>+D2060</f>
        <v>#REF!</v>
      </c>
      <c r="G2060" s="341"/>
      <c r="H2060" s="341"/>
    </row>
    <row r="2061" spans="2:8" ht="18" x14ac:dyDescent="0.25">
      <c r="B2061" s="86"/>
      <c r="C2061" s="85"/>
      <c r="D2061" s="85"/>
      <c r="E2061" s="92"/>
      <c r="F2061" s="104" t="e">
        <f>SUM(F2057:F2060)</f>
        <v>#REF!</v>
      </c>
      <c r="G2061" s="341"/>
      <c r="H2061" s="341"/>
    </row>
    <row r="2062" spans="2:8" ht="18" x14ac:dyDescent="0.25">
      <c r="B2062" s="86"/>
      <c r="C2062" s="85"/>
      <c r="D2062" s="85"/>
      <c r="E2062" s="92"/>
      <c r="F2062" s="104"/>
      <c r="G2062" s="89"/>
      <c r="H2062" s="89"/>
    </row>
    <row r="2063" spans="2:8" ht="18" x14ac:dyDescent="0.25">
      <c r="B2063" s="86"/>
      <c r="C2063" s="85"/>
      <c r="D2063" s="85"/>
      <c r="E2063" s="85"/>
      <c r="G2063" s="338"/>
      <c r="H2063" s="338"/>
    </row>
    <row r="2064" spans="2:8" ht="18" x14ac:dyDescent="0.25">
      <c r="B2064" s="85"/>
      <c r="C2064" s="85"/>
      <c r="D2064" s="85"/>
      <c r="E2064" s="85"/>
      <c r="F2064" s="91"/>
      <c r="G2064" s="90"/>
      <c r="H2064" s="90"/>
    </row>
    <row r="2065" spans="2:8" ht="18" x14ac:dyDescent="0.25">
      <c r="B2065" s="85"/>
      <c r="C2065" s="85"/>
      <c r="D2065" s="85"/>
      <c r="E2065" s="85"/>
      <c r="F2065" s="92"/>
      <c r="G2065" s="85"/>
      <c r="H2065" s="90"/>
    </row>
    <row r="2066" spans="2:8" ht="18" x14ac:dyDescent="0.25">
      <c r="B2066" s="85"/>
      <c r="C2066" s="85"/>
      <c r="D2066" s="85"/>
      <c r="E2066" s="85"/>
      <c r="F2066" s="92"/>
      <c r="G2066" s="85"/>
      <c r="H2066" s="90"/>
    </row>
    <row r="2067" spans="2:8" ht="18" x14ac:dyDescent="0.25">
      <c r="B2067" s="85" t="e">
        <f>+B2052</f>
        <v>#REF!</v>
      </c>
      <c r="C2067" s="344"/>
      <c r="D2067" s="344"/>
      <c r="E2067" s="85" t="e">
        <f>+B2067</f>
        <v>#REF!</v>
      </c>
      <c r="F2067" s="92"/>
      <c r="G2067" s="85"/>
      <c r="H2067" s="90"/>
    </row>
    <row r="2068" spans="2:8" ht="18" x14ac:dyDescent="0.25">
      <c r="C2068" s="85"/>
      <c r="D2068" s="85"/>
      <c r="F2068" s="344"/>
      <c r="G2068" s="344"/>
      <c r="H2068" s="344"/>
    </row>
    <row r="2069" spans="2:8" ht="18" x14ac:dyDescent="0.25">
      <c r="B2069" s="85" t="str">
        <f>+$E$1</f>
        <v>Lima 461 C:A:B:A:</v>
      </c>
      <c r="C2069" s="85"/>
      <c r="D2069" s="93" t="str">
        <f>+H2053</f>
        <v>Unid. 55</v>
      </c>
      <c r="E2069" s="85" t="str">
        <f>+$E$1</f>
        <v>Lima 461 C:A:B:A:</v>
      </c>
      <c r="F2069" s="85"/>
      <c r="G2069" s="85"/>
      <c r="H2069" s="90" t="str">
        <f>+D2069</f>
        <v>Unid. 55</v>
      </c>
    </row>
    <row r="2070" spans="2:8" ht="18" x14ac:dyDescent="0.25">
      <c r="H2070" s="94"/>
    </row>
    <row r="2071" spans="2:8" ht="18" x14ac:dyDescent="0.25">
      <c r="B2071" s="86"/>
      <c r="C2071" s="86"/>
      <c r="D2071" s="86"/>
      <c r="E2071" s="86"/>
      <c r="F2071" s="85"/>
      <c r="G2071" s="85"/>
    </row>
    <row r="2072" spans="2:8" ht="18" x14ac:dyDescent="0.25">
      <c r="B2072" s="85">
        <f>+$E$2</f>
        <v>0</v>
      </c>
      <c r="C2072" s="85"/>
      <c r="D2072" s="85"/>
      <c r="E2072" s="85"/>
      <c r="F2072" s="85"/>
      <c r="G2072" s="86"/>
      <c r="H2072" s="94"/>
    </row>
    <row r="2073" spans="2:8" ht="18" x14ac:dyDescent="0.25">
      <c r="B2073" s="85">
        <f>+$E$3</f>
        <v>0</v>
      </c>
      <c r="C2073" s="85"/>
      <c r="D2073" s="85"/>
      <c r="E2073" s="96"/>
      <c r="F2073" s="85"/>
      <c r="G2073" s="94"/>
      <c r="H2073" s="90"/>
    </row>
    <row r="2074" spans="2:8" ht="18" x14ac:dyDescent="0.25">
      <c r="C2074" s="85"/>
      <c r="D2074" s="85"/>
      <c r="E2074" s="85" t="s">
        <v>200</v>
      </c>
      <c r="F2074" s="106" t="e">
        <f>+F2057</f>
        <v>#REF!</v>
      </c>
      <c r="H2074" s="99">
        <f>+B2079</f>
        <v>46188</v>
      </c>
    </row>
    <row r="2075" spans="2:8" ht="18" x14ac:dyDescent="0.25">
      <c r="B2075" s="86"/>
      <c r="C2075" s="85"/>
      <c r="D2075" s="85"/>
      <c r="E2075" s="85" t="s">
        <v>201</v>
      </c>
      <c r="F2075" s="106" t="e">
        <f>+F2058</f>
        <v>#REF!</v>
      </c>
    </row>
    <row r="2076" spans="2:8" ht="18" x14ac:dyDescent="0.25">
      <c r="B2076" s="86"/>
      <c r="C2076" s="85"/>
      <c r="D2076" s="85"/>
      <c r="E2076" s="85" t="s">
        <v>81</v>
      </c>
      <c r="F2076" s="106" t="e">
        <f>+F2059</f>
        <v>#REF!</v>
      </c>
      <c r="G2076" s="85"/>
      <c r="H2076" s="90"/>
    </row>
    <row r="2077" spans="2:8" ht="18" x14ac:dyDescent="0.25">
      <c r="B2077" s="85"/>
      <c r="C2077" s="85"/>
      <c r="D2077" s="85"/>
      <c r="E2077" s="85" t="s">
        <v>82</v>
      </c>
      <c r="F2077" s="106" t="e">
        <f>+F2060</f>
        <v>#REF!</v>
      </c>
      <c r="G2077" s="85"/>
      <c r="H2077" s="90"/>
    </row>
    <row r="2078" spans="2:8" ht="18" x14ac:dyDescent="0.25">
      <c r="B2078" s="96"/>
      <c r="C2078" s="96"/>
      <c r="D2078" s="96"/>
      <c r="E2078" s="85" t="s">
        <v>188</v>
      </c>
      <c r="F2078" s="106">
        <v>0</v>
      </c>
      <c r="G2078" s="85"/>
      <c r="H2078" s="90"/>
    </row>
    <row r="2079" spans="2:8" ht="18" x14ac:dyDescent="0.25">
      <c r="B2079" s="99">
        <f>+$G$30</f>
        <v>46188</v>
      </c>
      <c r="C2079" s="105" t="e">
        <f>+F2061</f>
        <v>#REF!</v>
      </c>
      <c r="D2079" s="85"/>
      <c r="E2079" s="85" t="s">
        <v>83</v>
      </c>
      <c r="F2079" s="106" t="e">
        <f>+F2061</f>
        <v>#REF!</v>
      </c>
      <c r="G2079" s="85"/>
      <c r="H2079" s="90"/>
    </row>
    <row r="2080" spans="2:8" ht="18" x14ac:dyDescent="0.25">
      <c r="B2080" s="85"/>
      <c r="C2080" s="85"/>
      <c r="D2080" s="85"/>
      <c r="E2080" s="85"/>
      <c r="F2080" s="85"/>
      <c r="G2080" s="85"/>
      <c r="H2080" s="90"/>
    </row>
    <row r="2081" spans="2:8" ht="18" x14ac:dyDescent="0.25">
      <c r="B2081" s="85"/>
      <c r="C2081" s="85"/>
      <c r="D2081" s="85"/>
      <c r="E2081" s="85"/>
      <c r="F2081" s="85"/>
      <c r="G2081" s="345"/>
      <c r="H2081" s="345"/>
    </row>
    <row r="2082" spans="2:8" ht="18" x14ac:dyDescent="0.25">
      <c r="B2082" s="85"/>
      <c r="C2082" s="85"/>
      <c r="D2082" s="85"/>
      <c r="E2082" s="85"/>
      <c r="F2082" s="85"/>
      <c r="G2082" s="85"/>
      <c r="H2082" s="90"/>
    </row>
    <row r="2083" spans="2:8" ht="18" x14ac:dyDescent="0.25">
      <c r="B2083" s="85"/>
      <c r="C2083" s="85"/>
      <c r="D2083" s="85"/>
      <c r="E2083" s="85"/>
      <c r="F2083" s="85"/>
      <c r="G2083" s="85"/>
      <c r="H2083" s="90"/>
    </row>
    <row r="2084" spans="2:8" ht="18" x14ac:dyDescent="0.25">
      <c r="B2084" s="85"/>
      <c r="C2084" s="85"/>
      <c r="D2084" s="85"/>
      <c r="E2084" s="85"/>
      <c r="F2084" s="85"/>
      <c r="G2084" s="85"/>
      <c r="H2084" s="90"/>
    </row>
    <row r="2085" spans="2:8" ht="18" x14ac:dyDescent="0.25">
      <c r="B2085" s="85"/>
      <c r="C2085" s="85"/>
      <c r="D2085" s="85"/>
      <c r="E2085" s="85"/>
      <c r="F2085" s="85"/>
      <c r="G2085" s="85"/>
      <c r="H2085" s="90"/>
    </row>
    <row r="2086" spans="2:8" ht="18" x14ac:dyDescent="0.25">
      <c r="B2086" s="85"/>
      <c r="C2086" s="85"/>
      <c r="D2086" s="85"/>
      <c r="E2086" s="85"/>
      <c r="F2086" s="85"/>
      <c r="H2086" s="90"/>
    </row>
    <row r="2087" spans="2:8" ht="18" x14ac:dyDescent="0.25">
      <c r="B2087" s="343"/>
      <c r="C2087" s="343"/>
      <c r="D2087" s="343"/>
      <c r="E2087" s="85"/>
      <c r="F2087" s="85"/>
      <c r="H2087" s="90"/>
    </row>
    <row r="2088" spans="2:8" ht="18" x14ac:dyDescent="0.25">
      <c r="B2088" s="343"/>
      <c r="C2088" s="343"/>
      <c r="D2088" s="343"/>
      <c r="E2088" s="98">
        <f>+$B$1</f>
        <v>46143</v>
      </c>
      <c r="F2088" s="85"/>
      <c r="G2088" s="99">
        <f>+$D$1</f>
        <v>46188</v>
      </c>
      <c r="H2088" s="160"/>
    </row>
    <row r="2089" spans="2:8" ht="18" x14ac:dyDescent="0.25">
      <c r="B2089" s="84"/>
      <c r="C2089" s="84"/>
      <c r="D2089" s="100"/>
      <c r="E2089" s="98"/>
      <c r="F2089" s="85"/>
    </row>
    <row r="2090" spans="2:8" ht="18" x14ac:dyDescent="0.25">
      <c r="B2090" s="85" t="e">
        <f>+#REF!</f>
        <v>#REF!</v>
      </c>
      <c r="C2090" s="85"/>
      <c r="D2090" s="85"/>
      <c r="F2090" s="85"/>
    </row>
    <row r="2091" spans="2:8" ht="18" x14ac:dyDescent="0.25">
      <c r="C2091" s="85"/>
      <c r="D2091" s="85"/>
      <c r="E2091" s="85" t="str">
        <f>+$E$1</f>
        <v>Lima 461 C:A:B:A:</v>
      </c>
      <c r="F2091" s="85"/>
      <c r="H2091" s="90" t="s">
        <v>139</v>
      </c>
    </row>
    <row r="2092" spans="2:8" ht="18" x14ac:dyDescent="0.25">
      <c r="B2092" s="86"/>
      <c r="C2092" s="85"/>
      <c r="D2092" s="85"/>
      <c r="F2092" s="85"/>
      <c r="G2092" s="86"/>
    </row>
    <row r="2093" spans="2:8" ht="18" x14ac:dyDescent="0.25">
      <c r="B2093" s="85"/>
      <c r="C2093" s="85"/>
      <c r="D2093" s="85"/>
      <c r="E2093" s="86"/>
      <c r="F2093" s="86"/>
      <c r="G2093" s="85"/>
      <c r="H2093" s="94"/>
    </row>
    <row r="2094" spans="2:8" ht="18" x14ac:dyDescent="0.25">
      <c r="B2094" s="94"/>
      <c r="C2094" s="85"/>
      <c r="D2094" s="94"/>
      <c r="E2094" s="85"/>
      <c r="F2094" s="85"/>
      <c r="G2094" s="85"/>
      <c r="H2094" s="90"/>
    </row>
    <row r="2095" spans="2:8" ht="18" x14ac:dyDescent="0.25">
      <c r="B2095" s="85" t="s">
        <v>198</v>
      </c>
      <c r="C2095" s="85"/>
      <c r="D2095" s="107">
        <f>+'RES CUENTA'!$L$25</f>
        <v>10859801.41</v>
      </c>
      <c r="E2095" s="108" t="e">
        <f>+'RES CUENTA'!#REF!</f>
        <v>#REF!</v>
      </c>
      <c r="F2095" s="103" t="e">
        <f>+D2095*E2095/100</f>
        <v>#REF!</v>
      </c>
      <c r="G2095" s="85"/>
      <c r="H2095" s="94"/>
    </row>
    <row r="2096" spans="2:8" ht="18" x14ac:dyDescent="0.25">
      <c r="B2096" s="85" t="s">
        <v>199</v>
      </c>
      <c r="C2096" s="85"/>
      <c r="D2096" s="107" t="e">
        <f>+'RES CUENTA'!#REF!</f>
        <v>#REF!</v>
      </c>
      <c r="E2096" s="108" t="e">
        <f>+'RES CUENTA'!#REF!</f>
        <v>#REF!</v>
      </c>
      <c r="F2096" s="103" t="e">
        <f>+D2096*E2096/100</f>
        <v>#REF!</v>
      </c>
      <c r="G2096" s="94"/>
      <c r="H2096" s="89"/>
    </row>
    <row r="2097" spans="2:8" ht="18" x14ac:dyDescent="0.25">
      <c r="B2097" s="85" t="s">
        <v>79</v>
      </c>
      <c r="C2097" s="85"/>
      <c r="D2097" s="107" t="e">
        <f>+'RES CUENTA'!#REF!</f>
        <v>#REF!</v>
      </c>
      <c r="E2097" s="108">
        <f>+'RES CUENTA'!P1208</f>
        <v>0</v>
      </c>
      <c r="F2097" s="103" t="e">
        <f>+D2097</f>
        <v>#REF!</v>
      </c>
      <c r="G2097" s="89"/>
      <c r="H2097" s="89"/>
    </row>
    <row r="2098" spans="2:8" ht="18" x14ac:dyDescent="0.25">
      <c r="B2098" s="85" t="s">
        <v>80</v>
      </c>
      <c r="C2098" s="85"/>
      <c r="D2098" s="107" t="e">
        <f>+'RES CUENTA'!#REF!</f>
        <v>#REF!</v>
      </c>
      <c r="E2098" s="108">
        <f>+'RES CUENTA'!R1203</f>
        <v>0</v>
      </c>
      <c r="F2098" s="103" t="e">
        <f>+D2098</f>
        <v>#REF!</v>
      </c>
      <c r="G2098" s="89"/>
      <c r="H2098" s="89"/>
    </row>
    <row r="2099" spans="2:8" ht="18" x14ac:dyDescent="0.25">
      <c r="B2099" s="86"/>
      <c r="C2099" s="85"/>
      <c r="D2099" s="85"/>
      <c r="F2099" s="104" t="e">
        <f>SUM(F2095:F2098)</f>
        <v>#REF!</v>
      </c>
      <c r="G2099" s="89"/>
      <c r="H2099" s="89"/>
    </row>
    <row r="2100" spans="2:8" ht="18" x14ac:dyDescent="0.25">
      <c r="B2100" s="86"/>
      <c r="C2100" s="85"/>
      <c r="D2100" s="85"/>
      <c r="F2100" s="91"/>
      <c r="G2100" s="89"/>
      <c r="H2100" s="90"/>
    </row>
    <row r="2101" spans="2:8" ht="18" x14ac:dyDescent="0.25">
      <c r="B2101" s="86"/>
      <c r="C2101" s="85"/>
      <c r="D2101" s="85"/>
      <c r="F2101" s="91"/>
      <c r="G2101" s="89"/>
      <c r="H2101" s="90"/>
    </row>
    <row r="2102" spans="2:8" ht="18" x14ac:dyDescent="0.25">
      <c r="B2102" s="85"/>
      <c r="C2102" s="85"/>
      <c r="D2102" s="85"/>
      <c r="E2102" s="85"/>
      <c r="F2102" s="92"/>
      <c r="G2102" s="90"/>
      <c r="H2102" s="90"/>
    </row>
    <row r="2103" spans="2:8" ht="18" x14ac:dyDescent="0.25">
      <c r="B2103" s="85"/>
      <c r="C2103" s="85"/>
      <c r="D2103" s="85"/>
      <c r="E2103" s="85"/>
      <c r="F2103" s="92"/>
      <c r="G2103" s="90"/>
      <c r="H2103" s="90"/>
    </row>
    <row r="2104" spans="2:8" ht="18" x14ac:dyDescent="0.25">
      <c r="B2104" s="85"/>
      <c r="C2104" s="85"/>
      <c r="D2104" s="85"/>
      <c r="E2104" s="85"/>
      <c r="F2104" s="92"/>
      <c r="G2104" s="90"/>
      <c r="H2104" s="90"/>
    </row>
    <row r="2105" spans="2:8" ht="18" x14ac:dyDescent="0.25">
      <c r="B2105" s="85" t="e">
        <f>+B2090</f>
        <v>#REF!</v>
      </c>
      <c r="C2105" s="85"/>
      <c r="D2105" s="85"/>
      <c r="E2105" s="85" t="e">
        <f>+B2090</f>
        <v>#REF!</v>
      </c>
      <c r="F2105" s="85"/>
      <c r="G2105" s="85"/>
      <c r="H2105" s="94"/>
    </row>
    <row r="2106" spans="2:8" ht="18" x14ac:dyDescent="0.25">
      <c r="B2106" s="86"/>
      <c r="C2106" s="85"/>
      <c r="D2106" s="85"/>
      <c r="F2106" s="85"/>
      <c r="G2106" s="101"/>
      <c r="H2106" s="90" t="str">
        <f>+H2091</f>
        <v>Unid. 56</v>
      </c>
    </row>
    <row r="2107" spans="2:8" ht="18" x14ac:dyDescent="0.25">
      <c r="B2107" s="85" t="str">
        <f>+$E$1</f>
        <v>Lima 461 C:A:B:A:</v>
      </c>
      <c r="C2107" s="85"/>
      <c r="D2107" s="93" t="str">
        <f>+H2106</f>
        <v>Unid. 56</v>
      </c>
      <c r="E2107" s="85" t="str">
        <f>+$E$1</f>
        <v>Lima 461 C:A:B:A:</v>
      </c>
      <c r="F2107" s="85"/>
      <c r="G2107" s="85"/>
      <c r="H2107" s="94"/>
    </row>
    <row r="2108" spans="2:8" ht="18" x14ac:dyDescent="0.25">
      <c r="B2108" s="86"/>
      <c r="C2108" s="86"/>
      <c r="D2108" s="86"/>
      <c r="F2108" s="85"/>
      <c r="G2108" s="85"/>
    </row>
    <row r="2109" spans="2:8" ht="18" x14ac:dyDescent="0.25">
      <c r="B2109" s="85"/>
      <c r="C2109" s="85"/>
      <c r="D2109" s="85"/>
      <c r="E2109" s="86"/>
      <c r="F2109" s="85"/>
      <c r="G2109" s="85"/>
      <c r="H2109" s="94"/>
    </row>
    <row r="2110" spans="2:8" ht="18" x14ac:dyDescent="0.25">
      <c r="B2110" s="85">
        <f>+$E$2</f>
        <v>0</v>
      </c>
      <c r="C2110" s="85"/>
      <c r="D2110" s="85"/>
      <c r="E2110" s="85"/>
      <c r="F2110" s="96"/>
      <c r="G2110" s="86"/>
      <c r="H2110" s="90"/>
    </row>
    <row r="2111" spans="2:8" ht="18" x14ac:dyDescent="0.25">
      <c r="B2111" s="85">
        <f>+$E$3</f>
        <v>0</v>
      </c>
      <c r="C2111" s="85"/>
      <c r="D2111" s="85"/>
      <c r="E2111" s="96"/>
      <c r="G2111" s="94"/>
      <c r="H2111" s="96"/>
    </row>
    <row r="2112" spans="2:8" ht="18" x14ac:dyDescent="0.25">
      <c r="B2112" s="86"/>
      <c r="C2112" s="85"/>
      <c r="D2112" s="85"/>
      <c r="E2112" s="85" t="s">
        <v>200</v>
      </c>
      <c r="F2112" s="106" t="e">
        <f>+F2095</f>
        <v>#REF!</v>
      </c>
      <c r="G2112" s="95"/>
      <c r="H2112" s="99">
        <f>+B2116</f>
        <v>46188</v>
      </c>
    </row>
    <row r="2113" spans="2:8" ht="18" x14ac:dyDescent="0.25">
      <c r="B2113" s="86"/>
      <c r="C2113" s="85"/>
      <c r="D2113" s="85"/>
      <c r="E2113" s="85" t="s">
        <v>201</v>
      </c>
      <c r="F2113" s="106" t="e">
        <f>+F2096</f>
        <v>#REF!</v>
      </c>
      <c r="H2113" s="90"/>
    </row>
    <row r="2114" spans="2:8" ht="18" x14ac:dyDescent="0.25">
      <c r="B2114" s="85"/>
      <c r="C2114" s="85"/>
      <c r="D2114" s="85"/>
      <c r="E2114" s="85" t="s">
        <v>81</v>
      </c>
      <c r="F2114" s="106" t="e">
        <f>+F2097</f>
        <v>#REF!</v>
      </c>
      <c r="G2114" s="85"/>
      <c r="H2114" s="90"/>
    </row>
    <row r="2115" spans="2:8" ht="18" x14ac:dyDescent="0.25">
      <c r="B2115" s="96"/>
      <c r="C2115" s="96"/>
      <c r="D2115" s="96"/>
      <c r="E2115" s="85" t="s">
        <v>82</v>
      </c>
      <c r="F2115" s="106" t="e">
        <f>+F2098</f>
        <v>#REF!</v>
      </c>
      <c r="G2115" s="85"/>
      <c r="H2115" s="90"/>
    </row>
    <row r="2116" spans="2:8" ht="18" x14ac:dyDescent="0.25">
      <c r="B2116" s="99">
        <f>+$G$30</f>
        <v>46188</v>
      </c>
      <c r="C2116" s="105" t="e">
        <f>+F2099</f>
        <v>#REF!</v>
      </c>
      <c r="D2116" s="85"/>
      <c r="E2116" s="85" t="s">
        <v>188</v>
      </c>
      <c r="F2116" s="106">
        <v>0</v>
      </c>
      <c r="G2116" s="85"/>
      <c r="H2116" s="90"/>
    </row>
    <row r="2117" spans="2:8" ht="18" x14ac:dyDescent="0.25">
      <c r="B2117" s="85"/>
      <c r="C2117" s="85"/>
      <c r="D2117" s="85"/>
      <c r="E2117" s="85" t="s">
        <v>83</v>
      </c>
      <c r="F2117" s="106" t="e">
        <f>+F2099</f>
        <v>#REF!</v>
      </c>
      <c r="G2117" s="85"/>
      <c r="H2117" s="90"/>
    </row>
    <row r="2118" spans="2:8" ht="18" x14ac:dyDescent="0.25">
      <c r="B2118" s="85"/>
      <c r="C2118" s="85"/>
      <c r="D2118" s="85"/>
      <c r="E2118" s="85"/>
      <c r="F2118" s="85"/>
      <c r="G2118" s="85"/>
      <c r="H2118" s="90"/>
    </row>
    <row r="2119" spans="2:8" ht="18" x14ac:dyDescent="0.25">
      <c r="B2119" s="85"/>
      <c r="C2119" s="85"/>
      <c r="D2119" s="85"/>
      <c r="E2119" s="102"/>
      <c r="F2119" s="85"/>
      <c r="G2119" s="85"/>
      <c r="H2119" s="90"/>
    </row>
    <row r="2120" spans="2:8" ht="18" x14ac:dyDescent="0.25">
      <c r="B2120" s="85"/>
      <c r="C2120" s="85"/>
      <c r="D2120" s="85"/>
      <c r="E2120" s="85"/>
      <c r="F2120" s="85"/>
      <c r="G2120" s="85"/>
      <c r="H2120" s="94"/>
    </row>
    <row r="2121" spans="2:8" ht="18" x14ac:dyDescent="0.25">
      <c r="E2121" s="85"/>
      <c r="G2121" s="94"/>
      <c r="H2121" s="90"/>
    </row>
    <row r="2123" spans="2:8" ht="18" x14ac:dyDescent="0.25">
      <c r="B2123" s="343"/>
      <c r="C2123" s="343"/>
      <c r="D2123" s="343"/>
      <c r="E2123" s="342">
        <f>+$B$1</f>
        <v>46143</v>
      </c>
      <c r="F2123" s="85"/>
      <c r="G2123" s="337">
        <f>+$D$1</f>
        <v>46188</v>
      </c>
      <c r="H2123" s="90"/>
    </row>
    <row r="2124" spans="2:8" ht="18" x14ac:dyDescent="0.25">
      <c r="B2124" s="84"/>
      <c r="C2124" s="84"/>
      <c r="D2124" s="100"/>
      <c r="E2124" s="342"/>
      <c r="F2124" s="85"/>
      <c r="G2124" s="337"/>
      <c r="H2124" s="90"/>
    </row>
    <row r="2125" spans="2:8" ht="18" x14ac:dyDescent="0.25">
      <c r="B2125" s="85"/>
      <c r="C2125" s="85"/>
      <c r="D2125" s="85"/>
      <c r="E2125" s="86"/>
      <c r="F2125" s="85"/>
      <c r="G2125" s="86"/>
      <c r="H2125" s="90"/>
    </row>
    <row r="2126" spans="2:8" ht="18" x14ac:dyDescent="0.25">
      <c r="B2126" s="85" t="e">
        <f>+#REF!</f>
        <v>#REF!</v>
      </c>
      <c r="C2126" s="85"/>
      <c r="D2126" s="85"/>
      <c r="E2126" s="86"/>
      <c r="F2126" s="85"/>
      <c r="G2126" s="86"/>
      <c r="H2126" s="90"/>
    </row>
    <row r="2127" spans="2:8" ht="18" x14ac:dyDescent="0.25">
      <c r="B2127" s="86"/>
      <c r="C2127" s="85"/>
      <c r="D2127" s="85"/>
      <c r="E2127" s="85" t="s">
        <v>78</v>
      </c>
      <c r="F2127" s="85"/>
      <c r="G2127" s="85"/>
      <c r="H2127" s="90" t="s">
        <v>140</v>
      </c>
    </row>
    <row r="2128" spans="2:8" ht="18" x14ac:dyDescent="0.25">
      <c r="B2128" s="85"/>
      <c r="C2128" s="85"/>
      <c r="D2128" s="85"/>
      <c r="E2128" s="86"/>
      <c r="F2128" s="86"/>
      <c r="G2128" s="85"/>
      <c r="H2128" s="94"/>
    </row>
    <row r="2129" spans="2:8" ht="18" x14ac:dyDescent="0.25">
      <c r="B2129" s="94"/>
      <c r="C2129" s="85"/>
      <c r="D2129" s="94"/>
      <c r="E2129" s="85"/>
      <c r="F2129" s="85"/>
      <c r="G2129" s="85"/>
      <c r="H2129" s="90"/>
    </row>
    <row r="2130" spans="2:8" ht="18" x14ac:dyDescent="0.25">
      <c r="B2130" s="94"/>
      <c r="C2130" s="85"/>
      <c r="D2130" s="94"/>
      <c r="E2130" s="85"/>
      <c r="F2130" s="85"/>
      <c r="G2130" s="85"/>
      <c r="H2130" s="90"/>
    </row>
    <row r="2131" spans="2:8" ht="18" x14ac:dyDescent="0.25">
      <c r="B2131" s="85" t="s">
        <v>198</v>
      </c>
      <c r="C2131" s="85"/>
      <c r="D2131" s="107">
        <f>+'RES CUENTA'!$L$25</f>
        <v>10859801.41</v>
      </c>
      <c r="E2131" s="108" t="e">
        <f>+'RES CUENTA'!#REF!</f>
        <v>#REF!</v>
      </c>
      <c r="F2131" s="103" t="e">
        <f>+D2131*E2131/100</f>
        <v>#REF!</v>
      </c>
      <c r="G2131" s="345"/>
      <c r="H2131" s="345"/>
    </row>
    <row r="2132" spans="2:8" ht="18" x14ac:dyDescent="0.25">
      <c r="B2132" s="85" t="s">
        <v>199</v>
      </c>
      <c r="C2132" s="85"/>
      <c r="D2132" s="107" t="e">
        <f>+'RES CUENTA'!#REF!</f>
        <v>#REF!</v>
      </c>
      <c r="E2132" s="108" t="e">
        <f>+'RES CUENTA'!#REF!</f>
        <v>#REF!</v>
      </c>
      <c r="F2132" s="103" t="e">
        <f>+D2132*E2132/100</f>
        <v>#REF!</v>
      </c>
      <c r="G2132" s="341"/>
      <c r="H2132" s="341"/>
    </row>
    <row r="2133" spans="2:8" ht="18" x14ac:dyDescent="0.25">
      <c r="B2133" s="85" t="s">
        <v>79</v>
      </c>
      <c r="C2133" s="85"/>
      <c r="D2133" s="107" t="e">
        <f>+'RES CUENTA'!#REF!</f>
        <v>#REF!</v>
      </c>
      <c r="E2133" s="108">
        <v>0</v>
      </c>
      <c r="F2133" s="103" t="e">
        <f>+D2133</f>
        <v>#REF!</v>
      </c>
      <c r="G2133" s="341"/>
      <c r="H2133" s="341"/>
    </row>
    <row r="2134" spans="2:8" ht="18" x14ac:dyDescent="0.25">
      <c r="B2134" s="85" t="s">
        <v>80</v>
      </c>
      <c r="C2134" s="85"/>
      <c r="D2134" s="107" t="e">
        <f>+'RES CUENTA'!#REF!</f>
        <v>#REF!</v>
      </c>
      <c r="E2134" s="108">
        <v>0</v>
      </c>
      <c r="F2134" s="103" t="e">
        <f>+D2134</f>
        <v>#REF!</v>
      </c>
      <c r="G2134" s="341"/>
      <c r="H2134" s="341"/>
    </row>
    <row r="2135" spans="2:8" ht="18" x14ac:dyDescent="0.25">
      <c r="B2135" s="86"/>
      <c r="C2135" s="85"/>
      <c r="D2135" s="85"/>
      <c r="E2135" s="92"/>
      <c r="F2135" s="104" t="e">
        <f>SUM(F2131:F2134)</f>
        <v>#REF!</v>
      </c>
      <c r="G2135" s="341"/>
      <c r="H2135" s="341"/>
    </row>
    <row r="2136" spans="2:8" ht="18" x14ac:dyDescent="0.25">
      <c r="B2136" s="86"/>
      <c r="C2136" s="85"/>
      <c r="D2136" s="85"/>
      <c r="E2136" s="92"/>
      <c r="F2136" s="104"/>
      <c r="G2136" s="89"/>
      <c r="H2136" s="89"/>
    </row>
    <row r="2137" spans="2:8" ht="18" x14ac:dyDescent="0.25">
      <c r="B2137" s="86"/>
      <c r="C2137" s="85"/>
      <c r="D2137" s="85"/>
      <c r="E2137" s="85"/>
      <c r="G2137" s="338"/>
      <c r="H2137" s="338"/>
    </row>
    <row r="2138" spans="2:8" ht="18" x14ac:dyDescent="0.25">
      <c r="B2138" s="85"/>
      <c r="C2138" s="85"/>
      <c r="D2138" s="85"/>
      <c r="E2138" s="85"/>
      <c r="F2138" s="91"/>
      <c r="G2138" s="90"/>
      <c r="H2138" s="90"/>
    </row>
    <row r="2139" spans="2:8" ht="18" x14ac:dyDescent="0.25">
      <c r="B2139" s="85"/>
      <c r="C2139" s="85"/>
      <c r="D2139" s="85"/>
      <c r="E2139" s="85"/>
      <c r="F2139" s="92"/>
      <c r="G2139" s="85"/>
      <c r="H2139" s="90"/>
    </row>
    <row r="2140" spans="2:8" ht="18" x14ac:dyDescent="0.25">
      <c r="B2140" s="85"/>
      <c r="C2140" s="85"/>
      <c r="D2140" s="85"/>
      <c r="E2140" s="85"/>
      <c r="F2140" s="92"/>
      <c r="G2140" s="85"/>
      <c r="H2140" s="90"/>
    </row>
    <row r="2141" spans="2:8" ht="18" x14ac:dyDescent="0.25">
      <c r="B2141" s="85" t="e">
        <f>+B2126</f>
        <v>#REF!</v>
      </c>
      <c r="C2141" s="344"/>
      <c r="D2141" s="344"/>
      <c r="E2141" s="85" t="e">
        <f>+B2141</f>
        <v>#REF!</v>
      </c>
      <c r="F2141" s="92"/>
      <c r="G2141" s="85"/>
      <c r="H2141" s="90"/>
    </row>
    <row r="2142" spans="2:8" ht="18" x14ac:dyDescent="0.25">
      <c r="C2142" s="85"/>
      <c r="D2142" s="85"/>
      <c r="F2142" s="344"/>
      <c r="G2142" s="344"/>
      <c r="H2142" s="344"/>
    </row>
    <row r="2143" spans="2:8" ht="18" x14ac:dyDescent="0.25">
      <c r="B2143" s="85" t="str">
        <f>+$E$1</f>
        <v>Lima 461 C:A:B:A:</v>
      </c>
      <c r="C2143" s="85"/>
      <c r="D2143" s="93" t="str">
        <f>+H2127</f>
        <v>Unid. 57</v>
      </c>
      <c r="E2143" s="85" t="str">
        <f>+$E$1</f>
        <v>Lima 461 C:A:B:A:</v>
      </c>
      <c r="F2143" s="85"/>
      <c r="G2143" s="85"/>
      <c r="H2143" s="90" t="str">
        <f>+D2143</f>
        <v>Unid. 57</v>
      </c>
    </row>
    <row r="2144" spans="2:8" ht="18" x14ac:dyDescent="0.25">
      <c r="H2144" s="94"/>
    </row>
    <row r="2145" spans="2:8" ht="18" x14ac:dyDescent="0.25">
      <c r="B2145" s="86"/>
      <c r="C2145" s="86"/>
      <c r="D2145" s="86"/>
      <c r="E2145" s="86"/>
      <c r="F2145" s="85"/>
      <c r="G2145" s="85"/>
    </row>
    <row r="2146" spans="2:8" ht="18" x14ac:dyDescent="0.25">
      <c r="B2146" s="85">
        <f>+$E$2</f>
        <v>0</v>
      </c>
      <c r="C2146" s="85"/>
      <c r="D2146" s="85"/>
      <c r="E2146" s="85"/>
      <c r="F2146" s="85"/>
      <c r="G2146" s="86"/>
      <c r="H2146" s="94"/>
    </row>
    <row r="2147" spans="2:8" ht="18" x14ac:dyDescent="0.25">
      <c r="B2147" s="85">
        <f>+$E$3</f>
        <v>0</v>
      </c>
      <c r="C2147" s="85"/>
      <c r="D2147" s="85"/>
      <c r="E2147" s="96"/>
      <c r="F2147" s="85"/>
      <c r="G2147" s="94"/>
      <c r="H2147" s="90"/>
    </row>
    <row r="2148" spans="2:8" ht="18" x14ac:dyDescent="0.25">
      <c r="C2148" s="85"/>
      <c r="D2148" s="85"/>
      <c r="E2148" s="85" t="s">
        <v>200</v>
      </c>
      <c r="F2148" s="106" t="e">
        <f>+F2131</f>
        <v>#REF!</v>
      </c>
      <c r="H2148" s="99">
        <f>+B2153</f>
        <v>46188</v>
      </c>
    </row>
    <row r="2149" spans="2:8" ht="18" x14ac:dyDescent="0.25">
      <c r="B2149" s="86"/>
      <c r="C2149" s="85"/>
      <c r="D2149" s="85"/>
      <c r="E2149" s="85" t="s">
        <v>201</v>
      </c>
      <c r="F2149" s="106" t="e">
        <f>+F2132</f>
        <v>#REF!</v>
      </c>
    </row>
    <row r="2150" spans="2:8" ht="18" x14ac:dyDescent="0.25">
      <c r="B2150" s="86"/>
      <c r="C2150" s="85"/>
      <c r="D2150" s="85"/>
      <c r="E2150" s="85" t="s">
        <v>81</v>
      </c>
      <c r="F2150" s="106" t="e">
        <f>+F2133</f>
        <v>#REF!</v>
      </c>
      <c r="G2150" s="85"/>
      <c r="H2150" s="90"/>
    </row>
    <row r="2151" spans="2:8" ht="18" x14ac:dyDescent="0.25">
      <c r="B2151" s="85"/>
      <c r="C2151" s="85"/>
      <c r="D2151" s="85"/>
      <c r="E2151" s="85" t="s">
        <v>82</v>
      </c>
      <c r="F2151" s="106" t="e">
        <f>+F2134</f>
        <v>#REF!</v>
      </c>
      <c r="G2151" s="85"/>
      <c r="H2151" s="90"/>
    </row>
    <row r="2152" spans="2:8" ht="18" x14ac:dyDescent="0.25">
      <c r="B2152" s="96"/>
      <c r="C2152" s="96"/>
      <c r="D2152" s="96"/>
      <c r="E2152" s="85" t="s">
        <v>188</v>
      </c>
      <c r="F2152" s="106">
        <v>0</v>
      </c>
      <c r="G2152" s="85"/>
      <c r="H2152" s="90"/>
    </row>
    <row r="2153" spans="2:8" ht="18" x14ac:dyDescent="0.25">
      <c r="B2153" s="99">
        <f>+$G$30</f>
        <v>46188</v>
      </c>
      <c r="C2153" s="105" t="e">
        <f>+F2135</f>
        <v>#REF!</v>
      </c>
      <c r="D2153" s="85"/>
      <c r="E2153" s="85" t="s">
        <v>83</v>
      </c>
      <c r="F2153" s="106" t="e">
        <f>+F2135</f>
        <v>#REF!</v>
      </c>
      <c r="G2153" s="85"/>
      <c r="H2153" s="90"/>
    </row>
    <row r="2154" spans="2:8" ht="18" x14ac:dyDescent="0.25">
      <c r="B2154" s="85"/>
      <c r="C2154" s="85"/>
      <c r="D2154" s="85"/>
      <c r="E2154" s="85"/>
      <c r="F2154" s="85"/>
      <c r="G2154" s="85"/>
      <c r="H2154" s="90"/>
    </row>
    <row r="2155" spans="2:8" ht="18" x14ac:dyDescent="0.25">
      <c r="B2155" s="85"/>
      <c r="C2155" s="85"/>
      <c r="D2155" s="85"/>
      <c r="E2155" s="85"/>
      <c r="F2155" s="85"/>
      <c r="G2155" s="345"/>
      <c r="H2155" s="345"/>
    </row>
    <row r="2156" spans="2:8" ht="18" x14ac:dyDescent="0.25">
      <c r="B2156" s="85"/>
      <c r="C2156" s="85"/>
      <c r="D2156" s="85"/>
      <c r="E2156" s="85"/>
      <c r="F2156" s="85"/>
      <c r="G2156" s="85"/>
      <c r="H2156" s="90"/>
    </row>
    <row r="2157" spans="2:8" ht="18" x14ac:dyDescent="0.25">
      <c r="B2157" s="85"/>
      <c r="C2157" s="85"/>
      <c r="D2157" s="85"/>
      <c r="E2157" s="85"/>
      <c r="F2157" s="85"/>
      <c r="G2157" s="85"/>
      <c r="H2157" s="90"/>
    </row>
    <row r="2158" spans="2:8" ht="18" x14ac:dyDescent="0.25">
      <c r="B2158" s="85"/>
      <c r="C2158" s="85"/>
      <c r="D2158" s="85"/>
      <c r="E2158" s="85"/>
      <c r="F2158" s="85"/>
      <c r="G2158" s="85"/>
      <c r="H2158" s="90"/>
    </row>
    <row r="2159" spans="2:8" ht="18" x14ac:dyDescent="0.25">
      <c r="B2159" s="85"/>
      <c r="C2159" s="85"/>
      <c r="D2159" s="85"/>
      <c r="E2159" s="85"/>
      <c r="F2159" s="85"/>
      <c r="G2159" s="85"/>
      <c r="H2159" s="90"/>
    </row>
    <row r="2160" spans="2:8" ht="18" x14ac:dyDescent="0.25">
      <c r="B2160" s="85"/>
      <c r="C2160" s="85"/>
      <c r="D2160" s="85"/>
      <c r="E2160" s="85"/>
      <c r="F2160" s="85"/>
      <c r="H2160" s="90"/>
    </row>
    <row r="2161" spans="2:8" ht="18" x14ac:dyDescent="0.25">
      <c r="B2161" s="343"/>
      <c r="C2161" s="343"/>
      <c r="D2161" s="343"/>
      <c r="E2161" s="85"/>
      <c r="F2161" s="85"/>
      <c r="H2161" s="90"/>
    </row>
    <row r="2162" spans="2:8" ht="18" x14ac:dyDescent="0.25">
      <c r="B2162" s="343"/>
      <c r="C2162" s="343"/>
      <c r="D2162" s="343"/>
      <c r="E2162" s="98">
        <f>+$B$1</f>
        <v>46143</v>
      </c>
      <c r="F2162" s="85"/>
      <c r="G2162" s="99">
        <f>+$D$1</f>
        <v>46188</v>
      </c>
      <c r="H2162" s="160"/>
    </row>
    <row r="2163" spans="2:8" ht="18" x14ac:dyDescent="0.25">
      <c r="B2163" s="84"/>
      <c r="C2163" s="84"/>
      <c r="D2163" s="100"/>
      <c r="E2163" s="98"/>
      <c r="F2163" s="85"/>
    </row>
    <row r="2164" spans="2:8" ht="18" x14ac:dyDescent="0.25">
      <c r="B2164" s="85" t="e">
        <f>+#REF!</f>
        <v>#REF!</v>
      </c>
      <c r="C2164" s="85"/>
      <c r="D2164" s="85"/>
      <c r="F2164" s="85"/>
    </row>
    <row r="2165" spans="2:8" ht="18" x14ac:dyDescent="0.25">
      <c r="C2165" s="85"/>
      <c r="D2165" s="85"/>
      <c r="E2165" s="85" t="str">
        <f>+$E$1</f>
        <v>Lima 461 C:A:B:A:</v>
      </c>
      <c r="F2165" s="85"/>
      <c r="H2165" s="90" t="s">
        <v>141</v>
      </c>
    </row>
    <row r="2166" spans="2:8" ht="18" x14ac:dyDescent="0.25">
      <c r="B2166" s="86"/>
      <c r="C2166" s="85"/>
      <c r="D2166" s="85"/>
      <c r="F2166" s="85"/>
      <c r="G2166" s="86"/>
    </row>
    <row r="2167" spans="2:8" ht="18" x14ac:dyDescent="0.25">
      <c r="B2167" s="85"/>
      <c r="C2167" s="85"/>
      <c r="D2167" s="85"/>
      <c r="E2167" s="86"/>
      <c r="F2167" s="86"/>
      <c r="G2167" s="85"/>
      <c r="H2167" s="94"/>
    </row>
    <row r="2168" spans="2:8" ht="18" x14ac:dyDescent="0.25">
      <c r="B2168" s="94"/>
      <c r="C2168" s="85"/>
      <c r="D2168" s="94"/>
      <c r="E2168" s="85"/>
      <c r="F2168" s="85"/>
      <c r="G2168" s="85"/>
      <c r="H2168" s="90"/>
    </row>
    <row r="2169" spans="2:8" ht="18" x14ac:dyDescent="0.25">
      <c r="B2169" s="85" t="s">
        <v>198</v>
      </c>
      <c r="C2169" s="85"/>
      <c r="D2169" s="107">
        <f>+'RES CUENTA'!$L$25</f>
        <v>10859801.41</v>
      </c>
      <c r="E2169" s="108" t="e">
        <f>+'RES CUENTA'!#REF!</f>
        <v>#REF!</v>
      </c>
      <c r="F2169" s="103" t="e">
        <f>+D2169*E2169/100</f>
        <v>#REF!</v>
      </c>
      <c r="G2169" s="85"/>
      <c r="H2169" s="94"/>
    </row>
    <row r="2170" spans="2:8" ht="18" x14ac:dyDescent="0.25">
      <c r="B2170" s="85" t="s">
        <v>199</v>
      </c>
      <c r="C2170" s="85"/>
      <c r="D2170" s="107" t="e">
        <f>+'RES CUENTA'!#REF!</f>
        <v>#REF!</v>
      </c>
      <c r="E2170" s="108" t="e">
        <f>+'RES CUENTA'!#REF!</f>
        <v>#REF!</v>
      </c>
      <c r="F2170" s="103" t="e">
        <f>+D2170*E2170/100</f>
        <v>#REF!</v>
      </c>
      <c r="G2170" s="94"/>
      <c r="H2170" s="89"/>
    </row>
    <row r="2171" spans="2:8" ht="18" x14ac:dyDescent="0.25">
      <c r="B2171" s="85" t="s">
        <v>79</v>
      </c>
      <c r="C2171" s="85"/>
      <c r="D2171" s="107" t="e">
        <f>+'RES CUENTA'!#REF!</f>
        <v>#REF!</v>
      </c>
      <c r="E2171" s="108">
        <f>+'RES CUENTA'!P1284</f>
        <v>0</v>
      </c>
      <c r="F2171" s="103" t="e">
        <f>+D2171</f>
        <v>#REF!</v>
      </c>
      <c r="G2171" s="89"/>
      <c r="H2171" s="89"/>
    </row>
    <row r="2172" spans="2:8" ht="18" x14ac:dyDescent="0.25">
      <c r="B2172" s="85" t="s">
        <v>80</v>
      </c>
      <c r="C2172" s="85"/>
      <c r="D2172" s="107" t="e">
        <f>+'RES CUENTA'!#REF!</f>
        <v>#REF!</v>
      </c>
      <c r="E2172" s="108">
        <f>+'RES CUENTA'!R1279</f>
        <v>0</v>
      </c>
      <c r="F2172" s="103" t="e">
        <f>+D2172</f>
        <v>#REF!</v>
      </c>
      <c r="G2172" s="89"/>
      <c r="H2172" s="89"/>
    </row>
    <row r="2173" spans="2:8" ht="18" x14ac:dyDescent="0.25">
      <c r="B2173" s="86"/>
      <c r="C2173" s="85"/>
      <c r="D2173" s="85"/>
      <c r="F2173" s="104" t="e">
        <f>SUM(F2169:F2172)</f>
        <v>#REF!</v>
      </c>
      <c r="G2173" s="89"/>
      <c r="H2173" s="89"/>
    </row>
    <row r="2174" spans="2:8" ht="18" x14ac:dyDescent="0.25">
      <c r="B2174" s="86"/>
      <c r="C2174" s="85"/>
      <c r="D2174" s="85"/>
      <c r="F2174" s="91"/>
      <c r="G2174" s="89"/>
      <c r="H2174" s="90"/>
    </row>
    <row r="2175" spans="2:8" ht="18" x14ac:dyDescent="0.25">
      <c r="B2175" s="85"/>
      <c r="C2175" s="85"/>
      <c r="D2175" s="85"/>
      <c r="E2175" s="85"/>
      <c r="F2175" s="92"/>
      <c r="G2175" s="90"/>
      <c r="H2175" s="90"/>
    </row>
    <row r="2176" spans="2:8" ht="18" x14ac:dyDescent="0.25">
      <c r="B2176" s="85"/>
      <c r="C2176" s="85"/>
      <c r="D2176" s="85"/>
      <c r="E2176" s="85"/>
      <c r="F2176" s="92"/>
      <c r="G2176" s="90"/>
      <c r="H2176" s="90"/>
    </row>
    <row r="2177" spans="2:8" ht="18" x14ac:dyDescent="0.25">
      <c r="B2177" s="85"/>
      <c r="C2177" s="85"/>
      <c r="D2177" s="85"/>
      <c r="E2177" s="85"/>
      <c r="F2177" s="92"/>
      <c r="G2177" s="90"/>
      <c r="H2177" s="90"/>
    </row>
    <row r="2178" spans="2:8" ht="18" x14ac:dyDescent="0.25">
      <c r="B2178" s="85"/>
      <c r="C2178" s="85"/>
      <c r="D2178" s="85"/>
      <c r="E2178" s="85"/>
      <c r="F2178" s="92"/>
      <c r="G2178" s="90"/>
      <c r="H2178" s="90"/>
    </row>
    <row r="2179" spans="2:8" ht="18" x14ac:dyDescent="0.25">
      <c r="B2179" s="85" t="e">
        <f>+B2164</f>
        <v>#REF!</v>
      </c>
      <c r="C2179" s="85"/>
      <c r="D2179" s="85"/>
      <c r="E2179" s="85" t="e">
        <f>+B2164</f>
        <v>#REF!</v>
      </c>
      <c r="F2179" s="85"/>
      <c r="G2179" s="85"/>
      <c r="H2179" s="94"/>
    </row>
    <row r="2180" spans="2:8" ht="18" x14ac:dyDescent="0.25">
      <c r="B2180" s="86"/>
      <c r="C2180" s="85"/>
      <c r="D2180" s="85"/>
      <c r="F2180" s="85"/>
      <c r="G2180" s="101"/>
      <c r="H2180" s="90" t="str">
        <f>+H2165</f>
        <v>Unid. 58</v>
      </c>
    </row>
    <row r="2181" spans="2:8" ht="18" x14ac:dyDescent="0.25">
      <c r="B2181" s="85" t="str">
        <f>+$E$1</f>
        <v>Lima 461 C:A:B:A:</v>
      </c>
      <c r="C2181" s="85"/>
      <c r="D2181" s="93" t="str">
        <f>+H2180</f>
        <v>Unid. 58</v>
      </c>
      <c r="E2181" s="85" t="str">
        <f>+$E$1</f>
        <v>Lima 461 C:A:B:A:</v>
      </c>
      <c r="F2181" s="85"/>
      <c r="G2181" s="85"/>
      <c r="H2181" s="94"/>
    </row>
    <row r="2182" spans="2:8" ht="18" x14ac:dyDescent="0.25">
      <c r="B2182" s="86"/>
      <c r="C2182" s="86"/>
      <c r="D2182" s="86"/>
      <c r="F2182" s="85"/>
      <c r="G2182" s="85"/>
    </row>
    <row r="2183" spans="2:8" ht="18" x14ac:dyDescent="0.25">
      <c r="B2183" s="85"/>
      <c r="C2183" s="85"/>
      <c r="D2183" s="85"/>
      <c r="E2183" s="86"/>
      <c r="F2183" s="85"/>
      <c r="G2183" s="85"/>
      <c r="H2183" s="94"/>
    </row>
    <row r="2184" spans="2:8" ht="18" x14ac:dyDescent="0.25">
      <c r="B2184" s="85">
        <f>+$E$2</f>
        <v>0</v>
      </c>
      <c r="C2184" s="85"/>
      <c r="D2184" s="85"/>
      <c r="E2184" s="85"/>
      <c r="F2184" s="96"/>
      <c r="G2184" s="86"/>
      <c r="H2184" s="90"/>
    </row>
    <row r="2185" spans="2:8" ht="18" x14ac:dyDescent="0.25">
      <c r="B2185" s="85">
        <f>+$E$3</f>
        <v>0</v>
      </c>
      <c r="C2185" s="85"/>
      <c r="D2185" s="85"/>
      <c r="E2185" s="96"/>
      <c r="G2185" s="94"/>
      <c r="H2185" s="96"/>
    </row>
    <row r="2186" spans="2:8" ht="18" x14ac:dyDescent="0.25">
      <c r="B2186" s="86"/>
      <c r="C2186" s="85"/>
      <c r="D2186" s="85"/>
      <c r="E2186" s="85" t="s">
        <v>200</v>
      </c>
      <c r="F2186" s="106" t="e">
        <f>+F2169</f>
        <v>#REF!</v>
      </c>
      <c r="G2186" s="95"/>
      <c r="H2186" s="99">
        <f>+B2190</f>
        <v>46188</v>
      </c>
    </row>
    <row r="2187" spans="2:8" ht="18" x14ac:dyDescent="0.25">
      <c r="B2187" s="86"/>
      <c r="C2187" s="85"/>
      <c r="D2187" s="85"/>
      <c r="E2187" s="85" t="s">
        <v>201</v>
      </c>
      <c r="F2187" s="106" t="e">
        <f>+F2170</f>
        <v>#REF!</v>
      </c>
      <c r="H2187" s="90"/>
    </row>
    <row r="2188" spans="2:8" ht="18" x14ac:dyDescent="0.25">
      <c r="B2188" s="85"/>
      <c r="C2188" s="85"/>
      <c r="D2188" s="85"/>
      <c r="E2188" s="85" t="s">
        <v>81</v>
      </c>
      <c r="F2188" s="106" t="e">
        <f>+F2171</f>
        <v>#REF!</v>
      </c>
      <c r="G2188" s="85"/>
      <c r="H2188" s="90"/>
    </row>
    <row r="2189" spans="2:8" ht="18" x14ac:dyDescent="0.25">
      <c r="B2189" s="96"/>
      <c r="C2189" s="96"/>
      <c r="D2189" s="96"/>
      <c r="E2189" s="85" t="s">
        <v>82</v>
      </c>
      <c r="F2189" s="106" t="e">
        <f>+F2172</f>
        <v>#REF!</v>
      </c>
      <c r="G2189" s="85"/>
      <c r="H2189" s="90"/>
    </row>
    <row r="2190" spans="2:8" ht="18" x14ac:dyDescent="0.25">
      <c r="B2190" s="99">
        <f>+$G$30</f>
        <v>46188</v>
      </c>
      <c r="C2190" s="105" t="e">
        <f>+F2173</f>
        <v>#REF!</v>
      </c>
      <c r="D2190" s="85"/>
      <c r="E2190" s="85" t="s">
        <v>188</v>
      </c>
      <c r="F2190" s="106">
        <v>0</v>
      </c>
      <c r="G2190" s="85"/>
      <c r="H2190" s="90"/>
    </row>
    <row r="2191" spans="2:8" ht="18" x14ac:dyDescent="0.25">
      <c r="B2191" s="85"/>
      <c r="C2191" s="85"/>
      <c r="D2191" s="85"/>
      <c r="E2191" s="85" t="s">
        <v>83</v>
      </c>
      <c r="F2191" s="106" t="e">
        <f>+F2173</f>
        <v>#REF!</v>
      </c>
      <c r="G2191" s="85"/>
      <c r="H2191" s="90"/>
    </row>
    <row r="2192" spans="2:8" ht="18" x14ac:dyDescent="0.25">
      <c r="B2192" s="85"/>
      <c r="C2192" s="85"/>
      <c r="D2192" s="85"/>
      <c r="E2192" s="85"/>
      <c r="F2192" s="85"/>
      <c r="G2192" s="85"/>
      <c r="H2192" s="90"/>
    </row>
    <row r="2193" spans="2:8" ht="18" x14ac:dyDescent="0.25">
      <c r="B2193" s="85"/>
      <c r="C2193" s="85"/>
      <c r="D2193" s="85"/>
      <c r="E2193" s="102"/>
      <c r="F2193" s="85"/>
      <c r="G2193" s="85"/>
      <c r="H2193" s="90"/>
    </row>
    <row r="2194" spans="2:8" ht="18" x14ac:dyDescent="0.25">
      <c r="B2194" s="85"/>
      <c r="C2194" s="85"/>
      <c r="D2194" s="85"/>
      <c r="E2194" s="85"/>
      <c r="F2194" s="85"/>
      <c r="G2194" s="85"/>
      <c r="H2194" s="94"/>
    </row>
    <row r="2195" spans="2:8" ht="18" x14ac:dyDescent="0.25">
      <c r="E2195" s="85"/>
      <c r="G2195" s="94"/>
      <c r="H2195" s="90"/>
    </row>
    <row r="2197" spans="2:8" ht="18" x14ac:dyDescent="0.25">
      <c r="B2197" s="343"/>
      <c r="C2197" s="343"/>
      <c r="D2197" s="343"/>
      <c r="E2197" s="342">
        <f>+$B$1</f>
        <v>46143</v>
      </c>
      <c r="F2197" s="85"/>
      <c r="G2197" s="337">
        <f>+$D$1</f>
        <v>46188</v>
      </c>
      <c r="H2197" s="90"/>
    </row>
    <row r="2198" spans="2:8" ht="18" x14ac:dyDescent="0.25">
      <c r="B2198" s="84"/>
      <c r="C2198" s="84"/>
      <c r="D2198" s="100"/>
      <c r="E2198" s="342"/>
      <c r="F2198" s="85"/>
      <c r="G2198" s="337"/>
      <c r="H2198" s="90"/>
    </row>
    <row r="2199" spans="2:8" ht="18" x14ac:dyDescent="0.25">
      <c r="B2199" s="85"/>
      <c r="C2199" s="85"/>
      <c r="D2199" s="85"/>
      <c r="E2199" s="86"/>
      <c r="F2199" s="85"/>
      <c r="G2199" s="86"/>
      <c r="H2199" s="90"/>
    </row>
    <row r="2200" spans="2:8" ht="18" x14ac:dyDescent="0.25">
      <c r="B2200" s="85" t="e">
        <f>+#REF!</f>
        <v>#REF!</v>
      </c>
      <c r="C2200" s="85"/>
      <c r="D2200" s="85"/>
      <c r="E2200" s="86"/>
      <c r="F2200" s="85"/>
      <c r="G2200" s="86"/>
      <c r="H2200" s="90"/>
    </row>
    <row r="2201" spans="2:8" ht="18" x14ac:dyDescent="0.25">
      <c r="B2201" s="86"/>
      <c r="C2201" s="85"/>
      <c r="D2201" s="85"/>
      <c r="E2201" s="85" t="s">
        <v>78</v>
      </c>
      <c r="F2201" s="85"/>
      <c r="G2201" s="85"/>
      <c r="H2201" s="90" t="s">
        <v>142</v>
      </c>
    </row>
    <row r="2202" spans="2:8" ht="18" x14ac:dyDescent="0.25">
      <c r="B2202" s="85"/>
      <c r="C2202" s="85"/>
      <c r="D2202" s="85"/>
      <c r="E2202" s="86"/>
      <c r="F2202" s="86"/>
      <c r="G2202" s="85"/>
      <c r="H2202" s="94"/>
    </row>
    <row r="2203" spans="2:8" ht="18" x14ac:dyDescent="0.25">
      <c r="B2203" s="94"/>
      <c r="C2203" s="85"/>
      <c r="D2203" s="94"/>
      <c r="E2203" s="85"/>
      <c r="F2203" s="85"/>
      <c r="G2203" s="85"/>
      <c r="H2203" s="90"/>
    </row>
    <row r="2204" spans="2:8" ht="18" x14ac:dyDescent="0.25">
      <c r="B2204" s="94"/>
      <c r="C2204" s="85"/>
      <c r="D2204" s="94"/>
      <c r="E2204" s="85"/>
      <c r="F2204" s="85"/>
      <c r="G2204" s="85"/>
      <c r="H2204" s="90"/>
    </row>
    <row r="2205" spans="2:8" ht="18" x14ac:dyDescent="0.25">
      <c r="B2205" s="85" t="s">
        <v>198</v>
      </c>
      <c r="C2205" s="85"/>
      <c r="D2205" s="107">
        <f>+'RES CUENTA'!$L$25</f>
        <v>10859801.41</v>
      </c>
      <c r="E2205" s="108" t="e">
        <f>+'RES CUENTA'!#REF!</f>
        <v>#REF!</v>
      </c>
      <c r="F2205" s="103" t="e">
        <f>+D2205*E2205/100</f>
        <v>#REF!</v>
      </c>
      <c r="G2205" s="345"/>
      <c r="H2205" s="345"/>
    </row>
    <row r="2206" spans="2:8" ht="18" x14ac:dyDescent="0.25">
      <c r="B2206" s="85" t="s">
        <v>199</v>
      </c>
      <c r="C2206" s="85"/>
      <c r="D2206" s="107" t="e">
        <f>+'RES CUENTA'!#REF!</f>
        <v>#REF!</v>
      </c>
      <c r="E2206" s="108" t="e">
        <f>+'RES CUENTA'!#REF!</f>
        <v>#REF!</v>
      </c>
      <c r="F2206" s="103" t="e">
        <f>+D2206*E2206/100</f>
        <v>#REF!</v>
      </c>
      <c r="G2206" s="341"/>
      <c r="H2206" s="341"/>
    </row>
    <row r="2207" spans="2:8" ht="18" x14ac:dyDescent="0.25">
      <c r="B2207" s="85" t="s">
        <v>79</v>
      </c>
      <c r="C2207" s="85"/>
      <c r="D2207" s="107" t="e">
        <f>+'RES CUENTA'!#REF!</f>
        <v>#REF!</v>
      </c>
      <c r="E2207" s="108">
        <v>0</v>
      </c>
      <c r="F2207" s="103" t="e">
        <f>+D2207</f>
        <v>#REF!</v>
      </c>
      <c r="G2207" s="341"/>
      <c r="H2207" s="341"/>
    </row>
    <row r="2208" spans="2:8" ht="18" x14ac:dyDescent="0.25">
      <c r="B2208" s="85" t="s">
        <v>80</v>
      </c>
      <c r="C2208" s="85"/>
      <c r="D2208" s="107" t="e">
        <f>+'RES CUENTA'!#REF!</f>
        <v>#REF!</v>
      </c>
      <c r="E2208" s="108">
        <v>0</v>
      </c>
      <c r="F2208" s="103" t="e">
        <f>+D2208</f>
        <v>#REF!</v>
      </c>
      <c r="G2208" s="341"/>
      <c r="H2208" s="341"/>
    </row>
    <row r="2209" spans="2:8" ht="18" x14ac:dyDescent="0.25">
      <c r="B2209" s="86"/>
      <c r="C2209" s="85"/>
      <c r="D2209" s="85"/>
      <c r="E2209" s="92"/>
      <c r="F2209" s="104" t="e">
        <f>SUM(F2205:F2208)</f>
        <v>#REF!</v>
      </c>
      <c r="G2209" s="341"/>
      <c r="H2209" s="341"/>
    </row>
    <row r="2210" spans="2:8" ht="18" x14ac:dyDescent="0.25">
      <c r="B2210" s="86"/>
      <c r="C2210" s="85"/>
      <c r="D2210" s="85"/>
      <c r="E2210" s="92"/>
      <c r="F2210" s="104"/>
      <c r="G2210" s="89"/>
      <c r="H2210" s="89"/>
    </row>
    <row r="2211" spans="2:8" ht="18" x14ac:dyDescent="0.25">
      <c r="B2211" s="86"/>
      <c r="C2211" s="85"/>
      <c r="D2211" s="85"/>
      <c r="E2211" s="85"/>
      <c r="G2211" s="338"/>
      <c r="H2211" s="338"/>
    </row>
    <row r="2212" spans="2:8" ht="18" x14ac:dyDescent="0.25">
      <c r="B2212" s="85"/>
      <c r="C2212" s="85"/>
      <c r="D2212" s="85"/>
      <c r="E2212" s="85"/>
      <c r="F2212" s="91"/>
      <c r="G2212" s="90"/>
      <c r="H2212" s="90"/>
    </row>
    <row r="2213" spans="2:8" ht="18" x14ac:dyDescent="0.25">
      <c r="B2213" s="85"/>
      <c r="C2213" s="85"/>
      <c r="D2213" s="85"/>
      <c r="E2213" s="85"/>
      <c r="F2213" s="92"/>
      <c r="G2213" s="85"/>
      <c r="H2213" s="90"/>
    </row>
    <row r="2214" spans="2:8" ht="18" x14ac:dyDescent="0.25">
      <c r="B2214" s="85"/>
      <c r="C2214" s="85"/>
      <c r="D2214" s="85"/>
      <c r="E2214" s="85"/>
      <c r="F2214" s="92"/>
      <c r="G2214" s="85"/>
      <c r="H2214" s="90"/>
    </row>
    <row r="2215" spans="2:8" ht="18" x14ac:dyDescent="0.25">
      <c r="B2215" s="85" t="e">
        <f>+B2200</f>
        <v>#REF!</v>
      </c>
      <c r="C2215" s="344"/>
      <c r="D2215" s="344"/>
      <c r="E2215" s="85" t="e">
        <f>+B2215</f>
        <v>#REF!</v>
      </c>
      <c r="F2215" s="92"/>
      <c r="G2215" s="85"/>
      <c r="H2215" s="90"/>
    </row>
    <row r="2216" spans="2:8" ht="18" x14ac:dyDescent="0.25">
      <c r="C2216" s="85"/>
      <c r="D2216" s="85"/>
      <c r="F2216" s="344"/>
      <c r="G2216" s="344"/>
      <c r="H2216" s="344"/>
    </row>
    <row r="2217" spans="2:8" ht="18" x14ac:dyDescent="0.25">
      <c r="B2217" s="85" t="str">
        <f>+$E$1</f>
        <v>Lima 461 C:A:B:A:</v>
      </c>
      <c r="C2217" s="85"/>
      <c r="D2217" s="93" t="str">
        <f>+H2201</f>
        <v>Unid. 59</v>
      </c>
      <c r="E2217" s="85" t="str">
        <f>+$E$1</f>
        <v>Lima 461 C:A:B:A:</v>
      </c>
      <c r="F2217" s="85"/>
      <c r="G2217" s="85"/>
      <c r="H2217" s="90" t="str">
        <f>+D2217</f>
        <v>Unid. 59</v>
      </c>
    </row>
    <row r="2218" spans="2:8" ht="18" x14ac:dyDescent="0.25">
      <c r="H2218" s="94"/>
    </row>
    <row r="2219" spans="2:8" ht="18" x14ac:dyDescent="0.25">
      <c r="B2219" s="86"/>
      <c r="C2219" s="86"/>
      <c r="D2219" s="86"/>
      <c r="E2219" s="86"/>
      <c r="F2219" s="85"/>
      <c r="G2219" s="85"/>
    </row>
    <row r="2220" spans="2:8" ht="18" x14ac:dyDescent="0.25">
      <c r="B2220" s="85">
        <f>+$E$2</f>
        <v>0</v>
      </c>
      <c r="C2220" s="85"/>
      <c r="D2220" s="85"/>
      <c r="E2220" s="85"/>
      <c r="F2220" s="85"/>
      <c r="G2220" s="86"/>
      <c r="H2220" s="94"/>
    </row>
    <row r="2221" spans="2:8" ht="18" x14ac:dyDescent="0.25">
      <c r="B2221" s="85">
        <f>+$E$3</f>
        <v>0</v>
      </c>
      <c r="C2221" s="85"/>
      <c r="D2221" s="85"/>
      <c r="E2221" s="96"/>
      <c r="F2221" s="85"/>
      <c r="G2221" s="94"/>
      <c r="H2221" s="90"/>
    </row>
    <row r="2222" spans="2:8" ht="18" x14ac:dyDescent="0.25">
      <c r="C2222" s="85"/>
      <c r="D2222" s="85"/>
      <c r="E2222" s="85" t="s">
        <v>200</v>
      </c>
      <c r="F2222" s="106" t="e">
        <f>+F2205</f>
        <v>#REF!</v>
      </c>
      <c r="H2222" s="99">
        <f>+B2227</f>
        <v>46188</v>
      </c>
    </row>
    <row r="2223" spans="2:8" ht="18" x14ac:dyDescent="0.25">
      <c r="B2223" s="86"/>
      <c r="C2223" s="85"/>
      <c r="D2223" s="85"/>
      <c r="E2223" s="85" t="s">
        <v>201</v>
      </c>
      <c r="F2223" s="106" t="e">
        <f>+F2206</f>
        <v>#REF!</v>
      </c>
    </row>
    <row r="2224" spans="2:8" ht="18" x14ac:dyDescent="0.25">
      <c r="B2224" s="86"/>
      <c r="C2224" s="85"/>
      <c r="D2224" s="85"/>
      <c r="E2224" s="85" t="s">
        <v>81</v>
      </c>
      <c r="F2224" s="106" t="e">
        <f>+F2207</f>
        <v>#REF!</v>
      </c>
      <c r="G2224" s="85"/>
      <c r="H2224" s="90"/>
    </row>
    <row r="2225" spans="2:8" ht="18" x14ac:dyDescent="0.25">
      <c r="B2225" s="85"/>
      <c r="C2225" s="85"/>
      <c r="D2225" s="85"/>
      <c r="E2225" s="85" t="s">
        <v>82</v>
      </c>
      <c r="F2225" s="106" t="e">
        <f>+F2208</f>
        <v>#REF!</v>
      </c>
      <c r="G2225" s="85"/>
      <c r="H2225" s="90"/>
    </row>
    <row r="2226" spans="2:8" ht="18" x14ac:dyDescent="0.25">
      <c r="B2226" s="96"/>
      <c r="C2226" s="96"/>
      <c r="D2226" s="96"/>
      <c r="E2226" s="85" t="s">
        <v>188</v>
      </c>
      <c r="F2226" s="106">
        <v>0</v>
      </c>
      <c r="G2226" s="85"/>
      <c r="H2226" s="90"/>
    </row>
    <row r="2227" spans="2:8" ht="18" x14ac:dyDescent="0.25">
      <c r="B2227" s="99">
        <f>+$G$30</f>
        <v>46188</v>
      </c>
      <c r="C2227" s="105" t="e">
        <f>+F2209</f>
        <v>#REF!</v>
      </c>
      <c r="D2227" s="85"/>
      <c r="E2227" s="85" t="s">
        <v>83</v>
      </c>
      <c r="F2227" s="106" t="e">
        <f>+F2209</f>
        <v>#REF!</v>
      </c>
      <c r="G2227" s="85"/>
      <c r="H2227" s="90"/>
    </row>
    <row r="2228" spans="2:8" ht="18" x14ac:dyDescent="0.25">
      <c r="B2228" s="85"/>
      <c r="C2228" s="85"/>
      <c r="D2228" s="85"/>
      <c r="E2228" s="85"/>
      <c r="F2228" s="85"/>
      <c r="G2228" s="85"/>
      <c r="H2228" s="90"/>
    </row>
    <row r="2229" spans="2:8" ht="18" x14ac:dyDescent="0.25">
      <c r="B2229" s="85"/>
      <c r="C2229" s="85"/>
      <c r="D2229" s="85"/>
      <c r="E2229" s="85"/>
      <c r="F2229" s="85"/>
      <c r="G2229" s="345"/>
      <c r="H2229" s="345"/>
    </row>
    <row r="2230" spans="2:8" ht="18" x14ac:dyDescent="0.25">
      <c r="B2230" s="85"/>
      <c r="C2230" s="85"/>
      <c r="D2230" s="85"/>
      <c r="E2230" s="85"/>
      <c r="F2230" s="85"/>
      <c r="G2230" s="85"/>
      <c r="H2230" s="90"/>
    </row>
    <row r="2231" spans="2:8" ht="18" x14ac:dyDescent="0.25">
      <c r="B2231" s="85"/>
      <c r="C2231" s="85"/>
      <c r="D2231" s="85"/>
      <c r="E2231" s="85"/>
      <c r="F2231" s="85"/>
      <c r="G2231" s="85"/>
      <c r="H2231" s="90"/>
    </row>
    <row r="2232" spans="2:8" ht="18" x14ac:dyDescent="0.25">
      <c r="B2232" s="85"/>
      <c r="C2232" s="85"/>
      <c r="D2232" s="85"/>
      <c r="E2232" s="85"/>
      <c r="F2232" s="85"/>
      <c r="G2232" s="85"/>
      <c r="H2232" s="90"/>
    </row>
    <row r="2233" spans="2:8" ht="18" x14ac:dyDescent="0.25">
      <c r="B2233" s="85"/>
      <c r="C2233" s="85"/>
      <c r="D2233" s="85"/>
      <c r="E2233" s="85"/>
      <c r="F2233" s="85"/>
      <c r="G2233" s="85"/>
      <c r="H2233" s="90"/>
    </row>
    <row r="2234" spans="2:8" ht="18" x14ac:dyDescent="0.25">
      <c r="B2234" s="85"/>
      <c r="C2234" s="85"/>
      <c r="D2234" s="85"/>
      <c r="E2234" s="85"/>
      <c r="F2234" s="85"/>
      <c r="H2234" s="90"/>
    </row>
    <row r="2235" spans="2:8" ht="18" x14ac:dyDescent="0.25">
      <c r="B2235" s="343"/>
      <c r="C2235" s="343"/>
      <c r="D2235" s="343"/>
      <c r="E2235" s="85"/>
      <c r="F2235" s="85"/>
      <c r="H2235" s="90"/>
    </row>
    <row r="2236" spans="2:8" ht="18" x14ac:dyDescent="0.25">
      <c r="B2236" s="343"/>
      <c r="C2236" s="343"/>
      <c r="D2236" s="343"/>
      <c r="E2236" s="98">
        <f>+$B$1</f>
        <v>46143</v>
      </c>
      <c r="F2236" s="85"/>
      <c r="G2236" s="99">
        <f>+$D$1</f>
        <v>46188</v>
      </c>
      <c r="H2236" s="160"/>
    </row>
    <row r="2237" spans="2:8" ht="18" x14ac:dyDescent="0.25">
      <c r="B2237" s="84"/>
      <c r="C2237" s="84"/>
      <c r="D2237" s="100"/>
      <c r="E2237" s="98"/>
      <c r="F2237" s="85"/>
    </row>
    <row r="2238" spans="2:8" ht="18" x14ac:dyDescent="0.25">
      <c r="B2238" s="85" t="e">
        <f>+#REF!</f>
        <v>#REF!</v>
      </c>
      <c r="C2238" s="85"/>
      <c r="D2238" s="85"/>
      <c r="F2238" s="85"/>
    </row>
    <row r="2239" spans="2:8" ht="18" x14ac:dyDescent="0.25">
      <c r="C2239" s="85"/>
      <c r="D2239" s="85"/>
      <c r="E2239" s="85" t="str">
        <f>+$E$1</f>
        <v>Lima 461 C:A:B:A:</v>
      </c>
      <c r="F2239" s="85"/>
      <c r="H2239" s="90" t="s">
        <v>143</v>
      </c>
    </row>
    <row r="2240" spans="2:8" ht="18" x14ac:dyDescent="0.25">
      <c r="B2240" s="86"/>
      <c r="C2240" s="85"/>
      <c r="D2240" s="85"/>
      <c r="F2240" s="85"/>
      <c r="G2240" s="86"/>
    </row>
    <row r="2241" spans="2:8" ht="18" x14ac:dyDescent="0.25">
      <c r="B2241" s="85"/>
      <c r="C2241" s="85"/>
      <c r="D2241" s="85"/>
      <c r="E2241" s="86"/>
      <c r="F2241" s="86"/>
      <c r="G2241" s="85"/>
      <c r="H2241" s="94"/>
    </row>
    <row r="2242" spans="2:8" ht="18" x14ac:dyDescent="0.25">
      <c r="B2242" s="94"/>
      <c r="C2242" s="85"/>
      <c r="D2242" s="94"/>
      <c r="E2242" s="85"/>
      <c r="F2242" s="85"/>
      <c r="G2242" s="85"/>
      <c r="H2242" s="90"/>
    </row>
    <row r="2243" spans="2:8" ht="18" x14ac:dyDescent="0.25">
      <c r="B2243" s="85" t="s">
        <v>198</v>
      </c>
      <c r="C2243" s="85"/>
      <c r="D2243" s="107">
        <f>+'RES CUENTA'!$L$25</f>
        <v>10859801.41</v>
      </c>
      <c r="E2243" s="108" t="e">
        <f>+'RES CUENTA'!#REF!</f>
        <v>#REF!</v>
      </c>
      <c r="F2243" s="103" t="e">
        <f>+D2243*E2243/100</f>
        <v>#REF!</v>
      </c>
      <c r="G2243" s="85"/>
      <c r="H2243" s="94"/>
    </row>
    <row r="2244" spans="2:8" ht="18" x14ac:dyDescent="0.25">
      <c r="B2244" s="85" t="s">
        <v>199</v>
      </c>
      <c r="C2244" s="85"/>
      <c r="D2244" s="107" t="e">
        <f>+'RES CUENTA'!#REF!</f>
        <v>#REF!</v>
      </c>
      <c r="E2244" s="108" t="e">
        <f>+'RES CUENTA'!#REF!</f>
        <v>#REF!</v>
      </c>
      <c r="F2244" s="103" t="e">
        <f>+D2244*E2244/100</f>
        <v>#REF!</v>
      </c>
      <c r="G2244" s="94"/>
      <c r="H2244" s="89"/>
    </row>
    <row r="2245" spans="2:8" ht="18" x14ac:dyDescent="0.25">
      <c r="B2245" s="85" t="s">
        <v>79</v>
      </c>
      <c r="C2245" s="85"/>
      <c r="D2245" s="107" t="e">
        <f>+'RES CUENTA'!#REF!</f>
        <v>#REF!</v>
      </c>
      <c r="E2245" s="108">
        <f>+'RES CUENTA'!P1360</f>
        <v>0</v>
      </c>
      <c r="F2245" s="103" t="e">
        <f>+D2245</f>
        <v>#REF!</v>
      </c>
      <c r="G2245" s="89"/>
      <c r="H2245" s="89"/>
    </row>
    <row r="2246" spans="2:8" ht="18" x14ac:dyDescent="0.25">
      <c r="B2246" s="85" t="s">
        <v>80</v>
      </c>
      <c r="C2246" s="85"/>
      <c r="D2246" s="107" t="e">
        <f>+'RES CUENTA'!#REF!</f>
        <v>#REF!</v>
      </c>
      <c r="E2246" s="108">
        <f>+'RES CUENTA'!R1355</f>
        <v>0</v>
      </c>
      <c r="F2246" s="103" t="e">
        <f>+D2246</f>
        <v>#REF!</v>
      </c>
      <c r="G2246" s="89"/>
      <c r="H2246" s="89"/>
    </row>
    <row r="2247" spans="2:8" ht="18" x14ac:dyDescent="0.25">
      <c r="B2247" s="86"/>
      <c r="C2247" s="85"/>
      <c r="D2247" s="85"/>
      <c r="F2247" s="104" t="e">
        <f>SUM(F2243:F2246)</f>
        <v>#REF!</v>
      </c>
      <c r="G2247" s="89"/>
      <c r="H2247" s="89"/>
    </row>
    <row r="2248" spans="2:8" ht="18" x14ac:dyDescent="0.25">
      <c r="B2248" s="86"/>
      <c r="C2248" s="85"/>
      <c r="D2248" s="85"/>
      <c r="F2248" s="104"/>
      <c r="G2248" s="89"/>
      <c r="H2248" s="89"/>
    </row>
    <row r="2249" spans="2:8" ht="18" x14ac:dyDescent="0.25">
      <c r="B2249" s="86"/>
      <c r="C2249" s="85"/>
      <c r="D2249" s="85"/>
      <c r="F2249" s="91"/>
      <c r="G2249" s="89"/>
      <c r="H2249" s="90"/>
    </row>
    <row r="2250" spans="2:8" ht="18" x14ac:dyDescent="0.25">
      <c r="B2250" s="85"/>
      <c r="C2250" s="85"/>
      <c r="D2250" s="85"/>
      <c r="E2250" s="85"/>
      <c r="F2250" s="92"/>
      <c r="G2250" s="90"/>
      <c r="H2250" s="90"/>
    </row>
    <row r="2251" spans="2:8" ht="18" x14ac:dyDescent="0.25">
      <c r="B2251" s="85"/>
      <c r="C2251" s="85"/>
      <c r="D2251" s="85"/>
      <c r="E2251" s="85"/>
      <c r="F2251" s="92"/>
      <c r="G2251" s="90"/>
      <c r="H2251" s="90"/>
    </row>
    <row r="2252" spans="2:8" ht="18" x14ac:dyDescent="0.25">
      <c r="B2252" s="85"/>
      <c r="C2252" s="85"/>
      <c r="D2252" s="85"/>
      <c r="E2252" s="85"/>
      <c r="F2252" s="92"/>
      <c r="G2252" s="90"/>
      <c r="H2252" s="90"/>
    </row>
    <row r="2253" spans="2:8" ht="18" x14ac:dyDescent="0.25">
      <c r="B2253" s="85" t="e">
        <f>+B2238</f>
        <v>#REF!</v>
      </c>
      <c r="C2253" s="85"/>
      <c r="D2253" s="85"/>
      <c r="E2253" s="85" t="e">
        <f>+B2238</f>
        <v>#REF!</v>
      </c>
      <c r="F2253" s="85"/>
      <c r="G2253" s="85"/>
      <c r="H2253" s="94"/>
    </row>
    <row r="2254" spans="2:8" ht="18" x14ac:dyDescent="0.25">
      <c r="B2254" s="86"/>
      <c r="C2254" s="85"/>
      <c r="D2254" s="85"/>
      <c r="F2254" s="85"/>
      <c r="G2254" s="101"/>
      <c r="H2254" s="90" t="str">
        <f>+H2239</f>
        <v>Unid. 60</v>
      </c>
    </row>
    <row r="2255" spans="2:8" ht="18" x14ac:dyDescent="0.25">
      <c r="B2255" s="85" t="str">
        <f>+$E$1</f>
        <v>Lima 461 C:A:B:A:</v>
      </c>
      <c r="C2255" s="85"/>
      <c r="D2255" s="93" t="str">
        <f>+H2254</f>
        <v>Unid. 60</v>
      </c>
      <c r="E2255" s="85" t="str">
        <f>+$E$1</f>
        <v>Lima 461 C:A:B:A:</v>
      </c>
      <c r="F2255" s="85"/>
      <c r="G2255" s="85"/>
      <c r="H2255" s="94"/>
    </row>
    <row r="2256" spans="2:8" ht="18" x14ac:dyDescent="0.25">
      <c r="B2256" s="86"/>
      <c r="C2256" s="86"/>
      <c r="D2256" s="86"/>
      <c r="F2256" s="85"/>
      <c r="G2256" s="85"/>
    </row>
    <row r="2257" spans="2:8" ht="18" x14ac:dyDescent="0.25">
      <c r="B2257" s="85"/>
      <c r="C2257" s="85"/>
      <c r="D2257" s="85"/>
      <c r="E2257" s="86"/>
      <c r="F2257" s="85"/>
      <c r="G2257" s="85"/>
      <c r="H2257" s="94"/>
    </row>
    <row r="2258" spans="2:8" ht="18" x14ac:dyDescent="0.25">
      <c r="B2258" s="85">
        <f>+$E$2</f>
        <v>0</v>
      </c>
      <c r="C2258" s="85"/>
      <c r="D2258" s="85"/>
      <c r="E2258" s="85"/>
      <c r="F2258" s="96"/>
      <c r="G2258" s="86"/>
      <c r="H2258" s="90"/>
    </row>
    <row r="2259" spans="2:8" ht="18" x14ac:dyDescent="0.25">
      <c r="B2259" s="85">
        <f>+$E$3</f>
        <v>0</v>
      </c>
      <c r="C2259" s="85"/>
      <c r="D2259" s="85"/>
      <c r="E2259" s="96"/>
      <c r="G2259" s="94"/>
      <c r="H2259" s="96"/>
    </row>
    <row r="2260" spans="2:8" ht="18" x14ac:dyDescent="0.25">
      <c r="B2260" s="86"/>
      <c r="C2260" s="85"/>
      <c r="D2260" s="85"/>
      <c r="E2260" s="85" t="s">
        <v>200</v>
      </c>
      <c r="F2260" s="106" t="e">
        <f>+F2243</f>
        <v>#REF!</v>
      </c>
      <c r="G2260" s="95"/>
      <c r="H2260" s="99">
        <f>+B2264</f>
        <v>46188</v>
      </c>
    </row>
    <row r="2261" spans="2:8" ht="18" x14ac:dyDescent="0.25">
      <c r="B2261" s="86"/>
      <c r="C2261" s="85"/>
      <c r="D2261" s="85"/>
      <c r="E2261" s="85" t="s">
        <v>201</v>
      </c>
      <c r="F2261" s="106" t="e">
        <f>+F2244</f>
        <v>#REF!</v>
      </c>
      <c r="H2261" s="90"/>
    </row>
    <row r="2262" spans="2:8" ht="18" x14ac:dyDescent="0.25">
      <c r="B2262" s="85"/>
      <c r="C2262" s="85"/>
      <c r="D2262" s="85"/>
      <c r="E2262" s="85" t="s">
        <v>81</v>
      </c>
      <c r="F2262" s="106" t="e">
        <f>+F2245</f>
        <v>#REF!</v>
      </c>
      <c r="G2262" s="85"/>
      <c r="H2262" s="90"/>
    </row>
    <row r="2263" spans="2:8" ht="18" x14ac:dyDescent="0.25">
      <c r="B2263" s="96"/>
      <c r="C2263" s="96"/>
      <c r="D2263" s="96"/>
      <c r="E2263" s="85" t="s">
        <v>82</v>
      </c>
      <c r="F2263" s="106" t="e">
        <f>+F2246</f>
        <v>#REF!</v>
      </c>
      <c r="G2263" s="85"/>
      <c r="H2263" s="90"/>
    </row>
    <row r="2264" spans="2:8" ht="18" x14ac:dyDescent="0.25">
      <c r="B2264" s="99">
        <f>+$G$30</f>
        <v>46188</v>
      </c>
      <c r="C2264" s="105" t="e">
        <f>+F2247</f>
        <v>#REF!</v>
      </c>
      <c r="D2264" s="85"/>
      <c r="E2264" s="85" t="s">
        <v>188</v>
      </c>
      <c r="F2264" s="106">
        <v>0</v>
      </c>
      <c r="G2264" s="85"/>
      <c r="H2264" s="90"/>
    </row>
    <row r="2265" spans="2:8" ht="18" x14ac:dyDescent="0.25">
      <c r="B2265" s="85"/>
      <c r="C2265" s="85"/>
      <c r="D2265" s="85"/>
      <c r="E2265" s="85" t="s">
        <v>83</v>
      </c>
      <c r="F2265" s="106" t="e">
        <f>+F2247</f>
        <v>#REF!</v>
      </c>
      <c r="G2265" s="85"/>
      <c r="H2265" s="90"/>
    </row>
    <row r="2266" spans="2:8" ht="18" x14ac:dyDescent="0.25">
      <c r="B2266" s="85"/>
      <c r="C2266" s="85"/>
      <c r="D2266" s="85"/>
      <c r="E2266" s="85"/>
      <c r="F2266" s="85"/>
      <c r="G2266" s="85"/>
      <c r="H2266" s="90"/>
    </row>
    <row r="2267" spans="2:8" ht="18" x14ac:dyDescent="0.25">
      <c r="B2267" s="85"/>
      <c r="C2267" s="85"/>
      <c r="D2267" s="85"/>
      <c r="E2267" s="102"/>
      <c r="F2267" s="85"/>
      <c r="G2267" s="85"/>
      <c r="H2267" s="90"/>
    </row>
    <row r="2268" spans="2:8" ht="18" x14ac:dyDescent="0.25">
      <c r="B2268" s="85"/>
      <c r="C2268" s="85"/>
      <c r="D2268" s="85"/>
      <c r="E2268" s="85"/>
      <c r="F2268" s="85"/>
      <c r="G2268" s="85"/>
      <c r="H2268" s="94"/>
    </row>
    <row r="2269" spans="2:8" ht="18" x14ac:dyDescent="0.25">
      <c r="E2269" s="85"/>
      <c r="G2269" s="94"/>
      <c r="H2269" s="90"/>
    </row>
    <row r="2271" spans="2:8" ht="18" x14ac:dyDescent="0.25">
      <c r="B2271" s="343"/>
      <c r="C2271" s="343"/>
      <c r="D2271" s="343"/>
      <c r="E2271" s="342">
        <f>+$B$1</f>
        <v>46143</v>
      </c>
      <c r="F2271" s="85"/>
      <c r="G2271" s="337">
        <f>+$D$1</f>
        <v>46188</v>
      </c>
      <c r="H2271" s="90"/>
    </row>
    <row r="2272" spans="2:8" ht="18" x14ac:dyDescent="0.25">
      <c r="B2272" s="84"/>
      <c r="C2272" s="84"/>
      <c r="D2272" s="100"/>
      <c r="E2272" s="342"/>
      <c r="F2272" s="85"/>
      <c r="G2272" s="337"/>
      <c r="H2272" s="90"/>
    </row>
    <row r="2273" spans="2:8" ht="18" x14ac:dyDescent="0.25">
      <c r="B2273" s="85"/>
      <c r="C2273" s="85"/>
      <c r="D2273" s="85"/>
      <c r="E2273" s="86"/>
      <c r="F2273" s="85"/>
      <c r="G2273" s="86"/>
      <c r="H2273" s="90"/>
    </row>
    <row r="2274" spans="2:8" ht="18" x14ac:dyDescent="0.25">
      <c r="B2274" s="85" t="e">
        <f>+#REF!</f>
        <v>#REF!</v>
      </c>
      <c r="C2274" s="85"/>
      <c r="D2274" s="85"/>
      <c r="E2274" s="86"/>
      <c r="F2274" s="85"/>
      <c r="G2274" s="86"/>
      <c r="H2274" s="90"/>
    </row>
    <row r="2275" spans="2:8" ht="18" x14ac:dyDescent="0.25">
      <c r="B2275" s="86"/>
      <c r="C2275" s="85"/>
      <c r="D2275" s="85"/>
      <c r="E2275" s="85" t="s">
        <v>78</v>
      </c>
      <c r="F2275" s="85"/>
      <c r="G2275" s="85"/>
      <c r="H2275" s="90" t="s">
        <v>144</v>
      </c>
    </row>
    <row r="2276" spans="2:8" ht="18" x14ac:dyDescent="0.25">
      <c r="B2276" s="85"/>
      <c r="C2276" s="85"/>
      <c r="D2276" s="85"/>
      <c r="E2276" s="86"/>
      <c r="F2276" s="86"/>
      <c r="G2276" s="85"/>
      <c r="H2276" s="94"/>
    </row>
    <row r="2277" spans="2:8" ht="18" x14ac:dyDescent="0.25">
      <c r="B2277" s="94"/>
      <c r="C2277" s="85"/>
      <c r="D2277" s="94"/>
      <c r="E2277" s="85"/>
      <c r="F2277" s="85"/>
      <c r="G2277" s="85"/>
      <c r="H2277" s="90"/>
    </row>
    <row r="2278" spans="2:8" ht="18" x14ac:dyDescent="0.25">
      <c r="B2278" s="94"/>
      <c r="C2278" s="85"/>
      <c r="D2278" s="94"/>
      <c r="E2278" s="85"/>
      <c r="F2278" s="85"/>
      <c r="G2278" s="85"/>
      <c r="H2278" s="90"/>
    </row>
    <row r="2279" spans="2:8" ht="18" x14ac:dyDescent="0.25">
      <c r="B2279" s="85" t="s">
        <v>198</v>
      </c>
      <c r="C2279" s="85"/>
      <c r="D2279" s="107">
        <f>+'RES CUENTA'!$L$25</f>
        <v>10859801.41</v>
      </c>
      <c r="E2279" s="108" t="e">
        <f>+'RES CUENTA'!#REF!</f>
        <v>#REF!</v>
      </c>
      <c r="F2279" s="103" t="e">
        <f>+D2279*E2279/100</f>
        <v>#REF!</v>
      </c>
      <c r="G2279" s="345"/>
      <c r="H2279" s="345"/>
    </row>
    <row r="2280" spans="2:8" ht="18" x14ac:dyDescent="0.25">
      <c r="B2280" s="85" t="s">
        <v>199</v>
      </c>
      <c r="C2280" s="85"/>
      <c r="D2280" s="107" t="e">
        <f>+'RES CUENTA'!#REF!</f>
        <v>#REF!</v>
      </c>
      <c r="E2280" s="108" t="e">
        <f>+'RES CUENTA'!#REF!</f>
        <v>#REF!</v>
      </c>
      <c r="F2280" s="103" t="e">
        <f>+D2280*E2280/100</f>
        <v>#REF!</v>
      </c>
      <c r="G2280" s="341"/>
      <c r="H2280" s="341"/>
    </row>
    <row r="2281" spans="2:8" ht="18" x14ac:dyDescent="0.25">
      <c r="B2281" s="85" t="s">
        <v>79</v>
      </c>
      <c r="C2281" s="85"/>
      <c r="D2281" s="107" t="e">
        <f>+'RES CUENTA'!#REF!</f>
        <v>#REF!</v>
      </c>
      <c r="E2281" s="108">
        <v>0</v>
      </c>
      <c r="F2281" s="103" t="e">
        <f>+D2281</f>
        <v>#REF!</v>
      </c>
      <c r="G2281" s="341"/>
      <c r="H2281" s="341"/>
    </row>
    <row r="2282" spans="2:8" ht="18" x14ac:dyDescent="0.25">
      <c r="B2282" s="85" t="s">
        <v>80</v>
      </c>
      <c r="C2282" s="85"/>
      <c r="D2282" s="107" t="e">
        <f>+'RES CUENTA'!#REF!</f>
        <v>#REF!</v>
      </c>
      <c r="E2282" s="108">
        <v>0</v>
      </c>
      <c r="F2282" s="103" t="e">
        <f>+D2282</f>
        <v>#REF!</v>
      </c>
      <c r="G2282" s="341"/>
      <c r="H2282" s="341"/>
    </row>
    <row r="2283" spans="2:8" ht="18" x14ac:dyDescent="0.25">
      <c r="B2283" s="86"/>
      <c r="C2283" s="85"/>
      <c r="D2283" s="85"/>
      <c r="E2283" s="92"/>
      <c r="F2283" s="104" t="e">
        <f>SUM(F2279:F2282)</f>
        <v>#REF!</v>
      </c>
      <c r="G2283" s="341"/>
      <c r="H2283" s="341"/>
    </row>
    <row r="2284" spans="2:8" ht="18" x14ac:dyDescent="0.25">
      <c r="B2284" s="86"/>
      <c r="C2284" s="85"/>
      <c r="D2284" s="85"/>
      <c r="E2284" s="92"/>
      <c r="F2284" s="104"/>
      <c r="G2284" s="89"/>
      <c r="H2284" s="89"/>
    </row>
    <row r="2285" spans="2:8" ht="18" x14ac:dyDescent="0.25">
      <c r="B2285" s="86"/>
      <c r="C2285" s="85"/>
      <c r="D2285" s="85"/>
      <c r="E2285" s="85"/>
      <c r="G2285" s="338"/>
      <c r="H2285" s="338"/>
    </row>
    <row r="2286" spans="2:8" ht="18" x14ac:dyDescent="0.25">
      <c r="B2286" s="85"/>
      <c r="C2286" s="85"/>
      <c r="D2286" s="85"/>
      <c r="E2286" s="85"/>
      <c r="F2286" s="91"/>
      <c r="G2286" s="90"/>
      <c r="H2286" s="90"/>
    </row>
    <row r="2287" spans="2:8" ht="18" x14ac:dyDescent="0.25">
      <c r="B2287" s="85"/>
      <c r="C2287" s="85"/>
      <c r="D2287" s="85"/>
      <c r="E2287" s="85"/>
      <c r="F2287" s="92"/>
      <c r="G2287" s="85"/>
      <c r="H2287" s="90"/>
    </row>
    <row r="2288" spans="2:8" ht="18" x14ac:dyDescent="0.25">
      <c r="B2288" s="85"/>
      <c r="C2288" s="85"/>
      <c r="D2288" s="85"/>
      <c r="E2288" s="85"/>
      <c r="F2288" s="92"/>
      <c r="G2288" s="85"/>
      <c r="H2288" s="90"/>
    </row>
    <row r="2289" spans="2:8" ht="18" x14ac:dyDescent="0.25">
      <c r="B2289" s="85" t="e">
        <f>+B2274</f>
        <v>#REF!</v>
      </c>
      <c r="C2289" s="344"/>
      <c r="D2289" s="344"/>
      <c r="E2289" s="85" t="e">
        <f>+B2289</f>
        <v>#REF!</v>
      </c>
      <c r="F2289" s="92"/>
      <c r="G2289" s="85"/>
      <c r="H2289" s="90"/>
    </row>
    <row r="2290" spans="2:8" ht="18" x14ac:dyDescent="0.25">
      <c r="C2290" s="85"/>
      <c r="D2290" s="85"/>
      <c r="F2290" s="344"/>
      <c r="G2290" s="344"/>
      <c r="H2290" s="344"/>
    </row>
    <row r="2291" spans="2:8" ht="18" x14ac:dyDescent="0.25">
      <c r="B2291" s="85" t="str">
        <f>+$E$1</f>
        <v>Lima 461 C:A:B:A:</v>
      </c>
      <c r="C2291" s="85"/>
      <c r="D2291" s="93" t="str">
        <f>+H2275</f>
        <v>Unid. 61</v>
      </c>
      <c r="E2291" s="85" t="str">
        <f>+$E$1</f>
        <v>Lima 461 C:A:B:A:</v>
      </c>
      <c r="F2291" s="85"/>
      <c r="G2291" s="85"/>
      <c r="H2291" s="90" t="str">
        <f>+D2291</f>
        <v>Unid. 61</v>
      </c>
    </row>
    <row r="2292" spans="2:8" ht="18" x14ac:dyDescent="0.25">
      <c r="H2292" s="94"/>
    </row>
    <row r="2293" spans="2:8" ht="18" x14ac:dyDescent="0.25">
      <c r="B2293" s="86"/>
      <c r="C2293" s="86"/>
      <c r="D2293" s="86"/>
      <c r="E2293" s="86"/>
      <c r="F2293" s="85"/>
      <c r="G2293" s="85"/>
    </row>
    <row r="2294" spans="2:8" ht="18" x14ac:dyDescent="0.25">
      <c r="B2294" s="85">
        <f>+$E$2</f>
        <v>0</v>
      </c>
      <c r="C2294" s="85"/>
      <c r="D2294" s="85"/>
      <c r="E2294" s="85"/>
      <c r="F2294" s="85"/>
      <c r="G2294" s="86"/>
      <c r="H2294" s="94"/>
    </row>
    <row r="2295" spans="2:8" ht="18" x14ac:dyDescent="0.25">
      <c r="B2295" s="85">
        <f>+$E$3</f>
        <v>0</v>
      </c>
      <c r="C2295" s="85"/>
      <c r="D2295" s="85"/>
      <c r="E2295" s="96"/>
      <c r="F2295" s="85"/>
      <c r="G2295" s="94"/>
      <c r="H2295" s="90"/>
    </row>
    <row r="2296" spans="2:8" ht="18" x14ac:dyDescent="0.25">
      <c r="C2296" s="85"/>
      <c r="D2296" s="85"/>
      <c r="E2296" s="85" t="s">
        <v>200</v>
      </c>
      <c r="F2296" s="106" t="e">
        <f>+F2279</f>
        <v>#REF!</v>
      </c>
      <c r="H2296" s="99">
        <f>+B2301</f>
        <v>46188</v>
      </c>
    </row>
    <row r="2297" spans="2:8" ht="18" x14ac:dyDescent="0.25">
      <c r="B2297" s="86"/>
      <c r="C2297" s="85"/>
      <c r="D2297" s="85"/>
      <c r="E2297" s="85" t="s">
        <v>201</v>
      </c>
      <c r="F2297" s="106" t="e">
        <f>+F2280</f>
        <v>#REF!</v>
      </c>
    </row>
    <row r="2298" spans="2:8" ht="18" x14ac:dyDescent="0.25">
      <c r="B2298" s="86"/>
      <c r="C2298" s="85"/>
      <c r="D2298" s="85"/>
      <c r="E2298" s="85" t="s">
        <v>81</v>
      </c>
      <c r="F2298" s="106" t="e">
        <f>+F2281</f>
        <v>#REF!</v>
      </c>
      <c r="G2298" s="85"/>
      <c r="H2298" s="90"/>
    </row>
    <row r="2299" spans="2:8" ht="18" x14ac:dyDescent="0.25">
      <c r="B2299" s="85"/>
      <c r="C2299" s="85"/>
      <c r="D2299" s="85"/>
      <c r="E2299" s="85" t="s">
        <v>82</v>
      </c>
      <c r="F2299" s="106" t="e">
        <f>+F2282</f>
        <v>#REF!</v>
      </c>
      <c r="G2299" s="85"/>
      <c r="H2299" s="90"/>
    </row>
    <row r="2300" spans="2:8" ht="18" x14ac:dyDescent="0.25">
      <c r="B2300" s="96"/>
      <c r="C2300" s="96"/>
      <c r="D2300" s="96"/>
      <c r="E2300" s="85" t="s">
        <v>188</v>
      </c>
      <c r="F2300" s="106">
        <v>0</v>
      </c>
      <c r="G2300" s="85"/>
      <c r="H2300" s="90"/>
    </row>
    <row r="2301" spans="2:8" ht="18" x14ac:dyDescent="0.25">
      <c r="B2301" s="99">
        <f>+$G$30</f>
        <v>46188</v>
      </c>
      <c r="C2301" s="105" t="e">
        <f>+F2283</f>
        <v>#REF!</v>
      </c>
      <c r="D2301" s="85"/>
      <c r="E2301" s="85" t="s">
        <v>83</v>
      </c>
      <c r="F2301" s="106" t="e">
        <f>+F2283</f>
        <v>#REF!</v>
      </c>
      <c r="G2301" s="85"/>
      <c r="H2301" s="90"/>
    </row>
    <row r="2302" spans="2:8" ht="18" x14ac:dyDescent="0.25">
      <c r="B2302" s="85"/>
      <c r="C2302" s="85"/>
      <c r="D2302" s="85"/>
      <c r="E2302" s="85"/>
      <c r="F2302" s="85"/>
      <c r="G2302" s="85"/>
      <c r="H2302" s="90"/>
    </row>
    <row r="2303" spans="2:8" ht="18" x14ac:dyDescent="0.25">
      <c r="B2303" s="85"/>
      <c r="C2303" s="85"/>
      <c r="D2303" s="85"/>
      <c r="E2303" s="85"/>
      <c r="F2303" s="85"/>
      <c r="G2303" s="345"/>
      <c r="H2303" s="345"/>
    </row>
    <row r="2304" spans="2:8" ht="18" x14ac:dyDescent="0.25">
      <c r="B2304" s="85"/>
      <c r="C2304" s="85"/>
      <c r="D2304" s="85"/>
      <c r="E2304" s="85"/>
      <c r="F2304" s="85"/>
      <c r="G2304" s="85"/>
      <c r="H2304" s="90"/>
    </row>
    <row r="2305" spans="2:8" ht="18" x14ac:dyDescent="0.25">
      <c r="B2305" s="85"/>
      <c r="C2305" s="85"/>
      <c r="D2305" s="85"/>
      <c r="E2305" s="85"/>
      <c r="F2305" s="85"/>
      <c r="G2305" s="85"/>
      <c r="H2305" s="90"/>
    </row>
    <row r="2306" spans="2:8" ht="18" x14ac:dyDescent="0.25">
      <c r="B2306" s="85"/>
      <c r="C2306" s="85"/>
      <c r="D2306" s="85"/>
      <c r="E2306" s="85"/>
      <c r="F2306" s="85"/>
      <c r="G2306" s="85"/>
      <c r="H2306" s="90"/>
    </row>
    <row r="2307" spans="2:8" ht="18" x14ac:dyDescent="0.25">
      <c r="B2307" s="85"/>
      <c r="C2307" s="85"/>
      <c r="D2307" s="85"/>
      <c r="E2307" s="85"/>
      <c r="F2307" s="85"/>
      <c r="G2307" s="85"/>
      <c r="H2307" s="90"/>
    </row>
    <row r="2308" spans="2:8" ht="18" x14ac:dyDescent="0.25">
      <c r="B2308" s="85"/>
      <c r="C2308" s="85"/>
      <c r="D2308" s="85"/>
      <c r="E2308" s="85"/>
      <c r="F2308" s="85"/>
      <c r="H2308" s="90"/>
    </row>
    <row r="2309" spans="2:8" ht="18" x14ac:dyDescent="0.25">
      <c r="B2309" s="343"/>
      <c r="C2309" s="343"/>
      <c r="D2309" s="343"/>
      <c r="E2309" s="85"/>
      <c r="F2309" s="85"/>
      <c r="H2309" s="90"/>
    </row>
    <row r="2310" spans="2:8" ht="18" x14ac:dyDescent="0.25">
      <c r="B2310" s="343"/>
      <c r="C2310" s="343"/>
      <c r="D2310" s="343"/>
      <c r="E2310" s="98">
        <f>+$B$1</f>
        <v>46143</v>
      </c>
      <c r="F2310" s="85"/>
      <c r="G2310" s="99">
        <f>+$D$1</f>
        <v>46188</v>
      </c>
      <c r="H2310" s="160"/>
    </row>
    <row r="2311" spans="2:8" ht="18" x14ac:dyDescent="0.25">
      <c r="B2311" s="84"/>
      <c r="C2311" s="84"/>
      <c r="D2311" s="100"/>
      <c r="E2311" s="98"/>
      <c r="F2311" s="85"/>
    </row>
    <row r="2312" spans="2:8" ht="18" x14ac:dyDescent="0.25">
      <c r="B2312" s="85" t="e">
        <f>+#REF!</f>
        <v>#REF!</v>
      </c>
      <c r="C2312" s="85"/>
      <c r="D2312" s="85"/>
      <c r="F2312" s="85"/>
    </row>
    <row r="2313" spans="2:8" ht="18" x14ac:dyDescent="0.25">
      <c r="C2313" s="85"/>
      <c r="D2313" s="85"/>
      <c r="E2313" s="85" t="str">
        <f>+$E$1</f>
        <v>Lima 461 C:A:B:A:</v>
      </c>
      <c r="F2313" s="85"/>
      <c r="H2313" s="90" t="s">
        <v>145</v>
      </c>
    </row>
    <row r="2314" spans="2:8" ht="18" x14ac:dyDescent="0.25">
      <c r="B2314" s="86"/>
      <c r="C2314" s="85"/>
      <c r="D2314" s="85"/>
      <c r="F2314" s="85"/>
      <c r="G2314" s="86"/>
    </row>
    <row r="2315" spans="2:8" ht="18" x14ac:dyDescent="0.25">
      <c r="B2315" s="85"/>
      <c r="C2315" s="85"/>
      <c r="D2315" s="85"/>
      <c r="E2315" s="86"/>
      <c r="F2315" s="86"/>
      <c r="G2315" s="85"/>
      <c r="H2315" s="94"/>
    </row>
    <row r="2316" spans="2:8" ht="18" x14ac:dyDescent="0.25">
      <c r="B2316" s="85"/>
      <c r="C2316" s="85"/>
      <c r="D2316" s="85"/>
      <c r="E2316" s="86"/>
      <c r="F2316" s="86"/>
      <c r="G2316" s="85"/>
      <c r="H2316" s="94"/>
    </row>
    <row r="2317" spans="2:8" ht="18" x14ac:dyDescent="0.25">
      <c r="B2317" s="85" t="s">
        <v>198</v>
      </c>
      <c r="C2317" s="85"/>
      <c r="D2317" s="107">
        <f>+'RES CUENTA'!$L$25</f>
        <v>10859801.41</v>
      </c>
      <c r="E2317" s="108" t="e">
        <f>+'RES CUENTA'!#REF!</f>
        <v>#REF!</v>
      </c>
      <c r="F2317" s="103" t="e">
        <f>+D2317*E2317/100</f>
        <v>#REF!</v>
      </c>
      <c r="G2317" s="85"/>
      <c r="H2317" s="94"/>
    </row>
    <row r="2318" spans="2:8" ht="18" x14ac:dyDescent="0.25">
      <c r="B2318" s="85" t="s">
        <v>199</v>
      </c>
      <c r="C2318" s="85"/>
      <c r="D2318" s="107" t="e">
        <f>+'RES CUENTA'!#REF!</f>
        <v>#REF!</v>
      </c>
      <c r="E2318" s="108" t="e">
        <f>+'RES CUENTA'!#REF!</f>
        <v>#REF!</v>
      </c>
      <c r="F2318" s="103" t="e">
        <f>+D2318*E2318/100</f>
        <v>#REF!</v>
      </c>
      <c r="G2318" s="94"/>
      <c r="H2318" s="89"/>
    </row>
    <row r="2319" spans="2:8" ht="18" x14ac:dyDescent="0.25">
      <c r="B2319" s="85" t="s">
        <v>79</v>
      </c>
      <c r="C2319" s="85"/>
      <c r="D2319" s="107" t="e">
        <f>+'RES CUENTA'!#REF!</f>
        <v>#REF!</v>
      </c>
      <c r="E2319" s="108">
        <f>+'RES CUENTA'!P1436</f>
        <v>0</v>
      </c>
      <c r="F2319" s="103" t="e">
        <f>+D2319</f>
        <v>#REF!</v>
      </c>
      <c r="G2319" s="89"/>
      <c r="H2319" s="89"/>
    </row>
    <row r="2320" spans="2:8" ht="18" x14ac:dyDescent="0.25">
      <c r="B2320" s="85" t="s">
        <v>80</v>
      </c>
      <c r="C2320" s="85"/>
      <c r="D2320" s="107" t="e">
        <f>+'RES CUENTA'!#REF!</f>
        <v>#REF!</v>
      </c>
      <c r="E2320" s="108">
        <f>+'RES CUENTA'!R1431</f>
        <v>0</v>
      </c>
      <c r="F2320" s="103" t="e">
        <f>+D2320</f>
        <v>#REF!</v>
      </c>
      <c r="G2320" s="89"/>
      <c r="H2320" s="89"/>
    </row>
    <row r="2321" spans="2:8" ht="18" x14ac:dyDescent="0.25">
      <c r="B2321" s="86"/>
      <c r="C2321" s="85"/>
      <c r="D2321" s="85"/>
      <c r="F2321" s="104" t="e">
        <f>SUM(F2317:F2320)</f>
        <v>#REF!</v>
      </c>
      <c r="G2321" s="89"/>
      <c r="H2321" s="89"/>
    </row>
    <row r="2322" spans="2:8" ht="18" x14ac:dyDescent="0.25">
      <c r="B2322" s="86"/>
      <c r="C2322" s="85"/>
      <c r="D2322" s="85"/>
      <c r="F2322" s="104"/>
      <c r="G2322" s="89"/>
      <c r="H2322" s="89"/>
    </row>
    <row r="2323" spans="2:8" ht="18" x14ac:dyDescent="0.25">
      <c r="B2323" s="86"/>
      <c r="C2323" s="85"/>
      <c r="D2323" s="85"/>
      <c r="F2323" s="91"/>
      <c r="G2323" s="89"/>
      <c r="H2323" s="90"/>
    </row>
    <row r="2324" spans="2:8" ht="18" x14ac:dyDescent="0.25">
      <c r="B2324" s="85"/>
      <c r="C2324" s="85"/>
      <c r="D2324" s="85"/>
      <c r="E2324" s="85"/>
      <c r="F2324" s="92"/>
      <c r="G2324" s="90"/>
      <c r="H2324" s="90"/>
    </row>
    <row r="2325" spans="2:8" ht="18" x14ac:dyDescent="0.25">
      <c r="B2325" s="85"/>
      <c r="C2325" s="85"/>
      <c r="D2325" s="85"/>
      <c r="E2325" s="85"/>
      <c r="F2325" s="92"/>
      <c r="G2325" s="90"/>
      <c r="H2325" s="90"/>
    </row>
    <row r="2326" spans="2:8" ht="18" x14ac:dyDescent="0.25">
      <c r="B2326" s="85"/>
      <c r="C2326" s="85"/>
      <c r="D2326" s="85"/>
      <c r="E2326" s="85"/>
      <c r="F2326" s="92"/>
      <c r="G2326" s="90"/>
      <c r="H2326" s="90"/>
    </row>
    <row r="2327" spans="2:8" ht="18" x14ac:dyDescent="0.25">
      <c r="B2327" s="85" t="e">
        <f>+B2312</f>
        <v>#REF!</v>
      </c>
      <c r="C2327" s="85"/>
      <c r="D2327" s="85"/>
      <c r="E2327" s="85" t="e">
        <f>+B2312</f>
        <v>#REF!</v>
      </c>
      <c r="F2327" s="85"/>
      <c r="G2327" s="85"/>
      <c r="H2327" s="94"/>
    </row>
    <row r="2328" spans="2:8" ht="18" x14ac:dyDescent="0.25">
      <c r="B2328" s="86"/>
      <c r="C2328" s="85"/>
      <c r="D2328" s="85"/>
      <c r="F2328" s="85"/>
      <c r="G2328" s="101"/>
      <c r="H2328" s="90" t="str">
        <f>+H2313</f>
        <v>Unid. 62</v>
      </c>
    </row>
    <row r="2329" spans="2:8" ht="18" x14ac:dyDescent="0.25">
      <c r="B2329" s="85" t="str">
        <f>+$E$1</f>
        <v>Lima 461 C:A:B:A:</v>
      </c>
      <c r="C2329" s="85"/>
      <c r="D2329" s="93" t="str">
        <f>+H2328</f>
        <v>Unid. 62</v>
      </c>
      <c r="E2329" s="85" t="str">
        <f>+$E$1</f>
        <v>Lima 461 C:A:B:A:</v>
      </c>
      <c r="F2329" s="85"/>
      <c r="G2329" s="85"/>
      <c r="H2329" s="94"/>
    </row>
    <row r="2330" spans="2:8" ht="18" x14ac:dyDescent="0.25">
      <c r="B2330" s="86"/>
      <c r="C2330" s="86"/>
      <c r="D2330" s="86"/>
      <c r="F2330" s="85"/>
      <c r="G2330" s="85"/>
    </row>
    <row r="2331" spans="2:8" ht="18" x14ac:dyDescent="0.25">
      <c r="B2331" s="85"/>
      <c r="C2331" s="85"/>
      <c r="D2331" s="85"/>
      <c r="E2331" s="86"/>
      <c r="F2331" s="85"/>
      <c r="G2331" s="85"/>
      <c r="H2331" s="94"/>
    </row>
    <row r="2332" spans="2:8" ht="18" x14ac:dyDescent="0.25">
      <c r="B2332" s="85">
        <f>+$E$2</f>
        <v>0</v>
      </c>
      <c r="C2332" s="85"/>
      <c r="D2332" s="85"/>
      <c r="E2332" s="85"/>
      <c r="F2332" s="96"/>
      <c r="G2332" s="86"/>
      <c r="H2332" s="90"/>
    </row>
    <row r="2333" spans="2:8" ht="18" x14ac:dyDescent="0.25">
      <c r="B2333" s="85">
        <f>+$E$3</f>
        <v>0</v>
      </c>
      <c r="C2333" s="85"/>
      <c r="D2333" s="85"/>
      <c r="E2333" s="96"/>
      <c r="G2333" s="94"/>
      <c r="H2333" s="96"/>
    </row>
    <row r="2334" spans="2:8" ht="18" x14ac:dyDescent="0.25">
      <c r="B2334" s="86"/>
      <c r="C2334" s="85"/>
      <c r="D2334" s="85"/>
      <c r="E2334" s="85" t="s">
        <v>200</v>
      </c>
      <c r="F2334" s="106" t="e">
        <f>+F2317</f>
        <v>#REF!</v>
      </c>
      <c r="G2334" s="95"/>
      <c r="H2334" s="99">
        <f>+B2338</f>
        <v>46188</v>
      </c>
    </row>
    <row r="2335" spans="2:8" ht="18" x14ac:dyDescent="0.25">
      <c r="B2335" s="86"/>
      <c r="C2335" s="85"/>
      <c r="D2335" s="85"/>
      <c r="E2335" s="85" t="s">
        <v>201</v>
      </c>
      <c r="F2335" s="106" t="e">
        <f>+F2318</f>
        <v>#REF!</v>
      </c>
      <c r="H2335" s="90"/>
    </row>
    <row r="2336" spans="2:8" ht="18" x14ac:dyDescent="0.25">
      <c r="B2336" s="85"/>
      <c r="C2336" s="85"/>
      <c r="D2336" s="85"/>
      <c r="E2336" s="85" t="s">
        <v>81</v>
      </c>
      <c r="F2336" s="106" t="e">
        <f>+F2319</f>
        <v>#REF!</v>
      </c>
      <c r="G2336" s="85"/>
      <c r="H2336" s="90"/>
    </row>
    <row r="2337" spans="2:8" ht="18" x14ac:dyDescent="0.25">
      <c r="B2337" s="96"/>
      <c r="C2337" s="96"/>
      <c r="D2337" s="96"/>
      <c r="E2337" s="85" t="s">
        <v>82</v>
      </c>
      <c r="F2337" s="106" t="e">
        <f>+F2320</f>
        <v>#REF!</v>
      </c>
      <c r="G2337" s="85"/>
      <c r="H2337" s="90"/>
    </row>
    <row r="2338" spans="2:8" ht="18" x14ac:dyDescent="0.25">
      <c r="B2338" s="99">
        <f>+$G$30</f>
        <v>46188</v>
      </c>
      <c r="C2338" s="105" t="e">
        <f>+F2321</f>
        <v>#REF!</v>
      </c>
      <c r="D2338" s="85"/>
      <c r="E2338" s="85" t="s">
        <v>188</v>
      </c>
      <c r="F2338" s="106">
        <v>0</v>
      </c>
      <c r="G2338" s="85"/>
      <c r="H2338" s="90"/>
    </row>
    <row r="2339" spans="2:8" ht="18" x14ac:dyDescent="0.25">
      <c r="B2339" s="85"/>
      <c r="C2339" s="85"/>
      <c r="D2339" s="85"/>
      <c r="E2339" s="85" t="s">
        <v>83</v>
      </c>
      <c r="F2339" s="106" t="e">
        <f>+F2321</f>
        <v>#REF!</v>
      </c>
      <c r="G2339" s="85"/>
      <c r="H2339" s="90"/>
    </row>
    <row r="2340" spans="2:8" ht="18" x14ac:dyDescent="0.25">
      <c r="B2340" s="85"/>
      <c r="C2340" s="85"/>
      <c r="D2340" s="85"/>
      <c r="E2340" s="85"/>
      <c r="F2340" s="85"/>
      <c r="G2340" s="85"/>
      <c r="H2340" s="90"/>
    </row>
    <row r="2341" spans="2:8" ht="18" x14ac:dyDescent="0.25">
      <c r="B2341" s="85"/>
      <c r="C2341" s="85"/>
      <c r="D2341" s="85"/>
      <c r="E2341" s="102"/>
      <c r="F2341" s="85"/>
      <c r="G2341" s="85"/>
      <c r="H2341" s="90"/>
    </row>
    <row r="2342" spans="2:8" ht="18" x14ac:dyDescent="0.25">
      <c r="B2342" s="85"/>
      <c r="C2342" s="85"/>
      <c r="D2342" s="85"/>
      <c r="E2342" s="85"/>
      <c r="F2342" s="85"/>
      <c r="G2342" s="85"/>
      <c r="H2342" s="94"/>
    </row>
    <row r="2343" spans="2:8" ht="18" x14ac:dyDescent="0.25">
      <c r="E2343" s="85"/>
      <c r="G2343" s="94"/>
      <c r="H2343" s="90"/>
    </row>
    <row r="2345" spans="2:8" ht="18" x14ac:dyDescent="0.25">
      <c r="B2345" s="343"/>
      <c r="C2345" s="343"/>
      <c r="D2345" s="343"/>
      <c r="E2345" s="342">
        <f>+$B$1</f>
        <v>46143</v>
      </c>
      <c r="F2345" s="85"/>
      <c r="G2345" s="337">
        <f>+$D$1</f>
        <v>46188</v>
      </c>
      <c r="H2345" s="90"/>
    </row>
    <row r="2346" spans="2:8" ht="18" x14ac:dyDescent="0.25">
      <c r="B2346" s="84"/>
      <c r="C2346" s="84"/>
      <c r="D2346" s="100"/>
      <c r="E2346" s="342"/>
      <c r="F2346" s="85"/>
      <c r="G2346" s="337"/>
      <c r="H2346" s="90"/>
    </row>
    <row r="2347" spans="2:8" ht="18" x14ac:dyDescent="0.25">
      <c r="B2347" s="85"/>
      <c r="C2347" s="85"/>
      <c r="D2347" s="85"/>
      <c r="E2347" s="86"/>
      <c r="F2347" s="85"/>
      <c r="G2347" s="86"/>
      <c r="H2347" s="90"/>
    </row>
    <row r="2348" spans="2:8" ht="18" x14ac:dyDescent="0.25">
      <c r="B2348" s="85" t="e">
        <f>+#REF!</f>
        <v>#REF!</v>
      </c>
      <c r="C2348" s="85"/>
      <c r="D2348" s="85"/>
      <c r="E2348" s="86"/>
      <c r="F2348" s="85"/>
      <c r="G2348" s="86"/>
      <c r="H2348" s="90"/>
    </row>
    <row r="2349" spans="2:8" ht="18" x14ac:dyDescent="0.25">
      <c r="B2349" s="86"/>
      <c r="C2349" s="85"/>
      <c r="D2349" s="85"/>
      <c r="E2349" s="85" t="s">
        <v>78</v>
      </c>
      <c r="F2349" s="85"/>
      <c r="G2349" s="85"/>
      <c r="H2349" s="90" t="s">
        <v>146</v>
      </c>
    </row>
    <row r="2350" spans="2:8" ht="18" x14ac:dyDescent="0.25">
      <c r="B2350" s="85"/>
      <c r="C2350" s="85"/>
      <c r="D2350" s="85"/>
      <c r="E2350" s="86"/>
      <c r="F2350" s="86"/>
      <c r="G2350" s="85"/>
      <c r="H2350" s="94"/>
    </row>
    <row r="2351" spans="2:8" ht="18" x14ac:dyDescent="0.25">
      <c r="B2351" s="94"/>
      <c r="C2351" s="85"/>
      <c r="D2351" s="94"/>
      <c r="E2351" s="85"/>
      <c r="F2351" s="85"/>
      <c r="G2351" s="85"/>
      <c r="H2351" s="90"/>
    </row>
    <row r="2352" spans="2:8" ht="18" x14ac:dyDescent="0.25">
      <c r="B2352" s="94"/>
      <c r="C2352" s="85"/>
      <c r="D2352" s="94"/>
      <c r="E2352" s="85"/>
      <c r="F2352" s="85"/>
      <c r="G2352" s="85"/>
      <c r="H2352" s="90"/>
    </row>
    <row r="2353" spans="2:8" ht="18" x14ac:dyDescent="0.25">
      <c r="B2353" s="85" t="s">
        <v>198</v>
      </c>
      <c r="C2353" s="85"/>
      <c r="D2353" s="107">
        <f>+'RES CUENTA'!$L$25</f>
        <v>10859801.41</v>
      </c>
      <c r="E2353" s="108" t="e">
        <f>+'RES CUENTA'!#REF!</f>
        <v>#REF!</v>
      </c>
      <c r="F2353" s="103" t="e">
        <f>+D2353*E2353/100</f>
        <v>#REF!</v>
      </c>
      <c r="G2353" s="345"/>
      <c r="H2353" s="345"/>
    </row>
    <row r="2354" spans="2:8" ht="18" x14ac:dyDescent="0.25">
      <c r="B2354" s="85" t="s">
        <v>199</v>
      </c>
      <c r="C2354" s="85"/>
      <c r="D2354" s="107" t="e">
        <f>+'RES CUENTA'!#REF!</f>
        <v>#REF!</v>
      </c>
      <c r="E2354" s="108" t="e">
        <f>+'RES CUENTA'!#REF!</f>
        <v>#REF!</v>
      </c>
      <c r="F2354" s="103" t="e">
        <f>+D2354*E2354/100</f>
        <v>#REF!</v>
      </c>
      <c r="G2354" s="341"/>
      <c r="H2354" s="341"/>
    </row>
    <row r="2355" spans="2:8" ht="18" x14ac:dyDescent="0.25">
      <c r="B2355" s="85" t="s">
        <v>79</v>
      </c>
      <c r="C2355" s="85"/>
      <c r="D2355" s="107" t="e">
        <f>+'RES CUENTA'!#REF!</f>
        <v>#REF!</v>
      </c>
      <c r="E2355" s="108">
        <v>0</v>
      </c>
      <c r="F2355" s="103" t="e">
        <f>+D2355</f>
        <v>#REF!</v>
      </c>
      <c r="G2355" s="341"/>
      <c r="H2355" s="341"/>
    </row>
    <row r="2356" spans="2:8" ht="18" x14ac:dyDescent="0.25">
      <c r="B2356" s="85" t="s">
        <v>80</v>
      </c>
      <c r="C2356" s="85"/>
      <c r="D2356" s="107" t="e">
        <f>+'RES CUENTA'!#REF!</f>
        <v>#REF!</v>
      </c>
      <c r="E2356" s="108">
        <v>0</v>
      </c>
      <c r="F2356" s="103" t="e">
        <f>+D2356</f>
        <v>#REF!</v>
      </c>
      <c r="G2356" s="341"/>
      <c r="H2356" s="341"/>
    </row>
    <row r="2357" spans="2:8" ht="18" x14ac:dyDescent="0.25">
      <c r="B2357" s="86"/>
      <c r="C2357" s="85"/>
      <c r="D2357" s="85"/>
      <c r="E2357" s="92"/>
      <c r="F2357" s="104" t="e">
        <f>SUM(F2353:F2356)</f>
        <v>#REF!</v>
      </c>
      <c r="G2357" s="341"/>
      <c r="H2357" s="341"/>
    </row>
    <row r="2358" spans="2:8" ht="18" x14ac:dyDescent="0.25">
      <c r="B2358" s="86"/>
      <c r="C2358" s="85"/>
      <c r="D2358" s="85"/>
      <c r="E2358" s="92"/>
      <c r="F2358" s="104"/>
      <c r="G2358" s="89"/>
      <c r="H2358" s="89"/>
    </row>
    <row r="2359" spans="2:8" ht="18" x14ac:dyDescent="0.25">
      <c r="B2359" s="86"/>
      <c r="C2359" s="85"/>
      <c r="D2359" s="85"/>
      <c r="E2359" s="85"/>
      <c r="G2359" s="338"/>
      <c r="H2359" s="338"/>
    </row>
    <row r="2360" spans="2:8" ht="18" x14ac:dyDescent="0.25">
      <c r="B2360" s="85"/>
      <c r="C2360" s="85"/>
      <c r="D2360" s="85"/>
      <c r="E2360" s="85"/>
      <c r="F2360" s="91"/>
      <c r="G2360" s="90"/>
      <c r="H2360" s="90"/>
    </row>
    <row r="2361" spans="2:8" ht="18" x14ac:dyDescent="0.25">
      <c r="B2361" s="85"/>
      <c r="C2361" s="85"/>
      <c r="D2361" s="85"/>
      <c r="E2361" s="85"/>
      <c r="F2361" s="92"/>
      <c r="G2361" s="85"/>
      <c r="H2361" s="90"/>
    </row>
    <row r="2362" spans="2:8" ht="18" x14ac:dyDescent="0.25">
      <c r="B2362" s="85"/>
      <c r="C2362" s="85"/>
      <c r="D2362" s="85"/>
      <c r="E2362" s="85"/>
      <c r="F2362" s="92"/>
      <c r="G2362" s="85"/>
      <c r="H2362" s="90"/>
    </row>
    <row r="2363" spans="2:8" ht="18" x14ac:dyDescent="0.25">
      <c r="B2363" s="85" t="e">
        <f>+B2348</f>
        <v>#REF!</v>
      </c>
      <c r="C2363" s="344"/>
      <c r="D2363" s="344"/>
      <c r="E2363" s="85" t="e">
        <f>+B2363</f>
        <v>#REF!</v>
      </c>
      <c r="F2363" s="92"/>
      <c r="G2363" s="85"/>
      <c r="H2363" s="90"/>
    </row>
    <row r="2364" spans="2:8" ht="18" x14ac:dyDescent="0.25">
      <c r="C2364" s="85"/>
      <c r="D2364" s="85"/>
      <c r="F2364" s="344"/>
      <c r="G2364" s="344"/>
      <c r="H2364" s="344"/>
    </row>
    <row r="2365" spans="2:8" ht="18" x14ac:dyDescent="0.25">
      <c r="B2365" s="85" t="str">
        <f>+$E$1</f>
        <v>Lima 461 C:A:B:A:</v>
      </c>
      <c r="C2365" s="85"/>
      <c r="D2365" s="93" t="str">
        <f>+H2349</f>
        <v>Unid. 63</v>
      </c>
      <c r="E2365" s="85" t="str">
        <f>+$E$1</f>
        <v>Lima 461 C:A:B:A:</v>
      </c>
      <c r="F2365" s="85"/>
      <c r="G2365" s="85"/>
      <c r="H2365" s="90" t="str">
        <f>+D2365</f>
        <v>Unid. 63</v>
      </c>
    </row>
    <row r="2366" spans="2:8" ht="18" x14ac:dyDescent="0.25">
      <c r="H2366" s="94"/>
    </row>
    <row r="2367" spans="2:8" ht="18" x14ac:dyDescent="0.25">
      <c r="B2367" s="86"/>
      <c r="C2367" s="86"/>
      <c r="D2367" s="86"/>
      <c r="E2367" s="86"/>
      <c r="F2367" s="85"/>
      <c r="G2367" s="85"/>
    </row>
    <row r="2368" spans="2:8" ht="18" x14ac:dyDescent="0.25">
      <c r="B2368" s="85">
        <f>+$E$2</f>
        <v>0</v>
      </c>
      <c r="C2368" s="85"/>
      <c r="D2368" s="85"/>
      <c r="E2368" s="85"/>
      <c r="F2368" s="85"/>
      <c r="G2368" s="86"/>
      <c r="H2368" s="94"/>
    </row>
    <row r="2369" spans="2:8" ht="18" x14ac:dyDescent="0.25">
      <c r="B2369" s="85">
        <f>+$E$3</f>
        <v>0</v>
      </c>
      <c r="C2369" s="85"/>
      <c r="D2369" s="85"/>
      <c r="E2369" s="96"/>
      <c r="F2369" s="85"/>
      <c r="G2369" s="94"/>
      <c r="H2369" s="90"/>
    </row>
    <row r="2370" spans="2:8" ht="18" x14ac:dyDescent="0.25">
      <c r="C2370" s="85"/>
      <c r="D2370" s="85"/>
      <c r="E2370" s="85" t="s">
        <v>200</v>
      </c>
      <c r="F2370" s="106" t="e">
        <f>+F2353</f>
        <v>#REF!</v>
      </c>
      <c r="H2370" s="99">
        <f>+B2375</f>
        <v>46188</v>
      </c>
    </row>
    <row r="2371" spans="2:8" ht="18" x14ac:dyDescent="0.25">
      <c r="B2371" s="86"/>
      <c r="C2371" s="85"/>
      <c r="D2371" s="85"/>
      <c r="E2371" s="85" t="s">
        <v>201</v>
      </c>
      <c r="F2371" s="106" t="e">
        <f>+F2354</f>
        <v>#REF!</v>
      </c>
    </row>
    <row r="2372" spans="2:8" ht="18" x14ac:dyDescent="0.25">
      <c r="B2372" s="86"/>
      <c r="C2372" s="85"/>
      <c r="D2372" s="85"/>
      <c r="E2372" s="85" t="s">
        <v>81</v>
      </c>
      <c r="F2372" s="106" t="e">
        <f>+F2355</f>
        <v>#REF!</v>
      </c>
      <c r="G2372" s="85"/>
      <c r="H2372" s="90"/>
    </row>
    <row r="2373" spans="2:8" ht="18" x14ac:dyDescent="0.25">
      <c r="B2373" s="85"/>
      <c r="C2373" s="85"/>
      <c r="D2373" s="85"/>
      <c r="E2373" s="85" t="s">
        <v>82</v>
      </c>
      <c r="F2373" s="106" t="e">
        <f>+F2356</f>
        <v>#REF!</v>
      </c>
      <c r="G2373" s="85"/>
      <c r="H2373" s="90"/>
    </row>
    <row r="2374" spans="2:8" ht="18" x14ac:dyDescent="0.25">
      <c r="B2374" s="96"/>
      <c r="C2374" s="96"/>
      <c r="D2374" s="96"/>
      <c r="E2374" s="85" t="s">
        <v>188</v>
      </c>
      <c r="F2374" s="106">
        <v>0</v>
      </c>
      <c r="G2374" s="85"/>
      <c r="H2374" s="90"/>
    </row>
    <row r="2375" spans="2:8" ht="18" x14ac:dyDescent="0.25">
      <c r="B2375" s="99">
        <f>+$G$30</f>
        <v>46188</v>
      </c>
      <c r="C2375" s="105" t="e">
        <f>+F2357</f>
        <v>#REF!</v>
      </c>
      <c r="D2375" s="85"/>
      <c r="E2375" s="85" t="s">
        <v>83</v>
      </c>
      <c r="F2375" s="106" t="e">
        <f>+F2357</f>
        <v>#REF!</v>
      </c>
      <c r="G2375" s="85"/>
      <c r="H2375" s="90"/>
    </row>
    <row r="2376" spans="2:8" ht="18" x14ac:dyDescent="0.25">
      <c r="B2376" s="85"/>
      <c r="C2376" s="85"/>
      <c r="D2376" s="85"/>
      <c r="E2376" s="85"/>
      <c r="F2376" s="85"/>
      <c r="G2376" s="85"/>
      <c r="H2376" s="90"/>
    </row>
    <row r="2377" spans="2:8" ht="18" x14ac:dyDescent="0.25">
      <c r="B2377" s="85"/>
      <c r="C2377" s="85"/>
      <c r="D2377" s="85"/>
      <c r="E2377" s="85"/>
      <c r="F2377" s="85"/>
      <c r="G2377" s="345"/>
      <c r="H2377" s="345"/>
    </row>
    <row r="2378" spans="2:8" ht="18" x14ac:dyDescent="0.25">
      <c r="B2378" s="85"/>
      <c r="C2378" s="85"/>
      <c r="D2378" s="85"/>
      <c r="E2378" s="85"/>
      <c r="F2378" s="85"/>
      <c r="G2378" s="85"/>
      <c r="H2378" s="90"/>
    </row>
    <row r="2379" spans="2:8" ht="18" x14ac:dyDescent="0.25">
      <c r="B2379" s="85"/>
      <c r="C2379" s="85"/>
      <c r="D2379" s="85"/>
      <c r="E2379" s="85"/>
      <c r="F2379" s="85"/>
      <c r="G2379" s="85"/>
      <c r="H2379" s="90"/>
    </row>
    <row r="2380" spans="2:8" ht="18" x14ac:dyDescent="0.25">
      <c r="B2380" s="85"/>
      <c r="C2380" s="85"/>
      <c r="D2380" s="85"/>
      <c r="E2380" s="85"/>
      <c r="F2380" s="85"/>
      <c r="G2380" s="85"/>
      <c r="H2380" s="90"/>
    </row>
    <row r="2381" spans="2:8" ht="18" x14ac:dyDescent="0.25">
      <c r="B2381" s="85"/>
      <c r="C2381" s="85"/>
      <c r="D2381" s="85"/>
      <c r="E2381" s="85"/>
      <c r="F2381" s="85"/>
      <c r="G2381" s="85"/>
      <c r="H2381" s="90"/>
    </row>
    <row r="2382" spans="2:8" ht="18" x14ac:dyDescent="0.25">
      <c r="B2382" s="85"/>
      <c r="C2382" s="85"/>
      <c r="D2382" s="85"/>
      <c r="E2382" s="85"/>
      <c r="F2382" s="85"/>
      <c r="H2382" s="90"/>
    </row>
    <row r="2383" spans="2:8" ht="18" x14ac:dyDescent="0.25">
      <c r="B2383" s="343"/>
      <c r="C2383" s="343"/>
      <c r="D2383" s="343"/>
      <c r="E2383" s="85"/>
      <c r="F2383" s="85"/>
      <c r="H2383" s="90"/>
    </row>
    <row r="2384" spans="2:8" ht="18" x14ac:dyDescent="0.25">
      <c r="B2384" s="343"/>
      <c r="C2384" s="343"/>
      <c r="D2384" s="343"/>
      <c r="E2384" s="98">
        <f>+$B$1</f>
        <v>46143</v>
      </c>
      <c r="F2384" s="85"/>
      <c r="G2384" s="99">
        <f>+$D$1</f>
        <v>46188</v>
      </c>
      <c r="H2384" s="160"/>
    </row>
    <row r="2385" spans="2:8" ht="18" x14ac:dyDescent="0.25">
      <c r="B2385" s="84"/>
      <c r="C2385" s="84"/>
      <c r="D2385" s="100"/>
      <c r="E2385" s="98"/>
      <c r="F2385" s="85"/>
    </row>
    <row r="2386" spans="2:8" ht="18" x14ac:dyDescent="0.25">
      <c r="B2386" s="85" t="e">
        <f>+#REF!</f>
        <v>#REF!</v>
      </c>
      <c r="C2386" s="85"/>
      <c r="D2386" s="85"/>
      <c r="F2386" s="85"/>
    </row>
    <row r="2387" spans="2:8" ht="18" x14ac:dyDescent="0.25">
      <c r="C2387" s="85"/>
      <c r="D2387" s="85"/>
      <c r="E2387" s="85" t="str">
        <f>+$E$1</f>
        <v>Lima 461 C:A:B:A:</v>
      </c>
      <c r="F2387" s="85"/>
      <c r="H2387" s="90" t="s">
        <v>147</v>
      </c>
    </row>
    <row r="2388" spans="2:8" ht="18" x14ac:dyDescent="0.25">
      <c r="B2388" s="86"/>
      <c r="C2388" s="85"/>
      <c r="D2388" s="85"/>
      <c r="F2388" s="85"/>
      <c r="G2388" s="86"/>
    </row>
    <row r="2389" spans="2:8" ht="18" x14ac:dyDescent="0.25">
      <c r="B2389" s="85"/>
      <c r="C2389" s="85"/>
      <c r="D2389" s="85"/>
      <c r="E2389" s="86"/>
      <c r="F2389" s="86"/>
      <c r="G2389" s="85"/>
      <c r="H2389" s="94"/>
    </row>
    <row r="2390" spans="2:8" ht="18" x14ac:dyDescent="0.25">
      <c r="B2390" s="94"/>
      <c r="C2390" s="85"/>
      <c r="D2390" s="94"/>
      <c r="E2390" s="85"/>
      <c r="F2390" s="85"/>
      <c r="G2390" s="85"/>
      <c r="H2390" s="90"/>
    </row>
    <row r="2391" spans="2:8" ht="18" x14ac:dyDescent="0.25">
      <c r="B2391" s="85" t="s">
        <v>198</v>
      </c>
      <c r="C2391" s="85"/>
      <c r="D2391" s="107">
        <f>+'RES CUENTA'!$L$25</f>
        <v>10859801.41</v>
      </c>
      <c r="E2391" s="108" t="e">
        <f>+'RES CUENTA'!#REF!</f>
        <v>#REF!</v>
      </c>
      <c r="F2391" s="103" t="e">
        <f>+D2391*E2391/100</f>
        <v>#REF!</v>
      </c>
      <c r="G2391" s="85"/>
      <c r="H2391" s="94"/>
    </row>
    <row r="2392" spans="2:8" ht="18" x14ac:dyDescent="0.25">
      <c r="B2392" s="85" t="s">
        <v>199</v>
      </c>
      <c r="C2392" s="85"/>
      <c r="D2392" s="107" t="e">
        <f>+'RES CUENTA'!#REF!</f>
        <v>#REF!</v>
      </c>
      <c r="E2392" s="108" t="e">
        <f>+'RES CUENTA'!#REF!</f>
        <v>#REF!</v>
      </c>
      <c r="F2392" s="103" t="e">
        <f>+D2392*E2392/100</f>
        <v>#REF!</v>
      </c>
      <c r="G2392" s="94"/>
      <c r="H2392" s="89"/>
    </row>
    <row r="2393" spans="2:8" ht="18" x14ac:dyDescent="0.25">
      <c r="B2393" s="85" t="s">
        <v>79</v>
      </c>
      <c r="C2393" s="85"/>
      <c r="D2393" s="107" t="e">
        <f>+'RES CUENTA'!#REF!</f>
        <v>#REF!</v>
      </c>
      <c r="E2393" s="108">
        <f>+'RES CUENTA'!P1512</f>
        <v>0</v>
      </c>
      <c r="F2393" s="103" t="e">
        <f>+D2393</f>
        <v>#REF!</v>
      </c>
      <c r="G2393" s="89"/>
      <c r="H2393" s="89"/>
    </row>
    <row r="2394" spans="2:8" ht="18" x14ac:dyDescent="0.25">
      <c r="B2394" s="85" t="s">
        <v>80</v>
      </c>
      <c r="C2394" s="85"/>
      <c r="D2394" s="107" t="e">
        <f>+'RES CUENTA'!#REF!</f>
        <v>#REF!</v>
      </c>
      <c r="E2394" s="108">
        <f>+'RES CUENTA'!R1507</f>
        <v>0</v>
      </c>
      <c r="F2394" s="103" t="e">
        <f>+D2394</f>
        <v>#REF!</v>
      </c>
      <c r="G2394" s="89"/>
      <c r="H2394" s="89"/>
    </row>
    <row r="2395" spans="2:8" ht="18" x14ac:dyDescent="0.25">
      <c r="B2395" s="86"/>
      <c r="C2395" s="85"/>
      <c r="D2395" s="85"/>
      <c r="F2395" s="104" t="e">
        <f>SUM(F2391:F2394)</f>
        <v>#REF!</v>
      </c>
      <c r="G2395" s="89"/>
      <c r="H2395" s="89"/>
    </row>
    <row r="2396" spans="2:8" ht="18" x14ac:dyDescent="0.25">
      <c r="B2396" s="86"/>
      <c r="C2396" s="85"/>
      <c r="D2396" s="85"/>
      <c r="F2396" s="91"/>
      <c r="G2396" s="89"/>
      <c r="H2396" s="90"/>
    </row>
    <row r="2397" spans="2:8" ht="18" x14ac:dyDescent="0.25">
      <c r="B2397" s="86"/>
      <c r="C2397" s="85"/>
      <c r="D2397" s="85"/>
      <c r="F2397" s="91"/>
      <c r="G2397" s="89"/>
      <c r="H2397" s="90"/>
    </row>
    <row r="2398" spans="2:8" ht="18" x14ac:dyDescent="0.25">
      <c r="B2398" s="85"/>
      <c r="C2398" s="85"/>
      <c r="D2398" s="85"/>
      <c r="E2398" s="85"/>
      <c r="F2398" s="92"/>
      <c r="G2398" s="90"/>
      <c r="H2398" s="90"/>
    </row>
    <row r="2399" spans="2:8" ht="18" x14ac:dyDescent="0.25">
      <c r="B2399" s="85"/>
      <c r="C2399" s="85"/>
      <c r="D2399" s="85"/>
      <c r="E2399" s="85"/>
      <c r="F2399" s="92"/>
      <c r="G2399" s="90"/>
      <c r="H2399" s="90"/>
    </row>
    <row r="2400" spans="2:8" ht="18" x14ac:dyDescent="0.25">
      <c r="B2400" s="85"/>
      <c r="C2400" s="85"/>
      <c r="D2400" s="85"/>
      <c r="E2400" s="85"/>
      <c r="F2400" s="92"/>
      <c r="G2400" s="90"/>
      <c r="H2400" s="90"/>
    </row>
    <row r="2401" spans="2:8" ht="18" x14ac:dyDescent="0.25">
      <c r="B2401" s="85" t="e">
        <f>+B2386</f>
        <v>#REF!</v>
      </c>
      <c r="C2401" s="85"/>
      <c r="D2401" s="85"/>
      <c r="E2401" s="85" t="e">
        <f>+B2386</f>
        <v>#REF!</v>
      </c>
      <c r="F2401" s="85"/>
      <c r="G2401" s="85"/>
      <c r="H2401" s="94"/>
    </row>
    <row r="2402" spans="2:8" ht="18" x14ac:dyDescent="0.25">
      <c r="B2402" s="86"/>
      <c r="C2402" s="85"/>
      <c r="D2402" s="85"/>
      <c r="F2402" s="85"/>
      <c r="G2402" s="101"/>
      <c r="H2402" s="90" t="str">
        <f>+H2387</f>
        <v>Unid. 64</v>
      </c>
    </row>
    <row r="2403" spans="2:8" ht="18" x14ac:dyDescent="0.25">
      <c r="B2403" s="85" t="str">
        <f>+$E$1</f>
        <v>Lima 461 C:A:B:A:</v>
      </c>
      <c r="C2403" s="85"/>
      <c r="D2403" s="93" t="str">
        <f>+H2402</f>
        <v>Unid. 64</v>
      </c>
      <c r="E2403" s="85" t="str">
        <f>+$E$1</f>
        <v>Lima 461 C:A:B:A:</v>
      </c>
      <c r="F2403" s="85"/>
      <c r="G2403" s="85"/>
      <c r="H2403" s="94"/>
    </row>
    <row r="2404" spans="2:8" ht="18" x14ac:dyDescent="0.25">
      <c r="B2404" s="86"/>
      <c r="C2404" s="86"/>
      <c r="D2404" s="86"/>
      <c r="F2404" s="85"/>
      <c r="G2404" s="85"/>
    </row>
    <row r="2405" spans="2:8" ht="18" x14ac:dyDescent="0.25">
      <c r="B2405" s="85"/>
      <c r="C2405" s="85"/>
      <c r="D2405" s="85"/>
      <c r="E2405" s="86"/>
      <c r="F2405" s="85"/>
      <c r="G2405" s="85"/>
      <c r="H2405" s="94"/>
    </row>
    <row r="2406" spans="2:8" ht="18" x14ac:dyDescent="0.25">
      <c r="B2406" s="85">
        <f>+$E$2</f>
        <v>0</v>
      </c>
      <c r="C2406" s="85"/>
      <c r="D2406" s="85"/>
      <c r="E2406" s="85"/>
      <c r="F2406" s="96"/>
      <c r="G2406" s="86"/>
      <c r="H2406" s="90"/>
    </row>
    <row r="2407" spans="2:8" ht="18" x14ac:dyDescent="0.25">
      <c r="B2407" s="85">
        <f>+$E$3</f>
        <v>0</v>
      </c>
      <c r="C2407" s="85"/>
      <c r="D2407" s="85"/>
      <c r="E2407" s="96"/>
      <c r="G2407" s="94"/>
      <c r="H2407" s="96"/>
    </row>
    <row r="2408" spans="2:8" ht="18" x14ac:dyDescent="0.25">
      <c r="B2408" s="86"/>
      <c r="C2408" s="85"/>
      <c r="D2408" s="85"/>
      <c r="E2408" s="85" t="s">
        <v>200</v>
      </c>
      <c r="F2408" s="106" t="e">
        <f>+F2391</f>
        <v>#REF!</v>
      </c>
      <c r="G2408" s="95"/>
      <c r="H2408" s="99">
        <f>+B2412</f>
        <v>46188</v>
      </c>
    </row>
    <row r="2409" spans="2:8" ht="18" x14ac:dyDescent="0.25">
      <c r="B2409" s="86"/>
      <c r="C2409" s="85"/>
      <c r="D2409" s="85"/>
      <c r="E2409" s="85" t="s">
        <v>201</v>
      </c>
      <c r="F2409" s="106" t="e">
        <f>+F2392</f>
        <v>#REF!</v>
      </c>
      <c r="H2409" s="90"/>
    </row>
    <row r="2410" spans="2:8" ht="18" x14ac:dyDescent="0.25">
      <c r="B2410" s="85"/>
      <c r="C2410" s="85"/>
      <c r="D2410" s="85"/>
      <c r="E2410" s="85" t="s">
        <v>81</v>
      </c>
      <c r="F2410" s="106" t="e">
        <f>+F2393</f>
        <v>#REF!</v>
      </c>
      <c r="G2410" s="85"/>
      <c r="H2410" s="90"/>
    </row>
    <row r="2411" spans="2:8" ht="18" x14ac:dyDescent="0.25">
      <c r="B2411" s="96"/>
      <c r="C2411" s="96"/>
      <c r="D2411" s="96"/>
      <c r="E2411" s="85" t="s">
        <v>82</v>
      </c>
      <c r="F2411" s="106" t="e">
        <f>+F2394</f>
        <v>#REF!</v>
      </c>
      <c r="G2411" s="85"/>
      <c r="H2411" s="90"/>
    </row>
    <row r="2412" spans="2:8" ht="18" x14ac:dyDescent="0.25">
      <c r="B2412" s="99">
        <f>+$G$30</f>
        <v>46188</v>
      </c>
      <c r="C2412" s="105" t="e">
        <f>+F2395</f>
        <v>#REF!</v>
      </c>
      <c r="D2412" s="85"/>
      <c r="E2412" s="85" t="s">
        <v>188</v>
      </c>
      <c r="F2412" s="106">
        <v>0</v>
      </c>
      <c r="G2412" s="85"/>
      <c r="H2412" s="90"/>
    </row>
    <row r="2413" spans="2:8" ht="18" x14ac:dyDescent="0.25">
      <c r="B2413" s="85"/>
      <c r="C2413" s="85"/>
      <c r="D2413" s="85"/>
      <c r="E2413" s="85" t="s">
        <v>83</v>
      </c>
      <c r="F2413" s="106" t="e">
        <f>+F2395</f>
        <v>#REF!</v>
      </c>
      <c r="H2413" s="90"/>
    </row>
    <row r="2414" spans="2:8" ht="18" x14ac:dyDescent="0.25">
      <c r="B2414" s="85"/>
      <c r="C2414" s="85"/>
      <c r="D2414" s="85"/>
      <c r="E2414" s="85"/>
      <c r="F2414" s="85"/>
      <c r="G2414" s="85"/>
      <c r="H2414" s="90"/>
    </row>
    <row r="2415" spans="2:8" ht="18" x14ac:dyDescent="0.25">
      <c r="B2415" s="85"/>
      <c r="C2415" s="85"/>
      <c r="D2415" s="85"/>
      <c r="E2415" s="102"/>
      <c r="F2415" s="85"/>
      <c r="G2415" s="85"/>
      <c r="H2415" s="90"/>
    </row>
    <row r="2416" spans="2:8" ht="18" x14ac:dyDescent="0.25">
      <c r="B2416" s="85"/>
      <c r="C2416" s="85"/>
      <c r="D2416" s="85"/>
      <c r="E2416" s="85"/>
      <c r="F2416" s="85"/>
      <c r="G2416" s="85"/>
      <c r="H2416" s="94"/>
    </row>
    <row r="2417" spans="2:8" ht="18" x14ac:dyDescent="0.25">
      <c r="E2417" s="85"/>
      <c r="G2417" s="94"/>
      <c r="H2417" s="90"/>
    </row>
    <row r="2419" spans="2:8" ht="18" x14ac:dyDescent="0.25">
      <c r="B2419" s="343"/>
      <c r="C2419" s="343"/>
      <c r="D2419" s="343"/>
      <c r="E2419" s="342">
        <f>+$B$1</f>
        <v>46143</v>
      </c>
      <c r="F2419" s="85"/>
      <c r="G2419" s="337">
        <f>+$D$1</f>
        <v>46188</v>
      </c>
      <c r="H2419" s="90"/>
    </row>
    <row r="2420" spans="2:8" ht="18" x14ac:dyDescent="0.25">
      <c r="B2420" s="84"/>
      <c r="C2420" s="84"/>
      <c r="D2420" s="100"/>
      <c r="E2420" s="342"/>
      <c r="F2420" s="85"/>
      <c r="G2420" s="337"/>
      <c r="H2420" s="90"/>
    </row>
    <row r="2421" spans="2:8" ht="18" x14ac:dyDescent="0.25">
      <c r="B2421" s="85"/>
      <c r="C2421" s="85"/>
      <c r="D2421" s="85"/>
      <c r="E2421" s="86"/>
      <c r="F2421" s="85"/>
      <c r="G2421" s="86"/>
      <c r="H2421" s="90"/>
    </row>
    <row r="2422" spans="2:8" ht="18" x14ac:dyDescent="0.25">
      <c r="B2422" s="85" t="e">
        <f>+#REF!</f>
        <v>#REF!</v>
      </c>
      <c r="C2422" s="85"/>
      <c r="D2422" s="85"/>
      <c r="E2422" s="86"/>
      <c r="F2422" s="85"/>
      <c r="G2422" s="86"/>
      <c r="H2422" s="90"/>
    </row>
    <row r="2423" spans="2:8" ht="18" x14ac:dyDescent="0.25">
      <c r="B2423" s="86"/>
      <c r="C2423" s="85"/>
      <c r="D2423" s="85"/>
      <c r="E2423" s="85" t="s">
        <v>78</v>
      </c>
      <c r="F2423" s="85"/>
      <c r="G2423" s="85"/>
      <c r="H2423" s="90" t="s">
        <v>148</v>
      </c>
    </row>
    <row r="2424" spans="2:8" ht="18" x14ac:dyDescent="0.25">
      <c r="B2424" s="85"/>
      <c r="C2424" s="85"/>
      <c r="D2424" s="85"/>
      <c r="E2424" s="86"/>
      <c r="F2424" s="86"/>
      <c r="G2424" s="85"/>
      <c r="H2424" s="94"/>
    </row>
    <row r="2425" spans="2:8" ht="18" x14ac:dyDescent="0.25">
      <c r="B2425" s="94"/>
      <c r="C2425" s="85"/>
      <c r="D2425" s="94"/>
      <c r="E2425" s="85"/>
      <c r="F2425" s="85"/>
      <c r="G2425" s="85"/>
      <c r="H2425" s="90"/>
    </row>
    <row r="2426" spans="2:8" ht="18" x14ac:dyDescent="0.25">
      <c r="B2426" s="94"/>
      <c r="C2426" s="85"/>
      <c r="D2426" s="94"/>
      <c r="E2426" s="85"/>
      <c r="F2426" s="85"/>
      <c r="G2426" s="85"/>
      <c r="H2426" s="90"/>
    </row>
    <row r="2427" spans="2:8" ht="18" x14ac:dyDescent="0.25">
      <c r="B2427" s="85" t="s">
        <v>198</v>
      </c>
      <c r="C2427" s="85"/>
      <c r="D2427" s="107">
        <f>+'RES CUENTA'!$L$25</f>
        <v>10859801.41</v>
      </c>
      <c r="E2427" s="108" t="e">
        <f>+'RES CUENTA'!#REF!</f>
        <v>#REF!</v>
      </c>
      <c r="F2427" s="103" t="e">
        <f>+D2427*E2427/100</f>
        <v>#REF!</v>
      </c>
      <c r="G2427" s="345"/>
      <c r="H2427" s="345"/>
    </row>
    <row r="2428" spans="2:8" ht="18" x14ac:dyDescent="0.25">
      <c r="B2428" s="85" t="s">
        <v>199</v>
      </c>
      <c r="C2428" s="85"/>
      <c r="D2428" s="107" t="e">
        <f>+'RES CUENTA'!#REF!</f>
        <v>#REF!</v>
      </c>
      <c r="E2428" s="108" t="e">
        <f>+'RES CUENTA'!#REF!</f>
        <v>#REF!</v>
      </c>
      <c r="F2428" s="103" t="e">
        <f>+D2428*E2428/100</f>
        <v>#REF!</v>
      </c>
      <c r="G2428" s="341"/>
      <c r="H2428" s="341"/>
    </row>
    <row r="2429" spans="2:8" ht="18" x14ac:dyDescent="0.25">
      <c r="B2429" s="85" t="s">
        <v>79</v>
      </c>
      <c r="C2429" s="85"/>
      <c r="D2429" s="107" t="e">
        <f>+'RES CUENTA'!#REF!</f>
        <v>#REF!</v>
      </c>
      <c r="E2429" s="108">
        <v>0</v>
      </c>
      <c r="F2429" s="103" t="e">
        <f>+D2429</f>
        <v>#REF!</v>
      </c>
      <c r="G2429" s="341"/>
      <c r="H2429" s="341"/>
    </row>
    <row r="2430" spans="2:8" ht="18" x14ac:dyDescent="0.25">
      <c r="B2430" s="85" t="s">
        <v>80</v>
      </c>
      <c r="C2430" s="85"/>
      <c r="D2430" s="107" t="e">
        <f>+'RES CUENTA'!#REF!</f>
        <v>#REF!</v>
      </c>
      <c r="E2430" s="108">
        <v>0</v>
      </c>
      <c r="F2430" s="103" t="e">
        <f>+D2430</f>
        <v>#REF!</v>
      </c>
      <c r="G2430" s="341"/>
      <c r="H2430" s="341"/>
    </row>
    <row r="2431" spans="2:8" ht="18" x14ac:dyDescent="0.25">
      <c r="B2431" s="86"/>
      <c r="C2431" s="85"/>
      <c r="D2431" s="85"/>
      <c r="E2431" s="92"/>
      <c r="F2431" s="104" t="e">
        <f>SUM(F2427:F2430)</f>
        <v>#REF!</v>
      </c>
      <c r="G2431" s="341"/>
      <c r="H2431" s="341"/>
    </row>
    <row r="2432" spans="2:8" ht="18" x14ac:dyDescent="0.25">
      <c r="B2432" s="86"/>
      <c r="C2432" s="85"/>
      <c r="D2432" s="85"/>
      <c r="E2432" s="92"/>
      <c r="F2432" s="104"/>
      <c r="G2432" s="89"/>
      <c r="H2432" s="89"/>
    </row>
    <row r="2433" spans="2:8" ht="18" x14ac:dyDescent="0.25">
      <c r="B2433" s="86"/>
      <c r="C2433" s="85"/>
      <c r="D2433" s="85"/>
      <c r="E2433" s="85"/>
      <c r="G2433" s="338"/>
      <c r="H2433" s="338"/>
    </row>
    <row r="2434" spans="2:8" ht="18" x14ac:dyDescent="0.25">
      <c r="B2434" s="85"/>
      <c r="C2434" s="85"/>
      <c r="D2434" s="85"/>
      <c r="E2434" s="85"/>
      <c r="F2434" s="91"/>
      <c r="G2434" s="90"/>
      <c r="H2434" s="90"/>
    </row>
    <row r="2435" spans="2:8" ht="18" x14ac:dyDescent="0.25">
      <c r="B2435" s="85"/>
      <c r="C2435" s="85"/>
      <c r="D2435" s="85"/>
      <c r="E2435" s="85"/>
      <c r="F2435" s="92"/>
      <c r="G2435" s="85"/>
      <c r="H2435" s="90"/>
    </row>
    <row r="2436" spans="2:8" ht="18" x14ac:dyDescent="0.25">
      <c r="B2436" s="85"/>
      <c r="C2436" s="85"/>
      <c r="D2436" s="85"/>
      <c r="E2436" s="85"/>
      <c r="F2436" s="92"/>
      <c r="G2436" s="85"/>
      <c r="H2436" s="90"/>
    </row>
    <row r="2437" spans="2:8" ht="18" x14ac:dyDescent="0.25">
      <c r="B2437" s="85" t="e">
        <f>+B2422</f>
        <v>#REF!</v>
      </c>
      <c r="C2437" s="344"/>
      <c r="D2437" s="344"/>
      <c r="E2437" s="85" t="e">
        <f>+B2437</f>
        <v>#REF!</v>
      </c>
      <c r="F2437" s="92"/>
      <c r="G2437" s="85"/>
      <c r="H2437" s="90"/>
    </row>
    <row r="2438" spans="2:8" ht="18" x14ac:dyDescent="0.25">
      <c r="C2438" s="85"/>
      <c r="D2438" s="85"/>
      <c r="F2438" s="344"/>
      <c r="G2438" s="344"/>
      <c r="H2438" s="344"/>
    </row>
    <row r="2439" spans="2:8" ht="18" x14ac:dyDescent="0.25">
      <c r="B2439" s="85" t="str">
        <f>+$E$1</f>
        <v>Lima 461 C:A:B:A:</v>
      </c>
      <c r="C2439" s="85"/>
      <c r="D2439" s="93" t="str">
        <f>+H2423</f>
        <v>Unid. 65</v>
      </c>
      <c r="E2439" s="85" t="str">
        <f>+$E$1</f>
        <v>Lima 461 C:A:B:A:</v>
      </c>
      <c r="F2439" s="85"/>
      <c r="G2439" s="85"/>
      <c r="H2439" s="90" t="str">
        <f>+D2439</f>
        <v>Unid. 65</v>
      </c>
    </row>
    <row r="2440" spans="2:8" ht="18" x14ac:dyDescent="0.25">
      <c r="H2440" s="94"/>
    </row>
    <row r="2441" spans="2:8" ht="18" x14ac:dyDescent="0.25">
      <c r="B2441" s="86"/>
      <c r="C2441" s="86"/>
      <c r="D2441" s="86"/>
      <c r="E2441" s="86"/>
      <c r="F2441" s="85"/>
      <c r="G2441" s="85"/>
    </row>
    <row r="2442" spans="2:8" ht="18" x14ac:dyDescent="0.25">
      <c r="B2442" s="85">
        <f>+$E$2</f>
        <v>0</v>
      </c>
      <c r="C2442" s="85"/>
      <c r="D2442" s="85"/>
      <c r="E2442" s="85"/>
      <c r="F2442" s="85"/>
      <c r="G2442" s="86"/>
      <c r="H2442" s="94"/>
    </row>
    <row r="2443" spans="2:8" ht="18" x14ac:dyDescent="0.25">
      <c r="B2443" s="85">
        <f>+$E$3</f>
        <v>0</v>
      </c>
      <c r="C2443" s="85"/>
      <c r="D2443" s="85"/>
      <c r="E2443" s="96"/>
      <c r="F2443" s="85"/>
      <c r="G2443" s="94"/>
      <c r="H2443" s="90"/>
    </row>
    <row r="2444" spans="2:8" ht="18" x14ac:dyDescent="0.25">
      <c r="C2444" s="85"/>
      <c r="D2444" s="85"/>
      <c r="E2444" s="85" t="s">
        <v>200</v>
      </c>
      <c r="F2444" s="106" t="e">
        <f>+F2427</f>
        <v>#REF!</v>
      </c>
      <c r="H2444" s="99">
        <f>+B2449</f>
        <v>46188</v>
      </c>
    </row>
    <row r="2445" spans="2:8" ht="18" x14ac:dyDescent="0.25">
      <c r="B2445" s="86"/>
      <c r="C2445" s="85"/>
      <c r="D2445" s="85"/>
      <c r="E2445" s="85" t="s">
        <v>201</v>
      </c>
      <c r="F2445" s="106" t="e">
        <f>+F2428</f>
        <v>#REF!</v>
      </c>
    </row>
    <row r="2446" spans="2:8" ht="18" x14ac:dyDescent="0.25">
      <c r="B2446" s="86"/>
      <c r="C2446" s="85"/>
      <c r="D2446" s="85"/>
      <c r="E2446" s="85" t="s">
        <v>81</v>
      </c>
      <c r="F2446" s="106" t="e">
        <f>+F2429</f>
        <v>#REF!</v>
      </c>
      <c r="G2446" s="85"/>
      <c r="H2446" s="90"/>
    </row>
    <row r="2447" spans="2:8" ht="18" x14ac:dyDescent="0.25">
      <c r="B2447" s="85"/>
      <c r="C2447" s="85"/>
      <c r="D2447" s="85"/>
      <c r="E2447" s="85" t="s">
        <v>82</v>
      </c>
      <c r="F2447" s="106" t="e">
        <f>+F2430</f>
        <v>#REF!</v>
      </c>
      <c r="G2447" s="85"/>
      <c r="H2447" s="90"/>
    </row>
    <row r="2448" spans="2:8" ht="18" x14ac:dyDescent="0.25">
      <c r="B2448" s="96"/>
      <c r="C2448" s="96"/>
      <c r="D2448" s="96"/>
      <c r="E2448" s="85" t="s">
        <v>188</v>
      </c>
      <c r="F2448" s="106">
        <v>0</v>
      </c>
      <c r="G2448" s="85"/>
      <c r="H2448" s="90"/>
    </row>
    <row r="2449" spans="2:8" ht="18" x14ac:dyDescent="0.25">
      <c r="B2449" s="99">
        <f>+$G$30</f>
        <v>46188</v>
      </c>
      <c r="C2449" s="105" t="e">
        <f>+F2431</f>
        <v>#REF!</v>
      </c>
      <c r="D2449" s="85"/>
      <c r="E2449" s="85" t="s">
        <v>83</v>
      </c>
      <c r="F2449" s="106" t="e">
        <f>+F2431</f>
        <v>#REF!</v>
      </c>
      <c r="G2449" s="85"/>
      <c r="H2449" s="90"/>
    </row>
    <row r="2450" spans="2:8" ht="18" x14ac:dyDescent="0.25">
      <c r="B2450" s="85"/>
      <c r="C2450" s="85"/>
      <c r="D2450" s="85"/>
      <c r="E2450" s="85"/>
      <c r="F2450" s="85"/>
      <c r="G2450" s="85"/>
      <c r="H2450" s="90"/>
    </row>
    <row r="2451" spans="2:8" ht="18" x14ac:dyDescent="0.25">
      <c r="B2451" s="85"/>
      <c r="C2451" s="85"/>
      <c r="D2451" s="85"/>
      <c r="E2451" s="85"/>
      <c r="F2451" s="85"/>
      <c r="G2451" s="345"/>
      <c r="H2451" s="345"/>
    </row>
    <row r="2452" spans="2:8" ht="18" x14ac:dyDescent="0.25">
      <c r="B2452" s="85"/>
      <c r="C2452" s="85"/>
      <c r="D2452" s="85"/>
      <c r="E2452" s="85"/>
      <c r="F2452" s="85"/>
      <c r="G2452" s="85"/>
      <c r="H2452" s="90"/>
    </row>
    <row r="2453" spans="2:8" ht="18" x14ac:dyDescent="0.25">
      <c r="B2453" s="85"/>
      <c r="C2453" s="85"/>
      <c r="D2453" s="85"/>
      <c r="E2453" s="85"/>
      <c r="F2453" s="85"/>
      <c r="G2453" s="85"/>
      <c r="H2453" s="90"/>
    </row>
    <row r="2454" spans="2:8" ht="18" x14ac:dyDescent="0.25">
      <c r="B2454" s="85"/>
      <c r="C2454" s="85"/>
      <c r="D2454" s="85"/>
      <c r="E2454" s="85"/>
      <c r="F2454" s="85"/>
      <c r="G2454" s="85"/>
      <c r="H2454" s="90"/>
    </row>
    <row r="2455" spans="2:8" ht="18" x14ac:dyDescent="0.25">
      <c r="B2455" s="85"/>
      <c r="C2455" s="85"/>
      <c r="D2455" s="85"/>
      <c r="E2455" s="85"/>
      <c r="F2455" s="85"/>
      <c r="G2455" s="85"/>
      <c r="H2455" s="90"/>
    </row>
    <row r="2456" spans="2:8" ht="18" x14ac:dyDescent="0.25">
      <c r="B2456" s="85"/>
      <c r="C2456" s="85"/>
      <c r="D2456" s="85"/>
      <c r="E2456" s="85"/>
      <c r="F2456" s="85"/>
      <c r="H2456" s="90"/>
    </row>
    <row r="2457" spans="2:8" ht="18" x14ac:dyDescent="0.25">
      <c r="B2457" s="343"/>
      <c r="C2457" s="343"/>
      <c r="D2457" s="343"/>
      <c r="E2457" s="85"/>
      <c r="F2457" s="85"/>
      <c r="H2457" s="90"/>
    </row>
    <row r="2458" spans="2:8" ht="18" x14ac:dyDescent="0.25">
      <c r="B2458" s="343"/>
      <c r="C2458" s="343"/>
      <c r="D2458" s="343"/>
      <c r="E2458" s="98">
        <f>+$B$1</f>
        <v>46143</v>
      </c>
      <c r="F2458" s="85"/>
      <c r="G2458" s="99">
        <f>+$D$1</f>
        <v>46188</v>
      </c>
      <c r="H2458" s="160"/>
    </row>
    <row r="2459" spans="2:8" ht="18" x14ac:dyDescent="0.25">
      <c r="B2459" s="84"/>
      <c r="C2459" s="84"/>
      <c r="D2459" s="100"/>
      <c r="E2459" s="98"/>
      <c r="F2459" s="85"/>
    </row>
    <row r="2460" spans="2:8" ht="18" x14ac:dyDescent="0.25">
      <c r="B2460" s="85" t="e">
        <f>+#REF!</f>
        <v>#REF!</v>
      </c>
      <c r="C2460" s="85"/>
      <c r="D2460" s="85"/>
      <c r="F2460" s="85"/>
    </row>
    <row r="2461" spans="2:8" ht="18" x14ac:dyDescent="0.25">
      <c r="C2461" s="85"/>
      <c r="D2461" s="85"/>
      <c r="E2461" s="85" t="str">
        <f>+$E$1</f>
        <v>Lima 461 C:A:B:A:</v>
      </c>
      <c r="F2461" s="85"/>
      <c r="H2461" s="90" t="s">
        <v>149</v>
      </c>
    </row>
    <row r="2462" spans="2:8" ht="18" x14ac:dyDescent="0.25">
      <c r="B2462" s="86"/>
      <c r="C2462" s="85"/>
      <c r="D2462" s="85"/>
      <c r="F2462" s="85"/>
      <c r="G2462" s="86"/>
    </row>
    <row r="2463" spans="2:8" ht="18" x14ac:dyDescent="0.25">
      <c r="B2463" s="85"/>
      <c r="C2463" s="85"/>
      <c r="D2463" s="85"/>
      <c r="E2463" s="86"/>
      <c r="F2463" s="86"/>
      <c r="G2463" s="85"/>
      <c r="H2463" s="94"/>
    </row>
    <row r="2464" spans="2:8" ht="18" x14ac:dyDescent="0.25">
      <c r="B2464" s="94"/>
      <c r="C2464" s="85"/>
      <c r="D2464" s="94"/>
      <c r="E2464" s="85"/>
      <c r="F2464" s="85"/>
      <c r="G2464" s="85"/>
      <c r="H2464" s="90"/>
    </row>
    <row r="2465" spans="2:8" ht="18" x14ac:dyDescent="0.25">
      <c r="B2465" s="85" t="s">
        <v>198</v>
      </c>
      <c r="C2465" s="85"/>
      <c r="D2465" s="107">
        <f>+'RES CUENTA'!$L$25</f>
        <v>10859801.41</v>
      </c>
      <c r="E2465" s="108" t="e">
        <f>+'RES CUENTA'!#REF!</f>
        <v>#REF!</v>
      </c>
      <c r="F2465" s="103" t="e">
        <f>+D2465*E2465/100</f>
        <v>#REF!</v>
      </c>
      <c r="G2465" s="85"/>
      <c r="H2465" s="94"/>
    </row>
    <row r="2466" spans="2:8" ht="18" x14ac:dyDescent="0.25">
      <c r="B2466" s="85" t="s">
        <v>199</v>
      </c>
      <c r="C2466" s="85"/>
      <c r="D2466" s="107" t="e">
        <f>+'RES CUENTA'!#REF!</f>
        <v>#REF!</v>
      </c>
      <c r="E2466" s="108" t="e">
        <f>+'RES CUENTA'!#REF!</f>
        <v>#REF!</v>
      </c>
      <c r="F2466" s="103" t="e">
        <f>+D2466*E2466/100</f>
        <v>#REF!</v>
      </c>
      <c r="G2466" s="94"/>
      <c r="H2466" s="89"/>
    </row>
    <row r="2467" spans="2:8" ht="18" x14ac:dyDescent="0.25">
      <c r="B2467" s="85" t="s">
        <v>79</v>
      </c>
      <c r="C2467" s="85"/>
      <c r="D2467" s="107" t="e">
        <f>+'RES CUENTA'!#REF!</f>
        <v>#REF!</v>
      </c>
      <c r="E2467" s="108">
        <f>+'RES CUENTA'!P1588</f>
        <v>0</v>
      </c>
      <c r="F2467" s="103" t="e">
        <f>+D2467</f>
        <v>#REF!</v>
      </c>
      <c r="G2467" s="89"/>
      <c r="H2467" s="89"/>
    </row>
    <row r="2468" spans="2:8" ht="18" x14ac:dyDescent="0.25">
      <c r="B2468" s="85" t="s">
        <v>80</v>
      </c>
      <c r="C2468" s="85"/>
      <c r="D2468" s="107" t="e">
        <f>+'RES CUENTA'!#REF!</f>
        <v>#REF!</v>
      </c>
      <c r="E2468" s="108">
        <f>+'RES CUENTA'!R1583</f>
        <v>0</v>
      </c>
      <c r="F2468" s="103" t="e">
        <f>+D2468</f>
        <v>#REF!</v>
      </c>
      <c r="G2468" s="89"/>
      <c r="H2468" s="89"/>
    </row>
    <row r="2469" spans="2:8" ht="18" x14ac:dyDescent="0.25">
      <c r="B2469" s="86"/>
      <c r="C2469" s="85"/>
      <c r="D2469" s="85"/>
      <c r="F2469" s="104" t="e">
        <f>SUM(F2465:F2468)</f>
        <v>#REF!</v>
      </c>
      <c r="G2469" s="89"/>
      <c r="H2469" s="90"/>
    </row>
    <row r="2470" spans="2:8" ht="18" x14ac:dyDescent="0.25">
      <c r="B2470" s="85"/>
      <c r="C2470" s="85"/>
      <c r="D2470" s="85"/>
      <c r="E2470" s="85"/>
      <c r="F2470" s="92"/>
      <c r="G2470" s="90"/>
      <c r="H2470" s="90"/>
    </row>
    <row r="2471" spans="2:8" ht="18" x14ac:dyDescent="0.25">
      <c r="B2471" s="85"/>
      <c r="C2471" s="85"/>
      <c r="D2471" s="85"/>
      <c r="E2471" s="85"/>
      <c r="F2471" s="92"/>
      <c r="G2471" s="90"/>
      <c r="H2471" s="90"/>
    </row>
    <row r="2472" spans="2:8" ht="18" x14ac:dyDescent="0.25">
      <c r="B2472" s="85"/>
      <c r="C2472" s="85"/>
      <c r="D2472" s="85"/>
      <c r="E2472" s="85"/>
      <c r="F2472" s="92"/>
      <c r="G2472" s="90"/>
      <c r="H2472" s="90"/>
    </row>
    <row r="2473" spans="2:8" ht="18" x14ac:dyDescent="0.25">
      <c r="B2473" s="85"/>
      <c r="C2473" s="85"/>
      <c r="D2473" s="85"/>
      <c r="E2473" s="85"/>
      <c r="F2473" s="92"/>
      <c r="G2473" s="90"/>
      <c r="H2473" s="90"/>
    </row>
    <row r="2474" spans="2:8" ht="18" x14ac:dyDescent="0.25">
      <c r="B2474" s="85"/>
      <c r="C2474" s="85"/>
      <c r="D2474" s="85"/>
      <c r="E2474" s="85"/>
      <c r="F2474" s="92"/>
      <c r="G2474" s="90"/>
      <c r="H2474" s="90"/>
    </row>
    <row r="2475" spans="2:8" ht="18" x14ac:dyDescent="0.25">
      <c r="B2475" s="85" t="e">
        <f>+B2460</f>
        <v>#REF!</v>
      </c>
      <c r="C2475" s="85"/>
      <c r="D2475" s="85"/>
      <c r="E2475" s="85" t="e">
        <f>+B2460</f>
        <v>#REF!</v>
      </c>
      <c r="F2475" s="85"/>
      <c r="G2475" s="85"/>
      <c r="H2475" s="94"/>
    </row>
    <row r="2476" spans="2:8" ht="18" x14ac:dyDescent="0.25">
      <c r="B2476" s="86"/>
      <c r="C2476" s="85"/>
      <c r="D2476" s="85"/>
      <c r="F2476" s="85"/>
      <c r="G2476" s="101"/>
      <c r="H2476" s="90" t="str">
        <f>+H2461</f>
        <v>Unid. 66</v>
      </c>
    </row>
    <row r="2477" spans="2:8" ht="18" x14ac:dyDescent="0.25">
      <c r="B2477" s="85" t="str">
        <f>+$E$1</f>
        <v>Lima 461 C:A:B:A:</v>
      </c>
      <c r="C2477" s="85"/>
      <c r="D2477" s="93" t="str">
        <f>+H2476</f>
        <v>Unid. 66</v>
      </c>
      <c r="E2477" s="85" t="str">
        <f>+$E$1</f>
        <v>Lima 461 C:A:B:A:</v>
      </c>
      <c r="F2477" s="85"/>
      <c r="G2477" s="85"/>
      <c r="H2477" s="94"/>
    </row>
    <row r="2478" spans="2:8" ht="18" x14ac:dyDescent="0.25">
      <c r="B2478" s="86"/>
      <c r="C2478" s="86"/>
      <c r="D2478" s="86"/>
      <c r="F2478" s="85"/>
      <c r="G2478" s="85"/>
    </row>
    <row r="2479" spans="2:8" ht="18" x14ac:dyDescent="0.25">
      <c r="B2479" s="85"/>
      <c r="C2479" s="85"/>
      <c r="D2479" s="85"/>
      <c r="E2479" s="86"/>
      <c r="F2479" s="85"/>
      <c r="G2479" s="85"/>
      <c r="H2479" s="94"/>
    </row>
    <row r="2480" spans="2:8" ht="18" x14ac:dyDescent="0.25">
      <c r="B2480" s="85">
        <f>+$E$2</f>
        <v>0</v>
      </c>
      <c r="C2480" s="85"/>
      <c r="D2480" s="85"/>
      <c r="E2480" s="85"/>
      <c r="F2480" s="96"/>
      <c r="G2480" s="86"/>
      <c r="H2480" s="90"/>
    </row>
    <row r="2481" spans="2:8" ht="18" x14ac:dyDescent="0.25">
      <c r="B2481" s="85">
        <f>+$E$3</f>
        <v>0</v>
      </c>
      <c r="C2481" s="85"/>
      <c r="D2481" s="85"/>
      <c r="E2481" s="96"/>
      <c r="G2481" s="94"/>
      <c r="H2481" s="96"/>
    </row>
    <row r="2482" spans="2:8" ht="18" x14ac:dyDescent="0.25">
      <c r="B2482" s="86"/>
      <c r="C2482" s="85"/>
      <c r="D2482" s="85"/>
      <c r="E2482" s="85" t="s">
        <v>200</v>
      </c>
      <c r="F2482" s="106" t="e">
        <f>+F2465</f>
        <v>#REF!</v>
      </c>
      <c r="G2482" s="95"/>
      <c r="H2482" s="99">
        <f>+B2486</f>
        <v>46188</v>
      </c>
    </row>
    <row r="2483" spans="2:8" ht="18" x14ac:dyDescent="0.25">
      <c r="B2483" s="86"/>
      <c r="C2483" s="85"/>
      <c r="D2483" s="85"/>
      <c r="E2483" s="85" t="s">
        <v>201</v>
      </c>
      <c r="F2483" s="106" t="e">
        <f>+F2466</f>
        <v>#REF!</v>
      </c>
      <c r="H2483" s="90"/>
    </row>
    <row r="2484" spans="2:8" ht="18" x14ac:dyDescent="0.25">
      <c r="B2484" s="85"/>
      <c r="C2484" s="85"/>
      <c r="D2484" s="85"/>
      <c r="E2484" s="85" t="s">
        <v>81</v>
      </c>
      <c r="F2484" s="106" t="e">
        <f>+F2467</f>
        <v>#REF!</v>
      </c>
      <c r="G2484" s="85"/>
      <c r="H2484" s="90"/>
    </row>
    <row r="2485" spans="2:8" ht="18" x14ac:dyDescent="0.25">
      <c r="B2485" s="96"/>
      <c r="C2485" s="96"/>
      <c r="D2485" s="96"/>
      <c r="E2485" s="85" t="s">
        <v>82</v>
      </c>
      <c r="F2485" s="106" t="e">
        <f>+F2468</f>
        <v>#REF!</v>
      </c>
      <c r="G2485" s="85"/>
      <c r="H2485" s="90"/>
    </row>
    <row r="2486" spans="2:8" ht="18" x14ac:dyDescent="0.25">
      <c r="B2486" s="99">
        <f>+$G$30</f>
        <v>46188</v>
      </c>
      <c r="C2486" s="105" t="e">
        <f>+F2469</f>
        <v>#REF!</v>
      </c>
      <c r="D2486" s="85"/>
      <c r="E2486" s="85" t="s">
        <v>188</v>
      </c>
      <c r="F2486" s="106">
        <v>0</v>
      </c>
      <c r="G2486" s="85"/>
      <c r="H2486" s="90"/>
    </row>
    <row r="2487" spans="2:8" ht="18" x14ac:dyDescent="0.25">
      <c r="B2487" s="85"/>
      <c r="C2487" s="85"/>
      <c r="D2487" s="85"/>
      <c r="E2487" s="85" t="s">
        <v>83</v>
      </c>
      <c r="F2487" s="106" t="e">
        <f>+F2469</f>
        <v>#REF!</v>
      </c>
      <c r="G2487" s="85"/>
      <c r="H2487" s="90"/>
    </row>
    <row r="2488" spans="2:8" ht="18" x14ac:dyDescent="0.25">
      <c r="B2488" s="85"/>
      <c r="C2488" s="85"/>
      <c r="D2488" s="85"/>
      <c r="E2488" s="85"/>
      <c r="F2488" s="85"/>
      <c r="G2488" s="85"/>
      <c r="H2488" s="90"/>
    </row>
    <row r="2489" spans="2:8" ht="18" x14ac:dyDescent="0.25">
      <c r="B2489" s="85"/>
      <c r="C2489" s="85"/>
      <c r="D2489" s="85"/>
      <c r="E2489" s="102"/>
      <c r="F2489" s="85"/>
      <c r="G2489" s="85"/>
      <c r="H2489" s="90"/>
    </row>
    <row r="2490" spans="2:8" ht="18" x14ac:dyDescent="0.25">
      <c r="B2490" s="85"/>
      <c r="C2490" s="85"/>
      <c r="D2490" s="85"/>
      <c r="E2490" s="85"/>
      <c r="F2490" s="85"/>
      <c r="G2490" s="85"/>
      <c r="H2490" s="94"/>
    </row>
    <row r="2491" spans="2:8" ht="18" x14ac:dyDescent="0.25">
      <c r="E2491" s="85"/>
      <c r="G2491" s="94"/>
      <c r="H2491" s="90"/>
    </row>
    <row r="2493" spans="2:8" ht="18" x14ac:dyDescent="0.25">
      <c r="B2493" s="343"/>
      <c r="C2493" s="343"/>
      <c r="D2493" s="343"/>
      <c r="E2493" s="342">
        <f>+$B$1</f>
        <v>46143</v>
      </c>
      <c r="F2493" s="85"/>
      <c r="G2493" s="337">
        <f>+$D$1</f>
        <v>46188</v>
      </c>
      <c r="H2493" s="90"/>
    </row>
    <row r="2494" spans="2:8" ht="18" x14ac:dyDescent="0.25">
      <c r="B2494" s="84"/>
      <c r="C2494" s="84"/>
      <c r="D2494" s="100"/>
      <c r="E2494" s="342"/>
      <c r="F2494" s="85"/>
      <c r="G2494" s="337"/>
      <c r="H2494" s="90"/>
    </row>
    <row r="2495" spans="2:8" ht="18" x14ac:dyDescent="0.25">
      <c r="B2495" s="85"/>
      <c r="C2495" s="85"/>
      <c r="D2495" s="85"/>
      <c r="E2495" s="86"/>
      <c r="F2495" s="85"/>
      <c r="G2495" s="86"/>
      <c r="H2495" s="90"/>
    </row>
    <row r="2496" spans="2:8" ht="18" x14ac:dyDescent="0.25">
      <c r="B2496" s="85" t="e">
        <f>+#REF!</f>
        <v>#REF!</v>
      </c>
      <c r="C2496" s="85"/>
      <c r="D2496" s="85"/>
      <c r="E2496" s="86"/>
      <c r="F2496" s="85"/>
      <c r="G2496" s="86"/>
      <c r="H2496" s="90"/>
    </row>
    <row r="2497" spans="2:8" ht="18" x14ac:dyDescent="0.25">
      <c r="B2497" s="86"/>
      <c r="C2497" s="85"/>
      <c r="D2497" s="85"/>
      <c r="E2497" s="85" t="s">
        <v>78</v>
      </c>
      <c r="F2497" s="85"/>
      <c r="G2497" s="85"/>
      <c r="H2497" s="90" t="s">
        <v>150</v>
      </c>
    </row>
    <row r="2498" spans="2:8" ht="18" x14ac:dyDescent="0.25">
      <c r="B2498" s="85"/>
      <c r="C2498" s="85"/>
      <c r="D2498" s="85"/>
      <c r="E2498" s="86"/>
      <c r="F2498" s="86"/>
      <c r="G2498" s="85"/>
      <c r="H2498" s="94"/>
    </row>
    <row r="2499" spans="2:8" ht="18" x14ac:dyDescent="0.25">
      <c r="B2499" s="94"/>
      <c r="C2499" s="85"/>
      <c r="D2499" s="94"/>
      <c r="E2499" s="85"/>
      <c r="F2499" s="85"/>
      <c r="G2499" s="85"/>
      <c r="H2499" s="90"/>
    </row>
    <row r="2500" spans="2:8" ht="18" x14ac:dyDescent="0.25">
      <c r="B2500" s="94"/>
      <c r="C2500" s="85"/>
      <c r="D2500" s="94"/>
      <c r="E2500" s="85"/>
      <c r="F2500" s="85"/>
      <c r="G2500" s="85"/>
      <c r="H2500" s="90"/>
    </row>
    <row r="2501" spans="2:8" ht="18" x14ac:dyDescent="0.25">
      <c r="B2501" s="85" t="s">
        <v>198</v>
      </c>
      <c r="C2501" s="85"/>
      <c r="D2501" s="107">
        <f>+'RES CUENTA'!$L$25</f>
        <v>10859801.41</v>
      </c>
      <c r="E2501" s="108" t="e">
        <f>+'RES CUENTA'!#REF!</f>
        <v>#REF!</v>
      </c>
      <c r="F2501" s="103" t="e">
        <f>+D2501*E2501/100</f>
        <v>#REF!</v>
      </c>
      <c r="G2501" s="345"/>
      <c r="H2501" s="345"/>
    </row>
    <row r="2502" spans="2:8" ht="18" x14ac:dyDescent="0.25">
      <c r="B2502" s="85" t="s">
        <v>199</v>
      </c>
      <c r="C2502" s="85"/>
      <c r="D2502" s="107" t="e">
        <f>+'RES CUENTA'!#REF!</f>
        <v>#REF!</v>
      </c>
      <c r="E2502" s="108" t="e">
        <f>+'RES CUENTA'!#REF!</f>
        <v>#REF!</v>
      </c>
      <c r="F2502" s="103" t="e">
        <f>+D2502*E2502/100</f>
        <v>#REF!</v>
      </c>
      <c r="G2502" s="341"/>
      <c r="H2502" s="341"/>
    </row>
    <row r="2503" spans="2:8" ht="18" x14ac:dyDescent="0.25">
      <c r="B2503" s="85" t="s">
        <v>79</v>
      </c>
      <c r="C2503" s="85"/>
      <c r="D2503" s="107" t="e">
        <f>+'RES CUENTA'!#REF!</f>
        <v>#REF!</v>
      </c>
      <c r="E2503" s="108">
        <v>0</v>
      </c>
      <c r="F2503" s="103" t="e">
        <f>+D2503</f>
        <v>#REF!</v>
      </c>
      <c r="G2503" s="341"/>
      <c r="H2503" s="341"/>
    </row>
    <row r="2504" spans="2:8" ht="18" x14ac:dyDescent="0.25">
      <c r="B2504" s="85" t="s">
        <v>80</v>
      </c>
      <c r="C2504" s="85"/>
      <c r="D2504" s="107" t="e">
        <f>+'RES CUENTA'!#REF!</f>
        <v>#REF!</v>
      </c>
      <c r="E2504" s="108">
        <v>0</v>
      </c>
      <c r="F2504" s="103" t="e">
        <f>+D2504</f>
        <v>#REF!</v>
      </c>
      <c r="G2504" s="341"/>
      <c r="H2504" s="341"/>
    </row>
    <row r="2505" spans="2:8" ht="18" x14ac:dyDescent="0.25">
      <c r="B2505" s="86"/>
      <c r="C2505" s="85"/>
      <c r="D2505" s="85"/>
      <c r="E2505" s="92"/>
      <c r="F2505" s="104" t="e">
        <f>SUM(F2501:F2504)</f>
        <v>#REF!</v>
      </c>
      <c r="G2505" s="341"/>
      <c r="H2505" s="341"/>
    </row>
    <row r="2506" spans="2:8" ht="18" x14ac:dyDescent="0.25">
      <c r="B2506" s="86"/>
      <c r="C2506" s="85"/>
      <c r="D2506" s="85"/>
      <c r="E2506" s="85"/>
      <c r="G2506" s="338"/>
      <c r="H2506" s="338"/>
    </row>
    <row r="2507" spans="2:8" ht="18" x14ac:dyDescent="0.25">
      <c r="B2507" s="85"/>
      <c r="C2507" s="85"/>
      <c r="D2507" s="85"/>
      <c r="E2507" s="85"/>
      <c r="F2507" s="91"/>
      <c r="G2507" s="90"/>
      <c r="H2507" s="90"/>
    </row>
    <row r="2508" spans="2:8" ht="18" x14ac:dyDescent="0.25">
      <c r="B2508" s="85"/>
      <c r="C2508" s="85"/>
      <c r="D2508" s="85"/>
      <c r="E2508" s="85"/>
      <c r="F2508" s="92"/>
      <c r="G2508" s="85"/>
      <c r="H2508" s="90"/>
    </row>
    <row r="2509" spans="2:8" ht="18" x14ac:dyDescent="0.25">
      <c r="B2509" s="85"/>
      <c r="C2509" s="85"/>
      <c r="D2509" s="85"/>
      <c r="E2509" s="85"/>
      <c r="F2509" s="92"/>
      <c r="G2509" s="85"/>
      <c r="H2509" s="90"/>
    </row>
    <row r="2510" spans="2:8" ht="18" x14ac:dyDescent="0.25">
      <c r="B2510" s="85"/>
      <c r="C2510" s="85"/>
      <c r="D2510" s="85"/>
      <c r="E2510" s="85"/>
      <c r="F2510" s="92"/>
      <c r="G2510" s="85"/>
      <c r="H2510" s="90"/>
    </row>
    <row r="2511" spans="2:8" ht="18" x14ac:dyDescent="0.25">
      <c r="B2511" s="85" t="e">
        <f>+B2496</f>
        <v>#REF!</v>
      </c>
      <c r="C2511" s="344"/>
      <c r="D2511" s="344"/>
      <c r="E2511" s="85" t="e">
        <f>+B2511</f>
        <v>#REF!</v>
      </c>
      <c r="F2511" s="92"/>
      <c r="G2511" s="85"/>
      <c r="H2511" s="90"/>
    </row>
    <row r="2512" spans="2:8" ht="18" x14ac:dyDescent="0.25">
      <c r="C2512" s="85"/>
      <c r="D2512" s="85"/>
      <c r="F2512" s="344"/>
      <c r="G2512" s="344"/>
      <c r="H2512" s="344"/>
    </row>
    <row r="2513" spans="2:8" ht="18" x14ac:dyDescent="0.25">
      <c r="B2513" s="85" t="str">
        <f>+$E$1</f>
        <v>Lima 461 C:A:B:A:</v>
      </c>
      <c r="C2513" s="85"/>
      <c r="D2513" s="93" t="str">
        <f>+H2497</f>
        <v>Unid. 67</v>
      </c>
      <c r="E2513" s="85" t="str">
        <f>+$E$1</f>
        <v>Lima 461 C:A:B:A:</v>
      </c>
      <c r="F2513" s="85"/>
      <c r="G2513" s="85"/>
      <c r="H2513" s="90" t="str">
        <f>+D2513</f>
        <v>Unid. 67</v>
      </c>
    </row>
    <row r="2514" spans="2:8" ht="18" x14ac:dyDescent="0.25">
      <c r="H2514" s="94"/>
    </row>
    <row r="2515" spans="2:8" ht="18" x14ac:dyDescent="0.25">
      <c r="B2515" s="86"/>
      <c r="C2515" s="86"/>
      <c r="D2515" s="86"/>
      <c r="E2515" s="86"/>
      <c r="F2515" s="85"/>
      <c r="G2515" s="85"/>
    </row>
    <row r="2516" spans="2:8" ht="18" x14ac:dyDescent="0.25">
      <c r="B2516" s="85">
        <f>+$E$2</f>
        <v>0</v>
      </c>
      <c r="C2516" s="85"/>
      <c r="D2516" s="85"/>
      <c r="E2516" s="85"/>
      <c r="F2516" s="85"/>
      <c r="G2516" s="86"/>
      <c r="H2516" s="94"/>
    </row>
    <row r="2517" spans="2:8" ht="18" x14ac:dyDescent="0.25">
      <c r="B2517" s="85">
        <f>+$E$3</f>
        <v>0</v>
      </c>
      <c r="C2517" s="85"/>
      <c r="D2517" s="85"/>
      <c r="E2517" s="96"/>
      <c r="F2517" s="85"/>
      <c r="G2517" s="94"/>
      <c r="H2517" s="90"/>
    </row>
    <row r="2518" spans="2:8" ht="18" x14ac:dyDescent="0.25">
      <c r="C2518" s="85"/>
      <c r="D2518" s="85"/>
      <c r="E2518" s="85" t="s">
        <v>200</v>
      </c>
      <c r="F2518" s="106" t="e">
        <f>+F2501</f>
        <v>#REF!</v>
      </c>
      <c r="H2518" s="99">
        <f>+B2523</f>
        <v>46188</v>
      </c>
    </row>
    <row r="2519" spans="2:8" ht="18" x14ac:dyDescent="0.25">
      <c r="B2519" s="86"/>
      <c r="C2519" s="85"/>
      <c r="D2519" s="85"/>
      <c r="E2519" s="85" t="s">
        <v>201</v>
      </c>
      <c r="F2519" s="106" t="e">
        <f>+F2502</f>
        <v>#REF!</v>
      </c>
    </row>
    <row r="2520" spans="2:8" ht="18" x14ac:dyDescent="0.25">
      <c r="B2520" s="86"/>
      <c r="C2520" s="85"/>
      <c r="D2520" s="85"/>
      <c r="E2520" s="85" t="s">
        <v>81</v>
      </c>
      <c r="F2520" s="106" t="e">
        <f>+F2503</f>
        <v>#REF!</v>
      </c>
      <c r="G2520" s="85"/>
      <c r="H2520" s="90"/>
    </row>
    <row r="2521" spans="2:8" ht="18" x14ac:dyDescent="0.25">
      <c r="B2521" s="85"/>
      <c r="C2521" s="85"/>
      <c r="D2521" s="85"/>
      <c r="E2521" s="85" t="s">
        <v>82</v>
      </c>
      <c r="F2521" s="106" t="e">
        <f>+F2504</f>
        <v>#REF!</v>
      </c>
      <c r="G2521" s="85"/>
      <c r="H2521" s="90"/>
    </row>
    <row r="2522" spans="2:8" ht="18" x14ac:dyDescent="0.25">
      <c r="B2522" s="96"/>
      <c r="C2522" s="96"/>
      <c r="D2522" s="96"/>
      <c r="E2522" s="85" t="s">
        <v>188</v>
      </c>
      <c r="F2522" s="106">
        <v>0</v>
      </c>
      <c r="G2522" s="85"/>
      <c r="H2522" s="90"/>
    </row>
    <row r="2523" spans="2:8" ht="18" x14ac:dyDescent="0.25">
      <c r="B2523" s="99">
        <f>+$G$30</f>
        <v>46188</v>
      </c>
      <c r="C2523" s="105" t="e">
        <f>+F2505</f>
        <v>#REF!</v>
      </c>
      <c r="D2523" s="85"/>
      <c r="E2523" s="85" t="s">
        <v>83</v>
      </c>
      <c r="F2523" s="106" t="e">
        <f>+F2505</f>
        <v>#REF!</v>
      </c>
      <c r="G2523" s="85"/>
      <c r="H2523" s="90"/>
    </row>
    <row r="2524" spans="2:8" ht="18" x14ac:dyDescent="0.25">
      <c r="B2524" s="85"/>
      <c r="C2524" s="85"/>
      <c r="D2524" s="85"/>
      <c r="E2524" s="85"/>
      <c r="F2524" s="85"/>
      <c r="G2524" s="85"/>
      <c r="H2524" s="90"/>
    </row>
    <row r="2525" spans="2:8" ht="18" x14ac:dyDescent="0.25">
      <c r="B2525" s="85"/>
      <c r="C2525" s="85"/>
      <c r="D2525" s="85"/>
      <c r="E2525" s="85"/>
      <c r="F2525" s="85"/>
      <c r="G2525" s="345"/>
      <c r="H2525" s="345"/>
    </row>
    <row r="2526" spans="2:8" ht="18" x14ac:dyDescent="0.25">
      <c r="B2526" s="85"/>
      <c r="C2526" s="85"/>
      <c r="D2526" s="85"/>
      <c r="E2526" s="85"/>
      <c r="F2526" s="85"/>
      <c r="G2526" s="85"/>
      <c r="H2526" s="90"/>
    </row>
    <row r="2527" spans="2:8" ht="18" x14ac:dyDescent="0.25">
      <c r="B2527" s="85"/>
      <c r="C2527" s="85"/>
      <c r="D2527" s="85"/>
      <c r="E2527" s="85"/>
      <c r="F2527" s="85"/>
      <c r="G2527" s="85"/>
      <c r="H2527" s="90"/>
    </row>
    <row r="2528" spans="2:8" ht="18" x14ac:dyDescent="0.25">
      <c r="B2528" s="85"/>
      <c r="C2528" s="85"/>
      <c r="D2528" s="85"/>
      <c r="E2528" s="85"/>
      <c r="F2528" s="85"/>
      <c r="G2528" s="85"/>
      <c r="H2528" s="90"/>
    </row>
    <row r="2529" spans="2:8" ht="18" x14ac:dyDescent="0.25">
      <c r="B2529" s="85"/>
      <c r="C2529" s="85"/>
      <c r="D2529" s="85"/>
      <c r="E2529" s="85"/>
      <c r="F2529" s="85"/>
      <c r="H2529" s="90"/>
    </row>
    <row r="2530" spans="2:8" ht="18" x14ac:dyDescent="0.25">
      <c r="B2530" s="85"/>
      <c r="C2530" s="85"/>
      <c r="D2530" s="85"/>
      <c r="E2530" s="85"/>
      <c r="F2530" s="85"/>
      <c r="H2530" s="90"/>
    </row>
    <row r="2531" spans="2:8" ht="18" x14ac:dyDescent="0.25">
      <c r="B2531" s="343"/>
      <c r="C2531" s="343"/>
      <c r="D2531" s="343"/>
      <c r="E2531" s="85"/>
      <c r="F2531" s="85"/>
      <c r="H2531" s="90"/>
    </row>
    <row r="2532" spans="2:8" ht="18" x14ac:dyDescent="0.25">
      <c r="B2532" s="343"/>
      <c r="C2532" s="343"/>
      <c r="D2532" s="343"/>
      <c r="E2532" s="98">
        <f>+$B$1</f>
        <v>46143</v>
      </c>
      <c r="F2532" s="85"/>
      <c r="G2532" s="99">
        <f>+$D$1</f>
        <v>46188</v>
      </c>
      <c r="H2532" s="160"/>
    </row>
    <row r="2533" spans="2:8" ht="18" x14ac:dyDescent="0.25">
      <c r="B2533" s="84"/>
      <c r="C2533" s="84"/>
      <c r="D2533" s="100"/>
      <c r="E2533" s="98"/>
      <c r="F2533" s="85"/>
    </row>
    <row r="2534" spans="2:8" ht="18" x14ac:dyDescent="0.25">
      <c r="B2534" s="85" t="e">
        <f>+#REF!</f>
        <v>#REF!</v>
      </c>
      <c r="C2534" s="85"/>
      <c r="D2534" s="85"/>
      <c r="F2534" s="85"/>
    </row>
    <row r="2535" spans="2:8" ht="18" x14ac:dyDescent="0.25">
      <c r="C2535" s="85"/>
      <c r="D2535" s="85"/>
      <c r="E2535" s="85" t="str">
        <f>+$E$1</f>
        <v>Lima 461 C:A:B:A:</v>
      </c>
      <c r="F2535" s="85"/>
      <c r="H2535" s="90" t="s">
        <v>151</v>
      </c>
    </row>
    <row r="2536" spans="2:8" ht="18" x14ac:dyDescent="0.25">
      <c r="B2536" s="86"/>
      <c r="C2536" s="85"/>
      <c r="D2536" s="85"/>
      <c r="F2536" s="85"/>
      <c r="G2536" s="86"/>
    </row>
    <row r="2537" spans="2:8" ht="18" x14ac:dyDescent="0.25">
      <c r="B2537" s="86"/>
      <c r="C2537" s="85"/>
      <c r="D2537" s="85"/>
      <c r="F2537" s="85"/>
      <c r="G2537" s="86"/>
    </row>
    <row r="2538" spans="2:8" ht="18" x14ac:dyDescent="0.25">
      <c r="B2538" s="94"/>
      <c r="C2538" s="85"/>
      <c r="D2538" s="94"/>
      <c r="E2538" s="85"/>
      <c r="F2538" s="85"/>
      <c r="G2538" s="85"/>
      <c r="H2538" s="90"/>
    </row>
    <row r="2539" spans="2:8" ht="18" x14ac:dyDescent="0.25">
      <c r="B2539" s="85" t="s">
        <v>198</v>
      </c>
      <c r="C2539" s="85"/>
      <c r="D2539" s="107">
        <f>+'RES CUENTA'!$L$25</f>
        <v>10859801.41</v>
      </c>
      <c r="E2539" s="108" t="e">
        <f>+'RES CUENTA'!#REF!</f>
        <v>#REF!</v>
      </c>
      <c r="F2539" s="103" t="e">
        <f>+D2539*E2539/100</f>
        <v>#REF!</v>
      </c>
      <c r="G2539" s="85"/>
      <c r="H2539" s="94"/>
    </row>
    <row r="2540" spans="2:8" ht="18" x14ac:dyDescent="0.25">
      <c r="B2540" s="85" t="s">
        <v>199</v>
      </c>
      <c r="C2540" s="85"/>
      <c r="D2540" s="107" t="e">
        <f>+'RES CUENTA'!#REF!</f>
        <v>#REF!</v>
      </c>
      <c r="E2540" s="108" t="e">
        <f>+'RES CUENTA'!#REF!</f>
        <v>#REF!</v>
      </c>
      <c r="F2540" s="103" t="e">
        <f>+D2540*E2540/100</f>
        <v>#REF!</v>
      </c>
      <c r="G2540" s="94"/>
      <c r="H2540" s="89"/>
    </row>
    <row r="2541" spans="2:8" ht="18" x14ac:dyDescent="0.25">
      <c r="B2541" s="85" t="s">
        <v>79</v>
      </c>
      <c r="C2541" s="85"/>
      <c r="D2541" s="107" t="e">
        <f>+'RES CUENTA'!#REF!</f>
        <v>#REF!</v>
      </c>
      <c r="E2541" s="108">
        <f>+'RES CUENTA'!P1664</f>
        <v>0</v>
      </c>
      <c r="F2541" s="103" t="e">
        <f>+D2541</f>
        <v>#REF!</v>
      </c>
      <c r="G2541" s="89"/>
      <c r="H2541" s="89"/>
    </row>
    <row r="2542" spans="2:8" ht="18" x14ac:dyDescent="0.25">
      <c r="B2542" s="85" t="s">
        <v>80</v>
      </c>
      <c r="C2542" s="85"/>
      <c r="D2542" s="107" t="e">
        <f>+'RES CUENTA'!#REF!</f>
        <v>#REF!</v>
      </c>
      <c r="E2542" s="108">
        <f>+'RES CUENTA'!R1659</f>
        <v>0</v>
      </c>
      <c r="F2542" s="103" t="e">
        <f>+D2542</f>
        <v>#REF!</v>
      </c>
      <c r="G2542" s="89"/>
      <c r="H2542" s="89"/>
    </row>
    <row r="2543" spans="2:8" ht="18" x14ac:dyDescent="0.25">
      <c r="B2543" s="86"/>
      <c r="C2543" s="85"/>
      <c r="D2543" s="85"/>
      <c r="F2543" s="104" t="e">
        <f>SUM(F2539:F2542)</f>
        <v>#REF!</v>
      </c>
      <c r="G2543" s="89"/>
      <c r="H2543" s="90"/>
    </row>
    <row r="2544" spans="2:8" ht="18" x14ac:dyDescent="0.25">
      <c r="B2544" s="86"/>
      <c r="C2544" s="85"/>
      <c r="D2544" s="85"/>
      <c r="F2544" s="104"/>
      <c r="G2544" s="89"/>
      <c r="H2544" s="90"/>
    </row>
    <row r="2545" spans="2:8" ht="18" x14ac:dyDescent="0.25">
      <c r="B2545" s="85"/>
      <c r="C2545" s="85"/>
      <c r="D2545" s="85"/>
      <c r="E2545" s="85"/>
      <c r="F2545" s="92"/>
      <c r="G2545" s="90"/>
      <c r="H2545" s="90"/>
    </row>
    <row r="2546" spans="2:8" ht="18" x14ac:dyDescent="0.25">
      <c r="B2546" s="85"/>
      <c r="C2546" s="85"/>
      <c r="D2546" s="85"/>
      <c r="E2546" s="85"/>
      <c r="F2546" s="92"/>
      <c r="G2546" s="90"/>
      <c r="H2546" s="90"/>
    </row>
    <row r="2547" spans="2:8" ht="18" x14ac:dyDescent="0.25">
      <c r="B2547" s="85"/>
      <c r="C2547" s="85"/>
      <c r="D2547" s="85"/>
      <c r="E2547" s="85"/>
      <c r="F2547" s="92"/>
      <c r="G2547" s="90"/>
      <c r="H2547" s="90"/>
    </row>
    <row r="2548" spans="2:8" ht="18" x14ac:dyDescent="0.25">
      <c r="B2548" s="85"/>
      <c r="C2548" s="85"/>
      <c r="D2548" s="85"/>
      <c r="E2548" s="85"/>
      <c r="F2548" s="92"/>
      <c r="G2548" s="90"/>
      <c r="H2548" s="90"/>
    </row>
    <row r="2549" spans="2:8" ht="18" x14ac:dyDescent="0.25">
      <c r="B2549" s="85" t="e">
        <f>+B2534</f>
        <v>#REF!</v>
      </c>
      <c r="C2549" s="85"/>
      <c r="D2549" s="85"/>
      <c r="E2549" s="85" t="e">
        <f>+B2534</f>
        <v>#REF!</v>
      </c>
      <c r="F2549" s="85"/>
      <c r="G2549" s="85"/>
      <c r="H2549" s="94"/>
    </row>
    <row r="2550" spans="2:8" ht="18" x14ac:dyDescent="0.25">
      <c r="B2550" s="86"/>
      <c r="C2550" s="85"/>
      <c r="D2550" s="85"/>
      <c r="F2550" s="85"/>
      <c r="G2550" s="101"/>
      <c r="H2550" s="90" t="str">
        <f>+H2535</f>
        <v>Unid. 68</v>
      </c>
    </row>
    <row r="2551" spans="2:8" ht="18" x14ac:dyDescent="0.25">
      <c r="B2551" s="85" t="str">
        <f>+$E$1</f>
        <v>Lima 461 C:A:B:A:</v>
      </c>
      <c r="C2551" s="85"/>
      <c r="D2551" s="93" t="str">
        <f>+H2550</f>
        <v>Unid. 68</v>
      </c>
      <c r="E2551" s="85" t="str">
        <f>+$E$1</f>
        <v>Lima 461 C:A:B:A:</v>
      </c>
      <c r="F2551" s="85"/>
      <c r="G2551" s="85"/>
      <c r="H2551" s="94"/>
    </row>
    <row r="2552" spans="2:8" ht="18" x14ac:dyDescent="0.25">
      <c r="B2552" s="86"/>
      <c r="C2552" s="86"/>
      <c r="D2552" s="86"/>
      <c r="F2552" s="85"/>
      <c r="G2552" s="85"/>
    </row>
    <row r="2553" spans="2:8" ht="18" x14ac:dyDescent="0.25">
      <c r="B2553" s="85"/>
      <c r="C2553" s="85"/>
      <c r="D2553" s="85"/>
      <c r="E2553" s="86"/>
      <c r="F2553" s="85"/>
      <c r="G2553" s="85"/>
      <c r="H2553" s="94"/>
    </row>
    <row r="2554" spans="2:8" ht="18" x14ac:dyDescent="0.25">
      <c r="B2554" s="85">
        <f>+$E$2</f>
        <v>0</v>
      </c>
      <c r="C2554" s="85"/>
      <c r="D2554" s="85"/>
      <c r="E2554" s="85"/>
      <c r="F2554" s="96"/>
      <c r="G2554" s="86"/>
      <c r="H2554" s="90"/>
    </row>
    <row r="2555" spans="2:8" ht="18" x14ac:dyDescent="0.25">
      <c r="B2555" s="85">
        <f>+$E$3</f>
        <v>0</v>
      </c>
      <c r="C2555" s="85"/>
      <c r="D2555" s="85"/>
      <c r="E2555" s="96"/>
      <c r="G2555" s="94"/>
      <c r="H2555" s="96"/>
    </row>
    <row r="2556" spans="2:8" ht="18" x14ac:dyDescent="0.25">
      <c r="B2556" s="86"/>
      <c r="C2556" s="85"/>
      <c r="D2556" s="85"/>
      <c r="E2556" s="85" t="s">
        <v>200</v>
      </c>
      <c r="F2556" s="106" t="e">
        <f>+F2539</f>
        <v>#REF!</v>
      </c>
      <c r="G2556" s="95"/>
      <c r="H2556" s="99">
        <f>+B2560</f>
        <v>46188</v>
      </c>
    </row>
    <row r="2557" spans="2:8" ht="18" x14ac:dyDescent="0.25">
      <c r="B2557" s="86"/>
      <c r="C2557" s="85"/>
      <c r="D2557" s="85"/>
      <c r="E2557" s="85" t="s">
        <v>201</v>
      </c>
      <c r="F2557" s="106" t="e">
        <f>+F2540</f>
        <v>#REF!</v>
      </c>
      <c r="H2557" s="90"/>
    </row>
    <row r="2558" spans="2:8" ht="18" x14ac:dyDescent="0.25">
      <c r="B2558" s="85"/>
      <c r="C2558" s="85"/>
      <c r="D2558" s="85"/>
      <c r="E2558" s="85" t="s">
        <v>81</v>
      </c>
      <c r="F2558" s="106" t="e">
        <f>+F2541</f>
        <v>#REF!</v>
      </c>
      <c r="G2558" s="85"/>
      <c r="H2558" s="90"/>
    </row>
    <row r="2559" spans="2:8" ht="18" x14ac:dyDescent="0.25">
      <c r="B2559" s="96"/>
      <c r="C2559" s="96"/>
      <c r="D2559" s="96"/>
      <c r="E2559" s="85" t="s">
        <v>82</v>
      </c>
      <c r="F2559" s="106" t="e">
        <f>+F2542</f>
        <v>#REF!</v>
      </c>
      <c r="G2559" s="85"/>
      <c r="H2559" s="90"/>
    </row>
    <row r="2560" spans="2:8" ht="18" x14ac:dyDescent="0.25">
      <c r="B2560" s="99">
        <f>+$G$30</f>
        <v>46188</v>
      </c>
      <c r="C2560" s="105" t="e">
        <f>+F2543</f>
        <v>#REF!</v>
      </c>
      <c r="D2560" s="85"/>
      <c r="E2560" s="85" t="s">
        <v>188</v>
      </c>
      <c r="F2560" s="106">
        <v>0</v>
      </c>
      <c r="G2560" s="85"/>
      <c r="H2560" s="90"/>
    </row>
    <row r="2561" spans="2:8" ht="18" x14ac:dyDescent="0.25">
      <c r="B2561" s="85"/>
      <c r="C2561" s="85"/>
      <c r="D2561" s="85"/>
      <c r="E2561" s="85" t="s">
        <v>83</v>
      </c>
      <c r="F2561" s="106" t="e">
        <f>+F2543</f>
        <v>#REF!</v>
      </c>
      <c r="G2561" s="85"/>
      <c r="H2561" s="90"/>
    </row>
    <row r="2562" spans="2:8" ht="18" x14ac:dyDescent="0.25">
      <c r="B2562" s="85"/>
      <c r="C2562" s="85"/>
      <c r="D2562" s="85"/>
      <c r="E2562" s="85"/>
      <c r="F2562" s="85"/>
      <c r="G2562" s="85"/>
      <c r="H2562" s="90"/>
    </row>
    <row r="2563" spans="2:8" ht="18" x14ac:dyDescent="0.25">
      <c r="B2563" s="85"/>
      <c r="C2563" s="85"/>
      <c r="D2563" s="85"/>
      <c r="E2563" s="102"/>
      <c r="F2563" s="85"/>
      <c r="G2563" s="85"/>
      <c r="H2563" s="90"/>
    </row>
    <row r="2564" spans="2:8" ht="18" x14ac:dyDescent="0.25">
      <c r="B2564" s="85"/>
      <c r="C2564" s="85"/>
      <c r="D2564" s="85"/>
      <c r="E2564" s="85"/>
      <c r="F2564" s="85"/>
      <c r="G2564" s="85"/>
      <c r="H2564" s="94"/>
    </row>
    <row r="2565" spans="2:8" ht="18" x14ac:dyDescent="0.25">
      <c r="E2565" s="85"/>
      <c r="G2565" s="94"/>
      <c r="H2565" s="90"/>
    </row>
    <row r="2567" spans="2:8" ht="18" x14ac:dyDescent="0.25">
      <c r="B2567" s="343"/>
      <c r="C2567" s="343"/>
      <c r="D2567" s="343"/>
      <c r="E2567" s="342">
        <f>+$B$1</f>
        <v>46143</v>
      </c>
      <c r="F2567" s="85"/>
      <c r="G2567" s="337">
        <f>+$D$1</f>
        <v>46188</v>
      </c>
      <c r="H2567" s="90"/>
    </row>
    <row r="2568" spans="2:8" ht="18" x14ac:dyDescent="0.25">
      <c r="B2568" s="84"/>
      <c r="C2568" s="84"/>
      <c r="D2568" s="100"/>
      <c r="E2568" s="342"/>
      <c r="F2568" s="85"/>
      <c r="G2568" s="337"/>
      <c r="H2568" s="90"/>
    </row>
    <row r="2569" spans="2:8" ht="18" x14ac:dyDescent="0.25">
      <c r="B2569" s="85"/>
      <c r="C2569" s="85"/>
      <c r="D2569" s="85"/>
      <c r="E2569" s="86"/>
      <c r="F2569" s="85"/>
      <c r="G2569" s="86"/>
      <c r="H2569" s="90"/>
    </row>
    <row r="2570" spans="2:8" ht="18" x14ac:dyDescent="0.25">
      <c r="B2570" s="85" t="e">
        <f>+#REF!</f>
        <v>#REF!</v>
      </c>
      <c r="C2570" s="85"/>
      <c r="D2570" s="85"/>
      <c r="E2570" s="86"/>
      <c r="F2570" s="85"/>
      <c r="G2570" s="86"/>
      <c r="H2570" s="90"/>
    </row>
    <row r="2571" spans="2:8" ht="18" x14ac:dyDescent="0.25">
      <c r="B2571" s="86"/>
      <c r="C2571" s="85"/>
      <c r="D2571" s="85"/>
      <c r="E2571" s="85" t="s">
        <v>78</v>
      </c>
      <c r="F2571" s="85"/>
      <c r="G2571" s="85"/>
      <c r="H2571" s="90" t="s">
        <v>152</v>
      </c>
    </row>
    <row r="2572" spans="2:8" ht="18" x14ac:dyDescent="0.25">
      <c r="B2572" s="85"/>
      <c r="C2572" s="85"/>
      <c r="D2572" s="85"/>
      <c r="E2572" s="86"/>
      <c r="F2572" s="86"/>
      <c r="G2572" s="85"/>
      <c r="H2572" s="94"/>
    </row>
    <row r="2573" spans="2:8" ht="18" x14ac:dyDescent="0.25">
      <c r="B2573" s="94"/>
      <c r="C2573" s="85"/>
      <c r="D2573" s="94"/>
      <c r="E2573" s="85"/>
      <c r="F2573" s="85"/>
      <c r="G2573" s="85"/>
      <c r="H2573" s="90"/>
    </row>
    <row r="2574" spans="2:8" ht="18" x14ac:dyDescent="0.25">
      <c r="B2574" s="94"/>
      <c r="C2574" s="85"/>
      <c r="D2574" s="94"/>
      <c r="E2574" s="85"/>
      <c r="F2574" s="85"/>
      <c r="G2574" s="85"/>
      <c r="H2574" s="90"/>
    </row>
    <row r="2575" spans="2:8" ht="18" x14ac:dyDescent="0.25">
      <c r="B2575" s="85" t="s">
        <v>198</v>
      </c>
      <c r="C2575" s="85"/>
      <c r="D2575" s="107">
        <f>+'RES CUENTA'!$L$25</f>
        <v>10859801.41</v>
      </c>
      <c r="E2575" s="108" t="e">
        <f>+'RES CUENTA'!#REF!</f>
        <v>#REF!</v>
      </c>
      <c r="F2575" s="103" t="e">
        <f>+D2575*E2575/100</f>
        <v>#REF!</v>
      </c>
      <c r="G2575" s="345"/>
      <c r="H2575" s="345"/>
    </row>
    <row r="2576" spans="2:8" ht="18" x14ac:dyDescent="0.25">
      <c r="B2576" s="85" t="s">
        <v>199</v>
      </c>
      <c r="C2576" s="85"/>
      <c r="D2576" s="107" t="e">
        <f>+'RES CUENTA'!#REF!</f>
        <v>#REF!</v>
      </c>
      <c r="E2576" s="108" t="e">
        <f>+'RES CUENTA'!#REF!</f>
        <v>#REF!</v>
      </c>
      <c r="F2576" s="103" t="e">
        <f>+D2576*E2576/100</f>
        <v>#REF!</v>
      </c>
      <c r="G2576" s="341"/>
      <c r="H2576" s="341"/>
    </row>
    <row r="2577" spans="2:8" ht="18" x14ac:dyDescent="0.25">
      <c r="B2577" s="85" t="s">
        <v>79</v>
      </c>
      <c r="C2577" s="85"/>
      <c r="D2577" s="107" t="e">
        <f>+'RES CUENTA'!#REF!</f>
        <v>#REF!</v>
      </c>
      <c r="E2577" s="108">
        <v>0</v>
      </c>
      <c r="F2577" s="103" t="e">
        <f>+D2577</f>
        <v>#REF!</v>
      </c>
      <c r="G2577" s="341"/>
      <c r="H2577" s="341"/>
    </row>
    <row r="2578" spans="2:8" ht="18" x14ac:dyDescent="0.25">
      <c r="B2578" s="85" t="s">
        <v>80</v>
      </c>
      <c r="C2578" s="85"/>
      <c r="D2578" s="107" t="e">
        <f>+'RES CUENTA'!#REF!</f>
        <v>#REF!</v>
      </c>
      <c r="E2578" s="108">
        <v>0</v>
      </c>
      <c r="F2578" s="103" t="e">
        <f>+D2578</f>
        <v>#REF!</v>
      </c>
      <c r="G2578" s="341"/>
      <c r="H2578" s="341"/>
    </row>
    <row r="2579" spans="2:8" ht="18" x14ac:dyDescent="0.25">
      <c r="B2579" s="86"/>
      <c r="C2579" s="85"/>
      <c r="D2579" s="85"/>
      <c r="E2579" s="92"/>
      <c r="F2579" s="104" t="e">
        <f>SUM(F2575:F2578)</f>
        <v>#REF!</v>
      </c>
      <c r="G2579" s="341"/>
      <c r="H2579" s="341"/>
    </row>
    <row r="2580" spans="2:8" ht="18" x14ac:dyDescent="0.25">
      <c r="B2580" s="86"/>
      <c r="C2580" s="85"/>
      <c r="D2580" s="85"/>
      <c r="E2580" s="92"/>
      <c r="F2580" s="104"/>
      <c r="G2580" s="89"/>
      <c r="H2580" s="89"/>
    </row>
    <row r="2581" spans="2:8" ht="18" x14ac:dyDescent="0.25">
      <c r="B2581" s="86"/>
      <c r="C2581" s="85"/>
      <c r="D2581" s="85"/>
      <c r="E2581" s="85"/>
      <c r="G2581" s="338"/>
      <c r="H2581" s="338"/>
    </row>
    <row r="2582" spans="2:8" ht="18" x14ac:dyDescent="0.25">
      <c r="B2582" s="85"/>
      <c r="C2582" s="85"/>
      <c r="D2582" s="85"/>
      <c r="E2582" s="85"/>
      <c r="F2582" s="91"/>
      <c r="G2582" s="90"/>
      <c r="H2582" s="90"/>
    </row>
    <row r="2583" spans="2:8" ht="18" x14ac:dyDescent="0.25">
      <c r="B2583" s="85"/>
      <c r="C2583" s="85"/>
      <c r="D2583" s="85"/>
      <c r="E2583" s="85"/>
      <c r="F2583" s="92"/>
      <c r="G2583" s="85"/>
      <c r="H2583" s="90"/>
    </row>
    <row r="2584" spans="2:8" ht="18" x14ac:dyDescent="0.25">
      <c r="B2584" s="85"/>
      <c r="C2584" s="85"/>
      <c r="D2584" s="85"/>
      <c r="E2584" s="85"/>
      <c r="F2584" s="92"/>
      <c r="G2584" s="85"/>
      <c r="H2584" s="90"/>
    </row>
    <row r="2585" spans="2:8" ht="18" x14ac:dyDescent="0.25">
      <c r="B2585" s="85" t="e">
        <f>+B2570</f>
        <v>#REF!</v>
      </c>
      <c r="C2585" s="344"/>
      <c r="D2585" s="344"/>
      <c r="E2585" s="85" t="e">
        <f>+B2585</f>
        <v>#REF!</v>
      </c>
      <c r="F2585" s="92"/>
      <c r="G2585" s="85"/>
      <c r="H2585" s="90"/>
    </row>
    <row r="2586" spans="2:8" ht="18" x14ac:dyDescent="0.25">
      <c r="C2586" s="85"/>
      <c r="D2586" s="85"/>
      <c r="F2586" s="344"/>
      <c r="G2586" s="344"/>
      <c r="H2586" s="344"/>
    </row>
    <row r="2587" spans="2:8" ht="18" x14ac:dyDescent="0.25">
      <c r="B2587" s="85" t="str">
        <f>+$E$1</f>
        <v>Lima 461 C:A:B:A:</v>
      </c>
      <c r="C2587" s="85"/>
      <c r="D2587" s="93" t="str">
        <f>+H2571</f>
        <v>Unid. 69</v>
      </c>
      <c r="E2587" s="85" t="str">
        <f>+$E$1</f>
        <v>Lima 461 C:A:B:A:</v>
      </c>
      <c r="F2587" s="85"/>
      <c r="G2587" s="85"/>
      <c r="H2587" s="90" t="str">
        <f>+D2587</f>
        <v>Unid. 69</v>
      </c>
    </row>
    <row r="2588" spans="2:8" ht="18" x14ac:dyDescent="0.25">
      <c r="H2588" s="94"/>
    </row>
    <row r="2589" spans="2:8" ht="18" x14ac:dyDescent="0.25">
      <c r="B2589" s="86"/>
      <c r="C2589" s="86"/>
      <c r="D2589" s="86"/>
      <c r="E2589" s="86"/>
      <c r="F2589" s="85"/>
      <c r="G2589" s="85"/>
    </row>
    <row r="2590" spans="2:8" ht="18" x14ac:dyDescent="0.25">
      <c r="B2590" s="85">
        <f>+$E$2</f>
        <v>0</v>
      </c>
      <c r="C2590" s="85"/>
      <c r="D2590" s="85"/>
      <c r="E2590" s="85"/>
      <c r="F2590" s="85"/>
      <c r="G2590" s="86"/>
      <c r="H2590" s="94"/>
    </row>
    <row r="2591" spans="2:8" ht="18" x14ac:dyDescent="0.25">
      <c r="B2591" s="85">
        <f>+$E$3</f>
        <v>0</v>
      </c>
      <c r="C2591" s="85"/>
      <c r="D2591" s="85"/>
      <c r="E2591" s="96"/>
      <c r="F2591" s="85"/>
      <c r="G2591" s="94"/>
      <c r="H2591" s="90"/>
    </row>
    <row r="2592" spans="2:8" ht="18" x14ac:dyDescent="0.25">
      <c r="C2592" s="85"/>
      <c r="D2592" s="85"/>
      <c r="E2592" s="85" t="s">
        <v>200</v>
      </c>
      <c r="F2592" s="106" t="e">
        <f>+F2575</f>
        <v>#REF!</v>
      </c>
      <c r="H2592" s="99">
        <f>+B2597</f>
        <v>46188</v>
      </c>
    </row>
    <row r="2593" spans="2:8" ht="18" x14ac:dyDescent="0.25">
      <c r="B2593" s="86"/>
      <c r="C2593" s="85"/>
      <c r="D2593" s="85"/>
      <c r="E2593" s="85" t="s">
        <v>201</v>
      </c>
      <c r="F2593" s="106" t="e">
        <f>+F2576</f>
        <v>#REF!</v>
      </c>
    </row>
    <row r="2594" spans="2:8" ht="18" x14ac:dyDescent="0.25">
      <c r="B2594" s="86"/>
      <c r="C2594" s="85"/>
      <c r="D2594" s="85"/>
      <c r="E2594" s="85" t="s">
        <v>81</v>
      </c>
      <c r="F2594" s="106" t="e">
        <f>+F2577</f>
        <v>#REF!</v>
      </c>
      <c r="G2594" s="85"/>
      <c r="H2594" s="90"/>
    </row>
    <row r="2595" spans="2:8" ht="18" x14ac:dyDescent="0.25">
      <c r="B2595" s="85"/>
      <c r="C2595" s="85"/>
      <c r="D2595" s="85"/>
      <c r="E2595" s="85" t="s">
        <v>82</v>
      </c>
      <c r="F2595" s="106" t="e">
        <f>+F2578</f>
        <v>#REF!</v>
      </c>
      <c r="G2595" s="85"/>
      <c r="H2595" s="90"/>
    </row>
    <row r="2596" spans="2:8" ht="18" x14ac:dyDescent="0.25">
      <c r="B2596" s="96"/>
      <c r="C2596" s="96"/>
      <c r="D2596" s="96"/>
      <c r="E2596" s="85" t="s">
        <v>188</v>
      </c>
      <c r="F2596" s="106">
        <v>0</v>
      </c>
      <c r="G2596" s="85"/>
      <c r="H2596" s="90"/>
    </row>
    <row r="2597" spans="2:8" ht="18" x14ac:dyDescent="0.25">
      <c r="B2597" s="99">
        <f>+$G$30</f>
        <v>46188</v>
      </c>
      <c r="C2597" s="105" t="e">
        <f>+F2579</f>
        <v>#REF!</v>
      </c>
      <c r="D2597" s="85"/>
      <c r="E2597" s="85" t="s">
        <v>83</v>
      </c>
      <c r="F2597" s="106" t="e">
        <f>+F2579</f>
        <v>#REF!</v>
      </c>
      <c r="G2597" s="85"/>
      <c r="H2597" s="90"/>
    </row>
    <row r="2598" spans="2:8" ht="18" x14ac:dyDescent="0.25">
      <c r="B2598" s="85"/>
      <c r="C2598" s="85"/>
      <c r="D2598" s="85"/>
      <c r="E2598" s="85"/>
      <c r="F2598" s="85"/>
      <c r="G2598" s="85"/>
      <c r="H2598" s="90"/>
    </row>
    <row r="2599" spans="2:8" ht="18" x14ac:dyDescent="0.25">
      <c r="B2599" s="85"/>
      <c r="C2599" s="85"/>
      <c r="D2599" s="85"/>
      <c r="E2599" s="85"/>
      <c r="F2599" s="85"/>
      <c r="G2599" s="345"/>
      <c r="H2599" s="345"/>
    </row>
    <row r="2600" spans="2:8" ht="18" x14ac:dyDescent="0.25">
      <c r="B2600" s="85"/>
      <c r="C2600" s="85"/>
      <c r="D2600" s="85"/>
      <c r="E2600" s="85"/>
      <c r="F2600" s="85"/>
      <c r="G2600" s="85"/>
      <c r="H2600" s="90"/>
    </row>
    <row r="2601" spans="2:8" ht="18" x14ac:dyDescent="0.25">
      <c r="B2601" s="85"/>
      <c r="C2601" s="85"/>
      <c r="D2601" s="85"/>
      <c r="E2601" s="85"/>
      <c r="F2601" s="85"/>
      <c r="G2601" s="85"/>
      <c r="H2601" s="90"/>
    </row>
    <row r="2602" spans="2:8" ht="18" x14ac:dyDescent="0.25">
      <c r="B2602" s="85"/>
      <c r="C2602" s="85"/>
      <c r="D2602" s="85"/>
      <c r="E2602" s="85"/>
      <c r="F2602" s="85"/>
      <c r="G2602" s="85"/>
      <c r="H2602" s="90"/>
    </row>
    <row r="2603" spans="2:8" ht="18" x14ac:dyDescent="0.25">
      <c r="B2603" s="85"/>
      <c r="C2603" s="85"/>
      <c r="D2603" s="85"/>
      <c r="E2603" s="85"/>
      <c r="F2603" s="85"/>
      <c r="G2603" s="85"/>
      <c r="H2603" s="90"/>
    </row>
    <row r="2604" spans="2:8" ht="18" x14ac:dyDescent="0.25">
      <c r="B2604" s="85"/>
      <c r="C2604" s="85"/>
      <c r="D2604" s="85"/>
      <c r="E2604" s="85"/>
      <c r="F2604" s="85"/>
      <c r="H2604" s="90"/>
    </row>
    <row r="2605" spans="2:8" ht="18" x14ac:dyDescent="0.25">
      <c r="B2605" s="343"/>
      <c r="C2605" s="343"/>
      <c r="D2605" s="343"/>
      <c r="E2605" s="85"/>
      <c r="F2605" s="85"/>
      <c r="H2605" s="90"/>
    </row>
    <row r="2606" spans="2:8" ht="18" x14ac:dyDescent="0.25">
      <c r="B2606" s="343"/>
      <c r="C2606" s="343"/>
      <c r="D2606" s="343"/>
      <c r="E2606" s="98">
        <f>+$B$1</f>
        <v>46143</v>
      </c>
      <c r="F2606" s="85"/>
      <c r="G2606" s="99">
        <f>+$D$1</f>
        <v>46188</v>
      </c>
      <c r="H2606" s="160"/>
    </row>
    <row r="2607" spans="2:8" ht="18" x14ac:dyDescent="0.25">
      <c r="B2607" s="84"/>
      <c r="C2607" s="84"/>
      <c r="D2607" s="100"/>
      <c r="E2607" s="98"/>
      <c r="F2607" s="85"/>
    </row>
    <row r="2608" spans="2:8" ht="18" x14ac:dyDescent="0.25">
      <c r="B2608" s="85" t="e">
        <f>+#REF!</f>
        <v>#REF!</v>
      </c>
      <c r="C2608" s="85"/>
      <c r="D2608" s="85"/>
      <c r="F2608" s="85"/>
    </row>
    <row r="2609" spans="2:8" ht="18" x14ac:dyDescent="0.25">
      <c r="C2609" s="85"/>
      <c r="D2609" s="85"/>
      <c r="E2609" s="85" t="str">
        <f>+$E$1</f>
        <v>Lima 461 C:A:B:A:</v>
      </c>
      <c r="F2609" s="85"/>
      <c r="H2609" s="90" t="s">
        <v>153</v>
      </c>
    </row>
    <row r="2610" spans="2:8" ht="18" x14ac:dyDescent="0.25">
      <c r="B2610" s="85"/>
      <c r="C2610" s="85"/>
      <c r="D2610" s="85"/>
      <c r="E2610" s="86"/>
      <c r="F2610" s="86"/>
      <c r="G2610" s="85"/>
      <c r="H2610" s="94"/>
    </row>
    <row r="2611" spans="2:8" ht="18" x14ac:dyDescent="0.25">
      <c r="B2611" s="85"/>
      <c r="C2611" s="85"/>
      <c r="D2611" s="85"/>
      <c r="E2611" s="86"/>
      <c r="F2611" s="86"/>
      <c r="G2611" s="85"/>
      <c r="H2611" s="94"/>
    </row>
    <row r="2612" spans="2:8" ht="18" x14ac:dyDescent="0.25">
      <c r="B2612" s="94"/>
      <c r="C2612" s="85"/>
      <c r="D2612" s="94"/>
      <c r="E2612" s="85"/>
      <c r="F2612" s="85"/>
      <c r="G2612" s="85"/>
      <c r="H2612" s="90"/>
    </row>
    <row r="2613" spans="2:8" ht="18" x14ac:dyDescent="0.25">
      <c r="B2613" s="85" t="s">
        <v>198</v>
      </c>
      <c r="C2613" s="85"/>
      <c r="D2613" s="107">
        <f>+'RES CUENTA'!$L$25</f>
        <v>10859801.41</v>
      </c>
      <c r="E2613" s="108" t="e">
        <f>+'RES CUENTA'!#REF!</f>
        <v>#REF!</v>
      </c>
      <c r="F2613" s="103" t="e">
        <f>+D2613*E2613/100</f>
        <v>#REF!</v>
      </c>
      <c r="G2613" s="85"/>
      <c r="H2613" s="94"/>
    </row>
    <row r="2614" spans="2:8" ht="18" x14ac:dyDescent="0.25">
      <c r="B2614" s="85" t="s">
        <v>199</v>
      </c>
      <c r="C2614" s="85"/>
      <c r="D2614" s="107" t="e">
        <f>+'RES CUENTA'!#REF!</f>
        <v>#REF!</v>
      </c>
      <c r="E2614" s="108" t="e">
        <f>+'RES CUENTA'!#REF!</f>
        <v>#REF!</v>
      </c>
      <c r="F2614" s="103" t="e">
        <f>+D2614*E2614/100</f>
        <v>#REF!</v>
      </c>
      <c r="G2614" s="94"/>
      <c r="H2614" s="89"/>
    </row>
    <row r="2615" spans="2:8" ht="18" x14ac:dyDescent="0.25">
      <c r="B2615" s="85" t="s">
        <v>79</v>
      </c>
      <c r="C2615" s="85"/>
      <c r="D2615" s="107" t="e">
        <f>+'RES CUENTA'!#REF!</f>
        <v>#REF!</v>
      </c>
      <c r="E2615" s="108">
        <f>+'RES CUENTA'!P1740</f>
        <v>0</v>
      </c>
      <c r="F2615" s="103" t="e">
        <f>+D2615</f>
        <v>#REF!</v>
      </c>
      <c r="G2615" s="89"/>
      <c r="H2615" s="89"/>
    </row>
    <row r="2616" spans="2:8" ht="18" x14ac:dyDescent="0.25">
      <c r="B2616" s="85" t="s">
        <v>80</v>
      </c>
      <c r="C2616" s="85"/>
      <c r="D2616" s="107" t="e">
        <f>+'RES CUENTA'!#REF!</f>
        <v>#REF!</v>
      </c>
      <c r="E2616" s="108">
        <f>+'RES CUENTA'!R1735</f>
        <v>0</v>
      </c>
      <c r="F2616" s="103" t="e">
        <f>+D2616</f>
        <v>#REF!</v>
      </c>
      <c r="G2616" s="89"/>
      <c r="H2616" s="89"/>
    </row>
    <row r="2617" spans="2:8" ht="18" x14ac:dyDescent="0.25">
      <c r="B2617" s="86"/>
      <c r="C2617" s="85"/>
      <c r="D2617" s="85"/>
      <c r="F2617" s="104" t="e">
        <f>SUM(F2613:F2616)</f>
        <v>#REF!</v>
      </c>
      <c r="G2617" s="89"/>
      <c r="H2617" s="89"/>
    </row>
    <row r="2618" spans="2:8" ht="18" x14ac:dyDescent="0.25">
      <c r="B2618" s="86"/>
      <c r="C2618" s="85"/>
      <c r="D2618" s="85"/>
      <c r="F2618" s="104"/>
      <c r="G2618" s="89"/>
      <c r="H2618" s="89"/>
    </row>
    <row r="2619" spans="2:8" ht="18" x14ac:dyDescent="0.25">
      <c r="B2619" s="85"/>
      <c r="C2619" s="85"/>
      <c r="D2619" s="85"/>
      <c r="E2619" s="85"/>
      <c r="F2619" s="92"/>
      <c r="G2619" s="90"/>
      <c r="H2619" s="90"/>
    </row>
    <row r="2620" spans="2:8" ht="18" x14ac:dyDescent="0.25">
      <c r="B2620" s="85"/>
      <c r="C2620" s="85"/>
      <c r="D2620" s="85"/>
      <c r="E2620" s="85"/>
      <c r="F2620" s="92"/>
      <c r="G2620" s="90"/>
      <c r="H2620" s="90"/>
    </row>
    <row r="2621" spans="2:8" ht="18" x14ac:dyDescent="0.25">
      <c r="B2621" s="85"/>
      <c r="C2621" s="85"/>
      <c r="D2621" s="85"/>
      <c r="E2621" s="85"/>
      <c r="F2621" s="92"/>
      <c r="G2621" s="90"/>
      <c r="H2621" s="90"/>
    </row>
    <row r="2622" spans="2:8" ht="18" x14ac:dyDescent="0.25">
      <c r="B2622" s="85"/>
      <c r="C2622" s="85"/>
      <c r="D2622" s="85"/>
      <c r="E2622" s="85"/>
      <c r="F2622" s="92"/>
      <c r="G2622" s="90"/>
      <c r="H2622" s="90"/>
    </row>
    <row r="2623" spans="2:8" ht="18" x14ac:dyDescent="0.25">
      <c r="B2623" s="85" t="e">
        <f>+B2608</f>
        <v>#REF!</v>
      </c>
      <c r="C2623" s="85"/>
      <c r="D2623" s="85"/>
      <c r="E2623" s="85" t="e">
        <f>+B2608</f>
        <v>#REF!</v>
      </c>
      <c r="F2623" s="85"/>
      <c r="G2623" s="85"/>
      <c r="H2623" s="94"/>
    </row>
    <row r="2624" spans="2:8" ht="18" x14ac:dyDescent="0.25">
      <c r="B2624" s="86"/>
      <c r="C2624" s="85"/>
      <c r="D2624" s="85"/>
      <c r="F2624" s="85"/>
      <c r="G2624" s="101"/>
      <c r="H2624" s="90" t="str">
        <f>+H2609</f>
        <v>Unid. 70</v>
      </c>
    </row>
    <row r="2625" spans="2:8" ht="18" x14ac:dyDescent="0.25">
      <c r="B2625" s="85" t="str">
        <f>+$E$1</f>
        <v>Lima 461 C:A:B:A:</v>
      </c>
      <c r="C2625" s="85"/>
      <c r="D2625" s="93" t="str">
        <f>+H2624</f>
        <v>Unid. 70</v>
      </c>
      <c r="E2625" s="85" t="str">
        <f>+$E$1</f>
        <v>Lima 461 C:A:B:A:</v>
      </c>
      <c r="F2625" s="85"/>
      <c r="G2625" s="85"/>
      <c r="H2625" s="94"/>
    </row>
    <row r="2626" spans="2:8" ht="18" x14ac:dyDescent="0.25">
      <c r="B2626" s="86"/>
      <c r="C2626" s="86"/>
      <c r="D2626" s="86"/>
      <c r="F2626" s="85"/>
      <c r="G2626" s="85"/>
    </row>
    <row r="2627" spans="2:8" ht="18" x14ac:dyDescent="0.25">
      <c r="B2627" s="85"/>
      <c r="C2627" s="85"/>
      <c r="D2627" s="85"/>
      <c r="E2627" s="86"/>
      <c r="F2627" s="85"/>
      <c r="G2627" s="85"/>
      <c r="H2627" s="94"/>
    </row>
    <row r="2628" spans="2:8" ht="18" x14ac:dyDescent="0.25">
      <c r="B2628" s="85">
        <f>+$E$2</f>
        <v>0</v>
      </c>
      <c r="C2628" s="85"/>
      <c r="D2628" s="85"/>
      <c r="E2628" s="85"/>
      <c r="F2628" s="96"/>
      <c r="G2628" s="86"/>
      <c r="H2628" s="90"/>
    </row>
    <row r="2629" spans="2:8" ht="18" x14ac:dyDescent="0.25">
      <c r="B2629" s="85">
        <f>+$E$3</f>
        <v>0</v>
      </c>
      <c r="C2629" s="85"/>
      <c r="D2629" s="85"/>
      <c r="E2629" s="96"/>
      <c r="G2629" s="94"/>
      <c r="H2629" s="96"/>
    </row>
    <row r="2630" spans="2:8" ht="18" x14ac:dyDescent="0.25">
      <c r="B2630" s="86"/>
      <c r="C2630" s="85"/>
      <c r="D2630" s="85"/>
      <c r="E2630" s="85" t="s">
        <v>200</v>
      </c>
      <c r="F2630" s="106" t="e">
        <f>+F2613</f>
        <v>#REF!</v>
      </c>
      <c r="G2630" s="95"/>
      <c r="H2630" s="99">
        <f>+B2634</f>
        <v>46188</v>
      </c>
    </row>
    <row r="2631" spans="2:8" ht="18" x14ac:dyDescent="0.25">
      <c r="B2631" s="86"/>
      <c r="C2631" s="85"/>
      <c r="D2631" s="85"/>
      <c r="E2631" s="85" t="s">
        <v>201</v>
      </c>
      <c r="F2631" s="106" t="e">
        <f>+F2614</f>
        <v>#REF!</v>
      </c>
      <c r="H2631" s="90"/>
    </row>
    <row r="2632" spans="2:8" ht="18" x14ac:dyDescent="0.25">
      <c r="B2632" s="85"/>
      <c r="C2632" s="85"/>
      <c r="D2632" s="85"/>
      <c r="E2632" s="85" t="s">
        <v>81</v>
      </c>
      <c r="F2632" s="106" t="e">
        <f>+F2615</f>
        <v>#REF!</v>
      </c>
      <c r="G2632" s="85"/>
      <c r="H2632" s="90"/>
    </row>
    <row r="2633" spans="2:8" ht="18" x14ac:dyDescent="0.25">
      <c r="B2633" s="96"/>
      <c r="C2633" s="96"/>
      <c r="D2633" s="96"/>
      <c r="E2633" s="85" t="s">
        <v>82</v>
      </c>
      <c r="F2633" s="106" t="e">
        <f>+F2616</f>
        <v>#REF!</v>
      </c>
      <c r="G2633" s="85"/>
      <c r="H2633" s="90"/>
    </row>
    <row r="2634" spans="2:8" ht="18" x14ac:dyDescent="0.25">
      <c r="B2634" s="99">
        <f>+$G$30</f>
        <v>46188</v>
      </c>
      <c r="C2634" s="105" t="e">
        <f>+F2617</f>
        <v>#REF!</v>
      </c>
      <c r="D2634" s="85"/>
      <c r="E2634" s="85" t="s">
        <v>188</v>
      </c>
      <c r="F2634" s="106">
        <v>0</v>
      </c>
      <c r="G2634" s="85"/>
      <c r="H2634" s="90"/>
    </row>
    <row r="2635" spans="2:8" ht="18" x14ac:dyDescent="0.25">
      <c r="B2635" s="85"/>
      <c r="C2635" s="85"/>
      <c r="D2635" s="85"/>
      <c r="E2635" s="85" t="s">
        <v>83</v>
      </c>
      <c r="F2635" s="106" t="e">
        <f>+F2617</f>
        <v>#REF!</v>
      </c>
      <c r="G2635" s="85"/>
      <c r="H2635" s="90"/>
    </row>
    <row r="2636" spans="2:8" ht="18" x14ac:dyDescent="0.25">
      <c r="B2636" s="85"/>
      <c r="C2636" s="85"/>
      <c r="D2636" s="85"/>
      <c r="E2636" s="85"/>
      <c r="F2636" s="85"/>
      <c r="G2636" s="85"/>
      <c r="H2636" s="90"/>
    </row>
    <row r="2637" spans="2:8" ht="18" x14ac:dyDescent="0.25">
      <c r="B2637" s="85"/>
      <c r="C2637" s="85"/>
      <c r="D2637" s="85"/>
      <c r="E2637" s="102"/>
      <c r="F2637" s="85"/>
      <c r="G2637" s="85"/>
      <c r="H2637" s="90"/>
    </row>
    <row r="2638" spans="2:8" ht="18" x14ac:dyDescent="0.25">
      <c r="B2638" s="85"/>
      <c r="C2638" s="85"/>
      <c r="D2638" s="85"/>
      <c r="E2638" s="85"/>
      <c r="F2638" s="85"/>
      <c r="G2638" s="85"/>
      <c r="H2638" s="94"/>
    </row>
    <row r="2639" spans="2:8" ht="18" x14ac:dyDescent="0.25">
      <c r="E2639" s="85"/>
      <c r="G2639" s="94"/>
      <c r="H2639" s="90"/>
    </row>
    <row r="2641" spans="2:8" ht="18" x14ac:dyDescent="0.25">
      <c r="B2641" s="343"/>
      <c r="C2641" s="343"/>
      <c r="D2641" s="343"/>
      <c r="E2641" s="342">
        <f>+$B$1</f>
        <v>46143</v>
      </c>
      <c r="F2641" s="85"/>
      <c r="G2641" s="337">
        <f>+$D$1</f>
        <v>46188</v>
      </c>
      <c r="H2641" s="90"/>
    </row>
    <row r="2642" spans="2:8" ht="18" x14ac:dyDescent="0.25">
      <c r="B2642" s="84"/>
      <c r="C2642" s="84"/>
      <c r="D2642" s="100"/>
      <c r="E2642" s="342"/>
      <c r="F2642" s="85"/>
      <c r="G2642" s="337"/>
      <c r="H2642" s="90"/>
    </row>
    <row r="2643" spans="2:8" ht="18" x14ac:dyDescent="0.25">
      <c r="B2643" s="85"/>
      <c r="C2643" s="85"/>
      <c r="D2643" s="85"/>
      <c r="E2643" s="86"/>
      <c r="F2643" s="85"/>
      <c r="G2643" s="86"/>
      <c r="H2643" s="90"/>
    </row>
    <row r="2644" spans="2:8" ht="18" x14ac:dyDescent="0.25">
      <c r="B2644" s="85" t="e">
        <f>+#REF!</f>
        <v>#REF!</v>
      </c>
      <c r="C2644" s="85"/>
      <c r="D2644" s="85"/>
      <c r="E2644" s="86"/>
      <c r="F2644" s="85"/>
      <c r="G2644" s="86"/>
      <c r="H2644" s="90"/>
    </row>
    <row r="2645" spans="2:8" ht="18" x14ac:dyDescent="0.25">
      <c r="B2645" s="86"/>
      <c r="C2645" s="85"/>
      <c r="D2645" s="85"/>
      <c r="E2645" s="85" t="s">
        <v>78</v>
      </c>
      <c r="F2645" s="85"/>
      <c r="G2645" s="85"/>
      <c r="H2645" s="90" t="s">
        <v>154</v>
      </c>
    </row>
    <row r="2646" spans="2:8" ht="18" x14ac:dyDescent="0.25">
      <c r="B2646" s="85"/>
      <c r="C2646" s="85"/>
      <c r="D2646" s="85"/>
      <c r="E2646" s="86"/>
      <c r="F2646" s="86"/>
      <c r="G2646" s="85"/>
      <c r="H2646" s="94"/>
    </row>
    <row r="2647" spans="2:8" ht="18" x14ac:dyDescent="0.25">
      <c r="B2647" s="94"/>
      <c r="C2647" s="85"/>
      <c r="D2647" s="94"/>
      <c r="E2647" s="85"/>
      <c r="F2647" s="85"/>
      <c r="G2647" s="85"/>
      <c r="H2647" s="90"/>
    </row>
    <row r="2648" spans="2:8" ht="18" x14ac:dyDescent="0.25">
      <c r="B2648" s="94"/>
      <c r="C2648" s="85"/>
      <c r="D2648" s="94"/>
      <c r="E2648" s="85"/>
      <c r="F2648" s="85"/>
      <c r="G2648" s="85"/>
      <c r="H2648" s="90"/>
    </row>
    <row r="2649" spans="2:8" ht="18" x14ac:dyDescent="0.25">
      <c r="B2649" s="85" t="s">
        <v>198</v>
      </c>
      <c r="C2649" s="85"/>
      <c r="D2649" s="107">
        <f>+'RES CUENTA'!$L$25</f>
        <v>10859801.41</v>
      </c>
      <c r="E2649" s="108" t="e">
        <f>+'RES CUENTA'!#REF!</f>
        <v>#REF!</v>
      </c>
      <c r="F2649" s="103" t="e">
        <f>+D2649*E2649/100</f>
        <v>#REF!</v>
      </c>
      <c r="G2649" s="345"/>
      <c r="H2649" s="345"/>
    </row>
    <row r="2650" spans="2:8" ht="18" x14ac:dyDescent="0.25">
      <c r="B2650" s="85" t="s">
        <v>199</v>
      </c>
      <c r="C2650" s="85"/>
      <c r="D2650" s="107" t="e">
        <f>+'RES CUENTA'!#REF!</f>
        <v>#REF!</v>
      </c>
      <c r="E2650" s="108" t="e">
        <f>+'RES CUENTA'!#REF!</f>
        <v>#REF!</v>
      </c>
      <c r="F2650" s="103" t="e">
        <f>+D2650*E2650/100</f>
        <v>#REF!</v>
      </c>
      <c r="G2650" s="341"/>
      <c r="H2650" s="341"/>
    </row>
    <row r="2651" spans="2:8" ht="18" x14ac:dyDescent="0.25">
      <c r="B2651" s="85" t="s">
        <v>79</v>
      </c>
      <c r="C2651" s="85"/>
      <c r="D2651" s="107" t="e">
        <f>+'RES CUENTA'!#REF!</f>
        <v>#REF!</v>
      </c>
      <c r="E2651" s="108">
        <v>0</v>
      </c>
      <c r="F2651" s="103" t="e">
        <f>+D2651</f>
        <v>#REF!</v>
      </c>
      <c r="G2651" s="341"/>
      <c r="H2651" s="341"/>
    </row>
    <row r="2652" spans="2:8" ht="18" x14ac:dyDescent="0.25">
      <c r="B2652" s="85" t="s">
        <v>80</v>
      </c>
      <c r="C2652" s="85"/>
      <c r="D2652" s="107" t="e">
        <f>+'RES CUENTA'!#REF!</f>
        <v>#REF!</v>
      </c>
      <c r="E2652" s="108">
        <v>0</v>
      </c>
      <c r="F2652" s="103" t="e">
        <f>+D2652</f>
        <v>#REF!</v>
      </c>
      <c r="G2652" s="341"/>
      <c r="H2652" s="341"/>
    </row>
    <row r="2653" spans="2:8" ht="18" x14ac:dyDescent="0.25">
      <c r="B2653" s="86"/>
      <c r="C2653" s="85"/>
      <c r="D2653" s="85"/>
      <c r="E2653" s="92"/>
      <c r="F2653" s="104" t="e">
        <f>SUM(F2649:F2652)</f>
        <v>#REF!</v>
      </c>
      <c r="G2653" s="341"/>
      <c r="H2653" s="341"/>
    </row>
    <row r="2654" spans="2:8" ht="18" x14ac:dyDescent="0.25">
      <c r="B2654" s="86"/>
      <c r="C2654" s="85"/>
      <c r="D2654" s="85"/>
      <c r="E2654" s="92"/>
      <c r="F2654" s="104"/>
      <c r="G2654" s="89"/>
      <c r="H2654" s="89"/>
    </row>
    <row r="2655" spans="2:8" ht="18" x14ac:dyDescent="0.25">
      <c r="B2655" s="86"/>
      <c r="C2655" s="85"/>
      <c r="D2655" s="85"/>
      <c r="E2655" s="85"/>
      <c r="G2655" s="338"/>
      <c r="H2655" s="338"/>
    </row>
    <row r="2656" spans="2:8" ht="18" x14ac:dyDescent="0.25">
      <c r="B2656" s="85"/>
      <c r="C2656" s="85"/>
      <c r="D2656" s="85"/>
      <c r="E2656" s="85"/>
      <c r="F2656" s="91"/>
      <c r="G2656" s="90"/>
      <c r="H2656" s="90"/>
    </row>
    <row r="2657" spans="2:8" ht="18" x14ac:dyDescent="0.25">
      <c r="B2657" s="85"/>
      <c r="C2657" s="85"/>
      <c r="D2657" s="85"/>
      <c r="E2657" s="85"/>
      <c r="F2657" s="92"/>
      <c r="G2657" s="85"/>
      <c r="H2657" s="90"/>
    </row>
    <row r="2658" spans="2:8" ht="18" x14ac:dyDescent="0.25">
      <c r="B2658" s="85"/>
      <c r="C2658" s="85"/>
      <c r="D2658" s="85"/>
      <c r="E2658" s="85"/>
      <c r="F2658" s="92"/>
      <c r="G2658" s="85"/>
      <c r="H2658" s="90"/>
    </row>
    <row r="2659" spans="2:8" ht="18" x14ac:dyDescent="0.25">
      <c r="B2659" s="85" t="e">
        <f>+B2644</f>
        <v>#REF!</v>
      </c>
      <c r="C2659" s="344"/>
      <c r="D2659" s="344"/>
      <c r="E2659" s="85" t="e">
        <f>+B2659</f>
        <v>#REF!</v>
      </c>
      <c r="F2659" s="92"/>
      <c r="G2659" s="85"/>
      <c r="H2659" s="90"/>
    </row>
    <row r="2660" spans="2:8" ht="18" x14ac:dyDescent="0.25">
      <c r="C2660" s="85"/>
      <c r="D2660" s="85"/>
      <c r="F2660" s="344"/>
      <c r="G2660" s="344"/>
      <c r="H2660" s="344"/>
    </row>
    <row r="2661" spans="2:8" ht="18" x14ac:dyDescent="0.25">
      <c r="B2661" s="85" t="str">
        <f>+$E$1</f>
        <v>Lima 461 C:A:B:A:</v>
      </c>
      <c r="C2661" s="85"/>
      <c r="D2661" s="93" t="str">
        <f>+H2645</f>
        <v>Unid. 71</v>
      </c>
      <c r="E2661" s="85" t="str">
        <f>+$E$1</f>
        <v>Lima 461 C:A:B:A:</v>
      </c>
      <c r="F2661" s="85"/>
      <c r="G2661" s="85"/>
      <c r="H2661" s="90" t="str">
        <f>+D2661</f>
        <v>Unid. 71</v>
      </c>
    </row>
    <row r="2662" spans="2:8" ht="18" x14ac:dyDescent="0.25">
      <c r="H2662" s="94"/>
    </row>
    <row r="2663" spans="2:8" ht="18" x14ac:dyDescent="0.25">
      <c r="B2663" s="86"/>
      <c r="C2663" s="86"/>
      <c r="D2663" s="86"/>
      <c r="E2663" s="86"/>
      <c r="F2663" s="85"/>
      <c r="G2663" s="85"/>
    </row>
    <row r="2664" spans="2:8" ht="18" x14ac:dyDescent="0.25">
      <c r="B2664" s="85">
        <f>+$E$2</f>
        <v>0</v>
      </c>
      <c r="C2664" s="85"/>
      <c r="D2664" s="85"/>
      <c r="E2664" s="85"/>
      <c r="F2664" s="85"/>
      <c r="G2664" s="86"/>
      <c r="H2664" s="94"/>
    </row>
    <row r="2665" spans="2:8" ht="18" x14ac:dyDescent="0.25">
      <c r="B2665" s="85">
        <f>+$E$3</f>
        <v>0</v>
      </c>
      <c r="C2665" s="85"/>
      <c r="D2665" s="85"/>
      <c r="E2665" s="96"/>
      <c r="F2665" s="85"/>
      <c r="G2665" s="94"/>
      <c r="H2665" s="90"/>
    </row>
    <row r="2666" spans="2:8" ht="18" x14ac:dyDescent="0.25">
      <c r="C2666" s="85"/>
      <c r="D2666" s="85"/>
      <c r="E2666" s="85" t="s">
        <v>200</v>
      </c>
      <c r="F2666" s="106" t="e">
        <f>+F2649</f>
        <v>#REF!</v>
      </c>
      <c r="H2666" s="99">
        <f>+B2671</f>
        <v>46188</v>
      </c>
    </row>
    <row r="2667" spans="2:8" ht="18" x14ac:dyDescent="0.25">
      <c r="B2667" s="86"/>
      <c r="C2667" s="85"/>
      <c r="D2667" s="85"/>
      <c r="E2667" s="85" t="s">
        <v>201</v>
      </c>
      <c r="F2667" s="106" t="e">
        <f>+F2650</f>
        <v>#REF!</v>
      </c>
    </row>
    <row r="2668" spans="2:8" ht="18" x14ac:dyDescent="0.25">
      <c r="B2668" s="86"/>
      <c r="C2668" s="85"/>
      <c r="D2668" s="85"/>
      <c r="E2668" s="85" t="s">
        <v>81</v>
      </c>
      <c r="F2668" s="106" t="e">
        <f>+F2651</f>
        <v>#REF!</v>
      </c>
      <c r="G2668" s="85"/>
      <c r="H2668" s="90"/>
    </row>
    <row r="2669" spans="2:8" ht="18" x14ac:dyDescent="0.25">
      <c r="B2669" s="85"/>
      <c r="C2669" s="85"/>
      <c r="D2669" s="85"/>
      <c r="E2669" s="85" t="s">
        <v>82</v>
      </c>
      <c r="F2669" s="106" t="e">
        <f>+F2652</f>
        <v>#REF!</v>
      </c>
      <c r="G2669" s="85"/>
      <c r="H2669" s="90"/>
    </row>
    <row r="2670" spans="2:8" ht="18" x14ac:dyDescent="0.25">
      <c r="B2670" s="96"/>
      <c r="C2670" s="96"/>
      <c r="D2670" s="96"/>
      <c r="E2670" s="85" t="s">
        <v>188</v>
      </c>
      <c r="F2670" s="106">
        <v>0</v>
      </c>
      <c r="G2670" s="85"/>
      <c r="H2670" s="90"/>
    </row>
    <row r="2671" spans="2:8" ht="18" x14ac:dyDescent="0.25">
      <c r="B2671" s="99">
        <f>+$G$30</f>
        <v>46188</v>
      </c>
      <c r="C2671" s="105" t="e">
        <f>+F2653</f>
        <v>#REF!</v>
      </c>
      <c r="D2671" s="85"/>
      <c r="E2671" s="85" t="s">
        <v>83</v>
      </c>
      <c r="F2671" s="106" t="e">
        <f>+F2653</f>
        <v>#REF!</v>
      </c>
      <c r="G2671" s="85"/>
      <c r="H2671" s="90"/>
    </row>
    <row r="2672" spans="2:8" ht="18" x14ac:dyDescent="0.25">
      <c r="B2672" s="85"/>
      <c r="C2672" s="85"/>
      <c r="D2672" s="85"/>
      <c r="E2672" s="85"/>
      <c r="F2672" s="85"/>
      <c r="G2672" s="85"/>
      <c r="H2672" s="90"/>
    </row>
    <row r="2673" spans="2:8" ht="18" x14ac:dyDescent="0.25">
      <c r="B2673" s="85"/>
      <c r="C2673" s="85"/>
      <c r="D2673" s="85"/>
      <c r="E2673" s="85"/>
      <c r="F2673" s="85"/>
      <c r="G2673" s="345"/>
      <c r="H2673" s="345"/>
    </row>
    <row r="2674" spans="2:8" ht="18" x14ac:dyDescent="0.25">
      <c r="B2674" s="85"/>
      <c r="C2674" s="85"/>
      <c r="D2674" s="85"/>
      <c r="E2674" s="85"/>
      <c r="F2674" s="85"/>
      <c r="G2674" s="85"/>
      <c r="H2674" s="90"/>
    </row>
    <row r="2675" spans="2:8" ht="18" x14ac:dyDescent="0.25">
      <c r="B2675" s="85"/>
      <c r="C2675" s="85"/>
      <c r="D2675" s="85"/>
      <c r="E2675" s="85"/>
      <c r="F2675" s="85"/>
      <c r="G2675" s="85"/>
      <c r="H2675" s="90"/>
    </row>
    <row r="2676" spans="2:8" ht="18" x14ac:dyDescent="0.25">
      <c r="B2676" s="85"/>
      <c r="C2676" s="85"/>
      <c r="D2676" s="85"/>
      <c r="E2676" s="85"/>
      <c r="F2676" s="85"/>
      <c r="G2676" s="85"/>
      <c r="H2676" s="90"/>
    </row>
    <row r="2677" spans="2:8" ht="18" x14ac:dyDescent="0.25">
      <c r="B2677" s="85"/>
      <c r="C2677" s="85"/>
      <c r="D2677" s="85"/>
      <c r="E2677" s="85"/>
      <c r="F2677" s="85"/>
      <c r="H2677" s="90"/>
    </row>
    <row r="2678" spans="2:8" ht="18" x14ac:dyDescent="0.25">
      <c r="B2678" s="85"/>
      <c r="C2678" s="85"/>
      <c r="D2678" s="85"/>
      <c r="E2678" s="85"/>
      <c r="F2678" s="85"/>
      <c r="H2678" s="90"/>
    </row>
    <row r="2679" spans="2:8" ht="18" x14ac:dyDescent="0.25">
      <c r="B2679" s="343"/>
      <c r="C2679" s="343"/>
      <c r="D2679" s="343"/>
      <c r="E2679" s="85"/>
      <c r="F2679" s="85"/>
      <c r="H2679" s="90"/>
    </row>
    <row r="2680" spans="2:8" ht="18" x14ac:dyDescent="0.25">
      <c r="B2680" s="343"/>
      <c r="C2680" s="343"/>
      <c r="D2680" s="343"/>
      <c r="E2680" s="98">
        <f>+$B$1</f>
        <v>46143</v>
      </c>
      <c r="F2680" s="85"/>
      <c r="G2680" s="99">
        <f>+$D$1</f>
        <v>46188</v>
      </c>
      <c r="H2680" s="160"/>
    </row>
    <row r="2681" spans="2:8" ht="18" x14ac:dyDescent="0.25">
      <c r="B2681" s="84"/>
      <c r="C2681" s="84"/>
      <c r="D2681" s="100"/>
      <c r="E2681" s="98"/>
      <c r="F2681" s="85"/>
    </row>
    <row r="2682" spans="2:8" ht="18" x14ac:dyDescent="0.25">
      <c r="B2682" s="85" t="e">
        <f>+#REF!</f>
        <v>#REF!</v>
      </c>
      <c r="C2682" s="85"/>
      <c r="D2682" s="85"/>
      <c r="F2682" s="85"/>
    </row>
    <row r="2683" spans="2:8" ht="18" x14ac:dyDescent="0.25">
      <c r="C2683" s="85"/>
      <c r="D2683" s="85"/>
      <c r="E2683" s="85" t="str">
        <f>+$E$1</f>
        <v>Lima 461 C:A:B:A:</v>
      </c>
      <c r="F2683" s="85"/>
      <c r="H2683" s="90" t="s">
        <v>155</v>
      </c>
    </row>
    <row r="2684" spans="2:8" ht="18" x14ac:dyDescent="0.25">
      <c r="B2684" s="86"/>
      <c r="C2684" s="85"/>
      <c r="D2684" s="85"/>
      <c r="F2684" s="85"/>
      <c r="G2684" s="86"/>
    </row>
    <row r="2685" spans="2:8" ht="18" x14ac:dyDescent="0.25">
      <c r="B2685" s="85"/>
      <c r="C2685" s="85"/>
      <c r="D2685" s="85"/>
      <c r="E2685" s="86"/>
      <c r="F2685" s="86"/>
      <c r="G2685" s="85"/>
      <c r="H2685" s="94"/>
    </row>
    <row r="2686" spans="2:8" ht="18" x14ac:dyDescent="0.25">
      <c r="B2686" s="94"/>
      <c r="C2686" s="85"/>
      <c r="D2686" s="94"/>
      <c r="E2686" s="85"/>
      <c r="F2686" s="85"/>
      <c r="G2686" s="85"/>
      <c r="H2686" s="90"/>
    </row>
    <row r="2687" spans="2:8" ht="18" x14ac:dyDescent="0.25">
      <c r="B2687" s="85" t="s">
        <v>198</v>
      </c>
      <c r="C2687" s="85"/>
      <c r="D2687" s="107">
        <f>+'RES CUENTA'!$L$25</f>
        <v>10859801.41</v>
      </c>
      <c r="E2687" s="108" t="e">
        <f>+'RES CUENTA'!#REF!</f>
        <v>#REF!</v>
      </c>
      <c r="F2687" s="103" t="e">
        <f>+D2687*E2687/100</f>
        <v>#REF!</v>
      </c>
      <c r="G2687" s="85"/>
      <c r="H2687" s="94"/>
    </row>
    <row r="2688" spans="2:8" ht="18" x14ac:dyDescent="0.25">
      <c r="B2688" s="85" t="s">
        <v>199</v>
      </c>
      <c r="C2688" s="85"/>
      <c r="D2688" s="107" t="e">
        <f>+'RES CUENTA'!#REF!</f>
        <v>#REF!</v>
      </c>
      <c r="E2688" s="108" t="e">
        <f>+'RES CUENTA'!#REF!</f>
        <v>#REF!</v>
      </c>
      <c r="F2688" s="103" t="e">
        <f>+D2688*E2688/100</f>
        <v>#REF!</v>
      </c>
      <c r="G2688" s="94"/>
      <c r="H2688" s="89"/>
    </row>
    <row r="2689" spans="2:8" ht="18" x14ac:dyDescent="0.25">
      <c r="B2689" s="85" t="s">
        <v>79</v>
      </c>
      <c r="C2689" s="85"/>
      <c r="D2689" s="107" t="e">
        <f>+'RES CUENTA'!#REF!</f>
        <v>#REF!</v>
      </c>
      <c r="E2689" s="108">
        <f>+'RES CUENTA'!P1816</f>
        <v>0</v>
      </c>
      <c r="F2689" s="103" t="e">
        <f>+D2689</f>
        <v>#REF!</v>
      </c>
      <c r="G2689" s="89"/>
      <c r="H2689" s="89"/>
    </row>
    <row r="2690" spans="2:8" ht="18" x14ac:dyDescent="0.25">
      <c r="B2690" s="85" t="s">
        <v>80</v>
      </c>
      <c r="C2690" s="85"/>
      <c r="D2690" s="107" t="e">
        <f>+'RES CUENTA'!#REF!</f>
        <v>#REF!</v>
      </c>
      <c r="E2690" s="108">
        <f>+'RES CUENTA'!R1811</f>
        <v>0</v>
      </c>
      <c r="F2690" s="103" t="e">
        <f>+D2690</f>
        <v>#REF!</v>
      </c>
      <c r="G2690" s="89"/>
      <c r="H2690" s="89"/>
    </row>
    <row r="2691" spans="2:8" ht="18" x14ac:dyDescent="0.25">
      <c r="B2691" s="86"/>
      <c r="C2691" s="85"/>
      <c r="D2691" s="85"/>
      <c r="F2691" s="104" t="e">
        <f>SUM(F2687:F2690)</f>
        <v>#REF!</v>
      </c>
      <c r="G2691" s="89"/>
      <c r="H2691" s="90"/>
    </row>
    <row r="2692" spans="2:8" ht="18" x14ac:dyDescent="0.25">
      <c r="B2692" s="85"/>
      <c r="C2692" s="85"/>
      <c r="D2692" s="85"/>
      <c r="E2692" s="85"/>
      <c r="F2692" s="92"/>
      <c r="G2692" s="90"/>
      <c r="H2692" s="90"/>
    </row>
    <row r="2693" spans="2:8" ht="18" x14ac:dyDescent="0.25">
      <c r="B2693" s="85"/>
      <c r="C2693" s="85"/>
      <c r="D2693" s="85"/>
      <c r="E2693" s="85"/>
      <c r="F2693" s="92"/>
      <c r="G2693" s="90"/>
      <c r="H2693" s="90"/>
    </row>
    <row r="2694" spans="2:8" ht="18" x14ac:dyDescent="0.25">
      <c r="B2694" s="85"/>
      <c r="C2694" s="85"/>
      <c r="D2694" s="85"/>
      <c r="E2694" s="85"/>
      <c r="F2694" s="92"/>
      <c r="G2694" s="90"/>
      <c r="H2694" s="90"/>
    </row>
    <row r="2695" spans="2:8" ht="18" x14ac:dyDescent="0.25">
      <c r="B2695" s="85"/>
      <c r="C2695" s="85"/>
      <c r="D2695" s="85"/>
      <c r="E2695" s="85"/>
      <c r="F2695" s="92"/>
      <c r="G2695" s="90"/>
      <c r="H2695" s="90"/>
    </row>
    <row r="2696" spans="2:8" ht="18" x14ac:dyDescent="0.25">
      <c r="B2696" s="85"/>
      <c r="C2696" s="85"/>
      <c r="D2696" s="85"/>
      <c r="E2696" s="85"/>
      <c r="F2696" s="92"/>
      <c r="G2696" s="90"/>
      <c r="H2696" s="90"/>
    </row>
    <row r="2697" spans="2:8" ht="18" x14ac:dyDescent="0.25">
      <c r="B2697" s="85" t="e">
        <f>+B2682</f>
        <v>#REF!</v>
      </c>
      <c r="C2697" s="85"/>
      <c r="D2697" s="85"/>
      <c r="E2697" s="85" t="e">
        <f>+B2682</f>
        <v>#REF!</v>
      </c>
      <c r="F2697" s="85"/>
      <c r="G2697" s="85"/>
      <c r="H2697" s="94"/>
    </row>
    <row r="2698" spans="2:8" ht="18" x14ac:dyDescent="0.25">
      <c r="B2698" s="86"/>
      <c r="C2698" s="85"/>
      <c r="D2698" s="85"/>
      <c r="F2698" s="85"/>
      <c r="G2698" s="101"/>
      <c r="H2698" s="90" t="str">
        <f>+H2683</f>
        <v>Unid. 72</v>
      </c>
    </row>
    <row r="2699" spans="2:8" ht="18" x14ac:dyDescent="0.25">
      <c r="B2699" s="85" t="str">
        <f>+$E$1</f>
        <v>Lima 461 C:A:B:A:</v>
      </c>
      <c r="C2699" s="85"/>
      <c r="D2699" s="93" t="str">
        <f>+H2698</f>
        <v>Unid. 72</v>
      </c>
      <c r="E2699" s="85" t="str">
        <f>+$E$1</f>
        <v>Lima 461 C:A:B:A:</v>
      </c>
      <c r="F2699" s="85"/>
      <c r="G2699" s="85"/>
      <c r="H2699" s="94"/>
    </row>
    <row r="2700" spans="2:8" ht="18" x14ac:dyDescent="0.25">
      <c r="B2700" s="86"/>
      <c r="C2700" s="86"/>
      <c r="D2700" s="86"/>
      <c r="F2700" s="85"/>
      <c r="G2700" s="85"/>
    </row>
    <row r="2701" spans="2:8" ht="18" x14ac:dyDescent="0.25">
      <c r="B2701" s="85"/>
      <c r="C2701" s="85"/>
      <c r="D2701" s="85"/>
      <c r="E2701" s="86"/>
      <c r="F2701" s="85"/>
      <c r="G2701" s="85"/>
      <c r="H2701" s="94"/>
    </row>
    <row r="2702" spans="2:8" ht="18" x14ac:dyDescent="0.25">
      <c r="B2702" s="85">
        <f>+$E$2</f>
        <v>0</v>
      </c>
      <c r="C2702" s="85"/>
      <c r="D2702" s="85"/>
      <c r="E2702" s="85"/>
      <c r="F2702" s="96"/>
      <c r="G2702" s="86"/>
      <c r="H2702" s="90"/>
    </row>
    <row r="2703" spans="2:8" ht="18" x14ac:dyDescent="0.25">
      <c r="B2703" s="85">
        <f>+$E$3</f>
        <v>0</v>
      </c>
      <c r="C2703" s="85"/>
      <c r="D2703" s="85"/>
      <c r="E2703" s="96"/>
      <c r="G2703" s="94"/>
      <c r="H2703" s="96"/>
    </row>
    <row r="2704" spans="2:8" ht="18" x14ac:dyDescent="0.25">
      <c r="B2704" s="86"/>
      <c r="C2704" s="85"/>
      <c r="D2704" s="85"/>
      <c r="E2704" s="85" t="s">
        <v>200</v>
      </c>
      <c r="F2704" s="106" t="e">
        <f>+F2687</f>
        <v>#REF!</v>
      </c>
      <c r="G2704" s="95"/>
      <c r="H2704" s="99">
        <f>+B2708</f>
        <v>46188</v>
      </c>
    </row>
    <row r="2705" spans="2:8" ht="18" x14ac:dyDescent="0.25">
      <c r="B2705" s="86"/>
      <c r="C2705" s="85"/>
      <c r="D2705" s="85"/>
      <c r="E2705" s="85" t="s">
        <v>201</v>
      </c>
      <c r="F2705" s="106" t="e">
        <f>+F2688</f>
        <v>#REF!</v>
      </c>
      <c r="H2705" s="90"/>
    </row>
    <row r="2706" spans="2:8" ht="18" x14ac:dyDescent="0.25">
      <c r="B2706" s="85"/>
      <c r="C2706" s="85"/>
      <c r="D2706" s="85"/>
      <c r="E2706" s="85" t="s">
        <v>81</v>
      </c>
      <c r="F2706" s="106" t="e">
        <f>+F2689</f>
        <v>#REF!</v>
      </c>
      <c r="G2706" s="85"/>
      <c r="H2706" s="90"/>
    </row>
    <row r="2707" spans="2:8" ht="18" x14ac:dyDescent="0.25">
      <c r="B2707" s="96"/>
      <c r="C2707" s="96"/>
      <c r="D2707" s="96"/>
      <c r="E2707" s="85" t="s">
        <v>82</v>
      </c>
      <c r="F2707" s="106" t="e">
        <f>+F2690</f>
        <v>#REF!</v>
      </c>
      <c r="G2707" s="85"/>
      <c r="H2707" s="90"/>
    </row>
    <row r="2708" spans="2:8" ht="18" x14ac:dyDescent="0.25">
      <c r="B2708" s="99">
        <f>+$G$30</f>
        <v>46188</v>
      </c>
      <c r="C2708" s="105" t="e">
        <f>+F2691</f>
        <v>#REF!</v>
      </c>
      <c r="D2708" s="85"/>
      <c r="E2708" s="85" t="s">
        <v>188</v>
      </c>
      <c r="F2708" s="106">
        <v>0</v>
      </c>
      <c r="G2708" s="85"/>
      <c r="H2708" s="90"/>
    </row>
    <row r="2709" spans="2:8" ht="18" x14ac:dyDescent="0.25">
      <c r="B2709" s="85"/>
      <c r="C2709" s="85"/>
      <c r="D2709" s="85"/>
      <c r="E2709" s="85" t="s">
        <v>83</v>
      </c>
      <c r="F2709" s="106" t="e">
        <f>+F2691</f>
        <v>#REF!</v>
      </c>
      <c r="G2709" s="85"/>
      <c r="H2709" s="90"/>
    </row>
    <row r="2710" spans="2:8" ht="18" x14ac:dyDescent="0.25">
      <c r="B2710" s="85"/>
      <c r="C2710" s="85"/>
      <c r="D2710" s="85"/>
      <c r="E2710" s="85"/>
      <c r="F2710" s="85"/>
      <c r="G2710" s="85"/>
      <c r="H2710" s="90"/>
    </row>
    <row r="2711" spans="2:8" ht="18" x14ac:dyDescent="0.25">
      <c r="B2711" s="85"/>
      <c r="C2711" s="85"/>
      <c r="D2711" s="85"/>
      <c r="E2711" s="102"/>
      <c r="F2711" s="85"/>
      <c r="G2711" s="85"/>
      <c r="H2711" s="90"/>
    </row>
    <row r="2712" spans="2:8" ht="18" x14ac:dyDescent="0.25">
      <c r="B2712" s="85"/>
      <c r="C2712" s="85"/>
      <c r="D2712" s="85"/>
      <c r="E2712" s="85"/>
      <c r="F2712" s="85"/>
      <c r="G2712" s="85"/>
      <c r="H2712" s="94"/>
    </row>
    <row r="2713" spans="2:8" ht="18" x14ac:dyDescent="0.25">
      <c r="E2713" s="85"/>
      <c r="G2713" s="94"/>
      <c r="H2713" s="90"/>
    </row>
    <row r="2715" spans="2:8" ht="18" x14ac:dyDescent="0.25">
      <c r="B2715" s="343"/>
      <c r="C2715" s="343"/>
      <c r="D2715" s="343"/>
      <c r="E2715" s="342">
        <f>+$B$1</f>
        <v>46143</v>
      </c>
      <c r="F2715" s="85"/>
      <c r="G2715" s="337">
        <f>+$D$1</f>
        <v>46188</v>
      </c>
      <c r="H2715" s="90"/>
    </row>
    <row r="2716" spans="2:8" ht="18" x14ac:dyDescent="0.25">
      <c r="B2716" s="84"/>
      <c r="C2716" s="84"/>
      <c r="D2716" s="100"/>
      <c r="E2716" s="342"/>
      <c r="F2716" s="85"/>
      <c r="G2716" s="337"/>
      <c r="H2716" s="90"/>
    </row>
    <row r="2717" spans="2:8" ht="18" x14ac:dyDescent="0.25">
      <c r="B2717" s="85"/>
      <c r="C2717" s="85"/>
      <c r="D2717" s="85"/>
      <c r="E2717" s="86"/>
      <c r="F2717" s="85"/>
      <c r="G2717" s="86"/>
      <c r="H2717" s="90"/>
    </row>
    <row r="2718" spans="2:8" ht="18" x14ac:dyDescent="0.25">
      <c r="B2718" s="85" t="e">
        <f>+#REF!</f>
        <v>#REF!</v>
      </c>
      <c r="C2718" s="85"/>
      <c r="D2718" s="85"/>
      <c r="E2718" s="86"/>
      <c r="F2718" s="85"/>
      <c r="G2718" s="86"/>
      <c r="H2718" s="90"/>
    </row>
    <row r="2719" spans="2:8" ht="18" x14ac:dyDescent="0.25">
      <c r="B2719" s="86"/>
      <c r="C2719" s="85"/>
      <c r="D2719" s="85"/>
      <c r="E2719" s="85" t="s">
        <v>78</v>
      </c>
      <c r="F2719" s="85"/>
      <c r="G2719" s="85"/>
      <c r="H2719" s="90" t="s">
        <v>156</v>
      </c>
    </row>
    <row r="2720" spans="2:8" ht="18" x14ac:dyDescent="0.25">
      <c r="B2720" s="85"/>
      <c r="C2720" s="85"/>
      <c r="D2720" s="85"/>
      <c r="E2720" s="86"/>
      <c r="F2720" s="86"/>
      <c r="G2720" s="85"/>
      <c r="H2720" s="94"/>
    </row>
    <row r="2721" spans="2:8" ht="18" x14ac:dyDescent="0.25">
      <c r="B2721" s="94"/>
      <c r="C2721" s="85"/>
      <c r="D2721" s="94"/>
      <c r="E2721" s="85"/>
      <c r="F2721" s="85"/>
      <c r="G2721" s="85"/>
      <c r="H2721" s="90"/>
    </row>
    <row r="2722" spans="2:8" ht="18" x14ac:dyDescent="0.25">
      <c r="B2722" s="94"/>
      <c r="C2722" s="85"/>
      <c r="D2722" s="94"/>
      <c r="E2722" s="85"/>
      <c r="F2722" s="85"/>
      <c r="G2722" s="85"/>
      <c r="H2722" s="90"/>
    </row>
    <row r="2723" spans="2:8" ht="18" x14ac:dyDescent="0.25">
      <c r="B2723" s="85" t="s">
        <v>198</v>
      </c>
      <c r="C2723" s="85"/>
      <c r="D2723" s="107">
        <f>+'RES CUENTA'!$L$25</f>
        <v>10859801.41</v>
      </c>
      <c r="E2723" s="108" t="e">
        <f>+'RES CUENTA'!#REF!</f>
        <v>#REF!</v>
      </c>
      <c r="F2723" s="103" t="e">
        <f>+D2723*E2723/100</f>
        <v>#REF!</v>
      </c>
      <c r="G2723" s="345"/>
      <c r="H2723" s="345"/>
    </row>
    <row r="2724" spans="2:8" ht="18" x14ac:dyDescent="0.25">
      <c r="B2724" s="85" t="s">
        <v>199</v>
      </c>
      <c r="C2724" s="85"/>
      <c r="D2724" s="107" t="e">
        <f>+'RES CUENTA'!#REF!</f>
        <v>#REF!</v>
      </c>
      <c r="E2724" s="108" t="e">
        <f>+'RES CUENTA'!#REF!</f>
        <v>#REF!</v>
      </c>
      <c r="F2724" s="103" t="e">
        <f>+D2724*E2724/100</f>
        <v>#REF!</v>
      </c>
      <c r="G2724" s="341"/>
      <c r="H2724" s="341"/>
    </row>
    <row r="2725" spans="2:8" ht="18" x14ac:dyDescent="0.25">
      <c r="B2725" s="85" t="s">
        <v>79</v>
      </c>
      <c r="C2725" s="85"/>
      <c r="D2725" s="107" t="e">
        <f>+'RES CUENTA'!#REF!</f>
        <v>#REF!</v>
      </c>
      <c r="E2725" s="108">
        <v>0</v>
      </c>
      <c r="F2725" s="103" t="e">
        <f>+D2725</f>
        <v>#REF!</v>
      </c>
      <c r="G2725" s="341"/>
      <c r="H2725" s="341"/>
    </row>
    <row r="2726" spans="2:8" ht="18" x14ac:dyDescent="0.25">
      <c r="B2726" s="85" t="s">
        <v>80</v>
      </c>
      <c r="C2726" s="85"/>
      <c r="D2726" s="107" t="e">
        <f>+'RES CUENTA'!#REF!</f>
        <v>#REF!</v>
      </c>
      <c r="E2726" s="108">
        <v>0</v>
      </c>
      <c r="F2726" s="103" t="e">
        <f>+D2726</f>
        <v>#REF!</v>
      </c>
      <c r="G2726" s="341"/>
      <c r="H2726" s="341"/>
    </row>
    <row r="2727" spans="2:8" ht="18" x14ac:dyDescent="0.25">
      <c r="B2727" s="86"/>
      <c r="C2727" s="85"/>
      <c r="D2727" s="85"/>
      <c r="E2727" s="92"/>
      <c r="F2727" s="104" t="e">
        <f>SUM(F2723:F2726)</f>
        <v>#REF!</v>
      </c>
      <c r="G2727" s="341"/>
      <c r="H2727" s="341"/>
    </row>
    <row r="2728" spans="2:8" ht="18" x14ac:dyDescent="0.25">
      <c r="B2728" s="86"/>
      <c r="C2728" s="85"/>
      <c r="D2728" s="85"/>
      <c r="E2728" s="92"/>
      <c r="F2728" s="104"/>
      <c r="G2728" s="89"/>
      <c r="H2728" s="89"/>
    </row>
    <row r="2729" spans="2:8" ht="18" x14ac:dyDescent="0.25">
      <c r="B2729" s="86"/>
      <c r="C2729" s="85"/>
      <c r="D2729" s="85"/>
      <c r="E2729" s="85"/>
      <c r="G2729" s="338"/>
      <c r="H2729" s="338"/>
    </row>
    <row r="2730" spans="2:8" ht="18" x14ac:dyDescent="0.25">
      <c r="B2730" s="85"/>
      <c r="C2730" s="85"/>
      <c r="D2730" s="85"/>
      <c r="E2730" s="85"/>
      <c r="F2730" s="91"/>
      <c r="G2730" s="90"/>
      <c r="H2730" s="90"/>
    </row>
    <row r="2731" spans="2:8" ht="18" x14ac:dyDescent="0.25">
      <c r="B2731" s="85"/>
      <c r="C2731" s="85"/>
      <c r="D2731" s="85"/>
      <c r="E2731" s="85"/>
      <c r="F2731" s="92"/>
      <c r="G2731" s="85"/>
      <c r="H2731" s="90"/>
    </row>
    <row r="2732" spans="2:8" ht="18" x14ac:dyDescent="0.25">
      <c r="B2732" s="85"/>
      <c r="C2732" s="85"/>
      <c r="D2732" s="85"/>
      <c r="E2732" s="85"/>
      <c r="F2732" s="92"/>
      <c r="G2732" s="85"/>
      <c r="H2732" s="90"/>
    </row>
    <row r="2733" spans="2:8" ht="18" x14ac:dyDescent="0.25">
      <c r="B2733" s="85" t="e">
        <f>+B2718</f>
        <v>#REF!</v>
      </c>
      <c r="C2733" s="344"/>
      <c r="D2733" s="344"/>
      <c r="E2733" s="85" t="e">
        <f>+B2733</f>
        <v>#REF!</v>
      </c>
      <c r="F2733" s="92"/>
      <c r="G2733" s="85"/>
      <c r="H2733" s="90"/>
    </row>
    <row r="2734" spans="2:8" ht="18" x14ac:dyDescent="0.25">
      <c r="C2734" s="85"/>
      <c r="D2734" s="85"/>
      <c r="F2734" s="344"/>
      <c r="G2734" s="344"/>
      <c r="H2734" s="344"/>
    </row>
    <row r="2735" spans="2:8" ht="18" x14ac:dyDescent="0.25">
      <c r="B2735" s="85" t="str">
        <f>+$E$1</f>
        <v>Lima 461 C:A:B:A:</v>
      </c>
      <c r="C2735" s="85"/>
      <c r="D2735" s="93" t="str">
        <f>+H2719</f>
        <v>Unid. 73</v>
      </c>
      <c r="E2735" s="85" t="str">
        <f>+$E$1</f>
        <v>Lima 461 C:A:B:A:</v>
      </c>
      <c r="F2735" s="85"/>
      <c r="G2735" s="85"/>
      <c r="H2735" s="90" t="str">
        <f>+D2735</f>
        <v>Unid. 73</v>
      </c>
    </row>
    <row r="2736" spans="2:8" ht="18" x14ac:dyDescent="0.25">
      <c r="H2736" s="94"/>
    </row>
    <row r="2737" spans="2:8" ht="18" x14ac:dyDescent="0.25">
      <c r="B2737" s="86"/>
      <c r="C2737" s="86"/>
      <c r="D2737" s="86"/>
      <c r="E2737" s="86"/>
      <c r="F2737" s="85"/>
      <c r="G2737" s="85"/>
    </row>
    <row r="2738" spans="2:8" ht="18" x14ac:dyDescent="0.25">
      <c r="B2738" s="85">
        <f>+$E$2</f>
        <v>0</v>
      </c>
      <c r="C2738" s="85"/>
      <c r="D2738" s="85"/>
      <c r="E2738" s="85"/>
      <c r="F2738" s="85"/>
      <c r="G2738" s="86"/>
      <c r="H2738" s="94"/>
    </row>
    <row r="2739" spans="2:8" ht="18" x14ac:dyDescent="0.25">
      <c r="B2739" s="85">
        <f>+$E$3</f>
        <v>0</v>
      </c>
      <c r="C2739" s="85"/>
      <c r="D2739" s="85"/>
      <c r="E2739" s="96"/>
      <c r="F2739" s="85"/>
      <c r="G2739" s="94"/>
      <c r="H2739" s="90"/>
    </row>
    <row r="2740" spans="2:8" ht="18" x14ac:dyDescent="0.25">
      <c r="C2740" s="85"/>
      <c r="D2740" s="85"/>
      <c r="E2740" s="85" t="s">
        <v>200</v>
      </c>
      <c r="F2740" s="106" t="e">
        <f>+F2723</f>
        <v>#REF!</v>
      </c>
      <c r="H2740" s="99">
        <f>+B2745</f>
        <v>46188</v>
      </c>
    </row>
    <row r="2741" spans="2:8" ht="18" x14ac:dyDescent="0.25">
      <c r="B2741" s="86"/>
      <c r="C2741" s="85"/>
      <c r="D2741" s="85"/>
      <c r="E2741" s="85" t="s">
        <v>201</v>
      </c>
      <c r="F2741" s="106" t="e">
        <f>+F2724</f>
        <v>#REF!</v>
      </c>
    </row>
    <row r="2742" spans="2:8" ht="18" x14ac:dyDescent="0.25">
      <c r="B2742" s="86"/>
      <c r="C2742" s="85"/>
      <c r="D2742" s="85"/>
      <c r="E2742" s="85" t="s">
        <v>81</v>
      </c>
      <c r="F2742" s="106" t="e">
        <f>+F2725</f>
        <v>#REF!</v>
      </c>
      <c r="G2742" s="85"/>
      <c r="H2742" s="90"/>
    </row>
    <row r="2743" spans="2:8" ht="18" x14ac:dyDescent="0.25">
      <c r="B2743" s="85"/>
      <c r="C2743" s="85"/>
      <c r="D2743" s="85"/>
      <c r="E2743" s="85" t="s">
        <v>82</v>
      </c>
      <c r="F2743" s="106" t="e">
        <f>+F2726</f>
        <v>#REF!</v>
      </c>
      <c r="G2743" s="85"/>
      <c r="H2743" s="90"/>
    </row>
    <row r="2744" spans="2:8" ht="18" x14ac:dyDescent="0.25">
      <c r="B2744" s="96"/>
      <c r="C2744" s="96"/>
      <c r="D2744" s="96"/>
      <c r="E2744" s="85" t="s">
        <v>188</v>
      </c>
      <c r="F2744" s="106">
        <v>0</v>
      </c>
      <c r="G2744" s="85"/>
      <c r="H2744" s="90"/>
    </row>
    <row r="2745" spans="2:8" ht="18" x14ac:dyDescent="0.25">
      <c r="B2745" s="99">
        <f>+$G$30</f>
        <v>46188</v>
      </c>
      <c r="C2745" s="105" t="e">
        <f>+F2727</f>
        <v>#REF!</v>
      </c>
      <c r="D2745" s="85"/>
      <c r="E2745" s="85" t="s">
        <v>83</v>
      </c>
      <c r="F2745" s="106" t="e">
        <f>+F2727</f>
        <v>#REF!</v>
      </c>
      <c r="G2745" s="85"/>
      <c r="H2745" s="90"/>
    </row>
    <row r="2746" spans="2:8" ht="18" x14ac:dyDescent="0.25">
      <c r="B2746" s="85"/>
      <c r="C2746" s="85"/>
      <c r="D2746" s="85"/>
      <c r="E2746" s="85"/>
      <c r="F2746" s="85"/>
      <c r="G2746" s="85"/>
      <c r="H2746" s="90"/>
    </row>
    <row r="2747" spans="2:8" ht="18" x14ac:dyDescent="0.25">
      <c r="B2747" s="85"/>
      <c r="C2747" s="85"/>
      <c r="D2747" s="85"/>
      <c r="E2747" s="85"/>
      <c r="F2747" s="85"/>
      <c r="G2747" s="345"/>
      <c r="H2747" s="345"/>
    </row>
    <row r="2748" spans="2:8" ht="18" x14ac:dyDescent="0.25">
      <c r="B2748" s="85"/>
      <c r="C2748" s="85"/>
      <c r="D2748" s="85"/>
      <c r="E2748" s="85"/>
      <c r="F2748" s="85"/>
      <c r="G2748" s="85"/>
      <c r="H2748" s="90"/>
    </row>
    <row r="2749" spans="2:8" ht="18" x14ac:dyDescent="0.25">
      <c r="B2749" s="85"/>
      <c r="C2749" s="85"/>
      <c r="D2749" s="85"/>
      <c r="E2749" s="85"/>
      <c r="F2749" s="85"/>
      <c r="G2749" s="85"/>
      <c r="H2749" s="90"/>
    </row>
    <row r="2750" spans="2:8" ht="18" x14ac:dyDescent="0.25">
      <c r="B2750" s="85"/>
      <c r="C2750" s="85"/>
      <c r="D2750" s="85"/>
      <c r="E2750" s="85"/>
      <c r="F2750" s="85"/>
      <c r="G2750" s="85"/>
      <c r="H2750" s="90"/>
    </row>
    <row r="2751" spans="2:8" ht="18" x14ac:dyDescent="0.25">
      <c r="B2751" s="85"/>
      <c r="C2751" s="85"/>
      <c r="D2751" s="85"/>
      <c r="E2751" s="85"/>
      <c r="F2751" s="85"/>
      <c r="G2751" s="85"/>
      <c r="H2751" s="90"/>
    </row>
    <row r="2752" spans="2:8" ht="18" x14ac:dyDescent="0.25">
      <c r="B2752" s="85"/>
      <c r="C2752" s="85"/>
      <c r="D2752" s="85"/>
      <c r="E2752" s="85"/>
      <c r="F2752" s="85"/>
      <c r="H2752" s="90"/>
    </row>
    <row r="2753" spans="2:8" ht="18" x14ac:dyDescent="0.25">
      <c r="B2753" s="343"/>
      <c r="C2753" s="343"/>
      <c r="D2753" s="343"/>
      <c r="E2753" s="85"/>
      <c r="F2753" s="85"/>
      <c r="H2753" s="90"/>
    </row>
    <row r="2754" spans="2:8" ht="18" x14ac:dyDescent="0.25">
      <c r="B2754" s="343"/>
      <c r="C2754" s="343"/>
      <c r="D2754" s="343"/>
      <c r="E2754" s="98">
        <f>+$B$1</f>
        <v>46143</v>
      </c>
      <c r="F2754" s="85"/>
      <c r="G2754" s="99">
        <f>+$D$1</f>
        <v>46188</v>
      </c>
      <c r="H2754" s="160"/>
    </row>
    <row r="2755" spans="2:8" ht="18" x14ac:dyDescent="0.25">
      <c r="B2755" s="84"/>
      <c r="C2755" s="84"/>
      <c r="D2755" s="100"/>
      <c r="E2755" s="98"/>
      <c r="F2755" s="85"/>
    </row>
    <row r="2756" spans="2:8" ht="18" x14ac:dyDescent="0.25">
      <c r="B2756" s="85" t="e">
        <f>+#REF!</f>
        <v>#REF!</v>
      </c>
      <c r="C2756" s="85"/>
      <c r="D2756" s="85"/>
      <c r="F2756" s="85"/>
    </row>
    <row r="2757" spans="2:8" ht="18" x14ac:dyDescent="0.25">
      <c r="C2757" s="85"/>
      <c r="D2757" s="85"/>
      <c r="E2757" s="85" t="str">
        <f>+$E$1</f>
        <v>Lima 461 C:A:B:A:</v>
      </c>
      <c r="F2757" s="85"/>
      <c r="H2757" s="90" t="s">
        <v>157</v>
      </c>
    </row>
    <row r="2758" spans="2:8" ht="18" x14ac:dyDescent="0.25">
      <c r="B2758" s="86"/>
      <c r="C2758" s="85"/>
      <c r="D2758" s="85"/>
      <c r="F2758" s="85"/>
      <c r="G2758" s="86"/>
    </row>
    <row r="2759" spans="2:8" ht="18" x14ac:dyDescent="0.25">
      <c r="B2759" s="85"/>
      <c r="C2759" s="85"/>
      <c r="D2759" s="85"/>
      <c r="E2759" s="86"/>
      <c r="F2759" s="86"/>
      <c r="G2759" s="85"/>
      <c r="H2759" s="94"/>
    </row>
    <row r="2760" spans="2:8" ht="18" x14ac:dyDescent="0.25">
      <c r="B2760" s="94"/>
      <c r="C2760" s="85"/>
      <c r="D2760" s="94"/>
      <c r="E2760" s="85"/>
      <c r="F2760" s="85"/>
      <c r="G2760" s="85"/>
      <c r="H2760" s="90"/>
    </row>
    <row r="2761" spans="2:8" ht="18" x14ac:dyDescent="0.25">
      <c r="B2761" s="85" t="s">
        <v>198</v>
      </c>
      <c r="C2761" s="85"/>
      <c r="D2761" s="107">
        <f>+'RES CUENTA'!$L$25</f>
        <v>10859801.41</v>
      </c>
      <c r="E2761" s="108" t="e">
        <f>+'RES CUENTA'!#REF!</f>
        <v>#REF!</v>
      </c>
      <c r="F2761" s="103" t="e">
        <f>+D2761*E2761/100</f>
        <v>#REF!</v>
      </c>
      <c r="G2761" s="85"/>
      <c r="H2761" s="94"/>
    </row>
    <row r="2762" spans="2:8" ht="18" x14ac:dyDescent="0.25">
      <c r="B2762" s="85" t="s">
        <v>199</v>
      </c>
      <c r="C2762" s="85"/>
      <c r="D2762" s="107" t="e">
        <f>+'RES CUENTA'!#REF!</f>
        <v>#REF!</v>
      </c>
      <c r="E2762" s="108" t="e">
        <f>+'RES CUENTA'!#REF!</f>
        <v>#REF!</v>
      </c>
      <c r="F2762" s="103" t="e">
        <f>+D2762*E2762/100</f>
        <v>#REF!</v>
      </c>
      <c r="G2762" s="94"/>
      <c r="H2762" s="89"/>
    </row>
    <row r="2763" spans="2:8" ht="18" x14ac:dyDescent="0.25">
      <c r="B2763" s="85" t="s">
        <v>79</v>
      </c>
      <c r="C2763" s="85"/>
      <c r="D2763" s="107" t="e">
        <f>+'RES CUENTA'!#REF!</f>
        <v>#REF!</v>
      </c>
      <c r="E2763" s="108">
        <f>+'RES CUENTA'!P1892</f>
        <v>0</v>
      </c>
      <c r="F2763" s="103" t="e">
        <f>+D2763</f>
        <v>#REF!</v>
      </c>
      <c r="G2763" s="89"/>
      <c r="H2763" s="89"/>
    </row>
    <row r="2764" spans="2:8" ht="18" x14ac:dyDescent="0.25">
      <c r="B2764" s="85" t="s">
        <v>80</v>
      </c>
      <c r="C2764" s="85"/>
      <c r="D2764" s="107" t="e">
        <f>+'RES CUENTA'!#REF!</f>
        <v>#REF!</v>
      </c>
      <c r="E2764" s="108">
        <f>+'RES CUENTA'!R1887</f>
        <v>0</v>
      </c>
      <c r="F2764" s="103" t="e">
        <f>+D2764</f>
        <v>#REF!</v>
      </c>
      <c r="G2764" s="89"/>
      <c r="H2764" s="89"/>
    </row>
    <row r="2765" spans="2:8" ht="18" x14ac:dyDescent="0.25">
      <c r="B2765" s="86"/>
      <c r="C2765" s="85"/>
      <c r="D2765" s="85"/>
      <c r="F2765" s="104" t="e">
        <f>SUM(F2761:F2764)</f>
        <v>#REF!</v>
      </c>
      <c r="G2765" s="89"/>
      <c r="H2765" s="89"/>
    </row>
    <row r="2766" spans="2:8" ht="18" x14ac:dyDescent="0.25">
      <c r="B2766" s="86"/>
      <c r="C2766" s="85"/>
      <c r="D2766" s="85"/>
      <c r="F2766" s="91"/>
      <c r="G2766" s="89"/>
      <c r="H2766" s="90"/>
    </row>
    <row r="2767" spans="2:8" ht="18" x14ac:dyDescent="0.25">
      <c r="B2767" s="86"/>
      <c r="C2767" s="85"/>
      <c r="D2767" s="85"/>
      <c r="F2767" s="91"/>
      <c r="G2767" s="89"/>
      <c r="H2767" s="90"/>
    </row>
    <row r="2768" spans="2:8" ht="18" x14ac:dyDescent="0.25">
      <c r="B2768" s="85"/>
      <c r="C2768" s="85"/>
      <c r="D2768" s="85"/>
      <c r="E2768" s="85"/>
      <c r="F2768" s="92"/>
      <c r="G2768" s="90"/>
      <c r="H2768" s="90"/>
    </row>
    <row r="2769" spans="2:8" ht="18" x14ac:dyDescent="0.25">
      <c r="B2769" s="85"/>
      <c r="C2769" s="85"/>
      <c r="D2769" s="85"/>
      <c r="E2769" s="85"/>
      <c r="F2769" s="92"/>
      <c r="G2769" s="90"/>
      <c r="H2769" s="90"/>
    </row>
    <row r="2770" spans="2:8" ht="18" x14ac:dyDescent="0.25">
      <c r="B2770" s="85"/>
      <c r="C2770" s="85"/>
      <c r="D2770" s="85"/>
      <c r="E2770" s="85"/>
      <c r="F2770" s="92"/>
      <c r="G2770" s="90"/>
      <c r="H2770" s="90"/>
    </row>
    <row r="2771" spans="2:8" ht="18" x14ac:dyDescent="0.25">
      <c r="B2771" s="85" t="e">
        <f>+B2756</f>
        <v>#REF!</v>
      </c>
      <c r="C2771" s="85"/>
      <c r="D2771" s="85"/>
      <c r="E2771" s="85" t="e">
        <f>+B2756</f>
        <v>#REF!</v>
      </c>
      <c r="F2771" s="85"/>
      <c r="G2771" s="85"/>
      <c r="H2771" s="94"/>
    </row>
    <row r="2772" spans="2:8" ht="18" x14ac:dyDescent="0.25">
      <c r="B2772" s="86"/>
      <c r="C2772" s="85"/>
      <c r="D2772" s="85"/>
      <c r="F2772" s="85"/>
      <c r="G2772" s="101"/>
      <c r="H2772" s="90" t="str">
        <f>+H2757</f>
        <v>Unid. 74</v>
      </c>
    </row>
    <row r="2773" spans="2:8" ht="18" x14ac:dyDescent="0.25">
      <c r="B2773" s="85" t="str">
        <f>+$E$1</f>
        <v>Lima 461 C:A:B:A:</v>
      </c>
      <c r="C2773" s="85"/>
      <c r="D2773" s="93" t="str">
        <f>+H2772</f>
        <v>Unid. 74</v>
      </c>
      <c r="E2773" s="85" t="str">
        <f>+$E$1</f>
        <v>Lima 461 C:A:B:A:</v>
      </c>
      <c r="F2773" s="85"/>
      <c r="G2773" s="85"/>
      <c r="H2773" s="94"/>
    </row>
    <row r="2774" spans="2:8" ht="18" x14ac:dyDescent="0.25">
      <c r="B2774" s="86"/>
      <c r="C2774" s="86"/>
      <c r="D2774" s="86"/>
      <c r="F2774" s="85"/>
      <c r="G2774" s="85"/>
    </row>
    <row r="2775" spans="2:8" ht="18" x14ac:dyDescent="0.25">
      <c r="B2775" s="85"/>
      <c r="C2775" s="85"/>
      <c r="D2775" s="85"/>
      <c r="E2775" s="86"/>
      <c r="F2775" s="85"/>
      <c r="G2775" s="85"/>
      <c r="H2775" s="94"/>
    </row>
    <row r="2776" spans="2:8" ht="18" x14ac:dyDescent="0.25">
      <c r="B2776" s="85">
        <f>+$E$2</f>
        <v>0</v>
      </c>
      <c r="C2776" s="85"/>
      <c r="D2776" s="85"/>
      <c r="E2776" s="85"/>
      <c r="F2776" s="96"/>
      <c r="G2776" s="86"/>
      <c r="H2776" s="90"/>
    </row>
    <row r="2777" spans="2:8" ht="18" x14ac:dyDescent="0.25">
      <c r="B2777" s="85">
        <f>+$E$3</f>
        <v>0</v>
      </c>
      <c r="C2777" s="85"/>
      <c r="D2777" s="85"/>
      <c r="E2777" s="96"/>
      <c r="G2777" s="94"/>
      <c r="H2777" s="96"/>
    </row>
    <row r="2778" spans="2:8" ht="18" x14ac:dyDescent="0.25">
      <c r="B2778" s="86"/>
      <c r="C2778" s="85"/>
      <c r="D2778" s="85"/>
      <c r="E2778" s="85" t="s">
        <v>200</v>
      </c>
      <c r="F2778" s="106" t="e">
        <f>+F2761</f>
        <v>#REF!</v>
      </c>
      <c r="G2778" s="95"/>
      <c r="H2778" s="99">
        <f>+B2782</f>
        <v>46188</v>
      </c>
    </row>
    <row r="2779" spans="2:8" ht="18" x14ac:dyDescent="0.25">
      <c r="B2779" s="86"/>
      <c r="C2779" s="85"/>
      <c r="D2779" s="85"/>
      <c r="E2779" s="85" t="s">
        <v>201</v>
      </c>
      <c r="F2779" s="106" t="e">
        <f>+F2762</f>
        <v>#REF!</v>
      </c>
      <c r="H2779" s="90"/>
    </row>
    <row r="2780" spans="2:8" ht="18" x14ac:dyDescent="0.25">
      <c r="B2780" s="85"/>
      <c r="C2780" s="85"/>
      <c r="D2780" s="85"/>
      <c r="E2780" s="85" t="s">
        <v>81</v>
      </c>
      <c r="F2780" s="106" t="e">
        <f>+F2763</f>
        <v>#REF!</v>
      </c>
      <c r="G2780" s="85"/>
      <c r="H2780" s="90"/>
    </row>
    <row r="2781" spans="2:8" ht="18" x14ac:dyDescent="0.25">
      <c r="B2781" s="96"/>
      <c r="C2781" s="96"/>
      <c r="D2781" s="96"/>
      <c r="E2781" s="85" t="s">
        <v>82</v>
      </c>
      <c r="F2781" s="106" t="e">
        <f>+F2764</f>
        <v>#REF!</v>
      </c>
      <c r="G2781" s="85"/>
      <c r="H2781" s="90"/>
    </row>
    <row r="2782" spans="2:8" ht="18" x14ac:dyDescent="0.25">
      <c r="B2782" s="99">
        <f>+$G$30</f>
        <v>46188</v>
      </c>
      <c r="C2782" s="105" t="e">
        <f>+F2765</f>
        <v>#REF!</v>
      </c>
      <c r="D2782" s="85"/>
      <c r="E2782" s="85" t="s">
        <v>188</v>
      </c>
      <c r="F2782" s="106">
        <v>0</v>
      </c>
      <c r="G2782" s="85"/>
      <c r="H2782" s="90"/>
    </row>
    <row r="2783" spans="2:8" ht="18" x14ac:dyDescent="0.25">
      <c r="B2783" s="85"/>
      <c r="C2783" s="85"/>
      <c r="D2783" s="85"/>
      <c r="E2783" s="85" t="s">
        <v>83</v>
      </c>
      <c r="F2783" s="106" t="e">
        <f>+F2765</f>
        <v>#REF!</v>
      </c>
      <c r="G2783" s="85"/>
      <c r="H2783" s="90"/>
    </row>
    <row r="2784" spans="2:8" ht="18" x14ac:dyDescent="0.25">
      <c r="B2784" s="85"/>
      <c r="C2784" s="85"/>
      <c r="D2784" s="85"/>
      <c r="E2784" s="85"/>
      <c r="F2784" s="85"/>
      <c r="G2784" s="85"/>
      <c r="H2784" s="90"/>
    </row>
    <row r="2785" spans="2:8" ht="18" x14ac:dyDescent="0.25">
      <c r="B2785" s="85"/>
      <c r="C2785" s="85"/>
      <c r="D2785" s="85"/>
      <c r="E2785" s="102"/>
      <c r="F2785" s="85"/>
      <c r="G2785" s="85"/>
      <c r="H2785" s="90"/>
    </row>
    <row r="2786" spans="2:8" ht="18" x14ac:dyDescent="0.25">
      <c r="B2786" s="85"/>
      <c r="C2786" s="85"/>
      <c r="D2786" s="85"/>
      <c r="E2786" s="85"/>
      <c r="F2786" s="85"/>
      <c r="G2786" s="85"/>
      <c r="H2786" s="94"/>
    </row>
    <row r="2787" spans="2:8" ht="18" x14ac:dyDescent="0.25">
      <c r="E2787" s="85"/>
      <c r="G2787" s="94"/>
      <c r="H2787" s="90"/>
    </row>
    <row r="2789" spans="2:8" ht="18" x14ac:dyDescent="0.25">
      <c r="B2789" s="343"/>
      <c r="C2789" s="343"/>
      <c r="D2789" s="343"/>
      <c r="E2789" s="342">
        <f>+$B$1</f>
        <v>46143</v>
      </c>
      <c r="F2789" s="85"/>
      <c r="G2789" s="337">
        <f>+$D$1</f>
        <v>46188</v>
      </c>
      <c r="H2789" s="90"/>
    </row>
    <row r="2790" spans="2:8" ht="18" x14ac:dyDescent="0.25">
      <c r="B2790" s="84"/>
      <c r="C2790" s="84"/>
      <c r="D2790" s="100"/>
      <c r="E2790" s="342"/>
      <c r="F2790" s="85"/>
      <c r="G2790" s="337"/>
      <c r="H2790" s="90"/>
    </row>
    <row r="2791" spans="2:8" ht="18" x14ac:dyDescent="0.25">
      <c r="B2791" s="85"/>
      <c r="C2791" s="85"/>
      <c r="D2791" s="85"/>
      <c r="E2791" s="86"/>
      <c r="F2791" s="85"/>
      <c r="G2791" s="86"/>
      <c r="H2791" s="90"/>
    </row>
    <row r="2792" spans="2:8" ht="18" x14ac:dyDescent="0.25">
      <c r="B2792" s="85" t="e">
        <f>+#REF!</f>
        <v>#REF!</v>
      </c>
      <c r="C2792" s="85"/>
      <c r="D2792" s="85"/>
      <c r="E2792" s="86"/>
      <c r="F2792" s="85"/>
      <c r="G2792" s="86"/>
      <c r="H2792" s="90"/>
    </row>
    <row r="2793" spans="2:8" ht="18" x14ac:dyDescent="0.25">
      <c r="B2793" s="86"/>
      <c r="C2793" s="85"/>
      <c r="D2793" s="85"/>
      <c r="E2793" s="85" t="s">
        <v>78</v>
      </c>
      <c r="F2793" s="85"/>
      <c r="G2793" s="85"/>
      <c r="H2793" s="90" t="s">
        <v>158</v>
      </c>
    </row>
    <row r="2794" spans="2:8" ht="18" x14ac:dyDescent="0.25">
      <c r="B2794" s="85"/>
      <c r="C2794" s="85"/>
      <c r="D2794" s="85"/>
      <c r="E2794" s="86"/>
      <c r="F2794" s="86"/>
      <c r="G2794" s="85"/>
      <c r="H2794" s="94"/>
    </row>
    <row r="2795" spans="2:8" ht="18" x14ac:dyDescent="0.25">
      <c r="B2795" s="94"/>
      <c r="C2795" s="85"/>
      <c r="D2795" s="94"/>
      <c r="E2795" s="85"/>
      <c r="F2795" s="85"/>
      <c r="G2795" s="85"/>
      <c r="H2795" s="90"/>
    </row>
    <row r="2796" spans="2:8" ht="18" x14ac:dyDescent="0.25">
      <c r="B2796" s="94"/>
      <c r="C2796" s="85"/>
      <c r="D2796" s="94"/>
      <c r="E2796" s="85"/>
      <c r="F2796" s="85"/>
      <c r="G2796" s="85"/>
      <c r="H2796" s="90"/>
    </row>
    <row r="2797" spans="2:8" ht="18" x14ac:dyDescent="0.25">
      <c r="B2797" s="85" t="s">
        <v>198</v>
      </c>
      <c r="C2797" s="85"/>
      <c r="D2797" s="107">
        <f>+'RES CUENTA'!$L$25</f>
        <v>10859801.41</v>
      </c>
      <c r="E2797" s="108" t="e">
        <f>+'RES CUENTA'!#REF!</f>
        <v>#REF!</v>
      </c>
      <c r="F2797" s="103" t="e">
        <f>+D2797*E2797/100</f>
        <v>#REF!</v>
      </c>
      <c r="G2797" s="345"/>
      <c r="H2797" s="345"/>
    </row>
    <row r="2798" spans="2:8" ht="18" x14ac:dyDescent="0.25">
      <c r="B2798" s="85" t="s">
        <v>199</v>
      </c>
      <c r="C2798" s="85"/>
      <c r="D2798" s="107" t="e">
        <f>+'RES CUENTA'!#REF!</f>
        <v>#REF!</v>
      </c>
      <c r="E2798" s="108" t="e">
        <f>+'RES CUENTA'!#REF!</f>
        <v>#REF!</v>
      </c>
      <c r="F2798" s="103" t="e">
        <f>+D2798*E2798/100</f>
        <v>#REF!</v>
      </c>
      <c r="G2798" s="341"/>
      <c r="H2798" s="341"/>
    </row>
    <row r="2799" spans="2:8" ht="18" x14ac:dyDescent="0.25">
      <c r="B2799" s="85" t="s">
        <v>79</v>
      </c>
      <c r="C2799" s="85"/>
      <c r="D2799" s="107" t="e">
        <f>+'RES CUENTA'!#REF!</f>
        <v>#REF!</v>
      </c>
      <c r="E2799" s="108">
        <v>0</v>
      </c>
      <c r="F2799" s="103" t="e">
        <f>+D2799</f>
        <v>#REF!</v>
      </c>
      <c r="G2799" s="341"/>
      <c r="H2799" s="341"/>
    </row>
    <row r="2800" spans="2:8" ht="18" x14ac:dyDescent="0.25">
      <c r="B2800" s="85" t="s">
        <v>80</v>
      </c>
      <c r="C2800" s="85"/>
      <c r="D2800" s="107" t="e">
        <f>+'RES CUENTA'!#REF!</f>
        <v>#REF!</v>
      </c>
      <c r="E2800" s="108">
        <v>0</v>
      </c>
      <c r="F2800" s="103" t="e">
        <f>+D2800</f>
        <v>#REF!</v>
      </c>
      <c r="G2800" s="341"/>
      <c r="H2800" s="341"/>
    </row>
    <row r="2801" spans="2:8" ht="18" x14ac:dyDescent="0.25">
      <c r="B2801" s="86"/>
      <c r="C2801" s="85"/>
      <c r="D2801" s="85"/>
      <c r="E2801" s="92"/>
      <c r="F2801" s="104" t="e">
        <f>SUM(F2797:F2800)</f>
        <v>#REF!</v>
      </c>
      <c r="G2801" s="341"/>
      <c r="H2801" s="341"/>
    </row>
    <row r="2802" spans="2:8" ht="18" x14ac:dyDescent="0.25">
      <c r="B2802" s="86"/>
      <c r="C2802" s="85"/>
      <c r="D2802" s="85"/>
      <c r="E2802" s="92"/>
      <c r="F2802" s="104"/>
      <c r="G2802" s="89"/>
      <c r="H2802" s="89"/>
    </row>
    <row r="2803" spans="2:8" ht="18" x14ac:dyDescent="0.25">
      <c r="B2803" s="86"/>
      <c r="C2803" s="85"/>
      <c r="D2803" s="85"/>
      <c r="E2803" s="85"/>
      <c r="G2803" s="338"/>
      <c r="H2803" s="338"/>
    </row>
    <row r="2804" spans="2:8" ht="18" x14ac:dyDescent="0.25">
      <c r="B2804" s="85"/>
      <c r="C2804" s="85"/>
      <c r="D2804" s="85"/>
      <c r="E2804" s="85"/>
      <c r="F2804" s="91"/>
      <c r="G2804" s="90"/>
      <c r="H2804" s="90"/>
    </row>
    <row r="2805" spans="2:8" ht="18" x14ac:dyDescent="0.25">
      <c r="B2805" s="85"/>
      <c r="C2805" s="85"/>
      <c r="D2805" s="85"/>
      <c r="E2805" s="85"/>
      <c r="F2805" s="92"/>
      <c r="G2805" s="85"/>
      <c r="H2805" s="90"/>
    </row>
    <row r="2806" spans="2:8" ht="18" x14ac:dyDescent="0.25">
      <c r="B2806" s="85"/>
      <c r="C2806" s="85"/>
      <c r="D2806" s="85"/>
      <c r="E2806" s="85"/>
      <c r="F2806" s="92"/>
      <c r="G2806" s="85"/>
      <c r="H2806" s="90"/>
    </row>
    <row r="2807" spans="2:8" ht="18" x14ac:dyDescent="0.25">
      <c r="B2807" s="85" t="e">
        <f>+B2792</f>
        <v>#REF!</v>
      </c>
      <c r="C2807" s="344"/>
      <c r="D2807" s="344"/>
      <c r="E2807" s="85" t="e">
        <f>+B2807</f>
        <v>#REF!</v>
      </c>
      <c r="F2807" s="92"/>
      <c r="G2807" s="85"/>
      <c r="H2807" s="90"/>
    </row>
    <row r="2808" spans="2:8" ht="18" x14ac:dyDescent="0.25">
      <c r="C2808" s="85"/>
      <c r="D2808" s="85"/>
      <c r="F2808" s="344"/>
      <c r="G2808" s="344"/>
      <c r="H2808" s="344"/>
    </row>
    <row r="2809" spans="2:8" ht="18" x14ac:dyDescent="0.25">
      <c r="B2809" s="85" t="str">
        <f>+$E$1</f>
        <v>Lima 461 C:A:B:A:</v>
      </c>
      <c r="C2809" s="85"/>
      <c r="D2809" s="93" t="str">
        <f>+H2793</f>
        <v>Unid. 75</v>
      </c>
      <c r="E2809" s="85" t="str">
        <f>+$E$1</f>
        <v>Lima 461 C:A:B:A:</v>
      </c>
      <c r="F2809" s="85"/>
      <c r="G2809" s="85"/>
      <c r="H2809" s="90" t="str">
        <f>+D2809</f>
        <v>Unid. 75</v>
      </c>
    </row>
    <row r="2810" spans="2:8" ht="18" x14ac:dyDescent="0.25">
      <c r="H2810" s="94"/>
    </row>
    <row r="2811" spans="2:8" ht="18" x14ac:dyDescent="0.25">
      <c r="B2811" s="86"/>
      <c r="C2811" s="86"/>
      <c r="D2811" s="86"/>
      <c r="E2811" s="86"/>
      <c r="F2811" s="85"/>
      <c r="G2811" s="85"/>
    </row>
    <row r="2812" spans="2:8" ht="18" x14ac:dyDescent="0.25">
      <c r="B2812" s="85">
        <f>+$E$2</f>
        <v>0</v>
      </c>
      <c r="C2812" s="85"/>
      <c r="D2812" s="85"/>
      <c r="E2812" s="85"/>
      <c r="F2812" s="85"/>
      <c r="G2812" s="86"/>
      <c r="H2812" s="94"/>
    </row>
    <row r="2813" spans="2:8" ht="18" x14ac:dyDescent="0.25">
      <c r="B2813" s="85">
        <f>+$E$3</f>
        <v>0</v>
      </c>
      <c r="C2813" s="85"/>
      <c r="D2813" s="85"/>
      <c r="E2813" s="96"/>
      <c r="F2813" s="85"/>
      <c r="G2813" s="94"/>
      <c r="H2813" s="90"/>
    </row>
    <row r="2814" spans="2:8" ht="18" x14ac:dyDescent="0.25">
      <c r="C2814" s="85"/>
      <c r="D2814" s="85"/>
      <c r="E2814" s="85" t="s">
        <v>200</v>
      </c>
      <c r="F2814" s="106" t="e">
        <f>+F2797</f>
        <v>#REF!</v>
      </c>
      <c r="H2814" s="99">
        <f>+B2819</f>
        <v>46188</v>
      </c>
    </row>
    <row r="2815" spans="2:8" ht="18" x14ac:dyDescent="0.25">
      <c r="B2815" s="86"/>
      <c r="C2815" s="85"/>
      <c r="D2815" s="85"/>
      <c r="E2815" s="85" t="s">
        <v>201</v>
      </c>
      <c r="F2815" s="106" t="e">
        <f>+F2798</f>
        <v>#REF!</v>
      </c>
    </row>
    <row r="2816" spans="2:8" ht="18" x14ac:dyDescent="0.25">
      <c r="B2816" s="86"/>
      <c r="C2816" s="85"/>
      <c r="D2816" s="85"/>
      <c r="E2816" s="85" t="s">
        <v>81</v>
      </c>
      <c r="F2816" s="106" t="e">
        <f>+F2799</f>
        <v>#REF!</v>
      </c>
      <c r="G2816" s="85"/>
      <c r="H2816" s="90"/>
    </row>
    <row r="2817" spans="2:8" ht="18" x14ac:dyDescent="0.25">
      <c r="B2817" s="85"/>
      <c r="C2817" s="85"/>
      <c r="D2817" s="85"/>
      <c r="E2817" s="85" t="s">
        <v>82</v>
      </c>
      <c r="F2817" s="106" t="e">
        <f>+F2800</f>
        <v>#REF!</v>
      </c>
      <c r="G2817" s="85"/>
      <c r="H2817" s="90"/>
    </row>
    <row r="2818" spans="2:8" ht="18" x14ac:dyDescent="0.25">
      <c r="B2818" s="96"/>
      <c r="C2818" s="96"/>
      <c r="D2818" s="96"/>
      <c r="E2818" s="85" t="s">
        <v>188</v>
      </c>
      <c r="F2818" s="106">
        <v>0</v>
      </c>
      <c r="G2818" s="85"/>
      <c r="H2818" s="90"/>
    </row>
    <row r="2819" spans="2:8" ht="18" x14ac:dyDescent="0.25">
      <c r="B2819" s="99">
        <f>+$G$30</f>
        <v>46188</v>
      </c>
      <c r="C2819" s="105" t="e">
        <f>+F2801</f>
        <v>#REF!</v>
      </c>
      <c r="D2819" s="85"/>
      <c r="E2819" s="85" t="s">
        <v>83</v>
      </c>
      <c r="F2819" s="106" t="e">
        <f>+F2801</f>
        <v>#REF!</v>
      </c>
      <c r="G2819" s="85"/>
      <c r="H2819" s="90"/>
    </row>
    <row r="2820" spans="2:8" ht="18" x14ac:dyDescent="0.25">
      <c r="B2820" s="85"/>
      <c r="C2820" s="85"/>
      <c r="D2820" s="85"/>
      <c r="E2820" s="85"/>
      <c r="F2820" s="85"/>
      <c r="G2820" s="85"/>
      <c r="H2820" s="90"/>
    </row>
    <row r="2821" spans="2:8" ht="18" x14ac:dyDescent="0.25">
      <c r="B2821" s="85"/>
      <c r="C2821" s="85"/>
      <c r="D2821" s="85"/>
      <c r="E2821" s="85"/>
      <c r="F2821" s="85"/>
      <c r="G2821" s="345"/>
      <c r="H2821" s="345"/>
    </row>
    <row r="2822" spans="2:8" ht="18" x14ac:dyDescent="0.25">
      <c r="B2822" s="85"/>
      <c r="C2822" s="85"/>
      <c r="D2822" s="85"/>
      <c r="E2822" s="85"/>
      <c r="F2822" s="85"/>
      <c r="G2822" s="85"/>
      <c r="H2822" s="90"/>
    </row>
    <row r="2823" spans="2:8" ht="18" x14ac:dyDescent="0.25">
      <c r="B2823" s="85"/>
      <c r="C2823" s="85"/>
      <c r="D2823" s="85"/>
      <c r="E2823" s="85"/>
      <c r="F2823" s="85"/>
      <c r="G2823" s="85"/>
      <c r="H2823" s="90"/>
    </row>
    <row r="2824" spans="2:8" ht="18" x14ac:dyDescent="0.25">
      <c r="B2824" s="85"/>
      <c r="C2824" s="85"/>
      <c r="D2824" s="85"/>
      <c r="E2824" s="85"/>
      <c r="F2824" s="85"/>
      <c r="G2824" s="85"/>
      <c r="H2824" s="90"/>
    </row>
    <row r="2825" spans="2:8" ht="18" x14ac:dyDescent="0.25">
      <c r="B2825" s="85"/>
      <c r="C2825" s="85"/>
      <c r="D2825" s="85"/>
      <c r="E2825" s="85"/>
      <c r="F2825" s="85"/>
      <c r="G2825" s="85"/>
      <c r="H2825" s="90"/>
    </row>
    <row r="2826" spans="2:8" ht="18" x14ac:dyDescent="0.25">
      <c r="B2826" s="85"/>
      <c r="C2826" s="85"/>
      <c r="D2826" s="85"/>
      <c r="E2826" s="85"/>
      <c r="F2826" s="85"/>
      <c r="H2826" s="90"/>
    </row>
    <row r="2827" spans="2:8" ht="18" x14ac:dyDescent="0.25">
      <c r="B2827" s="343"/>
      <c r="C2827" s="343"/>
      <c r="D2827" s="343"/>
      <c r="E2827" s="85"/>
      <c r="F2827" s="85"/>
      <c r="H2827" s="90"/>
    </row>
    <row r="2828" spans="2:8" ht="18" x14ac:dyDescent="0.25">
      <c r="B2828" s="343"/>
      <c r="C2828" s="343"/>
      <c r="D2828" s="343"/>
      <c r="E2828" s="98">
        <f>+$B$1</f>
        <v>46143</v>
      </c>
      <c r="F2828" s="85"/>
      <c r="G2828" s="99">
        <f>+$D$1</f>
        <v>46188</v>
      </c>
      <c r="H2828" s="160"/>
    </row>
    <row r="2829" spans="2:8" ht="18" x14ac:dyDescent="0.25">
      <c r="B2829" s="84"/>
      <c r="C2829" s="84"/>
      <c r="D2829" s="100"/>
      <c r="E2829" s="98"/>
      <c r="F2829" s="85"/>
    </row>
    <row r="2830" spans="2:8" ht="18" x14ac:dyDescent="0.25">
      <c r="B2830" s="85" t="e">
        <f>+#REF!</f>
        <v>#REF!</v>
      </c>
      <c r="C2830" s="85"/>
      <c r="D2830" s="85"/>
      <c r="F2830" s="85"/>
    </row>
    <row r="2831" spans="2:8" ht="18" x14ac:dyDescent="0.25">
      <c r="C2831" s="85"/>
      <c r="D2831" s="85"/>
      <c r="E2831" s="85" t="str">
        <f>+$E$1</f>
        <v>Lima 461 C:A:B:A:</v>
      </c>
      <c r="F2831" s="85"/>
      <c r="H2831" s="90" t="s">
        <v>159</v>
      </c>
    </row>
    <row r="2832" spans="2:8" ht="18" x14ac:dyDescent="0.25">
      <c r="B2832" s="86"/>
      <c r="C2832" s="85"/>
      <c r="D2832" s="85"/>
      <c r="F2832" s="85"/>
      <c r="G2832" s="86"/>
    </row>
    <row r="2833" spans="2:8" ht="18" x14ac:dyDescent="0.25">
      <c r="B2833" s="85"/>
      <c r="C2833" s="85"/>
      <c r="D2833" s="85"/>
      <c r="E2833" s="86"/>
      <c r="F2833" s="86"/>
      <c r="G2833" s="85"/>
      <c r="H2833" s="94"/>
    </row>
    <row r="2834" spans="2:8" ht="18" x14ac:dyDescent="0.25">
      <c r="B2834" s="94"/>
      <c r="C2834" s="85"/>
      <c r="D2834" s="94"/>
      <c r="E2834" s="85"/>
      <c r="F2834" s="85"/>
      <c r="G2834" s="85"/>
      <c r="H2834" s="90"/>
    </row>
    <row r="2835" spans="2:8" ht="18" x14ac:dyDescent="0.25">
      <c r="B2835" s="85" t="s">
        <v>198</v>
      </c>
      <c r="C2835" s="85"/>
      <c r="D2835" s="107">
        <f>+'RES CUENTA'!$L$25</f>
        <v>10859801.41</v>
      </c>
      <c r="E2835" s="108" t="e">
        <f>+'RES CUENTA'!#REF!</f>
        <v>#REF!</v>
      </c>
      <c r="F2835" s="103" t="e">
        <f>+D2835*E2835/100</f>
        <v>#REF!</v>
      </c>
      <c r="G2835" s="85"/>
      <c r="H2835" s="94"/>
    </row>
    <row r="2836" spans="2:8" ht="18" x14ac:dyDescent="0.25">
      <c r="B2836" s="85" t="s">
        <v>199</v>
      </c>
      <c r="C2836" s="85"/>
      <c r="D2836" s="107" t="e">
        <f>+'RES CUENTA'!#REF!</f>
        <v>#REF!</v>
      </c>
      <c r="E2836" s="108" t="e">
        <f>+'RES CUENTA'!#REF!</f>
        <v>#REF!</v>
      </c>
      <c r="F2836" s="103" t="e">
        <f>+D2836*E2836/100</f>
        <v>#REF!</v>
      </c>
      <c r="G2836" s="94"/>
      <c r="H2836" s="89"/>
    </row>
    <row r="2837" spans="2:8" ht="18" x14ac:dyDescent="0.25">
      <c r="B2837" s="85" t="s">
        <v>79</v>
      </c>
      <c r="C2837" s="85"/>
      <c r="D2837" s="107" t="e">
        <f>+'RES CUENTA'!#REF!</f>
        <v>#REF!</v>
      </c>
      <c r="E2837" s="108">
        <f>+'RES CUENTA'!P1968</f>
        <v>0</v>
      </c>
      <c r="F2837" s="103" t="e">
        <f>+D2837</f>
        <v>#REF!</v>
      </c>
      <c r="G2837" s="89"/>
      <c r="H2837" s="89"/>
    </row>
    <row r="2838" spans="2:8" ht="18" x14ac:dyDescent="0.25">
      <c r="B2838" s="85" t="s">
        <v>80</v>
      </c>
      <c r="C2838" s="85"/>
      <c r="D2838" s="107" t="e">
        <f>+'RES CUENTA'!#REF!</f>
        <v>#REF!</v>
      </c>
      <c r="E2838" s="108">
        <f>+'RES CUENTA'!R1963</f>
        <v>0</v>
      </c>
      <c r="F2838" s="103" t="e">
        <f>+D2838</f>
        <v>#REF!</v>
      </c>
      <c r="G2838" s="89"/>
      <c r="H2838" s="89"/>
    </row>
    <row r="2839" spans="2:8" ht="18" x14ac:dyDescent="0.25">
      <c r="B2839" s="86"/>
      <c r="C2839" s="85"/>
      <c r="D2839" s="85"/>
      <c r="F2839" s="104" t="e">
        <f>SUM(F2835:F2838)</f>
        <v>#REF!</v>
      </c>
      <c r="G2839" s="89"/>
      <c r="H2839" s="90"/>
    </row>
    <row r="2840" spans="2:8" ht="18" x14ac:dyDescent="0.25">
      <c r="B2840" s="85"/>
      <c r="C2840" s="85"/>
      <c r="D2840" s="85"/>
      <c r="E2840" s="85"/>
      <c r="F2840" s="92"/>
      <c r="G2840" s="90"/>
      <c r="H2840" s="90"/>
    </row>
    <row r="2841" spans="2:8" ht="18" x14ac:dyDescent="0.25">
      <c r="B2841" s="85"/>
      <c r="C2841" s="85"/>
      <c r="D2841" s="85"/>
      <c r="E2841" s="85"/>
      <c r="F2841" s="92"/>
      <c r="G2841" s="90"/>
      <c r="H2841" s="90"/>
    </row>
    <row r="2842" spans="2:8" ht="18" x14ac:dyDescent="0.25">
      <c r="B2842" s="85"/>
      <c r="C2842" s="85"/>
      <c r="D2842" s="85"/>
      <c r="E2842" s="85"/>
      <c r="F2842" s="92"/>
      <c r="G2842" s="90"/>
      <c r="H2842" s="90"/>
    </row>
    <row r="2843" spans="2:8" ht="18" x14ac:dyDescent="0.25">
      <c r="B2843" s="85"/>
      <c r="C2843" s="85"/>
      <c r="D2843" s="85"/>
      <c r="E2843" s="85"/>
      <c r="F2843" s="92"/>
      <c r="G2843" s="90"/>
      <c r="H2843" s="90"/>
    </row>
    <row r="2844" spans="2:8" ht="18" x14ac:dyDescent="0.25">
      <c r="B2844" s="85"/>
      <c r="C2844" s="85"/>
      <c r="D2844" s="85"/>
      <c r="E2844" s="85"/>
      <c r="F2844" s="92"/>
      <c r="G2844" s="90"/>
      <c r="H2844" s="90"/>
    </row>
    <row r="2845" spans="2:8" ht="18" x14ac:dyDescent="0.25">
      <c r="B2845" s="85" t="e">
        <f>+B2830</f>
        <v>#REF!</v>
      </c>
      <c r="C2845" s="85"/>
      <c r="D2845" s="85"/>
      <c r="E2845" s="85" t="e">
        <f>+B2830</f>
        <v>#REF!</v>
      </c>
      <c r="F2845" s="85"/>
      <c r="G2845" s="85"/>
      <c r="H2845" s="94"/>
    </row>
    <row r="2846" spans="2:8" ht="18" x14ac:dyDescent="0.25">
      <c r="B2846" s="86"/>
      <c r="C2846" s="85"/>
      <c r="D2846" s="85"/>
      <c r="F2846" s="85"/>
      <c r="G2846" s="101"/>
      <c r="H2846" s="90" t="str">
        <f>+H2831</f>
        <v>Unid. 76</v>
      </c>
    </row>
    <row r="2847" spans="2:8" ht="18" x14ac:dyDescent="0.25">
      <c r="B2847" s="85" t="str">
        <f>+$E$1</f>
        <v>Lima 461 C:A:B:A:</v>
      </c>
      <c r="C2847" s="85"/>
      <c r="D2847" s="93" t="str">
        <f>+H2846</f>
        <v>Unid. 76</v>
      </c>
      <c r="E2847" s="85" t="str">
        <f>+$E$1</f>
        <v>Lima 461 C:A:B:A:</v>
      </c>
      <c r="F2847" s="85"/>
      <c r="G2847" s="85"/>
      <c r="H2847" s="94"/>
    </row>
    <row r="2848" spans="2:8" ht="18" x14ac:dyDescent="0.25">
      <c r="B2848" s="86"/>
      <c r="C2848" s="86"/>
      <c r="D2848" s="86"/>
      <c r="F2848" s="85"/>
      <c r="G2848" s="85"/>
    </row>
    <row r="2849" spans="2:8" ht="18" x14ac:dyDescent="0.25">
      <c r="B2849" s="85"/>
      <c r="C2849" s="85"/>
      <c r="D2849" s="85"/>
      <c r="E2849" s="86"/>
      <c r="F2849" s="85"/>
      <c r="G2849" s="85"/>
      <c r="H2849" s="94"/>
    </row>
    <row r="2850" spans="2:8" ht="18" x14ac:dyDescent="0.25">
      <c r="B2850" s="85">
        <f>+$E$2</f>
        <v>0</v>
      </c>
      <c r="C2850" s="85"/>
      <c r="D2850" s="85"/>
      <c r="E2850" s="85"/>
      <c r="F2850" s="96"/>
      <c r="G2850" s="86"/>
      <c r="H2850" s="90"/>
    </row>
    <row r="2851" spans="2:8" ht="18" x14ac:dyDescent="0.25">
      <c r="B2851" s="85">
        <f>+$E$3</f>
        <v>0</v>
      </c>
      <c r="C2851" s="85"/>
      <c r="D2851" s="85"/>
      <c r="E2851" s="96"/>
      <c r="G2851" s="94"/>
      <c r="H2851" s="96"/>
    </row>
    <row r="2852" spans="2:8" ht="18" x14ac:dyDescent="0.25">
      <c r="B2852" s="86"/>
      <c r="C2852" s="85"/>
      <c r="D2852" s="85"/>
      <c r="E2852" s="85" t="s">
        <v>200</v>
      </c>
      <c r="F2852" s="106" t="e">
        <f>+F2835</f>
        <v>#REF!</v>
      </c>
      <c r="G2852" s="95"/>
      <c r="H2852" s="99">
        <f>+B2856</f>
        <v>46188</v>
      </c>
    </row>
    <row r="2853" spans="2:8" ht="18" x14ac:dyDescent="0.25">
      <c r="B2853" s="86"/>
      <c r="C2853" s="85"/>
      <c r="D2853" s="85"/>
      <c r="E2853" s="85" t="s">
        <v>201</v>
      </c>
      <c r="F2853" s="106" t="e">
        <f>+F2836</f>
        <v>#REF!</v>
      </c>
      <c r="H2853" s="90"/>
    </row>
    <row r="2854" spans="2:8" ht="18" x14ac:dyDescent="0.25">
      <c r="B2854" s="85"/>
      <c r="C2854" s="85"/>
      <c r="D2854" s="85"/>
      <c r="E2854" s="85" t="s">
        <v>81</v>
      </c>
      <c r="F2854" s="106" t="e">
        <f>+F2837</f>
        <v>#REF!</v>
      </c>
      <c r="G2854" s="85"/>
      <c r="H2854" s="90"/>
    </row>
    <row r="2855" spans="2:8" ht="18" x14ac:dyDescent="0.25">
      <c r="B2855" s="96"/>
      <c r="C2855" s="96"/>
      <c r="D2855" s="96"/>
      <c r="E2855" s="85" t="s">
        <v>82</v>
      </c>
      <c r="F2855" s="106" t="e">
        <f>+F2838</f>
        <v>#REF!</v>
      </c>
      <c r="G2855" s="85"/>
      <c r="H2855" s="90"/>
    </row>
    <row r="2856" spans="2:8" ht="18" x14ac:dyDescent="0.25">
      <c r="B2856" s="99">
        <f>+$G$30</f>
        <v>46188</v>
      </c>
      <c r="C2856" s="105" t="e">
        <f>+F2839</f>
        <v>#REF!</v>
      </c>
      <c r="D2856" s="85"/>
      <c r="E2856" s="85" t="s">
        <v>188</v>
      </c>
      <c r="F2856" s="106">
        <v>0</v>
      </c>
      <c r="G2856" s="85"/>
      <c r="H2856" s="90"/>
    </row>
    <row r="2857" spans="2:8" ht="18" x14ac:dyDescent="0.25">
      <c r="B2857" s="85"/>
      <c r="C2857" s="85"/>
      <c r="D2857" s="85"/>
      <c r="E2857" s="85" t="s">
        <v>83</v>
      </c>
      <c r="F2857" s="106" t="e">
        <f>+F2839</f>
        <v>#REF!</v>
      </c>
      <c r="G2857" s="85"/>
      <c r="H2857" s="90"/>
    </row>
    <row r="2858" spans="2:8" ht="18" x14ac:dyDescent="0.25">
      <c r="B2858" s="85"/>
      <c r="C2858" s="85"/>
      <c r="D2858" s="85"/>
      <c r="E2858" s="85"/>
      <c r="F2858" s="85"/>
      <c r="G2858" s="85"/>
      <c r="H2858" s="90"/>
    </row>
    <row r="2859" spans="2:8" ht="18" x14ac:dyDescent="0.25">
      <c r="B2859" s="85"/>
      <c r="C2859" s="85"/>
      <c r="D2859" s="85"/>
      <c r="E2859" s="102"/>
      <c r="F2859" s="85"/>
      <c r="G2859" s="85"/>
      <c r="H2859" s="90"/>
    </row>
    <row r="2860" spans="2:8" ht="18" x14ac:dyDescent="0.25">
      <c r="B2860" s="85"/>
      <c r="C2860" s="85"/>
      <c r="D2860" s="85"/>
      <c r="E2860" s="85"/>
      <c r="F2860" s="85"/>
      <c r="G2860" s="85"/>
      <c r="H2860" s="94"/>
    </row>
    <row r="2861" spans="2:8" ht="18" x14ac:dyDescent="0.25">
      <c r="E2861" s="85"/>
      <c r="G2861" s="94"/>
      <c r="H2861" s="90"/>
    </row>
    <row r="2863" spans="2:8" ht="18" x14ac:dyDescent="0.25">
      <c r="B2863" s="343"/>
      <c r="C2863" s="343"/>
      <c r="D2863" s="343"/>
      <c r="E2863" s="342">
        <f>+$B$1</f>
        <v>46143</v>
      </c>
      <c r="F2863" s="85"/>
      <c r="G2863" s="337">
        <f>+$D$1</f>
        <v>46188</v>
      </c>
      <c r="H2863" s="90"/>
    </row>
    <row r="2864" spans="2:8" ht="18" x14ac:dyDescent="0.25">
      <c r="B2864" s="84"/>
      <c r="C2864" s="84"/>
      <c r="D2864" s="100"/>
      <c r="E2864" s="342"/>
      <c r="F2864" s="85"/>
      <c r="G2864" s="337"/>
      <c r="H2864" s="90"/>
    </row>
    <row r="2865" spans="2:8" ht="18" x14ac:dyDescent="0.25">
      <c r="B2865" s="85"/>
      <c r="C2865" s="85"/>
      <c r="D2865" s="85"/>
      <c r="E2865" s="86"/>
      <c r="F2865" s="85"/>
      <c r="G2865" s="86"/>
      <c r="H2865" s="90"/>
    </row>
    <row r="2866" spans="2:8" ht="18" x14ac:dyDescent="0.25">
      <c r="B2866" s="85" t="e">
        <f>+#REF!</f>
        <v>#REF!</v>
      </c>
      <c r="C2866" s="85"/>
      <c r="D2866" s="85"/>
      <c r="E2866" s="86"/>
      <c r="F2866" s="85"/>
      <c r="G2866" s="86"/>
      <c r="H2866" s="90"/>
    </row>
    <row r="2867" spans="2:8" ht="18" x14ac:dyDescent="0.25">
      <c r="B2867" s="86"/>
      <c r="C2867" s="85"/>
      <c r="D2867" s="85"/>
      <c r="E2867" s="85" t="s">
        <v>78</v>
      </c>
      <c r="F2867" s="85"/>
      <c r="G2867" s="85"/>
      <c r="H2867" s="90" t="s">
        <v>160</v>
      </c>
    </row>
    <row r="2868" spans="2:8" ht="18" x14ac:dyDescent="0.25">
      <c r="B2868" s="85"/>
      <c r="C2868" s="85"/>
      <c r="D2868" s="85"/>
      <c r="E2868" s="86"/>
      <c r="F2868" s="86"/>
      <c r="G2868" s="85"/>
      <c r="H2868" s="94"/>
    </row>
    <row r="2869" spans="2:8" ht="18" x14ac:dyDescent="0.25">
      <c r="B2869" s="94"/>
      <c r="C2869" s="85"/>
      <c r="D2869" s="94"/>
      <c r="E2869" s="85"/>
      <c r="F2869" s="85"/>
      <c r="G2869" s="85"/>
      <c r="H2869" s="90"/>
    </row>
    <row r="2870" spans="2:8" ht="18" x14ac:dyDescent="0.25">
      <c r="B2870" s="94"/>
      <c r="C2870" s="85"/>
      <c r="D2870" s="94"/>
      <c r="E2870" s="85"/>
      <c r="F2870" s="85"/>
      <c r="G2870" s="85"/>
      <c r="H2870" s="90"/>
    </row>
    <row r="2871" spans="2:8" ht="18" x14ac:dyDescent="0.25">
      <c r="B2871" s="85" t="s">
        <v>198</v>
      </c>
      <c r="C2871" s="85"/>
      <c r="D2871" s="107">
        <f>+'RES CUENTA'!$L$25</f>
        <v>10859801.41</v>
      </c>
      <c r="E2871" s="108" t="e">
        <f>+'RES CUENTA'!#REF!</f>
        <v>#REF!</v>
      </c>
      <c r="F2871" s="103" t="e">
        <f>+D2871*E2871/100</f>
        <v>#REF!</v>
      </c>
      <c r="G2871" s="345"/>
      <c r="H2871" s="345"/>
    </row>
    <row r="2872" spans="2:8" ht="18" x14ac:dyDescent="0.25">
      <c r="B2872" s="85" t="s">
        <v>199</v>
      </c>
      <c r="C2872" s="85"/>
      <c r="D2872" s="107" t="e">
        <f>+'RES CUENTA'!#REF!</f>
        <v>#REF!</v>
      </c>
      <c r="E2872" s="108" t="e">
        <f>+'RES CUENTA'!#REF!</f>
        <v>#REF!</v>
      </c>
      <c r="F2872" s="103" t="e">
        <f>+D2872*E2872/100</f>
        <v>#REF!</v>
      </c>
      <c r="G2872" s="341"/>
      <c r="H2872" s="341"/>
    </row>
    <row r="2873" spans="2:8" ht="18" x14ac:dyDescent="0.25">
      <c r="B2873" s="85" t="s">
        <v>79</v>
      </c>
      <c r="C2873" s="85"/>
      <c r="D2873" s="107" t="e">
        <f>+'RES CUENTA'!#REF!</f>
        <v>#REF!</v>
      </c>
      <c r="E2873" s="108">
        <v>0</v>
      </c>
      <c r="F2873" s="103" t="e">
        <f>+D2873</f>
        <v>#REF!</v>
      </c>
      <c r="G2873" s="341"/>
      <c r="H2873" s="341"/>
    </row>
    <row r="2874" spans="2:8" ht="18" x14ac:dyDescent="0.25">
      <c r="B2874" s="85" t="s">
        <v>80</v>
      </c>
      <c r="C2874" s="85"/>
      <c r="D2874" s="107" t="e">
        <f>+'RES CUENTA'!#REF!</f>
        <v>#REF!</v>
      </c>
      <c r="E2874" s="108">
        <v>0</v>
      </c>
      <c r="F2874" s="103" t="e">
        <f>+D2874</f>
        <v>#REF!</v>
      </c>
      <c r="G2874" s="341"/>
      <c r="H2874" s="341"/>
    </row>
    <row r="2875" spans="2:8" ht="18" x14ac:dyDescent="0.25">
      <c r="B2875" s="86"/>
      <c r="C2875" s="85"/>
      <c r="D2875" s="85"/>
      <c r="E2875" s="92"/>
      <c r="F2875" s="104" t="e">
        <f>SUM(F2871:F2874)</f>
        <v>#REF!</v>
      </c>
      <c r="G2875" s="341"/>
      <c r="H2875" s="341"/>
    </row>
    <row r="2876" spans="2:8" ht="18" x14ac:dyDescent="0.25">
      <c r="B2876" s="86"/>
      <c r="C2876" s="85"/>
      <c r="D2876" s="85"/>
      <c r="E2876" s="85"/>
      <c r="G2876" s="338"/>
      <c r="H2876" s="338"/>
    </row>
    <row r="2877" spans="2:8" ht="18" x14ac:dyDescent="0.25">
      <c r="B2877" s="86"/>
      <c r="C2877" s="85"/>
      <c r="D2877" s="85"/>
      <c r="E2877" s="85"/>
      <c r="G2877" s="90"/>
      <c r="H2877" s="90"/>
    </row>
    <row r="2878" spans="2:8" ht="18" x14ac:dyDescent="0.25">
      <c r="B2878" s="85"/>
      <c r="C2878" s="85"/>
      <c r="D2878" s="85"/>
      <c r="E2878" s="85"/>
      <c r="F2878" s="91"/>
      <c r="G2878" s="90"/>
      <c r="H2878" s="90"/>
    </row>
    <row r="2879" spans="2:8" ht="18" x14ac:dyDescent="0.25">
      <c r="B2879" s="85"/>
      <c r="C2879" s="85"/>
      <c r="D2879" s="85"/>
      <c r="E2879" s="85"/>
      <c r="F2879" s="92"/>
      <c r="G2879" s="85"/>
      <c r="H2879" s="90"/>
    </row>
    <row r="2880" spans="2:8" ht="18" x14ac:dyDescent="0.25">
      <c r="B2880" s="85"/>
      <c r="C2880" s="85"/>
      <c r="D2880" s="85"/>
      <c r="E2880" s="85"/>
      <c r="F2880" s="92"/>
      <c r="G2880" s="85"/>
      <c r="H2880" s="90"/>
    </row>
    <row r="2881" spans="2:8" ht="18" x14ac:dyDescent="0.25">
      <c r="B2881" s="85" t="e">
        <f>+B2866</f>
        <v>#REF!</v>
      </c>
      <c r="C2881" s="344"/>
      <c r="D2881" s="344"/>
      <c r="E2881" s="85" t="e">
        <f>+B2881</f>
        <v>#REF!</v>
      </c>
      <c r="F2881" s="92"/>
      <c r="G2881" s="85"/>
      <c r="H2881" s="90"/>
    </row>
    <row r="2882" spans="2:8" ht="18" x14ac:dyDescent="0.25">
      <c r="C2882" s="85"/>
      <c r="D2882" s="85"/>
      <c r="F2882" s="344"/>
      <c r="G2882" s="344"/>
      <c r="H2882" s="344"/>
    </row>
    <row r="2883" spans="2:8" ht="18" x14ac:dyDescent="0.25">
      <c r="B2883" s="85" t="str">
        <f>+$E$1</f>
        <v>Lima 461 C:A:B:A:</v>
      </c>
      <c r="C2883" s="85"/>
      <c r="D2883" s="93" t="str">
        <f>+H2867</f>
        <v>Unid. 77</v>
      </c>
      <c r="E2883" s="85" t="str">
        <f>+$E$1</f>
        <v>Lima 461 C:A:B:A:</v>
      </c>
      <c r="F2883" s="85"/>
      <c r="G2883" s="85"/>
      <c r="H2883" s="90" t="str">
        <f>+D2883</f>
        <v>Unid. 77</v>
      </c>
    </row>
    <row r="2884" spans="2:8" ht="18" x14ac:dyDescent="0.25">
      <c r="H2884" s="94"/>
    </row>
    <row r="2885" spans="2:8" ht="18" x14ac:dyDescent="0.25">
      <c r="B2885" s="86"/>
      <c r="C2885" s="86"/>
      <c r="D2885" s="86"/>
      <c r="E2885" s="86"/>
      <c r="F2885" s="85"/>
      <c r="G2885" s="85"/>
    </row>
    <row r="2886" spans="2:8" ht="18" x14ac:dyDescent="0.25">
      <c r="B2886" s="85">
        <f>+$E$2</f>
        <v>0</v>
      </c>
      <c r="C2886" s="85"/>
      <c r="D2886" s="85"/>
      <c r="E2886" s="85"/>
      <c r="F2886" s="85"/>
      <c r="G2886" s="86"/>
      <c r="H2886" s="94"/>
    </row>
    <row r="2887" spans="2:8" ht="18" x14ac:dyDescent="0.25">
      <c r="B2887" s="85">
        <f>+$E$3</f>
        <v>0</v>
      </c>
      <c r="C2887" s="85"/>
      <c r="D2887" s="85"/>
      <c r="E2887" s="96"/>
      <c r="F2887" s="85"/>
      <c r="G2887" s="94"/>
      <c r="H2887" s="90"/>
    </row>
    <row r="2888" spans="2:8" ht="18" x14ac:dyDescent="0.25">
      <c r="C2888" s="85"/>
      <c r="D2888" s="85"/>
      <c r="E2888" s="85" t="s">
        <v>200</v>
      </c>
      <c r="F2888" s="106" t="e">
        <f>+F2871</f>
        <v>#REF!</v>
      </c>
      <c r="H2888" s="99">
        <f>+B2893</f>
        <v>46188</v>
      </c>
    </row>
    <row r="2889" spans="2:8" ht="18" x14ac:dyDescent="0.25">
      <c r="B2889" s="86"/>
      <c r="C2889" s="85"/>
      <c r="D2889" s="85"/>
      <c r="E2889" s="85" t="s">
        <v>201</v>
      </c>
      <c r="F2889" s="106" t="e">
        <f>+F2872</f>
        <v>#REF!</v>
      </c>
    </row>
    <row r="2890" spans="2:8" ht="18" x14ac:dyDescent="0.25">
      <c r="B2890" s="86"/>
      <c r="C2890" s="85"/>
      <c r="D2890" s="85"/>
      <c r="E2890" s="85" t="s">
        <v>81</v>
      </c>
      <c r="F2890" s="106" t="e">
        <f>+F2873</f>
        <v>#REF!</v>
      </c>
      <c r="G2890" s="85"/>
      <c r="H2890" s="90"/>
    </row>
    <row r="2891" spans="2:8" ht="18" x14ac:dyDescent="0.25">
      <c r="B2891" s="85"/>
      <c r="C2891" s="85"/>
      <c r="D2891" s="85"/>
      <c r="E2891" s="85" t="s">
        <v>82</v>
      </c>
      <c r="F2891" s="106" t="e">
        <f>+F2874</f>
        <v>#REF!</v>
      </c>
      <c r="G2891" s="85"/>
      <c r="H2891" s="90"/>
    </row>
    <row r="2892" spans="2:8" ht="18" x14ac:dyDescent="0.25">
      <c r="B2892" s="96"/>
      <c r="C2892" s="96"/>
      <c r="D2892" s="96"/>
      <c r="E2892" s="85" t="s">
        <v>188</v>
      </c>
      <c r="F2892" s="106">
        <v>0</v>
      </c>
      <c r="G2892" s="85"/>
      <c r="H2892" s="90"/>
    </row>
    <row r="2893" spans="2:8" ht="18" x14ac:dyDescent="0.25">
      <c r="B2893" s="99">
        <f>+$G$30</f>
        <v>46188</v>
      </c>
      <c r="C2893" s="105" t="e">
        <f>+F2875</f>
        <v>#REF!</v>
      </c>
      <c r="D2893" s="85"/>
      <c r="E2893" s="85" t="s">
        <v>83</v>
      </c>
      <c r="F2893" s="106" t="e">
        <f>+F2875</f>
        <v>#REF!</v>
      </c>
      <c r="G2893" s="85"/>
      <c r="H2893" s="90"/>
    </row>
    <row r="2894" spans="2:8" ht="18" x14ac:dyDescent="0.25">
      <c r="B2894" s="85"/>
      <c r="C2894" s="85"/>
      <c r="D2894" s="85"/>
      <c r="E2894" s="85"/>
      <c r="F2894" s="85"/>
      <c r="G2894" s="85"/>
      <c r="H2894" s="90"/>
    </row>
    <row r="2895" spans="2:8" ht="18" x14ac:dyDescent="0.25">
      <c r="B2895" s="85"/>
      <c r="C2895" s="85"/>
      <c r="D2895" s="85"/>
      <c r="E2895" s="85"/>
      <c r="F2895" s="85"/>
      <c r="G2895" s="345"/>
      <c r="H2895" s="345"/>
    </row>
    <row r="2896" spans="2:8" ht="18" x14ac:dyDescent="0.25">
      <c r="B2896" s="85"/>
      <c r="C2896" s="85"/>
      <c r="D2896" s="85"/>
      <c r="E2896" s="85"/>
      <c r="F2896" s="85"/>
      <c r="G2896" s="85"/>
      <c r="H2896" s="90"/>
    </row>
    <row r="2897" spans="2:8" ht="18" x14ac:dyDescent="0.25">
      <c r="B2897" s="85"/>
      <c r="C2897" s="85"/>
      <c r="D2897" s="85"/>
      <c r="E2897" s="85"/>
      <c r="F2897" s="85"/>
      <c r="G2897" s="85"/>
      <c r="H2897" s="90"/>
    </row>
    <row r="2898" spans="2:8" ht="18" x14ac:dyDescent="0.25">
      <c r="B2898" s="85"/>
      <c r="C2898" s="85"/>
      <c r="D2898" s="85"/>
      <c r="E2898" s="85"/>
      <c r="F2898" s="85"/>
      <c r="G2898" s="85"/>
      <c r="H2898" s="90"/>
    </row>
    <row r="2899" spans="2:8" ht="18" x14ac:dyDescent="0.25">
      <c r="B2899" s="85"/>
      <c r="C2899" s="85"/>
      <c r="D2899" s="85"/>
      <c r="E2899" s="85"/>
      <c r="F2899" s="85"/>
      <c r="G2899" s="85"/>
      <c r="H2899" s="90"/>
    </row>
    <row r="2900" spans="2:8" ht="18" x14ac:dyDescent="0.25">
      <c r="B2900" s="85"/>
      <c r="C2900" s="85"/>
      <c r="D2900" s="85"/>
      <c r="E2900" s="85"/>
      <c r="F2900" s="85"/>
      <c r="H2900" s="90"/>
    </row>
    <row r="2901" spans="2:8" ht="18" x14ac:dyDescent="0.25">
      <c r="B2901" s="343"/>
      <c r="C2901" s="343"/>
      <c r="D2901" s="343"/>
      <c r="E2901" s="85"/>
      <c r="F2901" s="85"/>
      <c r="H2901" s="90"/>
    </row>
    <row r="2902" spans="2:8" ht="18" x14ac:dyDescent="0.25">
      <c r="B2902" s="343"/>
      <c r="C2902" s="343"/>
      <c r="D2902" s="343"/>
      <c r="E2902" s="98">
        <f>+$B$1</f>
        <v>46143</v>
      </c>
      <c r="F2902" s="85"/>
      <c r="G2902" s="99">
        <f>+$D$1</f>
        <v>46188</v>
      </c>
      <c r="H2902" s="160"/>
    </row>
    <row r="2903" spans="2:8" ht="18" x14ac:dyDescent="0.25">
      <c r="B2903" s="84"/>
      <c r="C2903" s="84"/>
      <c r="D2903" s="100"/>
      <c r="E2903" s="98"/>
      <c r="F2903" s="85"/>
    </row>
    <row r="2904" spans="2:8" ht="18" x14ac:dyDescent="0.25">
      <c r="B2904" s="85" t="e">
        <f>+#REF!</f>
        <v>#REF!</v>
      </c>
      <c r="C2904" s="85"/>
      <c r="D2904" s="85"/>
      <c r="F2904" s="85"/>
    </row>
    <row r="2905" spans="2:8" ht="18" x14ac:dyDescent="0.25">
      <c r="C2905" s="85"/>
      <c r="D2905" s="85"/>
      <c r="E2905" s="85" t="str">
        <f>+$E$1</f>
        <v>Lima 461 C:A:B:A:</v>
      </c>
      <c r="F2905" s="85"/>
      <c r="H2905" s="90" t="s">
        <v>161</v>
      </c>
    </row>
    <row r="2906" spans="2:8" ht="18" x14ac:dyDescent="0.25">
      <c r="B2906" s="85"/>
      <c r="C2906" s="85"/>
      <c r="D2906" s="85"/>
      <c r="E2906" s="86"/>
      <c r="F2906" s="86"/>
      <c r="G2906" s="85"/>
      <c r="H2906" s="94"/>
    </row>
    <row r="2907" spans="2:8" ht="18" x14ac:dyDescent="0.25">
      <c r="B2907" s="85"/>
      <c r="C2907" s="85"/>
      <c r="D2907" s="85"/>
      <c r="E2907" s="86"/>
      <c r="F2907" s="86"/>
      <c r="G2907" s="85"/>
      <c r="H2907" s="94"/>
    </row>
    <row r="2908" spans="2:8" ht="18" x14ac:dyDescent="0.25">
      <c r="B2908" s="94"/>
      <c r="C2908" s="85"/>
      <c r="D2908" s="94"/>
      <c r="E2908" s="85"/>
      <c r="F2908" s="85"/>
      <c r="G2908" s="85"/>
      <c r="H2908" s="90"/>
    </row>
    <row r="2909" spans="2:8" ht="18" x14ac:dyDescent="0.25">
      <c r="B2909" s="85" t="s">
        <v>198</v>
      </c>
      <c r="C2909" s="85"/>
      <c r="D2909" s="107">
        <f>+'RES CUENTA'!$L$25</f>
        <v>10859801.41</v>
      </c>
      <c r="E2909" s="108" t="e">
        <f>+'RES CUENTA'!#REF!</f>
        <v>#REF!</v>
      </c>
      <c r="F2909" s="103" t="e">
        <f>+D2909*E2909/100</f>
        <v>#REF!</v>
      </c>
      <c r="G2909" s="85"/>
      <c r="H2909" s="94"/>
    </row>
    <row r="2910" spans="2:8" ht="18" x14ac:dyDescent="0.25">
      <c r="B2910" s="85" t="s">
        <v>199</v>
      </c>
      <c r="C2910" s="85"/>
      <c r="D2910" s="107" t="e">
        <f>+'RES CUENTA'!#REF!</f>
        <v>#REF!</v>
      </c>
      <c r="E2910" s="108" t="e">
        <f>+'RES CUENTA'!#REF!</f>
        <v>#REF!</v>
      </c>
      <c r="F2910" s="103" t="e">
        <f>+D2910*E2910/100</f>
        <v>#REF!</v>
      </c>
      <c r="G2910" s="94"/>
      <c r="H2910" s="89"/>
    </row>
    <row r="2911" spans="2:8" ht="18" x14ac:dyDescent="0.25">
      <c r="B2911" s="85" t="s">
        <v>79</v>
      </c>
      <c r="C2911" s="85"/>
      <c r="D2911" s="107" t="e">
        <f>+'RES CUENTA'!#REF!</f>
        <v>#REF!</v>
      </c>
      <c r="E2911" s="108">
        <f>+'RES CUENTA'!P2044</f>
        <v>0</v>
      </c>
      <c r="F2911" s="103" t="e">
        <f>+D2911</f>
        <v>#REF!</v>
      </c>
      <c r="G2911" s="89"/>
      <c r="H2911" s="89"/>
    </row>
    <row r="2912" spans="2:8" ht="18" x14ac:dyDescent="0.25">
      <c r="B2912" s="85" t="s">
        <v>80</v>
      </c>
      <c r="C2912" s="85"/>
      <c r="D2912" s="107" t="e">
        <f>+'RES CUENTA'!#REF!</f>
        <v>#REF!</v>
      </c>
      <c r="E2912" s="108">
        <f>+'RES CUENTA'!R2039</f>
        <v>0</v>
      </c>
      <c r="F2912" s="103" t="e">
        <f>+D2912</f>
        <v>#REF!</v>
      </c>
      <c r="G2912" s="89"/>
      <c r="H2912" s="89"/>
    </row>
    <row r="2913" spans="2:8" ht="18" x14ac:dyDescent="0.25">
      <c r="B2913" s="86"/>
      <c r="C2913" s="85"/>
      <c r="D2913" s="85"/>
      <c r="F2913" s="104" t="e">
        <f>SUM(F2909:F2912)</f>
        <v>#REF!</v>
      </c>
      <c r="G2913" s="89"/>
      <c r="H2913" s="89"/>
    </row>
    <row r="2914" spans="2:8" ht="18" x14ac:dyDescent="0.25">
      <c r="B2914" s="85"/>
      <c r="C2914" s="85"/>
      <c r="D2914" s="85"/>
      <c r="E2914" s="85"/>
      <c r="F2914" s="92"/>
      <c r="G2914" s="90"/>
      <c r="H2914" s="90"/>
    </row>
    <row r="2915" spans="2:8" ht="18" x14ac:dyDescent="0.25">
      <c r="B2915" s="85"/>
      <c r="C2915" s="85"/>
      <c r="D2915" s="85"/>
      <c r="E2915" s="85"/>
      <c r="F2915" s="92"/>
      <c r="G2915" s="90"/>
      <c r="H2915" s="90"/>
    </row>
    <row r="2916" spans="2:8" ht="18" x14ac:dyDescent="0.25">
      <c r="B2916" s="85"/>
      <c r="C2916" s="85"/>
      <c r="D2916" s="85"/>
      <c r="E2916" s="85"/>
      <c r="F2916" s="92"/>
      <c r="G2916" s="90"/>
      <c r="H2916" s="90"/>
    </row>
    <row r="2917" spans="2:8" ht="18" x14ac:dyDescent="0.25">
      <c r="B2917" s="85"/>
      <c r="C2917" s="85"/>
      <c r="D2917" s="85"/>
      <c r="E2917" s="85"/>
      <c r="F2917" s="92"/>
      <c r="G2917" s="90"/>
      <c r="H2917" s="90"/>
    </row>
    <row r="2918" spans="2:8" ht="18" x14ac:dyDescent="0.25">
      <c r="B2918" s="85" t="e">
        <f>+B2904</f>
        <v>#REF!</v>
      </c>
      <c r="C2918" s="85"/>
      <c r="D2918" s="85"/>
      <c r="E2918" s="85" t="e">
        <f>+B2904</f>
        <v>#REF!</v>
      </c>
      <c r="F2918" s="85"/>
      <c r="G2918" s="85"/>
      <c r="H2918" s="94"/>
    </row>
    <row r="2919" spans="2:8" ht="18" x14ac:dyDescent="0.25">
      <c r="B2919" s="86"/>
      <c r="C2919" s="85"/>
      <c r="D2919" s="85"/>
      <c r="F2919" s="85"/>
      <c r="G2919" s="101"/>
      <c r="H2919" s="90" t="str">
        <f>+H2905</f>
        <v>Unid. 78</v>
      </c>
    </row>
    <row r="2920" spans="2:8" ht="18" x14ac:dyDescent="0.25">
      <c r="B2920" s="85" t="str">
        <f>+$E$1</f>
        <v>Lima 461 C:A:B:A:</v>
      </c>
      <c r="C2920" s="85"/>
      <c r="D2920" s="93" t="str">
        <f>+H2919</f>
        <v>Unid. 78</v>
      </c>
      <c r="E2920" s="85" t="str">
        <f>+$E$1</f>
        <v>Lima 461 C:A:B:A:</v>
      </c>
      <c r="F2920" s="85"/>
      <c r="G2920" s="85"/>
      <c r="H2920" s="94"/>
    </row>
    <row r="2921" spans="2:8" ht="18" x14ac:dyDescent="0.25">
      <c r="B2921" s="86"/>
      <c r="C2921" s="86"/>
      <c r="D2921" s="86"/>
      <c r="F2921" s="85"/>
      <c r="G2921" s="85"/>
    </row>
    <row r="2922" spans="2:8" ht="18" x14ac:dyDescent="0.25">
      <c r="B2922" s="85"/>
      <c r="C2922" s="85"/>
      <c r="D2922" s="85"/>
      <c r="E2922" s="86"/>
      <c r="F2922" s="85"/>
      <c r="G2922" s="85"/>
      <c r="H2922" s="94"/>
    </row>
    <row r="2923" spans="2:8" ht="18" x14ac:dyDescent="0.25">
      <c r="B2923" s="85">
        <f>+$E$2</f>
        <v>0</v>
      </c>
      <c r="C2923" s="85"/>
      <c r="D2923" s="85"/>
      <c r="E2923" s="85"/>
      <c r="F2923" s="96"/>
      <c r="G2923" s="86"/>
      <c r="H2923" s="90"/>
    </row>
    <row r="2924" spans="2:8" ht="18" x14ac:dyDescent="0.25">
      <c r="B2924" s="85">
        <f>+$E$3</f>
        <v>0</v>
      </c>
      <c r="C2924" s="85"/>
      <c r="D2924" s="85"/>
      <c r="E2924" s="96"/>
      <c r="G2924" s="94"/>
      <c r="H2924" s="96"/>
    </row>
    <row r="2925" spans="2:8" ht="18" x14ac:dyDescent="0.25">
      <c r="B2925" s="86"/>
      <c r="C2925" s="85"/>
      <c r="D2925" s="85"/>
      <c r="E2925" s="85" t="s">
        <v>200</v>
      </c>
      <c r="F2925" s="106" t="e">
        <f>+F2909</f>
        <v>#REF!</v>
      </c>
      <c r="G2925" s="95"/>
      <c r="H2925" s="99">
        <f>+B2929</f>
        <v>46188</v>
      </c>
    </row>
    <row r="2926" spans="2:8" ht="18" x14ac:dyDescent="0.25">
      <c r="B2926" s="86"/>
      <c r="C2926" s="85"/>
      <c r="D2926" s="85"/>
      <c r="E2926" s="85" t="s">
        <v>201</v>
      </c>
      <c r="F2926" s="106" t="e">
        <f>+F2910</f>
        <v>#REF!</v>
      </c>
      <c r="H2926" s="90"/>
    </row>
    <row r="2927" spans="2:8" ht="18" x14ac:dyDescent="0.25">
      <c r="B2927" s="85"/>
      <c r="C2927" s="85"/>
      <c r="D2927" s="85"/>
      <c r="E2927" s="85" t="s">
        <v>81</v>
      </c>
      <c r="F2927" s="106" t="e">
        <f>+F2911</f>
        <v>#REF!</v>
      </c>
      <c r="G2927" s="85"/>
      <c r="H2927" s="90"/>
    </row>
    <row r="2928" spans="2:8" ht="18" x14ac:dyDescent="0.25">
      <c r="B2928" s="96"/>
      <c r="C2928" s="96"/>
      <c r="D2928" s="96"/>
      <c r="E2928" s="85" t="s">
        <v>82</v>
      </c>
      <c r="F2928" s="106" t="e">
        <f>+F2912</f>
        <v>#REF!</v>
      </c>
      <c r="G2928" s="85"/>
      <c r="H2928" s="90"/>
    </row>
    <row r="2929" spans="2:8" ht="18" x14ac:dyDescent="0.25">
      <c r="B2929" s="99">
        <f>+$G$30</f>
        <v>46188</v>
      </c>
      <c r="C2929" s="105" t="e">
        <f>+F2913</f>
        <v>#REF!</v>
      </c>
      <c r="D2929" s="85"/>
      <c r="E2929" s="85" t="s">
        <v>188</v>
      </c>
      <c r="F2929" s="106">
        <v>0</v>
      </c>
      <c r="G2929" s="85"/>
      <c r="H2929" s="90"/>
    </row>
    <row r="2930" spans="2:8" ht="18" x14ac:dyDescent="0.25">
      <c r="B2930" s="85"/>
      <c r="C2930" s="85"/>
      <c r="D2930" s="85"/>
      <c r="E2930" s="85" t="s">
        <v>83</v>
      </c>
      <c r="F2930" s="106" t="e">
        <f>+F2913</f>
        <v>#REF!</v>
      </c>
      <c r="G2930" s="85"/>
      <c r="H2930" s="90"/>
    </row>
    <row r="2931" spans="2:8" ht="18" x14ac:dyDescent="0.25">
      <c r="B2931" s="85"/>
      <c r="C2931" s="85"/>
      <c r="D2931" s="85"/>
      <c r="E2931" s="85"/>
      <c r="F2931" s="85"/>
      <c r="G2931" s="85"/>
      <c r="H2931" s="90"/>
    </row>
    <row r="2932" spans="2:8" ht="18" x14ac:dyDescent="0.25">
      <c r="B2932" s="85"/>
      <c r="C2932" s="85"/>
      <c r="D2932" s="85"/>
      <c r="E2932" s="102"/>
      <c r="F2932" s="85"/>
      <c r="G2932" s="85"/>
      <c r="H2932" s="90"/>
    </row>
    <row r="2933" spans="2:8" ht="18" x14ac:dyDescent="0.25">
      <c r="B2933" s="85"/>
      <c r="C2933" s="85"/>
      <c r="D2933" s="85"/>
      <c r="E2933" s="85"/>
      <c r="F2933" s="85"/>
      <c r="G2933" s="85"/>
      <c r="H2933" s="94"/>
    </row>
    <row r="2934" spans="2:8" ht="18" x14ac:dyDescent="0.25">
      <c r="E2934" s="85"/>
      <c r="G2934" s="94"/>
      <c r="H2934" s="90"/>
    </row>
    <row r="2936" spans="2:8" ht="18" x14ac:dyDescent="0.25">
      <c r="B2936" s="343"/>
      <c r="C2936" s="343"/>
      <c r="D2936" s="343"/>
      <c r="E2936" s="342">
        <f>+$B$1</f>
        <v>46143</v>
      </c>
      <c r="F2936" s="85"/>
      <c r="G2936" s="337">
        <f>+$D$1</f>
        <v>46188</v>
      </c>
      <c r="H2936" s="90"/>
    </row>
    <row r="2937" spans="2:8" ht="18" x14ac:dyDescent="0.25">
      <c r="B2937" s="84"/>
      <c r="C2937" s="84"/>
      <c r="D2937" s="100"/>
      <c r="E2937" s="342"/>
      <c r="F2937" s="85"/>
      <c r="G2937" s="337"/>
      <c r="H2937" s="90"/>
    </row>
    <row r="2938" spans="2:8" ht="18" x14ac:dyDescent="0.25">
      <c r="B2938" s="85"/>
      <c r="C2938" s="85"/>
      <c r="D2938" s="85"/>
      <c r="E2938" s="86"/>
      <c r="F2938" s="85"/>
      <c r="G2938" s="86"/>
      <c r="H2938" s="90"/>
    </row>
    <row r="2939" spans="2:8" ht="18" x14ac:dyDescent="0.25">
      <c r="B2939" s="85" t="e">
        <f>+#REF!</f>
        <v>#REF!</v>
      </c>
      <c r="C2939" s="85"/>
      <c r="D2939" s="85"/>
      <c r="E2939" s="86"/>
      <c r="F2939" s="85"/>
      <c r="G2939" s="86"/>
      <c r="H2939" s="90"/>
    </row>
    <row r="2940" spans="2:8" ht="18" x14ac:dyDescent="0.25">
      <c r="B2940" s="86"/>
      <c r="C2940" s="85"/>
      <c r="D2940" s="85"/>
      <c r="E2940" s="85" t="s">
        <v>78</v>
      </c>
      <c r="F2940" s="85"/>
      <c r="G2940" s="85"/>
      <c r="H2940" s="90" t="s">
        <v>162</v>
      </c>
    </row>
    <row r="2941" spans="2:8" ht="18" x14ac:dyDescent="0.25">
      <c r="B2941" s="85"/>
      <c r="C2941" s="85"/>
      <c r="D2941" s="85"/>
      <c r="E2941" s="86"/>
      <c r="F2941" s="86"/>
      <c r="G2941" s="85"/>
      <c r="H2941" s="94"/>
    </row>
    <row r="2942" spans="2:8" ht="18" x14ac:dyDescent="0.25">
      <c r="B2942" s="94"/>
      <c r="C2942" s="85"/>
      <c r="D2942" s="94"/>
      <c r="E2942" s="85"/>
      <c r="F2942" s="85"/>
      <c r="G2942" s="85"/>
      <c r="H2942" s="90"/>
    </row>
    <row r="2943" spans="2:8" ht="18" x14ac:dyDescent="0.25">
      <c r="B2943" s="94"/>
      <c r="C2943" s="85"/>
      <c r="D2943" s="94"/>
      <c r="E2943" s="85"/>
      <c r="F2943" s="85"/>
      <c r="G2943" s="85"/>
      <c r="H2943" s="90"/>
    </row>
    <row r="2944" spans="2:8" ht="18" x14ac:dyDescent="0.25">
      <c r="B2944" s="85" t="s">
        <v>198</v>
      </c>
      <c r="C2944" s="85"/>
      <c r="D2944" s="107">
        <f>+'RES CUENTA'!$L$25</f>
        <v>10859801.41</v>
      </c>
      <c r="E2944" s="108" t="e">
        <f>+'RES CUENTA'!#REF!</f>
        <v>#REF!</v>
      </c>
      <c r="F2944" s="103" t="e">
        <f>+D2944*E2944/100</f>
        <v>#REF!</v>
      </c>
      <c r="G2944" s="345"/>
      <c r="H2944" s="345"/>
    </row>
    <row r="2945" spans="2:8" ht="18" x14ac:dyDescent="0.25">
      <c r="B2945" s="85" t="s">
        <v>199</v>
      </c>
      <c r="C2945" s="85"/>
      <c r="D2945" s="107" t="e">
        <f>+'RES CUENTA'!#REF!</f>
        <v>#REF!</v>
      </c>
      <c r="E2945" s="108" t="e">
        <f>+'RES CUENTA'!#REF!</f>
        <v>#REF!</v>
      </c>
      <c r="F2945" s="103" t="e">
        <f>+D2945*E2945/100</f>
        <v>#REF!</v>
      </c>
      <c r="G2945" s="341"/>
      <c r="H2945" s="341"/>
    </row>
    <row r="2946" spans="2:8" ht="18" x14ac:dyDescent="0.25">
      <c r="B2946" s="85" t="s">
        <v>79</v>
      </c>
      <c r="C2946" s="85"/>
      <c r="D2946" s="107" t="e">
        <f>+'RES CUENTA'!#REF!</f>
        <v>#REF!</v>
      </c>
      <c r="E2946" s="108">
        <v>0</v>
      </c>
      <c r="F2946" s="103" t="e">
        <f>+D2946</f>
        <v>#REF!</v>
      </c>
      <c r="G2946" s="341"/>
      <c r="H2946" s="341"/>
    </row>
    <row r="2947" spans="2:8" ht="18" x14ac:dyDescent="0.25">
      <c r="B2947" s="85" t="s">
        <v>80</v>
      </c>
      <c r="C2947" s="85"/>
      <c r="D2947" s="107" t="e">
        <f>+'RES CUENTA'!#REF!</f>
        <v>#REF!</v>
      </c>
      <c r="E2947" s="108">
        <v>0</v>
      </c>
      <c r="F2947" s="103" t="e">
        <f>+D2947</f>
        <v>#REF!</v>
      </c>
      <c r="G2947" s="341"/>
      <c r="H2947" s="341"/>
    </row>
    <row r="2948" spans="2:8" ht="18" x14ac:dyDescent="0.25">
      <c r="B2948" s="86"/>
      <c r="C2948" s="85"/>
      <c r="D2948" s="85"/>
      <c r="E2948" s="92"/>
      <c r="F2948" s="104" t="e">
        <f>SUM(F2944:F2947)</f>
        <v>#REF!</v>
      </c>
      <c r="G2948" s="341"/>
      <c r="H2948" s="341"/>
    </row>
    <row r="2949" spans="2:8" ht="18" x14ac:dyDescent="0.25">
      <c r="B2949" s="86"/>
      <c r="C2949" s="85"/>
      <c r="D2949" s="85"/>
      <c r="E2949" s="92"/>
      <c r="F2949" s="104"/>
      <c r="G2949" s="89"/>
      <c r="H2949" s="89"/>
    </row>
    <row r="2950" spans="2:8" ht="18" x14ac:dyDescent="0.25">
      <c r="B2950" s="86"/>
      <c r="C2950" s="85"/>
      <c r="D2950" s="85"/>
      <c r="E2950" s="85"/>
      <c r="G2950" s="338"/>
      <c r="H2950" s="338"/>
    </row>
    <row r="2951" spans="2:8" ht="18" x14ac:dyDescent="0.25">
      <c r="B2951" s="85"/>
      <c r="C2951" s="85"/>
      <c r="D2951" s="85"/>
      <c r="E2951" s="85"/>
      <c r="F2951" s="91"/>
      <c r="G2951" s="90"/>
      <c r="H2951" s="90"/>
    </row>
    <row r="2952" spans="2:8" ht="18" x14ac:dyDescent="0.25">
      <c r="B2952" s="85"/>
      <c r="C2952" s="85"/>
      <c r="D2952" s="85"/>
      <c r="E2952" s="85"/>
      <c r="F2952" s="92"/>
      <c r="G2952" s="85"/>
      <c r="H2952" s="90"/>
    </row>
    <row r="2953" spans="2:8" ht="18" x14ac:dyDescent="0.25">
      <c r="B2953" s="85"/>
      <c r="C2953" s="85"/>
      <c r="D2953" s="85"/>
      <c r="E2953" s="85"/>
      <c r="F2953" s="92"/>
      <c r="G2953" s="85"/>
      <c r="H2953" s="90"/>
    </row>
    <row r="2954" spans="2:8" ht="18" x14ac:dyDescent="0.25">
      <c r="B2954" s="85" t="e">
        <f>+B2939</f>
        <v>#REF!</v>
      </c>
      <c r="C2954" s="344"/>
      <c r="D2954" s="344"/>
      <c r="E2954" s="85" t="e">
        <f>+B2954</f>
        <v>#REF!</v>
      </c>
      <c r="F2954" s="92"/>
      <c r="G2954" s="85"/>
      <c r="H2954" s="90"/>
    </row>
    <row r="2955" spans="2:8" ht="18" x14ac:dyDescent="0.25">
      <c r="C2955" s="85"/>
      <c r="D2955" s="85"/>
      <c r="F2955" s="344"/>
      <c r="G2955" s="344"/>
      <c r="H2955" s="344"/>
    </row>
    <row r="2956" spans="2:8" ht="18" x14ac:dyDescent="0.25">
      <c r="B2956" s="85" t="str">
        <f>+$E$1</f>
        <v>Lima 461 C:A:B:A:</v>
      </c>
      <c r="C2956" s="85"/>
      <c r="D2956" s="93" t="str">
        <f>+H2940</f>
        <v>Unid. 79</v>
      </c>
      <c r="E2956" s="85" t="str">
        <f>+$E$1</f>
        <v>Lima 461 C:A:B:A:</v>
      </c>
      <c r="F2956" s="85"/>
      <c r="G2956" s="85"/>
      <c r="H2956" s="90" t="str">
        <f>+D2956</f>
        <v>Unid. 79</v>
      </c>
    </row>
    <row r="2957" spans="2:8" ht="18" x14ac:dyDescent="0.25">
      <c r="H2957" s="94"/>
    </row>
    <row r="2958" spans="2:8" ht="18" x14ac:dyDescent="0.25">
      <c r="B2958" s="86"/>
      <c r="C2958" s="86"/>
      <c r="D2958" s="86"/>
      <c r="E2958" s="86"/>
      <c r="F2958" s="85"/>
      <c r="G2958" s="85"/>
    </row>
    <row r="2959" spans="2:8" ht="18" x14ac:dyDescent="0.25">
      <c r="B2959" s="85">
        <f>+$E$2</f>
        <v>0</v>
      </c>
      <c r="C2959" s="85"/>
      <c r="D2959" s="85"/>
      <c r="E2959" s="85"/>
      <c r="F2959" s="85"/>
      <c r="G2959" s="86"/>
      <c r="H2959" s="94"/>
    </row>
    <row r="2960" spans="2:8" ht="18" x14ac:dyDescent="0.25">
      <c r="B2960" s="85">
        <f>+$E$3</f>
        <v>0</v>
      </c>
      <c r="C2960" s="85"/>
      <c r="D2960" s="85"/>
      <c r="E2960" s="96"/>
      <c r="F2960" s="85"/>
      <c r="G2960" s="94"/>
      <c r="H2960" s="90"/>
    </row>
    <row r="2961" spans="2:8" ht="18" x14ac:dyDescent="0.25">
      <c r="C2961" s="85"/>
      <c r="D2961" s="85"/>
      <c r="E2961" s="85" t="s">
        <v>200</v>
      </c>
      <c r="F2961" s="106" t="e">
        <f>+F2944</f>
        <v>#REF!</v>
      </c>
      <c r="H2961" s="99">
        <f>+B2966</f>
        <v>46188</v>
      </c>
    </row>
    <row r="2962" spans="2:8" ht="18" x14ac:dyDescent="0.25">
      <c r="B2962" s="86"/>
      <c r="C2962" s="85"/>
      <c r="D2962" s="85"/>
      <c r="E2962" s="85" t="s">
        <v>201</v>
      </c>
      <c r="F2962" s="106" t="e">
        <f>+F2945</f>
        <v>#REF!</v>
      </c>
    </row>
    <row r="2963" spans="2:8" ht="18" x14ac:dyDescent="0.25">
      <c r="B2963" s="86"/>
      <c r="C2963" s="85"/>
      <c r="D2963" s="85"/>
      <c r="E2963" s="85" t="s">
        <v>81</v>
      </c>
      <c r="F2963" s="106" t="e">
        <f>+F2946</f>
        <v>#REF!</v>
      </c>
      <c r="G2963" s="85"/>
      <c r="H2963" s="90"/>
    </row>
    <row r="2964" spans="2:8" ht="18" x14ac:dyDescent="0.25">
      <c r="B2964" s="85"/>
      <c r="C2964" s="85"/>
      <c r="D2964" s="85"/>
      <c r="E2964" s="85" t="s">
        <v>82</v>
      </c>
      <c r="F2964" s="106" t="e">
        <f>+F2947</f>
        <v>#REF!</v>
      </c>
      <c r="G2964" s="85"/>
      <c r="H2964" s="90"/>
    </row>
    <row r="2965" spans="2:8" ht="18" x14ac:dyDescent="0.25">
      <c r="B2965" s="96"/>
      <c r="C2965" s="96"/>
      <c r="D2965" s="96"/>
      <c r="E2965" s="85" t="s">
        <v>188</v>
      </c>
      <c r="F2965" s="106">
        <v>0</v>
      </c>
      <c r="G2965" s="85"/>
      <c r="H2965" s="90"/>
    </row>
    <row r="2966" spans="2:8" ht="18" x14ac:dyDescent="0.25">
      <c r="B2966" s="99">
        <f>+$G$30</f>
        <v>46188</v>
      </c>
      <c r="C2966" s="105" t="e">
        <f>+F2948</f>
        <v>#REF!</v>
      </c>
      <c r="D2966" s="85"/>
      <c r="E2966" s="85" t="s">
        <v>83</v>
      </c>
      <c r="F2966" s="112" t="e">
        <f>+F2948</f>
        <v>#REF!</v>
      </c>
      <c r="G2966" s="85"/>
      <c r="H2966" s="90"/>
    </row>
    <row r="2967" spans="2:8" ht="18" x14ac:dyDescent="0.25">
      <c r="B2967" s="85"/>
      <c r="C2967" s="85"/>
      <c r="D2967" s="85"/>
      <c r="E2967" s="85"/>
      <c r="F2967" s="85"/>
      <c r="G2967" s="85"/>
      <c r="H2967" s="90"/>
    </row>
    <row r="2968" spans="2:8" ht="18" x14ac:dyDescent="0.25">
      <c r="B2968" s="85"/>
      <c r="C2968" s="85"/>
      <c r="D2968" s="85"/>
      <c r="E2968" s="85"/>
      <c r="F2968" s="85"/>
      <c r="G2968" s="345"/>
      <c r="H2968" s="345"/>
    </row>
    <row r="2969" spans="2:8" ht="18" x14ac:dyDescent="0.25">
      <c r="B2969" s="85"/>
      <c r="C2969" s="85"/>
      <c r="D2969" s="85"/>
      <c r="E2969" s="85"/>
      <c r="F2969" s="85"/>
      <c r="G2969" s="85"/>
      <c r="H2969" s="90"/>
    </row>
    <row r="2970" spans="2:8" ht="18" x14ac:dyDescent="0.25">
      <c r="B2970" s="85"/>
      <c r="C2970" s="85"/>
      <c r="D2970" s="85"/>
      <c r="E2970" s="85"/>
      <c r="F2970" s="85"/>
      <c r="G2970" s="85"/>
      <c r="H2970" s="90"/>
    </row>
    <row r="2971" spans="2:8" ht="18" x14ac:dyDescent="0.25">
      <c r="B2971" s="85"/>
      <c r="C2971" s="85"/>
      <c r="D2971" s="85"/>
      <c r="E2971" s="85"/>
      <c r="F2971" s="85"/>
      <c r="G2971" s="85"/>
      <c r="H2971" s="90"/>
    </row>
    <row r="2972" spans="2:8" ht="18" x14ac:dyDescent="0.25">
      <c r="B2972" s="85"/>
      <c r="C2972" s="85"/>
      <c r="D2972" s="85"/>
      <c r="E2972" s="85"/>
      <c r="F2972" s="85"/>
      <c r="G2972" s="85"/>
      <c r="H2972" s="90"/>
    </row>
    <row r="2973" spans="2:8" ht="18" x14ac:dyDescent="0.25">
      <c r="B2973" s="85"/>
      <c r="C2973" s="85"/>
      <c r="D2973" s="85"/>
      <c r="E2973" s="85"/>
      <c r="F2973" s="85"/>
      <c r="H2973" s="90"/>
    </row>
    <row r="2974" spans="2:8" ht="18" x14ac:dyDescent="0.25">
      <c r="B2974" s="343"/>
      <c r="C2974" s="343"/>
      <c r="D2974" s="343"/>
      <c r="E2974" s="85"/>
      <c r="F2974" s="85"/>
      <c r="H2974" s="90"/>
    </row>
    <row r="2975" spans="2:8" ht="18" x14ac:dyDescent="0.25">
      <c r="B2975" s="343"/>
      <c r="C2975" s="343"/>
      <c r="D2975" s="343"/>
      <c r="E2975" s="98">
        <f>+$B$1</f>
        <v>46143</v>
      </c>
      <c r="F2975" s="85"/>
      <c r="G2975" s="99">
        <f>+$D$1</f>
        <v>46188</v>
      </c>
      <c r="H2975" s="160"/>
    </row>
    <row r="2976" spans="2:8" ht="18" x14ac:dyDescent="0.25">
      <c r="B2976" s="84"/>
      <c r="C2976" s="84"/>
      <c r="D2976" s="100"/>
      <c r="E2976" s="98"/>
      <c r="F2976" s="85"/>
    </row>
    <row r="2977" spans="2:8" ht="18" x14ac:dyDescent="0.25">
      <c r="B2977" s="85" t="e">
        <f>+#REF!</f>
        <v>#REF!</v>
      </c>
      <c r="C2977" s="85"/>
      <c r="D2977" s="85"/>
      <c r="F2977" s="85"/>
    </row>
    <row r="2978" spans="2:8" ht="18" x14ac:dyDescent="0.25">
      <c r="C2978" s="85"/>
      <c r="D2978" s="85"/>
      <c r="E2978" s="85" t="str">
        <f>+$E$1</f>
        <v>Lima 461 C:A:B:A:</v>
      </c>
      <c r="F2978" s="85"/>
      <c r="H2978" s="90" t="s">
        <v>163</v>
      </c>
    </row>
    <row r="2979" spans="2:8" ht="18" x14ac:dyDescent="0.25">
      <c r="B2979" s="86"/>
      <c r="C2979" s="85"/>
      <c r="D2979" s="85"/>
      <c r="F2979" s="85"/>
      <c r="G2979" s="86"/>
    </row>
    <row r="2980" spans="2:8" ht="18" x14ac:dyDescent="0.25">
      <c r="B2980" s="85"/>
      <c r="C2980" s="85"/>
      <c r="D2980" s="85"/>
      <c r="E2980" s="86"/>
      <c r="F2980" s="86"/>
      <c r="G2980" s="85"/>
      <c r="H2980" s="94"/>
    </row>
    <row r="2981" spans="2:8" ht="18" x14ac:dyDescent="0.25">
      <c r="B2981" s="94"/>
      <c r="C2981" s="85"/>
      <c r="D2981" s="94"/>
      <c r="E2981" s="85"/>
      <c r="F2981" s="85"/>
      <c r="G2981" s="85"/>
      <c r="H2981" s="90"/>
    </row>
    <row r="2982" spans="2:8" ht="18" x14ac:dyDescent="0.25">
      <c r="B2982" s="85" t="s">
        <v>198</v>
      </c>
      <c r="C2982" s="85"/>
      <c r="D2982" s="107">
        <f>+'RES CUENTA'!$L$25</f>
        <v>10859801.41</v>
      </c>
      <c r="E2982" s="108" t="e">
        <f>+'RES CUENTA'!#REF!</f>
        <v>#REF!</v>
      </c>
      <c r="F2982" s="103" t="e">
        <f>+D2982*E2982/100</f>
        <v>#REF!</v>
      </c>
      <c r="G2982" s="85"/>
      <c r="H2982" s="94"/>
    </row>
    <row r="2983" spans="2:8" ht="18" x14ac:dyDescent="0.25">
      <c r="B2983" s="85" t="s">
        <v>199</v>
      </c>
      <c r="C2983" s="85"/>
      <c r="D2983" s="107" t="e">
        <f>+'RES CUENTA'!#REF!</f>
        <v>#REF!</v>
      </c>
      <c r="E2983" s="108" t="e">
        <f>+'RES CUENTA'!#REF!</f>
        <v>#REF!</v>
      </c>
      <c r="F2983" s="103" t="e">
        <f>+D2983*E2983/100</f>
        <v>#REF!</v>
      </c>
      <c r="G2983" s="94"/>
      <c r="H2983" s="89"/>
    </row>
    <row r="2984" spans="2:8" ht="18" x14ac:dyDescent="0.25">
      <c r="B2984" s="85" t="s">
        <v>79</v>
      </c>
      <c r="C2984" s="85"/>
      <c r="D2984" s="107" t="e">
        <f>+'RES CUENTA'!#REF!</f>
        <v>#REF!</v>
      </c>
      <c r="E2984" s="108">
        <f>+'RES CUENTA'!P2120</f>
        <v>0</v>
      </c>
      <c r="F2984" s="103" t="e">
        <f>+D2984</f>
        <v>#REF!</v>
      </c>
      <c r="G2984" s="89"/>
      <c r="H2984" s="89"/>
    </row>
    <row r="2985" spans="2:8" ht="18" x14ac:dyDescent="0.25">
      <c r="B2985" s="85" t="s">
        <v>80</v>
      </c>
      <c r="C2985" s="85"/>
      <c r="D2985" s="107" t="e">
        <f>+'RES CUENTA'!#REF!</f>
        <v>#REF!</v>
      </c>
      <c r="E2985" s="108">
        <f>+'RES CUENTA'!R2115</f>
        <v>0</v>
      </c>
      <c r="F2985" s="103" t="e">
        <f>+D2985</f>
        <v>#REF!</v>
      </c>
      <c r="G2985" s="89"/>
      <c r="H2985" s="89"/>
    </row>
    <row r="2986" spans="2:8" ht="18" x14ac:dyDescent="0.25">
      <c r="B2986" s="86"/>
      <c r="C2986" s="85"/>
      <c r="D2986" s="85"/>
      <c r="F2986" s="104" t="e">
        <f>SUM(F2982:F2985)</f>
        <v>#REF!</v>
      </c>
      <c r="G2986" s="89"/>
      <c r="H2986" s="90"/>
    </row>
    <row r="2987" spans="2:8" ht="18" x14ac:dyDescent="0.25">
      <c r="B2987" s="85"/>
      <c r="C2987" s="85"/>
      <c r="D2987" s="85"/>
      <c r="E2987" s="85"/>
      <c r="F2987" s="92"/>
      <c r="G2987" s="90"/>
      <c r="H2987" s="90"/>
    </row>
    <row r="2988" spans="2:8" ht="18" x14ac:dyDescent="0.25">
      <c r="B2988" s="85"/>
      <c r="C2988" s="85"/>
      <c r="D2988" s="85"/>
      <c r="E2988" s="85"/>
      <c r="F2988" s="92"/>
      <c r="G2988" s="90"/>
      <c r="H2988" s="90"/>
    </row>
    <row r="2989" spans="2:8" ht="18" x14ac:dyDescent="0.25">
      <c r="B2989" s="85"/>
      <c r="C2989" s="85"/>
      <c r="D2989" s="85"/>
      <c r="E2989" s="85"/>
      <c r="F2989" s="92"/>
      <c r="G2989" s="90"/>
      <c r="H2989" s="90"/>
    </row>
    <row r="2990" spans="2:8" ht="18" x14ac:dyDescent="0.25">
      <c r="B2990" s="85"/>
      <c r="C2990" s="85"/>
      <c r="D2990" s="85"/>
      <c r="E2990" s="85"/>
      <c r="F2990" s="92"/>
      <c r="G2990" s="90"/>
      <c r="H2990" s="90"/>
    </row>
    <row r="2991" spans="2:8" ht="18" x14ac:dyDescent="0.25">
      <c r="B2991" s="85"/>
      <c r="C2991" s="85"/>
      <c r="D2991" s="85"/>
      <c r="E2991" s="85"/>
      <c r="F2991" s="92"/>
      <c r="G2991" s="90"/>
      <c r="H2991" s="90"/>
    </row>
    <row r="2992" spans="2:8" ht="18" x14ac:dyDescent="0.25">
      <c r="B2992" s="85" t="e">
        <f>+B2977</f>
        <v>#REF!</v>
      </c>
      <c r="C2992" s="85"/>
      <c r="D2992" s="85"/>
      <c r="E2992" s="85" t="e">
        <f>+B2977</f>
        <v>#REF!</v>
      </c>
      <c r="F2992" s="85"/>
      <c r="G2992" s="85"/>
      <c r="H2992" s="94"/>
    </row>
    <row r="2993" spans="2:8" ht="18" x14ac:dyDescent="0.25">
      <c r="B2993" s="86"/>
      <c r="C2993" s="85"/>
      <c r="D2993" s="85"/>
      <c r="F2993" s="85"/>
      <c r="G2993" s="101"/>
      <c r="H2993" s="90" t="str">
        <f>+H2978</f>
        <v>Unid. 80</v>
      </c>
    </row>
    <row r="2994" spans="2:8" ht="18" x14ac:dyDescent="0.25">
      <c r="B2994" s="85" t="str">
        <f>+$E$1</f>
        <v>Lima 461 C:A:B:A:</v>
      </c>
      <c r="C2994" s="85"/>
      <c r="D2994" s="93" t="str">
        <f>+H2993</f>
        <v>Unid. 80</v>
      </c>
      <c r="E2994" s="85" t="str">
        <f>+$E$1</f>
        <v>Lima 461 C:A:B:A:</v>
      </c>
      <c r="F2994" s="85"/>
      <c r="G2994" s="85"/>
      <c r="H2994" s="94"/>
    </row>
    <row r="2995" spans="2:8" ht="18" x14ac:dyDescent="0.25">
      <c r="B2995" s="86"/>
      <c r="C2995" s="86"/>
      <c r="D2995" s="86"/>
      <c r="F2995" s="85"/>
      <c r="G2995" s="85"/>
    </row>
    <row r="2996" spans="2:8" ht="18" x14ac:dyDescent="0.25">
      <c r="B2996" s="85"/>
      <c r="C2996" s="85"/>
      <c r="D2996" s="85"/>
      <c r="E2996" s="86"/>
      <c r="F2996" s="85"/>
      <c r="G2996" s="85"/>
      <c r="H2996" s="94"/>
    </row>
    <row r="2997" spans="2:8" ht="18" x14ac:dyDescent="0.25">
      <c r="B2997" s="85">
        <f>+$E$2</f>
        <v>0</v>
      </c>
      <c r="C2997" s="85"/>
      <c r="D2997" s="85"/>
      <c r="E2997" s="85"/>
      <c r="F2997" s="96"/>
      <c r="G2997" s="86"/>
      <c r="H2997" s="90"/>
    </row>
    <row r="2998" spans="2:8" ht="18" x14ac:dyDescent="0.25">
      <c r="B2998" s="85">
        <f>+$E$3</f>
        <v>0</v>
      </c>
      <c r="C2998" s="85"/>
      <c r="D2998" s="85"/>
      <c r="E2998" s="96"/>
      <c r="G2998" s="94"/>
      <c r="H2998" s="96"/>
    </row>
    <row r="2999" spans="2:8" ht="18" x14ac:dyDescent="0.25">
      <c r="B2999" s="86"/>
      <c r="C2999" s="85"/>
      <c r="D2999" s="85"/>
      <c r="E2999" s="85" t="s">
        <v>200</v>
      </c>
      <c r="F2999" s="106" t="e">
        <f>+F2982</f>
        <v>#REF!</v>
      </c>
      <c r="G2999" s="95"/>
      <c r="H2999" s="99">
        <f>+B3003</f>
        <v>46188</v>
      </c>
    </row>
    <row r="3000" spans="2:8" ht="18" x14ac:dyDescent="0.25">
      <c r="B3000" s="86"/>
      <c r="C3000" s="85"/>
      <c r="D3000" s="85"/>
      <c r="E3000" s="85" t="s">
        <v>201</v>
      </c>
      <c r="F3000" s="106" t="e">
        <f>+F2983</f>
        <v>#REF!</v>
      </c>
      <c r="H3000" s="90"/>
    </row>
    <row r="3001" spans="2:8" ht="18" x14ac:dyDescent="0.25">
      <c r="B3001" s="85"/>
      <c r="C3001" s="85"/>
      <c r="D3001" s="85"/>
      <c r="E3001" s="85" t="s">
        <v>81</v>
      </c>
      <c r="F3001" s="106" t="e">
        <f>+F2984</f>
        <v>#REF!</v>
      </c>
      <c r="G3001" s="85"/>
      <c r="H3001" s="90"/>
    </row>
    <row r="3002" spans="2:8" ht="18" x14ac:dyDescent="0.25">
      <c r="B3002" s="96"/>
      <c r="C3002" s="96"/>
      <c r="D3002" s="96"/>
      <c r="E3002" s="85" t="s">
        <v>82</v>
      </c>
      <c r="F3002" s="106" t="e">
        <f>+F2985</f>
        <v>#REF!</v>
      </c>
      <c r="G3002" s="85"/>
      <c r="H3002" s="90"/>
    </row>
    <row r="3003" spans="2:8" ht="18" x14ac:dyDescent="0.25">
      <c r="B3003" s="99">
        <f>+$G$30</f>
        <v>46188</v>
      </c>
      <c r="C3003" s="105" t="e">
        <f>+F3004</f>
        <v>#REF!</v>
      </c>
      <c r="D3003" s="85"/>
      <c r="E3003" s="85" t="s">
        <v>188</v>
      </c>
      <c r="F3003" s="106">
        <v>0</v>
      </c>
      <c r="G3003" s="85"/>
      <c r="H3003" s="90"/>
    </row>
    <row r="3004" spans="2:8" ht="18" x14ac:dyDescent="0.25">
      <c r="B3004" s="85"/>
      <c r="C3004" s="85"/>
      <c r="D3004" s="85"/>
      <c r="E3004" s="85" t="s">
        <v>83</v>
      </c>
      <c r="F3004" s="104" t="e">
        <f>SUM(F2999:F3003)</f>
        <v>#REF!</v>
      </c>
      <c r="G3004" s="85"/>
      <c r="H3004" s="90"/>
    </row>
    <row r="3005" spans="2:8" ht="18" x14ac:dyDescent="0.25">
      <c r="B3005" s="85"/>
      <c r="C3005" s="85"/>
      <c r="D3005" s="85"/>
      <c r="E3005" s="85"/>
      <c r="F3005" s="85"/>
      <c r="G3005" s="85"/>
      <c r="H3005" s="90"/>
    </row>
    <row r="3006" spans="2:8" ht="18" x14ac:dyDescent="0.25">
      <c r="B3006" s="85"/>
      <c r="C3006" s="85"/>
      <c r="D3006" s="85"/>
      <c r="E3006" s="102"/>
      <c r="F3006" s="85"/>
      <c r="G3006" s="85"/>
      <c r="H3006" s="90"/>
    </row>
    <row r="3007" spans="2:8" ht="18" x14ac:dyDescent="0.25">
      <c r="B3007" s="85"/>
      <c r="C3007" s="85"/>
      <c r="D3007" s="85"/>
      <c r="E3007" s="85"/>
      <c r="F3007" s="85"/>
      <c r="G3007" s="85"/>
      <c r="H3007" s="94"/>
    </row>
    <row r="3008" spans="2:8" ht="18" x14ac:dyDescent="0.25">
      <c r="E3008" s="85"/>
      <c r="G3008" s="94"/>
      <c r="H3008" s="90"/>
    </row>
  </sheetData>
  <mergeCells count="554">
    <mergeCell ref="C2954:D2954"/>
    <mergeCell ref="F2955:H2955"/>
    <mergeCell ref="G2968:H2968"/>
    <mergeCell ref="B2974:D2974"/>
    <mergeCell ref="B2975:D2975"/>
    <mergeCell ref="G2944:H2944"/>
    <mergeCell ref="G2945:H2945"/>
    <mergeCell ref="G2946:H2946"/>
    <mergeCell ref="G2947:H2947"/>
    <mergeCell ref="G2948:H2948"/>
    <mergeCell ref="G2950:H2950"/>
    <mergeCell ref="C2881:D2881"/>
    <mergeCell ref="F2882:H2882"/>
    <mergeCell ref="G2895:H2895"/>
    <mergeCell ref="B2901:D2901"/>
    <mergeCell ref="B2902:D2902"/>
    <mergeCell ref="B2936:D2936"/>
    <mergeCell ref="E2936:E2937"/>
    <mergeCell ref="G2936:G2937"/>
    <mergeCell ref="G2871:H2871"/>
    <mergeCell ref="G2872:H2872"/>
    <mergeCell ref="G2873:H2873"/>
    <mergeCell ref="G2874:H2874"/>
    <mergeCell ref="G2875:H2875"/>
    <mergeCell ref="G2876:H2876"/>
    <mergeCell ref="C2807:D2807"/>
    <mergeCell ref="F2808:H2808"/>
    <mergeCell ref="G2821:H2821"/>
    <mergeCell ref="B2827:D2827"/>
    <mergeCell ref="B2828:D2828"/>
    <mergeCell ref="B2863:D2863"/>
    <mergeCell ref="E2863:E2864"/>
    <mergeCell ref="G2863:G2864"/>
    <mergeCell ref="G2797:H2797"/>
    <mergeCell ref="G2798:H2798"/>
    <mergeCell ref="G2799:H2799"/>
    <mergeCell ref="G2800:H2800"/>
    <mergeCell ref="G2801:H2801"/>
    <mergeCell ref="G2803:H2803"/>
    <mergeCell ref="C2733:D2733"/>
    <mergeCell ref="F2734:H2734"/>
    <mergeCell ref="G2747:H2747"/>
    <mergeCell ref="B2753:D2753"/>
    <mergeCell ref="B2754:D2754"/>
    <mergeCell ref="B2789:D2789"/>
    <mergeCell ref="E2789:E2790"/>
    <mergeCell ref="G2789:G2790"/>
    <mergeCell ref="G2723:H2723"/>
    <mergeCell ref="G2724:H2724"/>
    <mergeCell ref="G2725:H2725"/>
    <mergeCell ref="G2726:H2726"/>
    <mergeCell ref="G2727:H2727"/>
    <mergeCell ref="G2729:H2729"/>
    <mergeCell ref="C2659:D2659"/>
    <mergeCell ref="F2660:H2660"/>
    <mergeCell ref="G2673:H2673"/>
    <mergeCell ref="B2679:D2679"/>
    <mergeCell ref="B2680:D2680"/>
    <mergeCell ref="B2715:D2715"/>
    <mergeCell ref="E2715:E2716"/>
    <mergeCell ref="G2715:G2716"/>
    <mergeCell ref="G2649:H2649"/>
    <mergeCell ref="G2650:H2650"/>
    <mergeCell ref="G2651:H2651"/>
    <mergeCell ref="G2652:H2652"/>
    <mergeCell ref="G2653:H2653"/>
    <mergeCell ref="G2655:H2655"/>
    <mergeCell ref="C2585:D2585"/>
    <mergeCell ref="F2586:H2586"/>
    <mergeCell ref="G2599:H2599"/>
    <mergeCell ref="B2605:D2605"/>
    <mergeCell ref="B2606:D2606"/>
    <mergeCell ref="B2641:D2641"/>
    <mergeCell ref="E2641:E2642"/>
    <mergeCell ref="G2641:G2642"/>
    <mergeCell ref="G2575:H2575"/>
    <mergeCell ref="G2576:H2576"/>
    <mergeCell ref="G2577:H2577"/>
    <mergeCell ref="G2578:H2578"/>
    <mergeCell ref="G2579:H2579"/>
    <mergeCell ref="G2581:H2581"/>
    <mergeCell ref="C2511:D2511"/>
    <mergeCell ref="F2512:H2512"/>
    <mergeCell ref="G2525:H2525"/>
    <mergeCell ref="B2531:D2531"/>
    <mergeCell ref="B2532:D2532"/>
    <mergeCell ref="B2567:D2567"/>
    <mergeCell ref="E2567:E2568"/>
    <mergeCell ref="G2567:G2568"/>
    <mergeCell ref="G2501:H2501"/>
    <mergeCell ref="G2502:H2502"/>
    <mergeCell ref="G2503:H2503"/>
    <mergeCell ref="G2504:H2504"/>
    <mergeCell ref="G2505:H2505"/>
    <mergeCell ref="G2506:H2506"/>
    <mergeCell ref="C2437:D2437"/>
    <mergeCell ref="F2438:H2438"/>
    <mergeCell ref="G2451:H2451"/>
    <mergeCell ref="B2457:D2457"/>
    <mergeCell ref="B2458:D2458"/>
    <mergeCell ref="B2493:D2493"/>
    <mergeCell ref="E2493:E2494"/>
    <mergeCell ref="G2493:G2494"/>
    <mergeCell ref="G2427:H2427"/>
    <mergeCell ref="G2428:H2428"/>
    <mergeCell ref="G2429:H2429"/>
    <mergeCell ref="G2430:H2430"/>
    <mergeCell ref="G2431:H2431"/>
    <mergeCell ref="G2433:H2433"/>
    <mergeCell ref="C2363:D2363"/>
    <mergeCell ref="F2364:H2364"/>
    <mergeCell ref="G2377:H2377"/>
    <mergeCell ref="B2383:D2383"/>
    <mergeCell ref="B2384:D2384"/>
    <mergeCell ref="B2419:D2419"/>
    <mergeCell ref="E2419:E2420"/>
    <mergeCell ref="G2419:G2420"/>
    <mergeCell ref="G2353:H2353"/>
    <mergeCell ref="G2354:H2354"/>
    <mergeCell ref="G2355:H2355"/>
    <mergeCell ref="G2356:H2356"/>
    <mergeCell ref="G2357:H2357"/>
    <mergeCell ref="G2359:H2359"/>
    <mergeCell ref="C2289:D2289"/>
    <mergeCell ref="F2290:H2290"/>
    <mergeCell ref="G2303:H2303"/>
    <mergeCell ref="B2309:D2309"/>
    <mergeCell ref="B2310:D2310"/>
    <mergeCell ref="B2345:D2345"/>
    <mergeCell ref="E2345:E2346"/>
    <mergeCell ref="G2345:G2346"/>
    <mergeCell ref="G2279:H2279"/>
    <mergeCell ref="G2280:H2280"/>
    <mergeCell ref="G2281:H2281"/>
    <mergeCell ref="G2282:H2282"/>
    <mergeCell ref="G2283:H2283"/>
    <mergeCell ref="G2285:H2285"/>
    <mergeCell ref="C2215:D2215"/>
    <mergeCell ref="F2216:H2216"/>
    <mergeCell ref="G2229:H2229"/>
    <mergeCell ref="B2235:D2235"/>
    <mergeCell ref="B2236:D2236"/>
    <mergeCell ref="B2271:D2271"/>
    <mergeCell ref="E2271:E2272"/>
    <mergeCell ref="G2271:G2272"/>
    <mergeCell ref="G2205:H2205"/>
    <mergeCell ref="G2206:H2206"/>
    <mergeCell ref="G2207:H2207"/>
    <mergeCell ref="G2208:H2208"/>
    <mergeCell ref="G2209:H2209"/>
    <mergeCell ref="G2211:H2211"/>
    <mergeCell ref="C2141:D2141"/>
    <mergeCell ref="F2142:H2142"/>
    <mergeCell ref="G2155:H2155"/>
    <mergeCell ref="B2161:D2161"/>
    <mergeCell ref="B2162:D2162"/>
    <mergeCell ref="B2197:D2197"/>
    <mergeCell ref="E2197:E2198"/>
    <mergeCell ref="G2197:G2198"/>
    <mergeCell ref="G2131:H2131"/>
    <mergeCell ref="G2132:H2132"/>
    <mergeCell ref="G2133:H2133"/>
    <mergeCell ref="G2134:H2134"/>
    <mergeCell ref="G2135:H2135"/>
    <mergeCell ref="G2137:H2137"/>
    <mergeCell ref="C2067:D2067"/>
    <mergeCell ref="F2068:H2068"/>
    <mergeCell ref="G2081:H2081"/>
    <mergeCell ref="B2087:D2087"/>
    <mergeCell ref="B2088:D2088"/>
    <mergeCell ref="B2123:D2123"/>
    <mergeCell ref="E2123:E2124"/>
    <mergeCell ref="G2123:G2124"/>
    <mergeCell ref="G2057:H2057"/>
    <mergeCell ref="G2058:H2058"/>
    <mergeCell ref="G2059:H2059"/>
    <mergeCell ref="G2060:H2060"/>
    <mergeCell ref="G2061:H2061"/>
    <mergeCell ref="G2063:H2063"/>
    <mergeCell ref="C1993:D1993"/>
    <mergeCell ref="F1994:H1994"/>
    <mergeCell ref="G2007:H2007"/>
    <mergeCell ref="B2013:D2013"/>
    <mergeCell ref="B2014:D2014"/>
    <mergeCell ref="B2049:D2049"/>
    <mergeCell ref="E2049:E2050"/>
    <mergeCell ref="G2049:G2050"/>
    <mergeCell ref="G1983:H1983"/>
    <mergeCell ref="G1984:H1984"/>
    <mergeCell ref="G1985:H1985"/>
    <mergeCell ref="G1986:H1986"/>
    <mergeCell ref="G1987:H1987"/>
    <mergeCell ref="G1989:H1989"/>
    <mergeCell ref="C1919:D1919"/>
    <mergeCell ref="F1920:H1920"/>
    <mergeCell ref="G1933:H1933"/>
    <mergeCell ref="B1939:D1939"/>
    <mergeCell ref="B1940:D1940"/>
    <mergeCell ref="B1975:D1975"/>
    <mergeCell ref="E1975:E1976"/>
    <mergeCell ref="G1975:G1976"/>
    <mergeCell ref="G1909:H1909"/>
    <mergeCell ref="G1910:H1910"/>
    <mergeCell ref="G1911:H1911"/>
    <mergeCell ref="G1912:H1912"/>
    <mergeCell ref="G1913:H1913"/>
    <mergeCell ref="G1915:H1915"/>
    <mergeCell ref="C1845:D1845"/>
    <mergeCell ref="F1846:H1846"/>
    <mergeCell ref="G1861:H1861"/>
    <mergeCell ref="B1866:D1866"/>
    <mergeCell ref="B1901:D1901"/>
    <mergeCell ref="E1901:E1902"/>
    <mergeCell ref="G1901:G1902"/>
    <mergeCell ref="G1835:H1835"/>
    <mergeCell ref="G1836:H1836"/>
    <mergeCell ref="G1837:H1837"/>
    <mergeCell ref="G1838:H1838"/>
    <mergeCell ref="G1839:H1839"/>
    <mergeCell ref="G1841:H1841"/>
    <mergeCell ref="C1771:D1771"/>
    <mergeCell ref="F1772:H1772"/>
    <mergeCell ref="G1785:H1785"/>
    <mergeCell ref="B1791:D1791"/>
    <mergeCell ref="B1792:D1792"/>
    <mergeCell ref="B1827:D1827"/>
    <mergeCell ref="E1827:E1828"/>
    <mergeCell ref="G1827:G1828"/>
    <mergeCell ref="G1761:H1761"/>
    <mergeCell ref="G1762:H1762"/>
    <mergeCell ref="G1763:H1763"/>
    <mergeCell ref="G1764:H1764"/>
    <mergeCell ref="G1765:H1765"/>
    <mergeCell ref="G1767:H1767"/>
    <mergeCell ref="C1697:D1697"/>
    <mergeCell ref="F1698:H1698"/>
    <mergeCell ref="G1711:H1711"/>
    <mergeCell ref="B1717:D1717"/>
    <mergeCell ref="B1718:D1718"/>
    <mergeCell ref="B1753:D1753"/>
    <mergeCell ref="E1753:E1754"/>
    <mergeCell ref="G1753:G1754"/>
    <mergeCell ref="G1687:H1687"/>
    <mergeCell ref="G1688:H1688"/>
    <mergeCell ref="G1689:H1689"/>
    <mergeCell ref="G1690:H1690"/>
    <mergeCell ref="G1691:H1691"/>
    <mergeCell ref="G1693:H1693"/>
    <mergeCell ref="C1623:D1623"/>
    <mergeCell ref="F1624:H1624"/>
    <mergeCell ref="G1637:H1637"/>
    <mergeCell ref="B1643:D1643"/>
    <mergeCell ref="B1644:D1644"/>
    <mergeCell ref="B1679:D1679"/>
    <mergeCell ref="E1679:E1680"/>
    <mergeCell ref="G1679:G1680"/>
    <mergeCell ref="G1613:H1613"/>
    <mergeCell ref="G1614:H1614"/>
    <mergeCell ref="G1615:H1615"/>
    <mergeCell ref="G1616:H1616"/>
    <mergeCell ref="G1617:H1617"/>
    <mergeCell ref="G1618:H1618"/>
    <mergeCell ref="C1548:D1548"/>
    <mergeCell ref="F1549:H1549"/>
    <mergeCell ref="G1562:H1562"/>
    <mergeCell ref="B1568:D1568"/>
    <mergeCell ref="B1569:D1569"/>
    <mergeCell ref="B1605:D1605"/>
    <mergeCell ref="E1605:E1606"/>
    <mergeCell ref="G1605:G1606"/>
    <mergeCell ref="G1538:H1538"/>
    <mergeCell ref="G1539:H1539"/>
    <mergeCell ref="G1540:H1540"/>
    <mergeCell ref="G1541:H1541"/>
    <mergeCell ref="G1542:H1542"/>
    <mergeCell ref="G1544:H1544"/>
    <mergeCell ref="C1474:D1474"/>
    <mergeCell ref="F1475:H1475"/>
    <mergeCell ref="G1488:H1488"/>
    <mergeCell ref="B1494:D1494"/>
    <mergeCell ref="B1495:D1495"/>
    <mergeCell ref="B1530:D1530"/>
    <mergeCell ref="E1530:E1531"/>
    <mergeCell ref="G1530:G1531"/>
    <mergeCell ref="G1464:H1464"/>
    <mergeCell ref="G1465:H1465"/>
    <mergeCell ref="G1466:H1466"/>
    <mergeCell ref="G1467:H1467"/>
    <mergeCell ref="G1468:H1468"/>
    <mergeCell ref="G1470:H1470"/>
    <mergeCell ref="C1400:D1400"/>
    <mergeCell ref="F1401:H1401"/>
    <mergeCell ref="G1414:H1414"/>
    <mergeCell ref="B1420:D1420"/>
    <mergeCell ref="B1421:D1421"/>
    <mergeCell ref="B1456:D1456"/>
    <mergeCell ref="E1456:E1457"/>
    <mergeCell ref="G1456:G1457"/>
    <mergeCell ref="G1390:H1390"/>
    <mergeCell ref="G1391:H1391"/>
    <mergeCell ref="G1392:H1392"/>
    <mergeCell ref="G1393:H1393"/>
    <mergeCell ref="G1394:H1394"/>
    <mergeCell ref="G1396:H1396"/>
    <mergeCell ref="C1326:D1326"/>
    <mergeCell ref="F1327:H1327"/>
    <mergeCell ref="G1340:H1340"/>
    <mergeCell ref="B1346:D1346"/>
    <mergeCell ref="B1347:D1347"/>
    <mergeCell ref="B1382:D1382"/>
    <mergeCell ref="E1382:E1383"/>
    <mergeCell ref="G1382:G1383"/>
    <mergeCell ref="G1316:H1316"/>
    <mergeCell ref="G1317:H1317"/>
    <mergeCell ref="G1318:H1318"/>
    <mergeCell ref="G1319:H1319"/>
    <mergeCell ref="G1320:H1320"/>
    <mergeCell ref="G1321:H1321"/>
    <mergeCell ref="C1252:D1252"/>
    <mergeCell ref="F1253:H1253"/>
    <mergeCell ref="G1266:H1266"/>
    <mergeCell ref="B1272:D1272"/>
    <mergeCell ref="B1273:D1273"/>
    <mergeCell ref="B1308:D1308"/>
    <mergeCell ref="E1308:E1309"/>
    <mergeCell ref="G1308:G1309"/>
    <mergeCell ref="G1242:H1242"/>
    <mergeCell ref="G1243:H1243"/>
    <mergeCell ref="G1244:H1244"/>
    <mergeCell ref="G1245:H1245"/>
    <mergeCell ref="G1246:H1246"/>
    <mergeCell ref="G1248:H1248"/>
    <mergeCell ref="C1178:D1178"/>
    <mergeCell ref="F1179:H1179"/>
    <mergeCell ref="G1192:H1192"/>
    <mergeCell ref="B1198:D1198"/>
    <mergeCell ref="B1199:D1199"/>
    <mergeCell ref="B1234:D1234"/>
    <mergeCell ref="E1234:E1235"/>
    <mergeCell ref="G1234:G1235"/>
    <mergeCell ref="G1168:H1168"/>
    <mergeCell ref="G1169:H1169"/>
    <mergeCell ref="G1170:H1170"/>
    <mergeCell ref="G1171:H1171"/>
    <mergeCell ref="G1172:H1172"/>
    <mergeCell ref="G1174:H1174"/>
    <mergeCell ref="C1104:D1104"/>
    <mergeCell ref="F1105:H1105"/>
    <mergeCell ref="G1118:H1118"/>
    <mergeCell ref="B1124:D1124"/>
    <mergeCell ref="B1125:D1125"/>
    <mergeCell ref="B1160:D1160"/>
    <mergeCell ref="E1160:E1161"/>
    <mergeCell ref="G1160:G1161"/>
    <mergeCell ref="G1094:H1094"/>
    <mergeCell ref="G1095:H1095"/>
    <mergeCell ref="G1096:H1096"/>
    <mergeCell ref="G1097:H1097"/>
    <mergeCell ref="G1098:H1098"/>
    <mergeCell ref="G1099:H1099"/>
    <mergeCell ref="C1030:D1030"/>
    <mergeCell ref="F1031:H1031"/>
    <mergeCell ref="G1046:H1046"/>
    <mergeCell ref="B1051:D1051"/>
    <mergeCell ref="B1086:D1086"/>
    <mergeCell ref="E1086:E1087"/>
    <mergeCell ref="G1086:G1087"/>
    <mergeCell ref="G1020:H1020"/>
    <mergeCell ref="G1021:H1021"/>
    <mergeCell ref="G1022:H1022"/>
    <mergeCell ref="G1023:H1023"/>
    <mergeCell ref="G1024:H1024"/>
    <mergeCell ref="G1026:H1026"/>
    <mergeCell ref="C956:D956"/>
    <mergeCell ref="F957:H957"/>
    <mergeCell ref="G972:H972"/>
    <mergeCell ref="B976:D976"/>
    <mergeCell ref="B977:D977"/>
    <mergeCell ref="B1012:D1012"/>
    <mergeCell ref="E1012:E1013"/>
    <mergeCell ref="G1012:G1013"/>
    <mergeCell ref="G946:H946"/>
    <mergeCell ref="G947:H947"/>
    <mergeCell ref="G948:H948"/>
    <mergeCell ref="G949:H949"/>
    <mergeCell ref="G950:H950"/>
    <mergeCell ref="G952:H952"/>
    <mergeCell ref="C882:D882"/>
    <mergeCell ref="F883:H883"/>
    <mergeCell ref="G898:H898"/>
    <mergeCell ref="B903:D903"/>
    <mergeCell ref="B938:D938"/>
    <mergeCell ref="E938:E939"/>
    <mergeCell ref="G938:G939"/>
    <mergeCell ref="G872:H872"/>
    <mergeCell ref="G873:H873"/>
    <mergeCell ref="G874:H874"/>
    <mergeCell ref="G875:H875"/>
    <mergeCell ref="G876:H876"/>
    <mergeCell ref="G878:H878"/>
    <mergeCell ref="C808:D808"/>
    <mergeCell ref="F809:H809"/>
    <mergeCell ref="G824:H824"/>
    <mergeCell ref="B829:D829"/>
    <mergeCell ref="B864:D864"/>
    <mergeCell ref="E864:E865"/>
    <mergeCell ref="G864:G865"/>
    <mergeCell ref="G797:H797"/>
    <mergeCell ref="G798:H798"/>
    <mergeCell ref="G799:H799"/>
    <mergeCell ref="G800:H800"/>
    <mergeCell ref="G801:H801"/>
    <mergeCell ref="G803:H803"/>
    <mergeCell ref="C733:D733"/>
    <mergeCell ref="F734:H734"/>
    <mergeCell ref="G749:H749"/>
    <mergeCell ref="B753:D753"/>
    <mergeCell ref="B754:D754"/>
    <mergeCell ref="B789:D789"/>
    <mergeCell ref="E789:E790"/>
    <mergeCell ref="G789:G790"/>
    <mergeCell ref="G723:H723"/>
    <mergeCell ref="G724:H724"/>
    <mergeCell ref="G725:H725"/>
    <mergeCell ref="G726:H726"/>
    <mergeCell ref="G727:H727"/>
    <mergeCell ref="G729:H729"/>
    <mergeCell ref="C659:D659"/>
    <mergeCell ref="F660:H660"/>
    <mergeCell ref="G675:H675"/>
    <mergeCell ref="B678:D678"/>
    <mergeCell ref="B679:D679"/>
    <mergeCell ref="B715:D715"/>
    <mergeCell ref="E715:E716"/>
    <mergeCell ref="G715:G716"/>
    <mergeCell ref="G649:H649"/>
    <mergeCell ref="G650:H650"/>
    <mergeCell ref="G651:H651"/>
    <mergeCell ref="G652:H652"/>
    <mergeCell ref="G653:H653"/>
    <mergeCell ref="G654:H654"/>
    <mergeCell ref="C585:D585"/>
    <mergeCell ref="F586:H586"/>
    <mergeCell ref="G601:H601"/>
    <mergeCell ref="B605:D605"/>
    <mergeCell ref="B606:D606"/>
    <mergeCell ref="B641:D641"/>
    <mergeCell ref="E641:E642"/>
    <mergeCell ref="G641:G642"/>
    <mergeCell ref="G575:H575"/>
    <mergeCell ref="G576:H576"/>
    <mergeCell ref="G577:H577"/>
    <mergeCell ref="G578:H578"/>
    <mergeCell ref="G579:H579"/>
    <mergeCell ref="G580:H580"/>
    <mergeCell ref="C512:D512"/>
    <mergeCell ref="F513:H513"/>
    <mergeCell ref="G529:H529"/>
    <mergeCell ref="B532:D532"/>
    <mergeCell ref="B533:D533"/>
    <mergeCell ref="B567:D567"/>
    <mergeCell ref="E567:E568"/>
    <mergeCell ref="G567:G568"/>
    <mergeCell ref="G502:H502"/>
    <mergeCell ref="G503:H503"/>
    <mergeCell ref="G504:H504"/>
    <mergeCell ref="G505:H505"/>
    <mergeCell ref="G506:H506"/>
    <mergeCell ref="G507:H507"/>
    <mergeCell ref="C439:D439"/>
    <mergeCell ref="F440:H440"/>
    <mergeCell ref="G455:H455"/>
    <mergeCell ref="B458:D458"/>
    <mergeCell ref="B459:D459"/>
    <mergeCell ref="B494:D494"/>
    <mergeCell ref="E494:E495"/>
    <mergeCell ref="G494:G495"/>
    <mergeCell ref="G428:H428"/>
    <mergeCell ref="G429:H429"/>
    <mergeCell ref="G430:H430"/>
    <mergeCell ref="G431:H431"/>
    <mergeCell ref="G432:H432"/>
    <mergeCell ref="G433:H433"/>
    <mergeCell ref="F361:H361"/>
    <mergeCell ref="G377:H377"/>
    <mergeCell ref="B382:D382"/>
    <mergeCell ref="B419:D419"/>
    <mergeCell ref="E419:E420"/>
    <mergeCell ref="G419:G420"/>
    <mergeCell ref="G349:H349"/>
    <mergeCell ref="G350:H350"/>
    <mergeCell ref="G351:H351"/>
    <mergeCell ref="G352:H352"/>
    <mergeCell ref="G353:H353"/>
    <mergeCell ref="G354:H354"/>
    <mergeCell ref="C282:D282"/>
    <mergeCell ref="F283:H283"/>
    <mergeCell ref="G299:H299"/>
    <mergeCell ref="B304:D304"/>
    <mergeCell ref="B305:D305"/>
    <mergeCell ref="B341:D341"/>
    <mergeCell ref="E341:E342"/>
    <mergeCell ref="G341:G342"/>
    <mergeCell ref="G271:H271"/>
    <mergeCell ref="G272:H272"/>
    <mergeCell ref="G273:H273"/>
    <mergeCell ref="G274:H274"/>
    <mergeCell ref="G275:H275"/>
    <mergeCell ref="G276:H276"/>
    <mergeCell ref="C205:D205"/>
    <mergeCell ref="F206:H206"/>
    <mergeCell ref="G219:H219"/>
    <mergeCell ref="B227:D227"/>
    <mergeCell ref="B263:D263"/>
    <mergeCell ref="E263:E264"/>
    <mergeCell ref="G263:G264"/>
    <mergeCell ref="G193:H193"/>
    <mergeCell ref="G194:H194"/>
    <mergeCell ref="G195:H195"/>
    <mergeCell ref="G196:H196"/>
    <mergeCell ref="G197:H197"/>
    <mergeCell ref="G198:H198"/>
    <mergeCell ref="C127:D127"/>
    <mergeCell ref="F128:H128"/>
    <mergeCell ref="G143:H143"/>
    <mergeCell ref="B148:D148"/>
    <mergeCell ref="B149:D149"/>
    <mergeCell ref="B185:D185"/>
    <mergeCell ref="E185:E186"/>
    <mergeCell ref="G185:G186"/>
    <mergeCell ref="G115:H115"/>
    <mergeCell ref="G116:H116"/>
    <mergeCell ref="G117:H117"/>
    <mergeCell ref="G118:H118"/>
    <mergeCell ref="G119:H119"/>
    <mergeCell ref="G120:H120"/>
    <mergeCell ref="B107:D107"/>
    <mergeCell ref="E107:E108"/>
    <mergeCell ref="G107:G108"/>
    <mergeCell ref="G39:H39"/>
    <mergeCell ref="G40:H40"/>
    <mergeCell ref="G41:H41"/>
    <mergeCell ref="G42:H42"/>
    <mergeCell ref="G44:H44"/>
    <mergeCell ref="C49:D49"/>
    <mergeCell ref="B29:D29"/>
    <mergeCell ref="G29:H29"/>
    <mergeCell ref="B30:D30"/>
    <mergeCell ref="E30:E31"/>
    <mergeCell ref="G30:G31"/>
    <mergeCell ref="G38:H38"/>
    <mergeCell ref="F50:H50"/>
    <mergeCell ref="G67:H67"/>
    <mergeCell ref="B70:D70"/>
  </mergeCells>
  <pageMargins left="0.31" right="0.16" top="0.52" bottom="1" header="3.937007874015748E-2" footer="0"/>
  <pageSetup paperSize="9" scale="56" orientation="portrait" horizontalDpi="4294967294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08"/>
  <sheetViews>
    <sheetView zoomScale="75" zoomScaleNormal="100" workbookViewId="0">
      <selection activeCell="D2" sqref="D2"/>
    </sheetView>
  </sheetViews>
  <sheetFormatPr baseColWidth="10" defaultRowHeight="12.75" x14ac:dyDescent="0.2"/>
  <cols>
    <col min="1" max="1" width="4.7109375" customWidth="1"/>
    <col min="2" max="2" width="28.140625" customWidth="1"/>
    <col min="3" max="3" width="16.140625" customWidth="1"/>
    <col min="4" max="4" width="38.5703125" customWidth="1"/>
    <col min="5" max="5" width="28.7109375" customWidth="1"/>
    <col min="6" max="6" width="21" customWidth="1"/>
    <col min="7" max="7" width="16.28515625" customWidth="1"/>
    <col min="8" max="8" width="26" style="159" customWidth="1"/>
    <col min="9" max="9" width="12.42578125" customWidth="1"/>
    <col min="11" max="11" width="11.28515625" customWidth="1"/>
    <col min="12" max="12" width="14.5703125" customWidth="1"/>
  </cols>
  <sheetData>
    <row r="1" spans="2:8" ht="20.25" x14ac:dyDescent="0.3">
      <c r="B1" s="163">
        <f>+LIQ!H1</f>
        <v>46143</v>
      </c>
      <c r="D1" s="177">
        <v>46037</v>
      </c>
      <c r="E1" t="s">
        <v>221</v>
      </c>
      <c r="F1" t="s">
        <v>265</v>
      </c>
    </row>
    <row r="2" spans="2:8" x14ac:dyDescent="0.2">
      <c r="B2" t="str">
        <f>+'RES CUENTA'!D15</f>
        <v>Casa Lopez</v>
      </c>
      <c r="C2" s="82">
        <f>+'RES CUENTA'!G15</f>
        <v>17.079999999999998</v>
      </c>
      <c r="D2">
        <f>+'RES CUENTA'!B15</f>
        <v>1</v>
      </c>
      <c r="E2" s="82">
        <f>+'RES CUENTA'!H15</f>
        <v>0</v>
      </c>
      <c r="F2" t="s">
        <v>234</v>
      </c>
      <c r="H2" s="187" t="s">
        <v>233</v>
      </c>
    </row>
    <row r="3" spans="2:8" x14ac:dyDescent="0.2">
      <c r="B3" t="str">
        <f>+'RES CUENTA'!D16</f>
        <v>Eduardo Sanchez</v>
      </c>
      <c r="C3" s="82">
        <f>+'RES CUENTA'!G16</f>
        <v>17.079999999999998</v>
      </c>
      <c r="D3">
        <f>+'RES CUENTA'!B16</f>
        <v>2</v>
      </c>
      <c r="E3" s="82">
        <f>+'RES CUENTA'!H16</f>
        <v>0</v>
      </c>
      <c r="F3" s="187" t="s">
        <v>235</v>
      </c>
    </row>
    <row r="4" spans="2:8" x14ac:dyDescent="0.2">
      <c r="B4" t="str">
        <f>+'RES CUENTA'!D17</f>
        <v>Benjamin Fernandez</v>
      </c>
      <c r="C4" s="82">
        <f>+'RES CUENTA'!G17</f>
        <v>8.19</v>
      </c>
      <c r="D4">
        <f>+'RES CUENTA'!B17</f>
        <v>3</v>
      </c>
      <c r="E4" s="82">
        <f>+'RES CUENTA'!H17</f>
        <v>12.44</v>
      </c>
      <c r="F4" t="str">
        <f>+LIQ!G4</f>
        <v>CUIT: 30-53267348-4</v>
      </c>
    </row>
    <row r="5" spans="2:8" x14ac:dyDescent="0.2">
      <c r="B5" t="str">
        <f>+'RES CUENTA'!D18</f>
        <v>Franco Lippi</v>
      </c>
      <c r="C5" s="82">
        <f>+'RES CUENTA'!G18</f>
        <v>8.19</v>
      </c>
      <c r="D5">
        <f>+'RES CUENTA'!B18</f>
        <v>4</v>
      </c>
      <c r="E5" s="82">
        <f>+'RES CUENTA'!H18</f>
        <v>12.44</v>
      </c>
      <c r="F5" s="10"/>
    </row>
    <row r="6" spans="2:8" x14ac:dyDescent="0.2">
      <c r="B6" t="str">
        <f>+'RES CUENTA'!D19</f>
        <v>Antonella Denegri</v>
      </c>
      <c r="C6" s="82">
        <f>+'RES CUENTA'!G19</f>
        <v>8.27</v>
      </c>
      <c r="D6">
        <f>+'RES CUENTA'!B19</f>
        <v>5</v>
      </c>
      <c r="E6" s="82">
        <f>+'RES CUENTA'!H19</f>
        <v>12.56</v>
      </c>
      <c r="F6" s="10"/>
    </row>
    <row r="7" spans="2:8" x14ac:dyDescent="0.2">
      <c r="B7" t="str">
        <f>+'RES CUENTA'!D20</f>
        <v>Ana Isabel Pirro</v>
      </c>
      <c r="C7" s="82">
        <f>+'RES CUENTA'!G20</f>
        <v>8.27</v>
      </c>
      <c r="D7">
        <f>+'RES CUENTA'!B20</f>
        <v>6</v>
      </c>
      <c r="E7" s="82">
        <f>+'RES CUENTA'!H20</f>
        <v>12.56</v>
      </c>
      <c r="F7" s="10"/>
    </row>
    <row r="8" spans="2:8" x14ac:dyDescent="0.2">
      <c r="B8" t="str">
        <f>+'RES CUENTA'!D21</f>
        <v>Leandro Acero</v>
      </c>
      <c r="C8" s="82">
        <f>+'RES CUENTA'!G21</f>
        <v>8.35</v>
      </c>
      <c r="D8">
        <f>+'RES CUENTA'!B21</f>
        <v>7</v>
      </c>
      <c r="E8" s="82">
        <f>+'RES CUENTA'!H21</f>
        <v>12.68</v>
      </c>
      <c r="F8" s="10"/>
    </row>
    <row r="9" spans="2:8" x14ac:dyDescent="0.2">
      <c r="B9" t="str">
        <f>+'RES CUENTA'!D22</f>
        <v>Jose A. Montans</v>
      </c>
      <c r="C9" s="82">
        <f>+'RES CUENTA'!G22</f>
        <v>8.35</v>
      </c>
      <c r="D9">
        <f>+'RES CUENTA'!B22</f>
        <v>8</v>
      </c>
      <c r="E9" s="82">
        <f>+'RES CUENTA'!H22</f>
        <v>12.68</v>
      </c>
      <c r="F9" s="10"/>
    </row>
    <row r="10" spans="2:8" x14ac:dyDescent="0.2">
      <c r="B10" t="str">
        <f>+'RES CUENTA'!D23</f>
        <v>Miguel A. Machinandiarena</v>
      </c>
      <c r="C10" s="82">
        <f>+'RES CUENTA'!G23</f>
        <v>8.11</v>
      </c>
      <c r="D10">
        <f>+'RES CUENTA'!B23</f>
        <v>9</v>
      </c>
      <c r="E10" s="82">
        <f>+'RES CUENTA'!H23</f>
        <v>12.32</v>
      </c>
      <c r="F10" s="10"/>
    </row>
    <row r="11" spans="2:8" x14ac:dyDescent="0.2">
      <c r="B11" t="str">
        <f>+'RES CUENTA'!D24</f>
        <v>Olivier Liem</v>
      </c>
      <c r="C11" s="82">
        <f>+'RES CUENTA'!G24</f>
        <v>8.11</v>
      </c>
      <c r="D11">
        <f>+'RES CUENTA'!B24</f>
        <v>10</v>
      </c>
      <c r="E11" s="82">
        <f>+'RES CUENTA'!H24</f>
        <v>12.32</v>
      </c>
      <c r="F11" s="10"/>
    </row>
    <row r="12" spans="2:8" x14ac:dyDescent="0.2">
      <c r="B12" t="e">
        <f>+'RES CUENTA'!#REF!</f>
        <v>#REF!</v>
      </c>
      <c r="C12" s="82" t="e">
        <f>+'RES CUENTA'!#REF!</f>
        <v>#REF!</v>
      </c>
      <c r="D12" t="e">
        <f>+'RES CUENTA'!#REF!</f>
        <v>#REF!</v>
      </c>
      <c r="E12" s="82" t="e">
        <f>+'RES CUENTA'!#REF!</f>
        <v>#REF!</v>
      </c>
      <c r="F12" s="10"/>
    </row>
    <row r="13" spans="2:8" x14ac:dyDescent="0.2">
      <c r="B13" t="e">
        <f>+'RES CUENTA'!#REF!</f>
        <v>#REF!</v>
      </c>
      <c r="C13" s="82" t="e">
        <f>+'RES CUENTA'!#REF!</f>
        <v>#REF!</v>
      </c>
      <c r="D13" t="e">
        <f>+'RES CUENTA'!#REF!</f>
        <v>#REF!</v>
      </c>
      <c r="E13" s="82" t="e">
        <f>+'RES CUENTA'!#REF!</f>
        <v>#REF!</v>
      </c>
      <c r="F13" s="10"/>
    </row>
    <row r="14" spans="2:8" x14ac:dyDescent="0.2">
      <c r="B14" t="e">
        <f>+'RES CUENTA'!#REF!</f>
        <v>#REF!</v>
      </c>
      <c r="C14" s="82" t="e">
        <f>+'RES CUENTA'!#REF!</f>
        <v>#REF!</v>
      </c>
      <c r="D14" t="e">
        <f>+'RES CUENTA'!#REF!</f>
        <v>#REF!</v>
      </c>
      <c r="E14" s="82" t="e">
        <f>+'RES CUENTA'!#REF!</f>
        <v>#REF!</v>
      </c>
      <c r="F14" s="10"/>
    </row>
    <row r="15" spans="2:8" x14ac:dyDescent="0.2">
      <c r="B15" t="e">
        <f>+'RES CUENTA'!#REF!</f>
        <v>#REF!</v>
      </c>
      <c r="C15" s="82" t="e">
        <f>+'RES CUENTA'!#REF!</f>
        <v>#REF!</v>
      </c>
      <c r="D15" t="e">
        <f>+'RES CUENTA'!#REF!</f>
        <v>#REF!</v>
      </c>
      <c r="E15" s="82" t="e">
        <f>+'RES CUENTA'!#REF!</f>
        <v>#REF!</v>
      </c>
      <c r="F15" s="10"/>
    </row>
    <row r="16" spans="2:8" x14ac:dyDescent="0.2">
      <c r="B16" t="e">
        <f>+'RES CUENTA'!#REF!</f>
        <v>#REF!</v>
      </c>
      <c r="C16" s="82" t="e">
        <f>+'RES CUENTA'!#REF!</f>
        <v>#REF!</v>
      </c>
      <c r="D16" t="e">
        <f>+'RES CUENTA'!#REF!</f>
        <v>#REF!</v>
      </c>
      <c r="E16" s="82" t="e">
        <f>+'RES CUENTA'!#REF!</f>
        <v>#REF!</v>
      </c>
      <c r="F16" s="10"/>
    </row>
    <row r="17" spans="2:10" x14ac:dyDescent="0.2">
      <c r="B17" t="e">
        <f>+'RES CUENTA'!#REF!</f>
        <v>#REF!</v>
      </c>
      <c r="C17" s="82" t="e">
        <f>+'RES CUENTA'!#REF!</f>
        <v>#REF!</v>
      </c>
      <c r="D17" t="e">
        <f>+'RES CUENTA'!#REF!</f>
        <v>#REF!</v>
      </c>
      <c r="E17" s="82" t="e">
        <f>+'RES CUENTA'!#REF!</f>
        <v>#REF!</v>
      </c>
      <c r="F17" s="10"/>
    </row>
    <row r="18" spans="2:10" x14ac:dyDescent="0.2">
      <c r="B18" t="e">
        <f>+'RES CUENTA'!#REF!</f>
        <v>#REF!</v>
      </c>
      <c r="C18" s="82" t="e">
        <f>+'RES CUENTA'!#REF!</f>
        <v>#REF!</v>
      </c>
      <c r="D18" t="e">
        <f>+'RES CUENTA'!#REF!</f>
        <v>#REF!</v>
      </c>
      <c r="E18" s="82" t="e">
        <f>+'RES CUENTA'!#REF!</f>
        <v>#REF!</v>
      </c>
      <c r="F18" s="10"/>
    </row>
    <row r="19" spans="2:10" x14ac:dyDescent="0.2">
      <c r="B19" t="e">
        <f>+'RES CUENTA'!#REF!</f>
        <v>#REF!</v>
      </c>
      <c r="C19" s="82" t="e">
        <f>+'RES CUENTA'!#REF!</f>
        <v>#REF!</v>
      </c>
      <c r="D19" t="e">
        <f>+'RES CUENTA'!#REF!</f>
        <v>#REF!</v>
      </c>
      <c r="E19" s="82" t="e">
        <f>+'RES CUENTA'!#REF!</f>
        <v>#REF!</v>
      </c>
      <c r="F19" s="10"/>
    </row>
    <row r="20" spans="2:10" x14ac:dyDescent="0.2">
      <c r="B20" t="e">
        <f>+'RES CUENTA'!#REF!</f>
        <v>#REF!</v>
      </c>
      <c r="C20" s="82" t="e">
        <f>+'RES CUENTA'!#REF!</f>
        <v>#REF!</v>
      </c>
      <c r="D20" t="e">
        <f>+'RES CUENTA'!#REF!</f>
        <v>#REF!</v>
      </c>
      <c r="E20" s="82" t="e">
        <f>+'RES CUENTA'!#REF!</f>
        <v>#REF!</v>
      </c>
      <c r="F20" s="10"/>
    </row>
    <row r="21" spans="2:10" x14ac:dyDescent="0.2">
      <c r="B21" t="e">
        <f>+'RES CUENTA'!#REF!</f>
        <v>#REF!</v>
      </c>
      <c r="C21" s="82" t="e">
        <f>+'RES CUENTA'!#REF!</f>
        <v>#REF!</v>
      </c>
      <c r="D21" t="e">
        <f>+'RES CUENTA'!#REF!</f>
        <v>#REF!</v>
      </c>
      <c r="E21" s="82" t="e">
        <f>+'RES CUENTA'!#REF!</f>
        <v>#REF!</v>
      </c>
      <c r="F21" s="10"/>
    </row>
    <row r="22" spans="2:10" x14ac:dyDescent="0.2">
      <c r="B22" t="e">
        <f>+'RES CUENTA'!#REF!</f>
        <v>#REF!</v>
      </c>
      <c r="C22" s="82" t="e">
        <f>+'RES CUENTA'!#REF!</f>
        <v>#REF!</v>
      </c>
      <c r="D22" t="e">
        <f>+'RES CUENTA'!#REF!</f>
        <v>#REF!</v>
      </c>
      <c r="E22" s="82" t="e">
        <f>+'RES CUENTA'!#REF!</f>
        <v>#REF!</v>
      </c>
      <c r="F22" s="10"/>
    </row>
    <row r="23" spans="2:10" x14ac:dyDescent="0.2">
      <c r="B23" t="e">
        <f>+'RES CUENTA'!#REF!</f>
        <v>#REF!</v>
      </c>
      <c r="C23" s="82" t="e">
        <f>+'RES CUENTA'!#REF!</f>
        <v>#REF!</v>
      </c>
      <c r="D23" t="e">
        <f>+'RES CUENTA'!#REF!</f>
        <v>#REF!</v>
      </c>
      <c r="E23" s="82" t="e">
        <f>+'RES CUENTA'!#REF!</f>
        <v>#REF!</v>
      </c>
      <c r="F23" s="10"/>
      <c r="I23" s="1"/>
    </row>
    <row r="24" spans="2:10" x14ac:dyDescent="0.2">
      <c r="B24" t="e">
        <f>+'RES CUENTA'!#REF!</f>
        <v>#REF!</v>
      </c>
      <c r="C24" s="82" t="e">
        <f>+'RES CUENTA'!#REF!</f>
        <v>#REF!</v>
      </c>
      <c r="D24" t="e">
        <f>+'RES CUENTA'!#REF!</f>
        <v>#REF!</v>
      </c>
      <c r="E24" s="82" t="e">
        <f>+'RES CUENTA'!#REF!</f>
        <v>#REF!</v>
      </c>
      <c r="F24" s="10"/>
    </row>
    <row r="25" spans="2:10" x14ac:dyDescent="0.2">
      <c r="C25" s="82" t="e">
        <f>SUM(C2:C24)</f>
        <v>#REF!</v>
      </c>
      <c r="E25" s="82" t="e">
        <f>SUM(E2:E24)</f>
        <v>#REF!</v>
      </c>
      <c r="F25" s="10"/>
    </row>
    <row r="26" spans="2:10" x14ac:dyDescent="0.2">
      <c r="C26" s="82"/>
      <c r="E26" s="10"/>
      <c r="F26" s="10"/>
    </row>
    <row r="27" spans="2:10" x14ac:dyDescent="0.2">
      <c r="C27" s="82"/>
      <c r="E27" s="10"/>
      <c r="F27" s="10"/>
    </row>
    <row r="28" spans="2:10" ht="15" customHeight="1" x14ac:dyDescent="0.2">
      <c r="B28" s="183"/>
      <c r="C28" s="10"/>
      <c r="D28" s="10"/>
      <c r="E28" s="10"/>
      <c r="F28" s="10"/>
    </row>
    <row r="29" spans="2:10" ht="14.25" customHeight="1" x14ac:dyDescent="0.25">
      <c r="B29" s="334"/>
      <c r="C29" s="334"/>
      <c r="D29" s="334"/>
      <c r="E29" s="85"/>
      <c r="F29" s="85"/>
      <c r="G29" s="335"/>
      <c r="H29" s="335"/>
      <c r="I29" s="81"/>
      <c r="J29" s="81"/>
    </row>
    <row r="30" spans="2:10" ht="18" x14ac:dyDescent="0.25">
      <c r="B30" s="334"/>
      <c r="C30" s="334"/>
      <c r="D30" s="334"/>
      <c r="E30" s="336">
        <f>+$B$1</f>
        <v>46143</v>
      </c>
      <c r="F30" s="85"/>
      <c r="G30" s="337">
        <f>+$D$1</f>
        <v>46037</v>
      </c>
      <c r="H30" s="90"/>
      <c r="I30" s="81"/>
      <c r="J30" s="81"/>
    </row>
    <row r="31" spans="2:10" ht="18" x14ac:dyDescent="0.25">
      <c r="B31" s="147"/>
      <c r="C31" s="147"/>
      <c r="D31" s="100"/>
      <c r="E31" s="336"/>
      <c r="F31" s="85"/>
      <c r="G31" s="337"/>
      <c r="H31" s="90"/>
      <c r="I31" s="81"/>
      <c r="J31" s="81"/>
    </row>
    <row r="32" spans="2:10" ht="18" x14ac:dyDescent="0.25">
      <c r="B32" s="85"/>
      <c r="C32" s="85"/>
      <c r="D32" s="85"/>
      <c r="E32" s="85"/>
      <c r="F32" s="85"/>
      <c r="G32" s="85"/>
      <c r="H32" s="90"/>
      <c r="I32" s="81"/>
      <c r="J32" s="81"/>
    </row>
    <row r="33" spans="2:10" ht="24.75" customHeight="1" x14ac:dyDescent="0.25">
      <c r="B33" s="194"/>
      <c r="C33" s="85"/>
      <c r="D33" s="85"/>
      <c r="E33" s="85"/>
      <c r="F33" s="85"/>
      <c r="G33" s="85"/>
      <c r="H33" s="90"/>
      <c r="I33" s="81"/>
      <c r="J33" s="81"/>
    </row>
    <row r="34" spans="2:10" ht="21.75" customHeight="1" x14ac:dyDescent="0.25">
      <c r="B34" s="85" t="str">
        <f>+B2</f>
        <v>Casa Lopez</v>
      </c>
      <c r="C34" s="85"/>
      <c r="D34" s="85"/>
      <c r="E34" s="85" t="str">
        <f>+E1</f>
        <v>Lima 461 C:A:B:A:</v>
      </c>
      <c r="F34" s="85"/>
      <c r="G34" s="85"/>
      <c r="H34" s="90" t="s">
        <v>84</v>
      </c>
      <c r="I34" s="81"/>
      <c r="J34" s="81"/>
    </row>
    <row r="35" spans="2:10" ht="18" x14ac:dyDescent="0.25">
      <c r="B35" s="85"/>
      <c r="C35" s="85"/>
      <c r="D35" s="85"/>
      <c r="E35" s="85"/>
      <c r="F35" s="85"/>
      <c r="G35" s="85"/>
      <c r="H35" s="90" t="str">
        <f>+'RES CUENTA'!A15</f>
        <v>Local</v>
      </c>
      <c r="I35" s="81"/>
      <c r="J35" s="81"/>
    </row>
    <row r="36" spans="2:10" ht="18" x14ac:dyDescent="0.25">
      <c r="B36" s="90"/>
      <c r="C36" s="85"/>
      <c r="D36" s="90"/>
      <c r="E36" s="85"/>
      <c r="F36" s="85"/>
      <c r="G36" s="85"/>
      <c r="H36" s="90"/>
      <c r="I36" s="81"/>
      <c r="J36" s="81"/>
    </row>
    <row r="37" spans="2:10" ht="17.25" customHeight="1" x14ac:dyDescent="0.25">
      <c r="B37" s="90"/>
      <c r="C37" s="85"/>
      <c r="D37" s="90"/>
      <c r="E37" s="85"/>
      <c r="F37" s="85"/>
      <c r="G37" s="85"/>
      <c r="H37" s="90"/>
      <c r="I37" s="81"/>
      <c r="J37" s="81"/>
    </row>
    <row r="38" spans="2:10" ht="18" x14ac:dyDescent="0.25">
      <c r="B38" s="85" t="s">
        <v>222</v>
      </c>
      <c r="C38" s="85"/>
      <c r="D38" s="103">
        <f>+'RES CUENTA'!L25</f>
        <v>10859801.41</v>
      </c>
      <c r="E38" s="88">
        <f>+'RES CUENTA'!G15</f>
        <v>17.079999999999998</v>
      </c>
      <c r="F38" s="103">
        <f>+D38*E38/100</f>
        <v>1854854.0808279996</v>
      </c>
      <c r="G38" s="338"/>
      <c r="H38" s="338"/>
      <c r="I38" s="81"/>
      <c r="J38" s="81"/>
    </row>
    <row r="39" spans="2:10" ht="18" x14ac:dyDescent="0.25">
      <c r="B39" s="85" t="s">
        <v>202</v>
      </c>
      <c r="C39" s="85"/>
      <c r="D39" s="103">
        <v>0</v>
      </c>
      <c r="E39" s="88">
        <v>0</v>
      </c>
      <c r="F39" s="103">
        <f>+D39*E39/100</f>
        <v>0</v>
      </c>
      <c r="G39" s="341"/>
      <c r="H39" s="341"/>
      <c r="I39" s="81"/>
      <c r="J39" s="81"/>
    </row>
    <row r="40" spans="2:10" ht="18" x14ac:dyDescent="0.25">
      <c r="B40" s="85" t="s">
        <v>269</v>
      </c>
      <c r="C40" s="85"/>
      <c r="D40" s="103">
        <v>0</v>
      </c>
      <c r="E40" s="88">
        <v>0</v>
      </c>
      <c r="F40" s="103">
        <v>0</v>
      </c>
      <c r="G40" s="341"/>
      <c r="H40" s="341"/>
      <c r="I40" s="81"/>
      <c r="J40" s="81"/>
    </row>
    <row r="41" spans="2:10" ht="18" x14ac:dyDescent="0.25">
      <c r="B41" s="85" t="s">
        <v>79</v>
      </c>
      <c r="C41" s="85"/>
      <c r="D41" s="103">
        <f>+'RES CUENTA'!Q15</f>
        <v>16679327.107961515</v>
      </c>
      <c r="E41" s="85">
        <v>0</v>
      </c>
      <c r="F41" s="103">
        <f>+D41</f>
        <v>16679327.107961515</v>
      </c>
      <c r="G41" s="341"/>
      <c r="H41" s="341"/>
      <c r="I41" s="81"/>
      <c r="J41" s="81"/>
    </row>
    <row r="42" spans="2:10" ht="18" x14ac:dyDescent="0.25">
      <c r="B42" s="85" t="s">
        <v>80</v>
      </c>
      <c r="C42" s="85"/>
      <c r="D42" s="103">
        <f>+'RES CUENTA'!R15</f>
        <v>8967099.7465136293</v>
      </c>
      <c r="E42" s="85">
        <v>0</v>
      </c>
      <c r="F42" s="165">
        <f>+D42+E42</f>
        <v>8967099.7465136293</v>
      </c>
      <c r="G42" s="341"/>
      <c r="H42" s="341"/>
      <c r="I42" s="81"/>
      <c r="J42" s="81"/>
    </row>
    <row r="43" spans="2:10" ht="18" x14ac:dyDescent="0.25">
      <c r="B43" s="85"/>
      <c r="C43" s="85"/>
      <c r="D43" s="85"/>
      <c r="E43" s="92"/>
      <c r="F43" s="103">
        <f>SUM(F38:F42)</f>
        <v>27501280.935303144</v>
      </c>
      <c r="G43" s="89"/>
      <c r="H43" s="89"/>
      <c r="I43" s="81"/>
      <c r="J43" s="81"/>
    </row>
    <row r="44" spans="2:10" ht="18" x14ac:dyDescent="0.25">
      <c r="B44" s="85"/>
      <c r="C44" s="85"/>
      <c r="D44" s="85"/>
      <c r="E44" s="85"/>
      <c r="F44" s="194"/>
      <c r="G44" s="338"/>
      <c r="H44" s="338"/>
      <c r="I44" s="81"/>
      <c r="J44" s="81"/>
    </row>
    <row r="45" spans="2:10" ht="18" x14ac:dyDescent="0.25">
      <c r="B45" s="85"/>
      <c r="C45" s="85"/>
      <c r="D45" s="85"/>
      <c r="E45" s="85"/>
      <c r="F45" s="194"/>
      <c r="G45" s="90"/>
      <c r="H45" s="90"/>
      <c r="I45" s="81"/>
      <c r="J45" s="81"/>
    </row>
    <row r="46" spans="2:10" ht="18" x14ac:dyDescent="0.25">
      <c r="B46" s="85"/>
      <c r="C46" s="85"/>
      <c r="D46" s="85"/>
      <c r="E46" s="85"/>
      <c r="F46" s="87"/>
      <c r="G46" s="90"/>
      <c r="H46" s="90"/>
      <c r="I46" s="81"/>
      <c r="J46" s="81"/>
    </row>
    <row r="47" spans="2:10" ht="18" x14ac:dyDescent="0.25">
      <c r="B47" s="85"/>
      <c r="C47" s="85"/>
      <c r="D47" s="85"/>
      <c r="E47" s="85"/>
      <c r="F47" s="92"/>
      <c r="G47" s="85"/>
      <c r="H47" s="90"/>
      <c r="I47" s="81"/>
      <c r="J47" s="81"/>
    </row>
    <row r="48" spans="2:10" ht="10.5" customHeight="1" x14ac:dyDescent="0.25">
      <c r="B48" s="85"/>
      <c r="C48" s="85"/>
      <c r="D48" s="85"/>
      <c r="E48" s="85"/>
      <c r="F48" s="92"/>
      <c r="G48" s="85"/>
      <c r="H48" s="90"/>
      <c r="I48" s="81"/>
      <c r="J48" s="81"/>
    </row>
    <row r="49" spans="2:10" ht="24.75" customHeight="1" x14ac:dyDescent="0.25">
      <c r="B49" s="85" t="str">
        <f>+B2</f>
        <v>Casa Lopez</v>
      </c>
      <c r="C49" s="339"/>
      <c r="D49" s="339"/>
      <c r="E49" s="85" t="str">
        <f>+B2</f>
        <v>Casa Lopez</v>
      </c>
      <c r="F49" s="92"/>
      <c r="G49" s="85"/>
      <c r="H49" s="90"/>
      <c r="I49" s="81"/>
      <c r="J49" s="81"/>
    </row>
    <row r="50" spans="2:10" ht="18" x14ac:dyDescent="0.25">
      <c r="B50" s="194"/>
      <c r="C50" s="85"/>
      <c r="D50" s="85"/>
      <c r="E50" s="194"/>
      <c r="F50" s="339"/>
      <c r="G50" s="339"/>
      <c r="H50" s="339"/>
      <c r="I50" s="81"/>
      <c r="J50" s="81"/>
    </row>
    <row r="51" spans="2:10" ht="18" x14ac:dyDescent="0.25">
      <c r="B51" s="85" t="str">
        <f>+E1</f>
        <v>Lima 461 C:A:B:A:</v>
      </c>
      <c r="C51" s="85"/>
      <c r="D51" s="90" t="str">
        <f>+H34</f>
        <v>Unid. 1</v>
      </c>
      <c r="E51" s="85" t="str">
        <f>+E1</f>
        <v>Lima 461 C:A:B:A:</v>
      </c>
      <c r="F51" s="85"/>
      <c r="G51" s="85"/>
      <c r="H51" s="90" t="str">
        <f>+D51</f>
        <v>Unid. 1</v>
      </c>
      <c r="I51" s="81"/>
      <c r="J51" s="81"/>
    </row>
    <row r="52" spans="2:10" ht="18" x14ac:dyDescent="0.25">
      <c r="B52" s="194"/>
      <c r="C52" s="194"/>
      <c r="D52" s="90" t="str">
        <f>+H52</f>
        <v>Local</v>
      </c>
      <c r="E52" s="194"/>
      <c r="F52" s="194"/>
      <c r="G52" s="194"/>
      <c r="H52" s="90" t="str">
        <f>+H35</f>
        <v>Local</v>
      </c>
      <c r="I52" s="81"/>
      <c r="J52" s="81"/>
    </row>
    <row r="53" spans="2:10" ht="10.5" customHeight="1" x14ac:dyDescent="0.25">
      <c r="B53" s="85"/>
      <c r="C53" s="85"/>
      <c r="D53" s="85"/>
      <c r="E53" s="85"/>
      <c r="F53" s="85"/>
      <c r="G53" s="85"/>
      <c r="H53" s="254"/>
      <c r="I53" s="81"/>
      <c r="J53" s="81"/>
    </row>
    <row r="54" spans="2:10" ht="18" x14ac:dyDescent="0.25">
      <c r="B54" s="85" t="str">
        <f>+F1</f>
        <v>P/Depósito/transferencia en Bco Santander Rio</v>
      </c>
      <c r="C54" s="85"/>
      <c r="D54" s="85"/>
      <c r="E54" s="85"/>
      <c r="F54" s="85"/>
      <c r="G54" s="85"/>
      <c r="H54" s="90"/>
      <c r="I54" s="81"/>
      <c r="J54" s="81"/>
    </row>
    <row r="55" spans="2:10" ht="17.25" customHeight="1" x14ac:dyDescent="0.25">
      <c r="B55" s="85" t="str">
        <f>+F2</f>
        <v>Cta. Cte. $ N° 210-1950/3</v>
      </c>
      <c r="C55" s="85"/>
      <c r="D55" s="85"/>
      <c r="E55" s="148"/>
      <c r="F55" s="85"/>
      <c r="G55" s="90"/>
      <c r="H55" s="90"/>
      <c r="I55" s="81"/>
      <c r="J55" s="81"/>
    </row>
    <row r="56" spans="2:10" ht="18" x14ac:dyDescent="0.25">
      <c r="B56" s="85" t="str">
        <f>+F3</f>
        <v>CBU 0720210220000000195036</v>
      </c>
      <c r="C56" s="85"/>
      <c r="D56" s="85"/>
      <c r="E56" s="85" t="s">
        <v>223</v>
      </c>
      <c r="F56" s="106">
        <f>+F38</f>
        <v>1854854.0808279996</v>
      </c>
      <c r="G56" s="194"/>
      <c r="H56" s="99">
        <f>+D1</f>
        <v>46037</v>
      </c>
      <c r="I56" s="81"/>
      <c r="J56" s="81"/>
    </row>
    <row r="57" spans="2:10" ht="18" x14ac:dyDescent="0.25">
      <c r="B57" s="85" t="str">
        <f>+F4</f>
        <v>CUIT: 30-53267348-4</v>
      </c>
      <c r="C57" s="85"/>
      <c r="D57" s="85"/>
      <c r="E57" s="85" t="s">
        <v>201</v>
      </c>
      <c r="F57" s="106">
        <f>+F39</f>
        <v>0</v>
      </c>
      <c r="G57" s="194"/>
      <c r="H57" s="254"/>
      <c r="I57" s="81"/>
      <c r="J57" s="81"/>
    </row>
    <row r="58" spans="2:10" ht="18" x14ac:dyDescent="0.25">
      <c r="B58" s="194"/>
      <c r="C58" s="85"/>
      <c r="D58" s="85"/>
      <c r="E58" s="85" t="s">
        <v>81</v>
      </c>
      <c r="F58" s="106">
        <f>+F41</f>
        <v>16679327.107961515</v>
      </c>
      <c r="G58" s="85"/>
      <c r="H58" s="90"/>
      <c r="I58" s="81"/>
      <c r="J58" s="81"/>
    </row>
    <row r="59" spans="2:10" ht="18" x14ac:dyDescent="0.25">
      <c r="B59" s="85"/>
      <c r="C59" s="85"/>
      <c r="D59" s="85"/>
      <c r="E59" s="85" t="s">
        <v>82</v>
      </c>
      <c r="F59" s="106">
        <f>+F42</f>
        <v>8967099.7465136293</v>
      </c>
      <c r="G59" s="85"/>
      <c r="H59" s="90"/>
      <c r="I59" s="81"/>
      <c r="J59" s="81"/>
    </row>
    <row r="60" spans="2:10" ht="18" x14ac:dyDescent="0.25">
      <c r="B60" s="148"/>
      <c r="C60" s="148"/>
      <c r="D60" s="148"/>
      <c r="E60" s="85" t="s">
        <v>188</v>
      </c>
      <c r="F60" s="166">
        <f>+F40</f>
        <v>0</v>
      </c>
      <c r="G60" s="85"/>
      <c r="H60" s="90"/>
      <c r="I60" s="81"/>
      <c r="J60" s="81"/>
    </row>
    <row r="61" spans="2:10" ht="18" x14ac:dyDescent="0.25">
      <c r="B61" s="99">
        <f>+$G$30</f>
        <v>46037</v>
      </c>
      <c r="C61" s="105">
        <f>+F43</f>
        <v>27501280.935303144</v>
      </c>
      <c r="D61" s="85"/>
      <c r="E61" s="85" t="s">
        <v>83</v>
      </c>
      <c r="F61" s="106">
        <f>+F43</f>
        <v>27501280.935303144</v>
      </c>
      <c r="G61" s="85"/>
      <c r="H61" s="90"/>
      <c r="I61" s="81"/>
      <c r="J61" s="81"/>
    </row>
    <row r="62" spans="2:10" ht="18" x14ac:dyDescent="0.25">
      <c r="B62" s="85"/>
      <c r="C62" s="85"/>
      <c r="D62" s="85"/>
      <c r="E62" s="102"/>
      <c r="F62" s="85"/>
      <c r="G62" s="85"/>
      <c r="H62" s="90"/>
      <c r="I62" s="81"/>
      <c r="J62" s="81"/>
    </row>
    <row r="63" spans="2:10" ht="18" x14ac:dyDescent="0.25">
      <c r="B63" s="85"/>
      <c r="C63" s="85"/>
      <c r="D63" s="85"/>
      <c r="E63" s="102"/>
      <c r="F63" s="85"/>
      <c r="G63" s="85"/>
      <c r="H63" s="90"/>
      <c r="I63" s="81"/>
      <c r="J63" s="81"/>
    </row>
    <row r="64" spans="2:10" ht="18" x14ac:dyDescent="0.25">
      <c r="B64" s="85"/>
      <c r="C64" s="85"/>
      <c r="D64" s="85"/>
      <c r="E64" s="194"/>
      <c r="F64" s="85"/>
      <c r="G64" s="85"/>
      <c r="H64" s="90"/>
      <c r="I64" s="81"/>
      <c r="J64" s="81"/>
    </row>
    <row r="65" spans="2:10" ht="18" x14ac:dyDescent="0.25">
      <c r="B65" s="85"/>
      <c r="C65" s="85"/>
      <c r="D65" s="85"/>
      <c r="E65" s="194"/>
      <c r="F65" s="85"/>
      <c r="G65" s="85"/>
      <c r="H65" s="90"/>
      <c r="I65" s="81"/>
      <c r="J65" s="81"/>
    </row>
    <row r="66" spans="2:10" ht="18" x14ac:dyDescent="0.25">
      <c r="B66" s="85"/>
      <c r="C66" s="85"/>
      <c r="D66" s="85"/>
      <c r="E66" s="85"/>
      <c r="F66" s="85"/>
      <c r="G66" s="85"/>
      <c r="H66" s="90"/>
      <c r="I66" s="81"/>
      <c r="J66" s="81"/>
    </row>
    <row r="67" spans="2:10" ht="22.5" customHeight="1" x14ac:dyDescent="0.25">
      <c r="B67" s="85"/>
      <c r="C67" s="85"/>
      <c r="D67" s="85"/>
      <c r="E67" s="85"/>
      <c r="F67" s="85"/>
      <c r="G67" s="338"/>
      <c r="H67" s="338"/>
      <c r="I67" s="81"/>
      <c r="J67" s="81"/>
    </row>
    <row r="68" spans="2:10" ht="18" x14ac:dyDescent="0.25">
      <c r="B68" s="85"/>
      <c r="C68" s="85"/>
      <c r="D68" s="85"/>
      <c r="E68" s="85"/>
      <c r="F68" s="85"/>
      <c r="G68" s="85"/>
      <c r="H68" s="90"/>
      <c r="I68" s="81"/>
      <c r="J68" s="81"/>
    </row>
    <row r="69" spans="2:10" ht="21" customHeight="1" x14ac:dyDescent="0.25">
      <c r="B69" s="85"/>
      <c r="C69" s="85"/>
      <c r="D69" s="85"/>
      <c r="E69" s="85"/>
      <c r="F69" s="85"/>
      <c r="G69" s="194"/>
      <c r="H69" s="90"/>
      <c r="I69" s="81"/>
      <c r="J69" s="81"/>
    </row>
    <row r="70" spans="2:10" ht="18" x14ac:dyDescent="0.25">
      <c r="B70" s="334"/>
      <c r="C70" s="334"/>
      <c r="D70" s="334"/>
      <c r="E70" s="98">
        <f>+$B$1</f>
        <v>46143</v>
      </c>
      <c r="F70" s="85"/>
      <c r="G70" s="99">
        <f>+$D$1</f>
        <v>46037</v>
      </c>
      <c r="H70" s="162"/>
      <c r="I70" s="81"/>
      <c r="J70" s="81"/>
    </row>
    <row r="71" spans="2:10" ht="18" x14ac:dyDescent="0.25">
      <c r="B71" s="147"/>
      <c r="C71" s="147"/>
      <c r="D71" s="100"/>
      <c r="E71" s="98"/>
      <c r="F71" s="85"/>
      <c r="G71" s="194"/>
      <c r="H71" s="254"/>
    </row>
    <row r="72" spans="2:10" ht="24" customHeight="1" x14ac:dyDescent="0.25">
      <c r="B72" s="194"/>
      <c r="C72" s="85"/>
      <c r="D72" s="85"/>
      <c r="E72" s="194"/>
      <c r="F72" s="85"/>
      <c r="G72" s="194"/>
      <c r="H72" s="254"/>
    </row>
    <row r="73" spans="2:10" ht="18" x14ac:dyDescent="0.25">
      <c r="B73" s="85" t="str">
        <f>+B3</f>
        <v>Eduardo Sanchez</v>
      </c>
      <c r="C73" s="85"/>
      <c r="D73" s="85"/>
      <c r="E73" s="85" t="str">
        <f>+E1</f>
        <v>Lima 461 C:A:B:A:</v>
      </c>
      <c r="F73" s="85"/>
      <c r="G73" s="194"/>
      <c r="H73" s="90" t="s">
        <v>85</v>
      </c>
    </row>
    <row r="74" spans="2:10" ht="18" x14ac:dyDescent="0.25">
      <c r="B74" s="85"/>
      <c r="C74" s="85"/>
      <c r="D74" s="85"/>
      <c r="E74" s="194"/>
      <c r="F74" s="85"/>
      <c r="G74" s="85"/>
      <c r="H74" s="90" t="str">
        <f>+'RES CUENTA'!A16</f>
        <v>Local</v>
      </c>
    </row>
    <row r="75" spans="2:10" ht="18" x14ac:dyDescent="0.25">
      <c r="B75" s="85"/>
      <c r="C75" s="85"/>
      <c r="D75" s="85"/>
      <c r="E75" s="85"/>
      <c r="F75" s="85"/>
      <c r="G75" s="85"/>
      <c r="H75" s="90"/>
    </row>
    <row r="76" spans="2:10" ht="17.25" customHeight="1" x14ac:dyDescent="0.25">
      <c r="B76" s="90"/>
      <c r="C76" s="85"/>
      <c r="D76" s="90"/>
      <c r="E76" s="85"/>
      <c r="F76" s="85"/>
      <c r="G76" s="85"/>
      <c r="H76" s="90"/>
    </row>
    <row r="77" spans="2:10" ht="18" x14ac:dyDescent="0.25">
      <c r="B77" s="85" t="s">
        <v>222</v>
      </c>
      <c r="C77" s="85"/>
      <c r="D77" s="103">
        <f>+'RES CUENTA'!L25</f>
        <v>10859801.41</v>
      </c>
      <c r="E77" s="88">
        <f>+'RES CUENTA'!G16</f>
        <v>17.079999999999998</v>
      </c>
      <c r="F77" s="103">
        <f>+D77*E77/100</f>
        <v>1854854.0808279996</v>
      </c>
      <c r="G77" s="85"/>
      <c r="H77" s="90"/>
    </row>
    <row r="78" spans="2:10" ht="18" x14ac:dyDescent="0.25">
      <c r="B78" s="85" t="s">
        <v>202</v>
      </c>
      <c r="C78" s="85"/>
      <c r="D78" s="103">
        <f>+'RES CUENTA'!N16</f>
        <v>0</v>
      </c>
      <c r="E78" s="88">
        <v>0</v>
      </c>
      <c r="F78" s="103">
        <f>+D78</f>
        <v>0</v>
      </c>
      <c r="G78" s="90"/>
      <c r="H78" s="89"/>
    </row>
    <row r="79" spans="2:10" ht="18" x14ac:dyDescent="0.25">
      <c r="B79" s="85" t="s">
        <v>269</v>
      </c>
      <c r="C79" s="85"/>
      <c r="D79" s="103">
        <v>0</v>
      </c>
      <c r="E79" s="88">
        <v>0</v>
      </c>
      <c r="F79" s="103">
        <v>0</v>
      </c>
      <c r="G79" s="90"/>
      <c r="H79" s="89"/>
    </row>
    <row r="80" spans="2:10" ht="18" x14ac:dyDescent="0.25">
      <c r="B80" s="85" t="s">
        <v>79</v>
      </c>
      <c r="C80" s="85"/>
      <c r="D80" s="103">
        <f>+'RES CUENTA'!Q16</f>
        <v>0</v>
      </c>
      <c r="E80" s="85">
        <v>0</v>
      </c>
      <c r="F80" s="103">
        <f>+D80</f>
        <v>0</v>
      </c>
      <c r="G80" s="89"/>
      <c r="H80" s="89"/>
    </row>
    <row r="81" spans="2:8" ht="18" x14ac:dyDescent="0.25">
      <c r="B81" s="85" t="s">
        <v>80</v>
      </c>
      <c r="C81" s="85"/>
      <c r="D81" s="103">
        <f>+'RES CUENTA'!R16</f>
        <v>0</v>
      </c>
      <c r="E81" s="85">
        <v>0</v>
      </c>
      <c r="F81" s="165">
        <f>+'RES CUENTA'!R16</f>
        <v>0</v>
      </c>
      <c r="G81" s="89"/>
      <c r="H81" s="89"/>
    </row>
    <row r="82" spans="2:8" ht="18" x14ac:dyDescent="0.25">
      <c r="B82" s="85"/>
      <c r="C82" s="85"/>
      <c r="D82" s="85"/>
      <c r="E82" s="194"/>
      <c r="F82" s="103">
        <f>SUM(F77:F81)</f>
        <v>1854854.0808279996</v>
      </c>
      <c r="G82" s="89"/>
      <c r="H82" s="90"/>
    </row>
    <row r="83" spans="2:8" ht="18" x14ac:dyDescent="0.25">
      <c r="B83" s="85"/>
      <c r="C83" s="85"/>
      <c r="D83" s="85"/>
      <c r="E83" s="85"/>
      <c r="F83" s="92"/>
      <c r="G83" s="90"/>
      <c r="H83" s="90"/>
    </row>
    <row r="84" spans="2:8" ht="18" x14ac:dyDescent="0.25">
      <c r="B84" s="85"/>
      <c r="C84" s="85"/>
      <c r="D84" s="85"/>
      <c r="E84" s="85"/>
      <c r="F84" s="92"/>
      <c r="G84" s="90"/>
      <c r="H84" s="90"/>
    </row>
    <row r="85" spans="2:8" ht="7.5" customHeight="1" x14ac:dyDescent="0.25">
      <c r="B85" s="85"/>
      <c r="C85" s="85"/>
      <c r="D85" s="85"/>
      <c r="E85" s="85"/>
      <c r="F85" s="92"/>
      <c r="G85" s="90"/>
      <c r="H85" s="90"/>
    </row>
    <row r="86" spans="2:8" ht="12.75" customHeight="1" x14ac:dyDescent="0.25">
      <c r="B86" s="85"/>
      <c r="C86" s="85"/>
      <c r="D86" s="85"/>
      <c r="E86" s="85"/>
      <c r="F86" s="92"/>
      <c r="G86" s="90"/>
      <c r="H86" s="90"/>
    </row>
    <row r="87" spans="2:8" ht="19.5" customHeight="1" x14ac:dyDescent="0.25">
      <c r="B87" s="85"/>
      <c r="C87" s="85"/>
      <c r="D87" s="85"/>
      <c r="E87" s="85"/>
      <c r="F87" s="92"/>
      <c r="G87" s="90"/>
      <c r="H87" s="90"/>
    </row>
    <row r="88" spans="2:8" ht="18" x14ac:dyDescent="0.25">
      <c r="B88" s="85" t="str">
        <f>+B73</f>
        <v>Eduardo Sanchez</v>
      </c>
      <c r="C88" s="85"/>
      <c r="D88" s="85"/>
      <c r="E88" s="85" t="str">
        <f>+B73</f>
        <v>Eduardo Sanchez</v>
      </c>
      <c r="F88" s="85"/>
      <c r="G88" s="85"/>
      <c r="H88" s="90"/>
    </row>
    <row r="89" spans="2:8" ht="18" x14ac:dyDescent="0.25">
      <c r="B89" s="85"/>
      <c r="C89" s="85"/>
      <c r="D89" s="85"/>
      <c r="E89" s="194"/>
      <c r="F89" s="85"/>
      <c r="G89" s="92"/>
      <c r="H89" s="90" t="str">
        <f>+D90</f>
        <v>Unid. 2</v>
      </c>
    </row>
    <row r="90" spans="2:8" ht="18" x14ac:dyDescent="0.25">
      <c r="B90" s="85" t="str">
        <f>+E1</f>
        <v>Lima 461 C:A:B:A:</v>
      </c>
      <c r="C90" s="85"/>
      <c r="D90" s="90" t="s">
        <v>85</v>
      </c>
      <c r="E90" s="85" t="str">
        <f>+E1</f>
        <v>Lima 461 C:A:B:A:</v>
      </c>
      <c r="F90" s="85"/>
      <c r="G90" s="85"/>
      <c r="H90" s="90" t="str">
        <f>+H74</f>
        <v>Local</v>
      </c>
    </row>
    <row r="91" spans="2:8" ht="18" x14ac:dyDescent="0.25">
      <c r="B91" s="85"/>
      <c r="C91" s="85"/>
      <c r="D91" s="90" t="str">
        <f>+H74</f>
        <v>Local</v>
      </c>
      <c r="E91" s="194"/>
      <c r="F91" s="85"/>
      <c r="G91" s="85"/>
      <c r="H91" s="254"/>
    </row>
    <row r="92" spans="2:8" ht="6.75" customHeight="1" x14ac:dyDescent="0.25">
      <c r="B92" s="85"/>
      <c r="C92" s="85"/>
      <c r="D92" s="85"/>
      <c r="E92" s="85"/>
      <c r="F92" s="85"/>
      <c r="G92" s="85"/>
      <c r="H92" s="90"/>
    </row>
    <row r="93" spans="2:8" ht="18" x14ac:dyDescent="0.25">
      <c r="B93" s="85" t="str">
        <f>+F1</f>
        <v>P/Depósito/transferencia en Bco Santander Rio</v>
      </c>
      <c r="C93" s="85"/>
      <c r="D93" s="85"/>
      <c r="E93" s="85"/>
      <c r="F93" s="148"/>
      <c r="G93" s="85"/>
      <c r="H93" s="90"/>
    </row>
    <row r="94" spans="2:8" ht="18.75" customHeight="1" x14ac:dyDescent="0.25">
      <c r="B94" s="85" t="str">
        <f>+F2</f>
        <v>Cta. Cte. $ N° 210-1950/3</v>
      </c>
      <c r="C94" s="85"/>
      <c r="D94" s="85"/>
      <c r="E94" s="148"/>
      <c r="F94" s="194"/>
      <c r="G94" s="90"/>
      <c r="H94" s="148"/>
    </row>
    <row r="95" spans="2:8" ht="18" x14ac:dyDescent="0.25">
      <c r="B95" s="85" t="str">
        <f>+F3</f>
        <v>CBU 0720210220000000195036</v>
      </c>
      <c r="C95" s="85"/>
      <c r="D95" s="85"/>
      <c r="E95" s="85" t="s">
        <v>200</v>
      </c>
      <c r="F95" s="106">
        <f>+F77</f>
        <v>1854854.0808279996</v>
      </c>
      <c r="G95" s="149"/>
      <c r="H95" s="99">
        <f>+D1</f>
        <v>46037</v>
      </c>
    </row>
    <row r="96" spans="2:8" ht="18" x14ac:dyDescent="0.25">
      <c r="B96" s="85" t="str">
        <f>+F4</f>
        <v>CUIT: 30-53267348-4</v>
      </c>
      <c r="C96" s="85"/>
      <c r="D96" s="85"/>
      <c r="E96" s="85" t="s">
        <v>201</v>
      </c>
      <c r="F96" s="106">
        <f>+F78</f>
        <v>0</v>
      </c>
      <c r="G96" s="194"/>
      <c r="H96" s="90"/>
    </row>
    <row r="97" spans="1:9" ht="18" x14ac:dyDescent="0.25">
      <c r="B97" s="85"/>
      <c r="C97" s="85"/>
      <c r="D97" s="85"/>
      <c r="E97" s="85" t="s">
        <v>81</v>
      </c>
      <c r="F97" s="106">
        <f>+F80</f>
        <v>0</v>
      </c>
      <c r="G97" s="85"/>
      <c r="H97" s="90"/>
    </row>
    <row r="98" spans="1:9" ht="18" x14ac:dyDescent="0.25">
      <c r="B98" s="148"/>
      <c r="C98" s="148"/>
      <c r="D98" s="148"/>
      <c r="E98" s="85" t="s">
        <v>82</v>
      </c>
      <c r="F98" s="106">
        <f>+'RES CUENTA'!R16</f>
        <v>0</v>
      </c>
      <c r="G98" s="85"/>
      <c r="H98" s="90"/>
    </row>
    <row r="99" spans="1:9" ht="18" x14ac:dyDescent="0.25">
      <c r="B99" s="194"/>
      <c r="C99" s="194"/>
      <c r="D99" s="85"/>
      <c r="E99" s="85" t="s">
        <v>188</v>
      </c>
      <c r="F99" s="166">
        <f>+F79</f>
        <v>0</v>
      </c>
      <c r="G99" s="85"/>
      <c r="H99" s="90"/>
    </row>
    <row r="100" spans="1:9" ht="18" x14ac:dyDescent="0.25">
      <c r="B100" s="99">
        <f>+$G$30</f>
        <v>46037</v>
      </c>
      <c r="C100" s="105">
        <f>+F82</f>
        <v>1854854.0808279996</v>
      </c>
      <c r="D100" s="85"/>
      <c r="E100" s="85" t="s">
        <v>83</v>
      </c>
      <c r="F100" s="106">
        <f>+F82</f>
        <v>1854854.0808279996</v>
      </c>
      <c r="G100" s="85"/>
      <c r="H100" s="90"/>
    </row>
    <row r="101" spans="1:9" ht="18" x14ac:dyDescent="0.25">
      <c r="B101" s="85"/>
      <c r="C101" s="85"/>
      <c r="D101" s="85"/>
      <c r="E101" s="85"/>
      <c r="F101" s="85"/>
      <c r="G101" s="85"/>
      <c r="H101" s="90"/>
    </row>
    <row r="102" spans="1:9" ht="18" x14ac:dyDescent="0.25">
      <c r="B102" s="85"/>
      <c r="C102" s="85"/>
      <c r="D102" s="85"/>
      <c r="E102" s="102"/>
      <c r="F102" s="85"/>
      <c r="G102" s="85"/>
      <c r="H102" s="90"/>
    </row>
    <row r="103" spans="1:9" ht="18" x14ac:dyDescent="0.25">
      <c r="B103" s="85"/>
      <c r="C103" s="85"/>
      <c r="D103" s="85"/>
      <c r="E103" s="85"/>
      <c r="F103" s="85"/>
      <c r="G103" s="85"/>
      <c r="H103" s="94"/>
    </row>
    <row r="104" spans="1:9" ht="18" x14ac:dyDescent="0.25">
      <c r="E104" s="85"/>
      <c r="G104" s="94"/>
      <c r="H104" s="90"/>
    </row>
    <row r="105" spans="1:9" ht="18" x14ac:dyDescent="0.25">
      <c r="A105" s="183"/>
      <c r="G105" s="85"/>
    </row>
    <row r="106" spans="1:9" ht="14.25" customHeight="1" x14ac:dyDescent="0.2">
      <c r="B106" s="194"/>
      <c r="C106" s="194"/>
      <c r="D106" s="194"/>
      <c r="E106" s="194"/>
      <c r="F106" s="194"/>
      <c r="G106" s="194"/>
      <c r="H106" s="254"/>
    </row>
    <row r="107" spans="1:9" ht="18" x14ac:dyDescent="0.25">
      <c r="B107" s="334"/>
      <c r="C107" s="334"/>
      <c r="D107" s="334"/>
      <c r="E107" s="340">
        <f>+$B$1</f>
        <v>46143</v>
      </c>
      <c r="F107" s="85"/>
      <c r="G107" s="337">
        <f>+$D$1</f>
        <v>46037</v>
      </c>
      <c r="H107" s="90"/>
      <c r="I107" s="81"/>
    </row>
    <row r="108" spans="1:9" ht="18" x14ac:dyDescent="0.25">
      <c r="B108" s="147"/>
      <c r="C108" s="147"/>
      <c r="D108" s="100"/>
      <c r="E108" s="340"/>
      <c r="F108" s="85"/>
      <c r="G108" s="337"/>
      <c r="H108" s="90"/>
      <c r="I108" s="81"/>
    </row>
    <row r="109" spans="1:9" ht="18.75" customHeight="1" x14ac:dyDescent="0.25">
      <c r="B109" s="85"/>
      <c r="C109" s="85"/>
      <c r="D109" s="85"/>
      <c r="E109" s="85"/>
      <c r="F109" s="85"/>
      <c r="G109" s="85"/>
      <c r="H109" s="90"/>
      <c r="I109" s="81"/>
    </row>
    <row r="110" spans="1:9" ht="24" customHeight="1" x14ac:dyDescent="0.25">
      <c r="B110" s="194"/>
      <c r="C110" s="85"/>
      <c r="D110" s="85"/>
      <c r="E110" s="85"/>
      <c r="F110" s="85"/>
      <c r="G110" s="85"/>
      <c r="H110" s="90"/>
      <c r="I110" s="81"/>
    </row>
    <row r="111" spans="1:9" ht="20.25" customHeight="1" x14ac:dyDescent="0.25">
      <c r="B111" s="85" t="str">
        <f>+B4</f>
        <v>Benjamin Fernandez</v>
      </c>
      <c r="C111" s="85"/>
      <c r="D111" s="85"/>
      <c r="E111" s="85" t="str">
        <f>+E34</f>
        <v>Lima 461 C:A:B:A:</v>
      </c>
      <c r="F111" s="85"/>
      <c r="G111" s="85"/>
      <c r="H111" s="90" t="s">
        <v>86</v>
      </c>
      <c r="I111" s="81"/>
    </row>
    <row r="112" spans="1:9" ht="18" x14ac:dyDescent="0.25">
      <c r="B112" s="85"/>
      <c r="C112" s="85"/>
      <c r="D112" s="85"/>
      <c r="E112" s="85"/>
      <c r="F112" s="85"/>
      <c r="G112" s="85"/>
      <c r="H112" s="161" t="str">
        <f>+'RES CUENTA'!A17</f>
        <v>1A</v>
      </c>
      <c r="I112" s="81"/>
    </row>
    <row r="113" spans="2:9" ht="18" x14ac:dyDescent="0.25">
      <c r="B113" s="90"/>
      <c r="C113" s="85"/>
      <c r="D113" s="90"/>
      <c r="E113" s="85"/>
      <c r="F113" s="85"/>
      <c r="G113" s="85"/>
      <c r="H113" s="90"/>
      <c r="I113" s="81"/>
    </row>
    <row r="114" spans="2:9" ht="18" x14ac:dyDescent="0.25">
      <c r="B114" s="90"/>
      <c r="C114" s="85"/>
      <c r="D114" s="90"/>
      <c r="E114" s="85"/>
      <c r="F114" s="85"/>
      <c r="G114" s="85"/>
      <c r="H114" s="90"/>
      <c r="I114" s="81"/>
    </row>
    <row r="115" spans="2:9" ht="18" x14ac:dyDescent="0.25">
      <c r="B115" s="85" t="s">
        <v>225</v>
      </c>
      <c r="C115" s="85"/>
      <c r="D115" s="103">
        <f>+'RES CUENTA'!L25</f>
        <v>10859801.41</v>
      </c>
      <c r="E115" s="88">
        <f>+'RES CUENTA'!G17</f>
        <v>8.19</v>
      </c>
      <c r="F115" s="103">
        <f>+D115*E115/100</f>
        <v>889417.73547899991</v>
      </c>
      <c r="G115" s="338"/>
      <c r="H115" s="338"/>
      <c r="I115" s="81"/>
    </row>
    <row r="116" spans="2:9" ht="18" x14ac:dyDescent="0.25">
      <c r="B116" s="85" t="s">
        <v>226</v>
      </c>
      <c r="C116" s="85"/>
      <c r="D116" s="103">
        <f>+'RES CUENTA'!M25</f>
        <v>125000</v>
      </c>
      <c r="E116" s="88">
        <f>+'RES CUENTA'!H17</f>
        <v>12.44</v>
      </c>
      <c r="F116" s="103">
        <f>+D116*E116/100</f>
        <v>15550</v>
      </c>
      <c r="G116" s="341"/>
      <c r="H116" s="341"/>
      <c r="I116" s="81"/>
    </row>
    <row r="117" spans="2:9" ht="18" x14ac:dyDescent="0.25">
      <c r="B117" s="85" t="s">
        <v>202</v>
      </c>
      <c r="C117" s="194"/>
      <c r="D117" s="103">
        <f>+'RES CUENTA'!N17</f>
        <v>0</v>
      </c>
      <c r="E117" s="88">
        <v>0</v>
      </c>
      <c r="F117" s="103">
        <f>+D117</f>
        <v>0</v>
      </c>
      <c r="G117" s="341"/>
      <c r="H117" s="341"/>
      <c r="I117" s="81"/>
    </row>
    <row r="118" spans="2:9" ht="18" x14ac:dyDescent="0.25">
      <c r="B118" s="85" t="s">
        <v>269</v>
      </c>
      <c r="C118" s="194"/>
      <c r="D118" s="103">
        <v>0</v>
      </c>
      <c r="E118" s="88">
        <v>0</v>
      </c>
      <c r="F118" s="103">
        <v>0</v>
      </c>
      <c r="G118" s="341"/>
      <c r="H118" s="341"/>
      <c r="I118" s="81"/>
    </row>
    <row r="119" spans="2:9" ht="18" x14ac:dyDescent="0.25">
      <c r="B119" s="85" t="s">
        <v>79</v>
      </c>
      <c r="C119" s="85"/>
      <c r="D119" s="103">
        <f>+'RES CUENTA'!Q17</f>
        <v>-29700</v>
      </c>
      <c r="E119" s="85">
        <v>0</v>
      </c>
      <c r="F119" s="103">
        <f>+D119</f>
        <v>-29700</v>
      </c>
      <c r="G119" s="341"/>
      <c r="H119" s="341"/>
      <c r="I119" s="81"/>
    </row>
    <row r="120" spans="2:9" ht="18" x14ac:dyDescent="0.25">
      <c r="B120" s="85" t="s">
        <v>80</v>
      </c>
      <c r="C120" s="85"/>
      <c r="D120" s="103">
        <f>+'RES CUENTA'!R17</f>
        <v>0</v>
      </c>
      <c r="E120" s="85">
        <v>0</v>
      </c>
      <c r="F120" s="165">
        <f>+D120</f>
        <v>0</v>
      </c>
      <c r="G120" s="338"/>
      <c r="H120" s="338"/>
      <c r="I120" s="81"/>
    </row>
    <row r="121" spans="2:9" ht="18" x14ac:dyDescent="0.25">
      <c r="B121" s="85"/>
      <c r="C121" s="85"/>
      <c r="D121" s="85"/>
      <c r="E121" s="92"/>
      <c r="F121" s="103">
        <f>SUM(F115:F120)</f>
        <v>875267.73547899991</v>
      </c>
      <c r="G121" s="90"/>
      <c r="H121" s="90"/>
      <c r="I121" s="81"/>
    </row>
    <row r="122" spans="2:9" ht="18.75" customHeight="1" x14ac:dyDescent="0.25">
      <c r="B122" s="85"/>
      <c r="C122" s="85"/>
      <c r="D122" s="85"/>
      <c r="E122" s="85"/>
      <c r="F122" s="87"/>
      <c r="G122" s="90"/>
      <c r="H122" s="90"/>
      <c r="I122" s="81"/>
    </row>
    <row r="123" spans="2:9" ht="18.75" customHeight="1" x14ac:dyDescent="0.25">
      <c r="B123" s="85"/>
      <c r="C123" s="85"/>
      <c r="D123" s="85"/>
      <c r="E123" s="85"/>
      <c r="F123" s="87"/>
      <c r="G123" s="90"/>
      <c r="H123" s="90"/>
      <c r="I123" s="81"/>
    </row>
    <row r="124" spans="2:9" ht="18" x14ac:dyDescent="0.25">
      <c r="B124" s="85"/>
      <c r="C124" s="85"/>
      <c r="D124" s="85"/>
      <c r="E124" s="85"/>
      <c r="F124" s="92"/>
      <c r="G124" s="85"/>
      <c r="H124" s="90"/>
      <c r="I124" s="81"/>
    </row>
    <row r="125" spans="2:9" ht="6.75" customHeight="1" x14ac:dyDescent="0.25">
      <c r="B125" s="85"/>
      <c r="C125" s="85"/>
      <c r="D125" s="85"/>
      <c r="E125" s="85"/>
      <c r="F125" s="92"/>
      <c r="G125" s="85"/>
      <c r="H125" s="90"/>
      <c r="I125" s="81"/>
    </row>
    <row r="126" spans="2:9" ht="15.75" customHeight="1" x14ac:dyDescent="0.25">
      <c r="B126" s="85"/>
      <c r="C126" s="85"/>
      <c r="D126" s="85"/>
      <c r="E126" s="85"/>
      <c r="F126" s="92"/>
      <c r="G126" s="85"/>
      <c r="H126" s="90"/>
      <c r="I126" s="81"/>
    </row>
    <row r="127" spans="2:9" ht="18" x14ac:dyDescent="0.25">
      <c r="B127" s="85" t="str">
        <f>+B111</f>
        <v>Benjamin Fernandez</v>
      </c>
      <c r="C127" s="339"/>
      <c r="D127" s="339"/>
      <c r="E127" s="85" t="str">
        <f>+B127</f>
        <v>Benjamin Fernandez</v>
      </c>
      <c r="F127" s="92"/>
      <c r="G127" s="85"/>
      <c r="H127" s="90"/>
      <c r="I127" s="81"/>
    </row>
    <row r="128" spans="2:9" ht="18" x14ac:dyDescent="0.25">
      <c r="B128" s="194"/>
      <c r="C128" s="85"/>
      <c r="D128" s="85"/>
      <c r="E128" s="194"/>
      <c r="F128" s="339"/>
      <c r="G128" s="339"/>
      <c r="H128" s="339"/>
      <c r="I128" s="81"/>
    </row>
    <row r="129" spans="2:9" ht="18" x14ac:dyDescent="0.25">
      <c r="B129" s="85" t="str">
        <f>+E1</f>
        <v>Lima 461 C:A:B:A:</v>
      </c>
      <c r="C129" s="85"/>
      <c r="D129" s="90" t="str">
        <f>+H111</f>
        <v>Unid. 3</v>
      </c>
      <c r="E129" s="85" t="str">
        <f>+E1</f>
        <v>Lima 461 C:A:B:A:</v>
      </c>
      <c r="F129" s="85"/>
      <c r="G129" s="85"/>
      <c r="H129" s="90" t="str">
        <f>+D129</f>
        <v>Unid. 3</v>
      </c>
      <c r="I129" s="81"/>
    </row>
    <row r="130" spans="2:9" ht="18" x14ac:dyDescent="0.25">
      <c r="B130" s="194"/>
      <c r="C130" s="194"/>
      <c r="D130" s="161" t="str">
        <f>+H130</f>
        <v>1A</v>
      </c>
      <c r="E130" s="194"/>
      <c r="F130" s="194"/>
      <c r="G130" s="194"/>
      <c r="H130" s="161" t="str">
        <f>+H112</f>
        <v>1A</v>
      </c>
      <c r="I130" s="81"/>
    </row>
    <row r="131" spans="2:9" ht="8.25" customHeight="1" x14ac:dyDescent="0.25">
      <c r="B131" s="85"/>
      <c r="C131" s="85"/>
      <c r="D131" s="85"/>
      <c r="E131" s="85"/>
      <c r="F131" s="85"/>
      <c r="G131" s="85"/>
      <c r="H131" s="254"/>
      <c r="I131" s="81"/>
    </row>
    <row r="132" spans="2:9" ht="18" x14ac:dyDescent="0.25">
      <c r="B132" s="85" t="str">
        <f>+F1</f>
        <v>P/Depósito/transferencia en Bco Santander Rio</v>
      </c>
      <c r="C132" s="85"/>
      <c r="D132" s="85"/>
      <c r="E132" s="85"/>
      <c r="F132" s="85"/>
      <c r="G132" s="85"/>
      <c r="H132" s="90"/>
      <c r="I132" s="81"/>
    </row>
    <row r="133" spans="2:9" ht="19.5" customHeight="1" x14ac:dyDescent="0.25">
      <c r="B133" s="85" t="str">
        <f>+F2</f>
        <v>Cta. Cte. $ N° 210-1950/3</v>
      </c>
      <c r="C133" s="85"/>
      <c r="D133" s="85"/>
      <c r="E133" s="148"/>
      <c r="F133" s="85"/>
      <c r="G133" s="90"/>
      <c r="H133" s="90"/>
      <c r="I133" s="81"/>
    </row>
    <row r="134" spans="2:9" ht="18" x14ac:dyDescent="0.25">
      <c r="B134" s="85" t="str">
        <f>+F3</f>
        <v>CBU 0720210220000000195036</v>
      </c>
      <c r="C134" s="85"/>
      <c r="D134" s="85"/>
      <c r="E134" s="85" t="s">
        <v>223</v>
      </c>
      <c r="F134" s="106">
        <f>+F115</f>
        <v>889417.73547899991</v>
      </c>
      <c r="G134" s="194"/>
      <c r="H134" s="99">
        <f>+D1</f>
        <v>46037</v>
      </c>
      <c r="I134" s="81"/>
    </row>
    <row r="135" spans="2:9" ht="18" x14ac:dyDescent="0.25">
      <c r="B135" s="85" t="str">
        <f>+F4</f>
        <v>CUIT: 30-53267348-4</v>
      </c>
      <c r="C135" s="85"/>
      <c r="D135" s="85"/>
      <c r="E135" s="85" t="s">
        <v>227</v>
      </c>
      <c r="F135" s="106">
        <f>+F116</f>
        <v>15550</v>
      </c>
      <c r="G135" s="194"/>
      <c r="H135" s="254"/>
      <c r="I135" s="81"/>
    </row>
    <row r="136" spans="2:9" ht="18" x14ac:dyDescent="0.25">
      <c r="B136" s="85"/>
      <c r="C136" s="85"/>
      <c r="D136" s="85"/>
      <c r="E136" s="85" t="s">
        <v>81</v>
      </c>
      <c r="F136" s="106">
        <f>+F119</f>
        <v>-29700</v>
      </c>
      <c r="G136" s="85"/>
      <c r="H136" s="90"/>
      <c r="I136" s="81"/>
    </row>
    <row r="137" spans="2:9" ht="18" x14ac:dyDescent="0.25">
      <c r="B137" s="85"/>
      <c r="C137" s="85"/>
      <c r="D137" s="85"/>
      <c r="E137" s="85" t="s">
        <v>82</v>
      </c>
      <c r="F137" s="106">
        <f>+'RES CUENTA'!R17</f>
        <v>0</v>
      </c>
      <c r="G137" s="85"/>
      <c r="H137" s="90"/>
      <c r="I137" s="81"/>
    </row>
    <row r="138" spans="2:9" ht="18" x14ac:dyDescent="0.25">
      <c r="B138" s="148"/>
      <c r="C138" s="148"/>
      <c r="D138" s="148"/>
      <c r="E138" s="85" t="s">
        <v>188</v>
      </c>
      <c r="F138" s="166">
        <f>+F117+F118</f>
        <v>0</v>
      </c>
      <c r="G138" s="85"/>
      <c r="H138" s="90"/>
      <c r="I138" s="81"/>
    </row>
    <row r="139" spans="2:9" ht="18" x14ac:dyDescent="0.25">
      <c r="B139" s="99">
        <f>+$G$30</f>
        <v>46037</v>
      </c>
      <c r="C139" s="105">
        <f>+F121</f>
        <v>875267.73547899991</v>
      </c>
      <c r="D139" s="85"/>
      <c r="E139" s="85" t="s">
        <v>83</v>
      </c>
      <c r="F139" s="106">
        <f>+F121</f>
        <v>875267.73547899991</v>
      </c>
      <c r="G139" s="85"/>
      <c r="H139" s="90"/>
      <c r="I139" s="81"/>
    </row>
    <row r="140" spans="2:9" ht="18" x14ac:dyDescent="0.25">
      <c r="B140" s="85"/>
      <c r="C140" s="85"/>
      <c r="D140" s="85"/>
      <c r="E140" s="102"/>
      <c r="F140" s="85"/>
      <c r="G140" s="85"/>
      <c r="H140" s="90"/>
      <c r="I140" s="81"/>
    </row>
    <row r="141" spans="2:9" ht="18" x14ac:dyDescent="0.25">
      <c r="B141" s="85"/>
      <c r="C141" s="85"/>
      <c r="D141" s="85"/>
      <c r="E141" s="194"/>
      <c r="F141" s="85"/>
      <c r="G141" s="85"/>
      <c r="H141" s="90"/>
      <c r="I141" s="81"/>
    </row>
    <row r="142" spans="2:9" ht="18" x14ac:dyDescent="0.25">
      <c r="B142" s="85"/>
      <c r="C142" s="85"/>
      <c r="D142" s="85"/>
      <c r="E142" s="194"/>
      <c r="F142" s="85"/>
      <c r="G142" s="85"/>
      <c r="H142" s="90"/>
      <c r="I142" s="81"/>
    </row>
    <row r="143" spans="2:9" ht="18" x14ac:dyDescent="0.25">
      <c r="B143" s="85"/>
      <c r="C143" s="85"/>
      <c r="D143" s="85"/>
      <c r="E143" s="85"/>
      <c r="F143" s="85"/>
      <c r="G143" s="338"/>
      <c r="H143" s="338"/>
      <c r="I143" s="81"/>
    </row>
    <row r="144" spans="2:9" ht="18" x14ac:dyDescent="0.25">
      <c r="B144" s="85"/>
      <c r="C144" s="85"/>
      <c r="D144" s="85"/>
      <c r="E144" s="85"/>
      <c r="F144" s="85"/>
      <c r="G144" s="85"/>
      <c r="H144" s="90"/>
      <c r="I144" s="81"/>
    </row>
    <row r="145" spans="2:9" ht="18" x14ac:dyDescent="0.25">
      <c r="B145" s="85"/>
      <c r="C145" s="85"/>
      <c r="D145" s="85"/>
      <c r="E145" s="85"/>
      <c r="F145" s="85"/>
      <c r="G145" s="85"/>
      <c r="H145" s="90"/>
      <c r="I145" s="81"/>
    </row>
    <row r="146" spans="2:9" ht="18" x14ac:dyDescent="0.25">
      <c r="B146" s="85"/>
      <c r="C146" s="85"/>
      <c r="D146" s="85"/>
      <c r="E146" s="85"/>
      <c r="F146" s="85"/>
      <c r="G146" s="85"/>
      <c r="H146" s="90"/>
      <c r="I146" s="81"/>
    </row>
    <row r="147" spans="2:9" ht="27" customHeight="1" x14ac:dyDescent="0.25">
      <c r="B147" s="85"/>
      <c r="C147" s="85"/>
      <c r="D147" s="85"/>
      <c r="E147" s="85"/>
      <c r="F147" s="85"/>
      <c r="G147" s="85"/>
      <c r="H147" s="90"/>
      <c r="I147" s="81"/>
    </row>
    <row r="148" spans="2:9" ht="18" x14ac:dyDescent="0.25">
      <c r="B148" s="334"/>
      <c r="C148" s="334"/>
      <c r="D148" s="334"/>
      <c r="E148" s="85"/>
      <c r="F148" s="85"/>
      <c r="G148" s="194"/>
      <c r="H148" s="90"/>
      <c r="I148" s="81"/>
    </row>
    <row r="149" spans="2:9" ht="18" x14ac:dyDescent="0.25">
      <c r="B149" s="334"/>
      <c r="C149" s="334"/>
      <c r="D149" s="334"/>
      <c r="E149" s="98">
        <f>+$B$1</f>
        <v>46143</v>
      </c>
      <c r="F149" s="85"/>
      <c r="G149" s="99">
        <f>+$D$1</f>
        <v>46037</v>
      </c>
      <c r="H149" s="162"/>
      <c r="I149" s="81"/>
    </row>
    <row r="150" spans="2:9" ht="15.75" customHeight="1" x14ac:dyDescent="0.25">
      <c r="B150" s="147"/>
      <c r="C150" s="147"/>
      <c r="D150" s="100"/>
      <c r="E150" s="98"/>
      <c r="F150" s="85"/>
      <c r="G150" s="194"/>
      <c r="H150" s="254"/>
    </row>
    <row r="151" spans="2:9" ht="15" customHeight="1" x14ac:dyDescent="0.25">
      <c r="B151" s="194"/>
      <c r="C151" s="85"/>
      <c r="D151" s="85"/>
      <c r="E151" s="194"/>
      <c r="F151" s="85"/>
      <c r="G151" s="194"/>
      <c r="H151" s="254"/>
    </row>
    <row r="152" spans="2:9" ht="15" customHeight="1" x14ac:dyDescent="0.25">
      <c r="B152" s="85" t="str">
        <f>+B5</f>
        <v>Franco Lippi</v>
      </c>
      <c r="C152" s="85"/>
      <c r="D152" s="85"/>
      <c r="E152" s="85" t="str">
        <f>+E1</f>
        <v>Lima 461 C:A:B:A:</v>
      </c>
      <c r="F152" s="85"/>
      <c r="G152" s="194"/>
      <c r="H152" s="90" t="s">
        <v>87</v>
      </c>
    </row>
    <row r="153" spans="2:9" ht="18" x14ac:dyDescent="0.25">
      <c r="B153" s="85"/>
      <c r="C153" s="85"/>
      <c r="D153" s="85"/>
      <c r="E153" s="194"/>
      <c r="F153" s="85"/>
      <c r="G153" s="85"/>
      <c r="H153" s="90" t="str">
        <f>+'RES CUENTA'!A18</f>
        <v>1B</v>
      </c>
    </row>
    <row r="154" spans="2:9" ht="18" x14ac:dyDescent="0.25">
      <c r="B154" s="85"/>
      <c r="C154" s="85"/>
      <c r="D154" s="85"/>
      <c r="E154" s="85"/>
      <c r="F154" s="85"/>
      <c r="G154" s="85"/>
      <c r="H154" s="90"/>
    </row>
    <row r="155" spans="2:9" ht="18" x14ac:dyDescent="0.25">
      <c r="B155" s="90"/>
      <c r="C155" s="85"/>
      <c r="D155" s="90"/>
      <c r="E155" s="85"/>
      <c r="F155" s="85"/>
      <c r="G155" s="85"/>
      <c r="H155" s="90"/>
    </row>
    <row r="156" spans="2:9" ht="18" x14ac:dyDescent="0.25">
      <c r="B156" s="85" t="s">
        <v>222</v>
      </c>
      <c r="C156" s="85"/>
      <c r="D156" s="107">
        <f>+'RES CUENTA'!L25</f>
        <v>10859801.41</v>
      </c>
      <c r="E156" s="108">
        <f>+'RES CUENTA'!G18</f>
        <v>8.19</v>
      </c>
      <c r="F156" s="103">
        <f>+D156*E156/100</f>
        <v>889417.73547899991</v>
      </c>
      <c r="G156" s="85"/>
      <c r="H156" s="90"/>
    </row>
    <row r="157" spans="2:9" ht="18" x14ac:dyDescent="0.25">
      <c r="B157" s="85" t="s">
        <v>226</v>
      </c>
      <c r="C157" s="85"/>
      <c r="D157" s="107">
        <f>+'RES CUENTA'!M25</f>
        <v>125000</v>
      </c>
      <c r="E157" s="108">
        <f>+'RES CUENTA'!H18</f>
        <v>12.44</v>
      </c>
      <c r="F157" s="103">
        <f>+D157*E157/100</f>
        <v>15550</v>
      </c>
      <c r="G157" s="90"/>
      <c r="H157" s="89"/>
    </row>
    <row r="158" spans="2:9" ht="18" x14ac:dyDescent="0.25">
      <c r="B158" s="85" t="s">
        <v>202</v>
      </c>
      <c r="C158" s="85"/>
      <c r="D158" s="107">
        <f>+'RES CUENTA'!N18</f>
        <v>0</v>
      </c>
      <c r="E158" s="108">
        <v>0</v>
      </c>
      <c r="F158" s="103">
        <f>+D158</f>
        <v>0</v>
      </c>
      <c r="G158" s="90"/>
      <c r="H158" s="89"/>
    </row>
    <row r="159" spans="2:9" ht="18" x14ac:dyDescent="0.25">
      <c r="B159" s="85" t="s">
        <v>269</v>
      </c>
      <c r="C159" s="85"/>
      <c r="D159" s="107">
        <v>0</v>
      </c>
      <c r="E159" s="108">
        <v>0</v>
      </c>
      <c r="F159" s="103">
        <v>0</v>
      </c>
      <c r="G159" s="90"/>
      <c r="H159" s="89"/>
    </row>
    <row r="160" spans="2:9" ht="18" x14ac:dyDescent="0.25">
      <c r="B160" s="85" t="s">
        <v>79</v>
      </c>
      <c r="C160" s="85"/>
      <c r="D160" s="107">
        <f>+'RES CUENTA'!Q18</f>
        <v>0</v>
      </c>
      <c r="E160" s="90">
        <v>0</v>
      </c>
      <c r="F160" s="103">
        <f>+D160</f>
        <v>0</v>
      </c>
      <c r="G160" s="89"/>
      <c r="H160" s="89"/>
    </row>
    <row r="161" spans="2:8" ht="18" x14ac:dyDescent="0.25">
      <c r="B161" s="85" t="s">
        <v>80</v>
      </c>
      <c r="C161" s="85"/>
      <c r="D161" s="107">
        <f>+'RES CUENTA'!R18</f>
        <v>0</v>
      </c>
      <c r="E161" s="90">
        <v>0</v>
      </c>
      <c r="F161" s="165">
        <f>+D161</f>
        <v>0</v>
      </c>
      <c r="G161" s="89"/>
      <c r="H161" s="90"/>
    </row>
    <row r="162" spans="2:8" ht="18" x14ac:dyDescent="0.25">
      <c r="B162" s="85"/>
      <c r="C162" s="85"/>
      <c r="D162" s="85"/>
      <c r="E162" s="194"/>
      <c r="F162" s="103">
        <f>SUM(F156:F161)</f>
        <v>904967.73547899991</v>
      </c>
      <c r="G162" s="89"/>
      <c r="H162" s="90"/>
    </row>
    <row r="163" spans="2:8" ht="18" x14ac:dyDescent="0.25">
      <c r="B163" s="85"/>
      <c r="C163" s="85"/>
      <c r="D163" s="85"/>
      <c r="E163" s="85"/>
      <c r="F163" s="92"/>
      <c r="G163" s="90"/>
      <c r="H163" s="90"/>
    </row>
    <row r="164" spans="2:8" ht="18" x14ac:dyDescent="0.25">
      <c r="B164" s="85"/>
      <c r="C164" s="85"/>
      <c r="D164" s="85"/>
      <c r="E164" s="85"/>
      <c r="F164" s="92"/>
      <c r="G164" s="90"/>
      <c r="H164" s="90"/>
    </row>
    <row r="165" spans="2:8" ht="12.75" customHeight="1" x14ac:dyDescent="0.25">
      <c r="B165" s="85"/>
      <c r="C165" s="85"/>
      <c r="D165" s="85"/>
      <c r="E165" s="85"/>
      <c r="F165" s="92"/>
      <c r="G165" s="90"/>
      <c r="H165" s="90"/>
    </row>
    <row r="166" spans="2:8" ht="12.75" customHeight="1" x14ac:dyDescent="0.25">
      <c r="B166" s="85"/>
      <c r="C166" s="85"/>
      <c r="D166" s="85"/>
      <c r="E166" s="85"/>
      <c r="F166" s="92"/>
      <c r="G166" s="90"/>
      <c r="H166" s="90"/>
    </row>
    <row r="167" spans="2:8" ht="18" x14ac:dyDescent="0.25">
      <c r="B167" s="85" t="str">
        <f>+B152</f>
        <v>Franco Lippi</v>
      </c>
      <c r="C167" s="85"/>
      <c r="D167" s="85"/>
      <c r="E167" s="85" t="str">
        <f>+B152</f>
        <v>Franco Lippi</v>
      </c>
      <c r="F167" s="85"/>
      <c r="G167" s="85"/>
      <c r="H167" s="90"/>
    </row>
    <row r="168" spans="2:8" ht="18" x14ac:dyDescent="0.25">
      <c r="B168" s="85"/>
      <c r="C168" s="85"/>
      <c r="D168" s="85"/>
      <c r="E168" s="194"/>
      <c r="F168" s="85"/>
      <c r="G168" s="92"/>
      <c r="H168" s="90" t="s">
        <v>87</v>
      </c>
    </row>
    <row r="169" spans="2:8" ht="21" customHeight="1" x14ac:dyDescent="0.25">
      <c r="B169" s="85" t="str">
        <f>+E1</f>
        <v>Lima 461 C:A:B:A:</v>
      </c>
      <c r="C169" s="85"/>
      <c r="D169" s="90" t="s">
        <v>87</v>
      </c>
      <c r="E169" s="85" t="str">
        <f>+E1</f>
        <v>Lima 461 C:A:B:A:</v>
      </c>
      <c r="F169" s="85"/>
      <c r="G169" s="85"/>
      <c r="H169" s="90" t="str">
        <f>+H153</f>
        <v>1B</v>
      </c>
    </row>
    <row r="170" spans="2:8" ht="18" x14ac:dyDescent="0.25">
      <c r="B170" s="85"/>
      <c r="C170" s="85"/>
      <c r="D170" s="90" t="str">
        <f>+H169</f>
        <v>1B</v>
      </c>
      <c r="E170" s="194"/>
      <c r="F170" s="85"/>
      <c r="G170" s="85"/>
      <c r="H170" s="254"/>
    </row>
    <row r="171" spans="2:8" ht="27" customHeight="1" x14ac:dyDescent="0.25">
      <c r="B171" s="85" t="str">
        <f>+F1</f>
        <v>P/Depósito/transferencia en Bco Santander Rio</v>
      </c>
      <c r="C171" s="85"/>
      <c r="D171" s="85"/>
      <c r="E171" s="85"/>
      <c r="F171" s="85"/>
      <c r="G171" s="85"/>
      <c r="H171" s="90"/>
    </row>
    <row r="172" spans="2:8" ht="18" x14ac:dyDescent="0.25">
      <c r="B172" s="85" t="str">
        <f>+F2</f>
        <v>Cta. Cte. $ N° 210-1950/3</v>
      </c>
      <c r="C172" s="85"/>
      <c r="D172" s="85"/>
      <c r="E172" s="85"/>
      <c r="F172" s="148"/>
      <c r="G172" s="85"/>
      <c r="H172" s="90"/>
    </row>
    <row r="173" spans="2:8" ht="18" x14ac:dyDescent="0.25">
      <c r="B173" s="85" t="str">
        <f>+F3</f>
        <v>CBU 0720210220000000195036</v>
      </c>
      <c r="C173" s="85"/>
      <c r="D173" s="85"/>
      <c r="E173" s="85" t="s">
        <v>223</v>
      </c>
      <c r="F173" s="106">
        <f>+F156</f>
        <v>889417.73547899991</v>
      </c>
      <c r="G173" s="149"/>
      <c r="H173" s="99">
        <f>+D1</f>
        <v>46037</v>
      </c>
    </row>
    <row r="174" spans="2:8" ht="18" x14ac:dyDescent="0.25">
      <c r="B174" s="85" t="str">
        <f>+F4</f>
        <v>CUIT: 30-53267348-4</v>
      </c>
      <c r="C174" s="85"/>
      <c r="D174" s="85"/>
      <c r="E174" s="85" t="s">
        <v>227</v>
      </c>
      <c r="F174" s="106">
        <f>+F157</f>
        <v>15550</v>
      </c>
      <c r="G174" s="194"/>
      <c r="H174" s="90"/>
    </row>
    <row r="175" spans="2:8" ht="18" x14ac:dyDescent="0.25">
      <c r="B175" s="194"/>
      <c r="C175" s="85"/>
      <c r="D175" s="85"/>
      <c r="E175" s="85" t="s">
        <v>81</v>
      </c>
      <c r="F175" s="106">
        <f>+F160</f>
        <v>0</v>
      </c>
      <c r="G175" s="85"/>
      <c r="H175" s="90"/>
    </row>
    <row r="176" spans="2:8" ht="18" x14ac:dyDescent="0.25">
      <c r="B176" s="148"/>
      <c r="C176" s="148"/>
      <c r="D176" s="148"/>
      <c r="E176" s="85" t="s">
        <v>82</v>
      </c>
      <c r="F176" s="106">
        <f>+'RES CUENTA'!R18</f>
        <v>0</v>
      </c>
      <c r="G176" s="85"/>
      <c r="H176" s="90"/>
    </row>
    <row r="177" spans="1:8" ht="18" x14ac:dyDescent="0.25">
      <c r="B177" s="194"/>
      <c r="C177" s="194"/>
      <c r="D177" s="85"/>
      <c r="E177" s="85" t="s">
        <v>188</v>
      </c>
      <c r="F177" s="166">
        <f>+F158+F159</f>
        <v>0</v>
      </c>
      <c r="G177" s="85"/>
      <c r="H177" s="90"/>
    </row>
    <row r="178" spans="1:8" ht="18" x14ac:dyDescent="0.25">
      <c r="B178" s="99">
        <f>+$G$30</f>
        <v>46037</v>
      </c>
      <c r="C178" s="105">
        <f>+F162</f>
        <v>904967.73547899991</v>
      </c>
      <c r="D178" s="85"/>
      <c r="E178" s="85" t="s">
        <v>83</v>
      </c>
      <c r="F178" s="106">
        <f>+F162</f>
        <v>904967.73547899991</v>
      </c>
      <c r="G178" s="85"/>
      <c r="H178" s="90"/>
    </row>
    <row r="179" spans="1:8" ht="18" x14ac:dyDescent="0.25">
      <c r="B179" s="85"/>
      <c r="C179" s="85"/>
      <c r="D179" s="85"/>
      <c r="E179" s="85"/>
      <c r="F179" s="85"/>
      <c r="G179" s="85"/>
      <c r="H179" s="90"/>
    </row>
    <row r="180" spans="1:8" ht="18" x14ac:dyDescent="0.25">
      <c r="B180" s="85"/>
      <c r="C180" s="85"/>
      <c r="D180" s="85"/>
      <c r="E180" s="102"/>
      <c r="F180" s="85"/>
      <c r="G180" s="85"/>
      <c r="H180" s="90"/>
    </row>
    <row r="181" spans="1:8" ht="18" x14ac:dyDescent="0.25">
      <c r="B181" s="85"/>
      <c r="C181" s="85"/>
      <c r="D181" s="85"/>
      <c r="E181" s="85"/>
      <c r="F181" s="85"/>
      <c r="G181" s="85"/>
      <c r="H181" s="94"/>
    </row>
    <row r="182" spans="1:8" ht="18" x14ac:dyDescent="0.25">
      <c r="A182" s="188"/>
      <c r="E182" s="85"/>
      <c r="G182" s="94"/>
      <c r="H182" s="90"/>
    </row>
    <row r="183" spans="1:8" ht="9.75" customHeight="1" x14ac:dyDescent="0.2">
      <c r="B183" s="194"/>
      <c r="C183" s="194"/>
      <c r="D183" s="194"/>
      <c r="E183" s="194"/>
      <c r="F183" s="194"/>
      <c r="G183" s="194"/>
      <c r="H183" s="254"/>
    </row>
    <row r="184" spans="1:8" ht="7.5" customHeight="1" x14ac:dyDescent="0.2">
      <c r="B184" s="194"/>
      <c r="C184" s="194"/>
      <c r="D184" s="194"/>
      <c r="E184" s="194"/>
      <c r="F184" s="194"/>
      <c r="G184" s="194"/>
      <c r="H184" s="254"/>
    </row>
    <row r="185" spans="1:8" ht="18" x14ac:dyDescent="0.25">
      <c r="B185" s="334"/>
      <c r="C185" s="334"/>
      <c r="D185" s="334"/>
      <c r="E185" s="336">
        <f>+$B$1</f>
        <v>46143</v>
      </c>
      <c r="F185" s="85"/>
      <c r="G185" s="337">
        <f>+$D$1</f>
        <v>46037</v>
      </c>
      <c r="H185" s="90"/>
    </row>
    <row r="186" spans="1:8" ht="18" x14ac:dyDescent="0.25">
      <c r="B186" s="147"/>
      <c r="C186" s="147"/>
      <c r="D186" s="100"/>
      <c r="E186" s="336"/>
      <c r="F186" s="85"/>
      <c r="G186" s="337"/>
      <c r="H186" s="90"/>
    </row>
    <row r="187" spans="1:8" ht="18" x14ac:dyDescent="0.25">
      <c r="B187" s="85"/>
      <c r="C187" s="85"/>
      <c r="D187" s="85"/>
      <c r="E187" s="85"/>
      <c r="F187" s="85"/>
      <c r="G187" s="85"/>
      <c r="H187" s="90"/>
    </row>
    <row r="188" spans="1:8" ht="26.25" customHeight="1" x14ac:dyDescent="0.25">
      <c r="B188" s="194"/>
      <c r="C188" s="85"/>
      <c r="D188" s="85"/>
      <c r="E188" s="85"/>
      <c r="F188" s="85"/>
      <c r="G188" s="85"/>
      <c r="H188" s="90"/>
    </row>
    <row r="189" spans="1:8" ht="18" x14ac:dyDescent="0.25">
      <c r="B189" s="85" t="str">
        <f>+B6</f>
        <v>Antonella Denegri</v>
      </c>
      <c r="C189" s="85"/>
      <c r="D189" s="85"/>
      <c r="E189" s="85" t="str">
        <f>+E34</f>
        <v>Lima 461 C:A:B:A:</v>
      </c>
      <c r="F189" s="85"/>
      <c r="G189" s="85"/>
      <c r="H189" s="90" t="s">
        <v>88</v>
      </c>
    </row>
    <row r="190" spans="1:8" ht="18" x14ac:dyDescent="0.25">
      <c r="B190" s="85"/>
      <c r="C190" s="85"/>
      <c r="D190" s="85"/>
      <c r="E190" s="85"/>
      <c r="F190" s="85"/>
      <c r="G190" s="85"/>
      <c r="H190" s="90" t="str">
        <f>+'RES CUENTA'!A19</f>
        <v>2C</v>
      </c>
    </row>
    <row r="191" spans="1:8" ht="18" x14ac:dyDescent="0.25">
      <c r="B191" s="90"/>
      <c r="C191" s="85"/>
      <c r="D191" s="90"/>
      <c r="E191" s="85"/>
      <c r="F191" s="85"/>
      <c r="G191" s="85"/>
      <c r="H191" s="90"/>
    </row>
    <row r="192" spans="1:8" ht="18" x14ac:dyDescent="0.25">
      <c r="B192" s="90"/>
      <c r="C192" s="85"/>
      <c r="D192" s="90"/>
      <c r="E192" s="85"/>
      <c r="F192" s="85"/>
      <c r="G192" s="85"/>
      <c r="H192" s="90"/>
    </row>
    <row r="193" spans="2:8" ht="18" x14ac:dyDescent="0.25">
      <c r="B193" s="85" t="s">
        <v>222</v>
      </c>
      <c r="C193" s="85"/>
      <c r="D193" s="107">
        <f>+'RES CUENTA'!L25</f>
        <v>10859801.41</v>
      </c>
      <c r="E193" s="108">
        <f>+'RES CUENTA'!G19</f>
        <v>8.27</v>
      </c>
      <c r="F193" s="103">
        <f>+D193*E193/100</f>
        <v>898105.57660699997</v>
      </c>
      <c r="G193" s="338"/>
      <c r="H193" s="338"/>
    </row>
    <row r="194" spans="2:8" ht="18" x14ac:dyDescent="0.25">
      <c r="B194" s="85" t="s">
        <v>226</v>
      </c>
      <c r="C194" s="85"/>
      <c r="D194" s="107">
        <f>+'RES CUENTA'!M25</f>
        <v>125000</v>
      </c>
      <c r="E194" s="108">
        <f>+'RES CUENTA'!H19</f>
        <v>12.56</v>
      </c>
      <c r="F194" s="103">
        <f>+D194*E194/100</f>
        <v>15700</v>
      </c>
      <c r="G194" s="341"/>
      <c r="H194" s="341"/>
    </row>
    <row r="195" spans="2:8" ht="18" x14ac:dyDescent="0.25">
      <c r="B195" s="85" t="s">
        <v>202</v>
      </c>
      <c r="C195" s="85"/>
      <c r="D195" s="107">
        <f>+'RES CUENTA'!N19</f>
        <v>0</v>
      </c>
      <c r="E195" s="108">
        <v>0</v>
      </c>
      <c r="F195" s="103">
        <f>+D195</f>
        <v>0</v>
      </c>
      <c r="G195" s="341"/>
      <c r="H195" s="341"/>
    </row>
    <row r="196" spans="2:8" ht="18" x14ac:dyDescent="0.25">
      <c r="B196" s="85" t="s">
        <v>296</v>
      </c>
      <c r="C196" s="85"/>
      <c r="D196" s="107">
        <v>0</v>
      </c>
      <c r="E196" s="90">
        <v>0</v>
      </c>
      <c r="F196" s="103">
        <f>+'RES CUENTA'!O19</f>
        <v>0</v>
      </c>
      <c r="G196" s="341"/>
      <c r="H196" s="341"/>
    </row>
    <row r="197" spans="2:8" ht="18" x14ac:dyDescent="0.25">
      <c r="B197" s="85" t="s">
        <v>79</v>
      </c>
      <c r="C197" s="85"/>
      <c r="D197" s="107">
        <f>+'RES CUENTA'!Q19</f>
        <v>0</v>
      </c>
      <c r="E197" s="90">
        <v>0</v>
      </c>
      <c r="F197" s="103">
        <f>+'RES CUENTA'!Q19</f>
        <v>0</v>
      </c>
      <c r="G197" s="341"/>
      <c r="H197" s="341"/>
    </row>
    <row r="198" spans="2:8" ht="18" x14ac:dyDescent="0.25">
      <c r="B198" s="85" t="s">
        <v>80</v>
      </c>
      <c r="C198" s="85"/>
      <c r="D198" s="107">
        <v>0</v>
      </c>
      <c r="E198" s="90">
        <v>0</v>
      </c>
      <c r="F198" s="165">
        <f>+'RES CUENTA'!R19</f>
        <v>0</v>
      </c>
      <c r="G198" s="338"/>
      <c r="H198" s="338"/>
    </row>
    <row r="199" spans="2:8" ht="18" x14ac:dyDescent="0.25">
      <c r="B199" s="85"/>
      <c r="C199" s="85"/>
      <c r="D199" s="85"/>
      <c r="E199" s="92"/>
      <c r="F199" s="103">
        <f>SUM(F193:F198)</f>
        <v>913805.57660699997</v>
      </c>
      <c r="G199" s="90"/>
      <c r="H199" s="90"/>
    </row>
    <row r="200" spans="2:8" ht="18" x14ac:dyDescent="0.25">
      <c r="B200" s="85"/>
      <c r="C200" s="85"/>
      <c r="D200" s="85"/>
      <c r="E200" s="85"/>
      <c r="F200" s="92"/>
      <c r="G200" s="85"/>
      <c r="H200" s="90"/>
    </row>
    <row r="201" spans="2:8" ht="18" x14ac:dyDescent="0.25">
      <c r="B201" s="85"/>
      <c r="C201" s="85"/>
      <c r="D201" s="85"/>
      <c r="E201" s="85"/>
      <c r="F201" s="92"/>
      <c r="G201" s="85"/>
      <c r="H201" s="90"/>
    </row>
    <row r="202" spans="2:8" ht="9" customHeight="1" x14ac:dyDescent="0.25">
      <c r="B202" s="85"/>
      <c r="C202" s="85"/>
      <c r="D202" s="85"/>
      <c r="E202" s="85"/>
      <c r="F202" s="92"/>
      <c r="G202" s="85"/>
      <c r="H202" s="90"/>
    </row>
    <row r="203" spans="2:8" ht="9" customHeight="1" x14ac:dyDescent="0.25">
      <c r="B203" s="85"/>
      <c r="C203" s="85"/>
      <c r="D203" s="85"/>
      <c r="E203" s="85"/>
      <c r="F203" s="92"/>
      <c r="G203" s="85"/>
      <c r="H203" s="90"/>
    </row>
    <row r="204" spans="2:8" ht="9" customHeight="1" x14ac:dyDescent="0.25">
      <c r="B204" s="85"/>
      <c r="C204" s="85"/>
      <c r="D204" s="85"/>
      <c r="E204" s="85"/>
      <c r="F204" s="92"/>
      <c r="G204" s="85"/>
      <c r="H204" s="90"/>
    </row>
    <row r="205" spans="2:8" ht="18" x14ac:dyDescent="0.25">
      <c r="B205" s="85" t="str">
        <f>+B189</f>
        <v>Antonella Denegri</v>
      </c>
      <c r="C205" s="339"/>
      <c r="D205" s="339"/>
      <c r="E205" s="85" t="str">
        <f>+B205</f>
        <v>Antonella Denegri</v>
      </c>
      <c r="F205" s="92"/>
      <c r="G205" s="85"/>
      <c r="H205" s="90"/>
    </row>
    <row r="206" spans="2:8" ht="18" x14ac:dyDescent="0.25">
      <c r="B206" s="194"/>
      <c r="C206" s="85"/>
      <c r="D206" s="85"/>
      <c r="E206" s="194"/>
      <c r="F206" s="339"/>
      <c r="G206" s="339"/>
      <c r="H206" s="339"/>
    </row>
    <row r="207" spans="2:8" ht="18" x14ac:dyDescent="0.25">
      <c r="B207" s="85" t="str">
        <f>+E1</f>
        <v>Lima 461 C:A:B:A:</v>
      </c>
      <c r="C207" s="85"/>
      <c r="D207" s="90" t="str">
        <f>+H189</f>
        <v>Unid. 5</v>
      </c>
      <c r="E207" s="85" t="str">
        <f>+E1</f>
        <v>Lima 461 C:A:B:A:</v>
      </c>
      <c r="F207" s="85"/>
      <c r="G207" s="85"/>
      <c r="H207" s="90" t="str">
        <f>+D207</f>
        <v>Unid. 5</v>
      </c>
    </row>
    <row r="208" spans="2:8" ht="18" x14ac:dyDescent="0.25">
      <c r="B208" s="194"/>
      <c r="C208" s="194"/>
      <c r="D208" s="90" t="str">
        <f>+H208</f>
        <v>2C</v>
      </c>
      <c r="E208" s="194"/>
      <c r="F208" s="194"/>
      <c r="G208" s="194"/>
      <c r="H208" s="90" t="str">
        <f>+H190</f>
        <v>2C</v>
      </c>
    </row>
    <row r="209" spans="2:8" ht="11.25" customHeight="1" x14ac:dyDescent="0.25">
      <c r="B209" s="85"/>
      <c r="C209" s="85"/>
      <c r="D209" s="90"/>
      <c r="E209" s="85"/>
      <c r="F209" s="85"/>
      <c r="G209" s="85"/>
      <c r="H209" s="254"/>
    </row>
    <row r="210" spans="2:8" ht="18" x14ac:dyDescent="0.25">
      <c r="B210" s="85" t="str">
        <f>+F1</f>
        <v>P/Depósito/transferencia en Bco Santander Rio</v>
      </c>
      <c r="C210" s="85"/>
      <c r="D210" s="85"/>
      <c r="E210" s="85"/>
      <c r="F210" s="85"/>
      <c r="G210" s="85"/>
      <c r="H210" s="90"/>
    </row>
    <row r="211" spans="2:8" ht="18.75" customHeight="1" x14ac:dyDescent="0.25">
      <c r="B211" s="85" t="str">
        <f>+F2</f>
        <v>Cta. Cte. $ N° 210-1950/3</v>
      </c>
      <c r="C211" s="85"/>
      <c r="D211" s="85"/>
      <c r="E211" s="148"/>
      <c r="F211" s="85"/>
      <c r="G211" s="90"/>
      <c r="H211" s="90"/>
    </row>
    <row r="212" spans="2:8" ht="18" x14ac:dyDescent="0.25">
      <c r="B212" s="85" t="str">
        <f>+F3</f>
        <v>CBU 0720210220000000195036</v>
      </c>
      <c r="C212" s="85"/>
      <c r="D212" s="85"/>
      <c r="E212" s="85" t="s">
        <v>223</v>
      </c>
      <c r="F212" s="106">
        <f>+F193</f>
        <v>898105.57660699997</v>
      </c>
      <c r="G212" s="194"/>
      <c r="H212" s="99">
        <f>+D1</f>
        <v>46037</v>
      </c>
    </row>
    <row r="213" spans="2:8" ht="18" x14ac:dyDescent="0.25">
      <c r="B213" s="85" t="str">
        <f>+F4</f>
        <v>CUIT: 30-53267348-4</v>
      </c>
      <c r="C213" s="85"/>
      <c r="D213" s="85"/>
      <c r="E213" s="85" t="s">
        <v>227</v>
      </c>
      <c r="F213" s="106">
        <f>+F194</f>
        <v>15700</v>
      </c>
      <c r="G213" s="194"/>
      <c r="H213" s="254"/>
    </row>
    <row r="214" spans="2:8" ht="18" x14ac:dyDescent="0.25">
      <c r="B214" s="85"/>
      <c r="C214" s="85"/>
      <c r="D214" s="85"/>
      <c r="E214" s="85" t="s">
        <v>81</v>
      </c>
      <c r="F214" s="106">
        <f>+F197</f>
        <v>0</v>
      </c>
      <c r="G214" s="85"/>
      <c r="H214" s="90"/>
    </row>
    <row r="215" spans="2:8" ht="18" x14ac:dyDescent="0.25">
      <c r="B215" s="85"/>
      <c r="C215" s="85"/>
      <c r="D215" s="85"/>
      <c r="E215" s="85" t="s">
        <v>82</v>
      </c>
      <c r="F215" s="106">
        <f>+F198</f>
        <v>0</v>
      </c>
      <c r="G215" s="85"/>
      <c r="H215" s="90"/>
    </row>
    <row r="216" spans="2:8" ht="18" x14ac:dyDescent="0.25">
      <c r="B216" s="148"/>
      <c r="C216" s="148"/>
      <c r="D216" s="148"/>
      <c r="E216" s="85" t="s">
        <v>188</v>
      </c>
      <c r="F216" s="166">
        <f>+F195+F196</f>
        <v>0</v>
      </c>
      <c r="G216" s="85"/>
      <c r="H216" s="90"/>
    </row>
    <row r="217" spans="2:8" ht="18" x14ac:dyDescent="0.25">
      <c r="B217" s="99">
        <f>+$G$30</f>
        <v>46037</v>
      </c>
      <c r="C217" s="105">
        <f>+F199</f>
        <v>913805.57660699997</v>
      </c>
      <c r="D217" s="85"/>
      <c r="E217" s="85" t="s">
        <v>83</v>
      </c>
      <c r="F217" s="106">
        <f>SUM(F212:F216)</f>
        <v>913805.57660699997</v>
      </c>
      <c r="G217" s="85"/>
      <c r="H217" s="90"/>
    </row>
    <row r="218" spans="2:8" ht="18" x14ac:dyDescent="0.25">
      <c r="B218" s="85"/>
      <c r="C218" s="85"/>
      <c r="D218" s="85"/>
      <c r="E218" s="85"/>
      <c r="F218" s="85"/>
      <c r="G218" s="85"/>
      <c r="H218" s="90"/>
    </row>
    <row r="219" spans="2:8" ht="18" x14ac:dyDescent="0.25">
      <c r="B219" s="85"/>
      <c r="C219" s="85"/>
      <c r="D219" s="85"/>
      <c r="E219" s="85"/>
      <c r="F219" s="85"/>
      <c r="G219" s="338"/>
      <c r="H219" s="338"/>
    </row>
    <row r="220" spans="2:8" ht="18" x14ac:dyDescent="0.25">
      <c r="B220" s="85"/>
      <c r="C220" s="85"/>
      <c r="D220" s="85"/>
      <c r="E220" s="85"/>
      <c r="F220" s="85"/>
      <c r="G220" s="90"/>
      <c r="H220" s="90"/>
    </row>
    <row r="221" spans="2:8" ht="18" x14ac:dyDescent="0.25">
      <c r="B221" s="85"/>
      <c r="C221" s="85"/>
      <c r="D221" s="85"/>
      <c r="E221" s="85"/>
      <c r="F221" s="85"/>
      <c r="G221" s="85"/>
      <c r="H221" s="90"/>
    </row>
    <row r="222" spans="2:8" ht="18" x14ac:dyDescent="0.25">
      <c r="B222" s="85"/>
      <c r="C222" s="85"/>
      <c r="D222" s="85"/>
      <c r="E222" s="85"/>
      <c r="F222" s="85"/>
      <c r="G222" s="85"/>
      <c r="H222" s="90"/>
    </row>
    <row r="223" spans="2:8" ht="15" customHeight="1" x14ac:dyDescent="0.25">
      <c r="B223" s="85"/>
      <c r="C223" s="85"/>
      <c r="D223" s="85"/>
      <c r="E223" s="85"/>
      <c r="F223" s="85"/>
      <c r="G223" s="85"/>
      <c r="H223" s="90"/>
    </row>
    <row r="224" spans="2:8" ht="18" x14ac:dyDescent="0.25">
      <c r="B224" s="85"/>
      <c r="C224" s="85"/>
      <c r="D224" s="85"/>
      <c r="E224" s="85"/>
      <c r="F224" s="85"/>
      <c r="G224" s="85"/>
      <c r="H224" s="90"/>
    </row>
    <row r="225" spans="2:8" ht="15" customHeight="1" x14ac:dyDescent="0.25">
      <c r="B225" s="85"/>
      <c r="C225" s="85"/>
      <c r="D225" s="85"/>
      <c r="E225" s="85"/>
      <c r="F225" s="85"/>
      <c r="G225" s="85"/>
      <c r="H225" s="90"/>
    </row>
    <row r="226" spans="2:8" ht="18" x14ac:dyDescent="0.25">
      <c r="B226" s="85"/>
      <c r="C226" s="85"/>
      <c r="D226" s="85"/>
      <c r="E226" s="85"/>
      <c r="F226" s="85"/>
      <c r="G226" s="194"/>
      <c r="H226" s="90"/>
    </row>
    <row r="227" spans="2:8" ht="18" x14ac:dyDescent="0.25">
      <c r="B227" s="334"/>
      <c r="C227" s="334"/>
      <c r="D227" s="334"/>
      <c r="E227" s="109">
        <f>+$B$1</f>
        <v>46143</v>
      </c>
      <c r="F227" s="85"/>
      <c r="G227" s="99">
        <f>+$D$1</f>
        <v>46037</v>
      </c>
      <c r="H227" s="162"/>
    </row>
    <row r="228" spans="2:8" ht="18" x14ac:dyDescent="0.25">
      <c r="B228" s="147"/>
      <c r="C228" s="147"/>
      <c r="D228" s="100"/>
      <c r="E228" s="98"/>
      <c r="F228" s="85"/>
      <c r="G228" s="194"/>
      <c r="H228" s="254"/>
    </row>
    <row r="229" spans="2:8" ht="23.25" customHeight="1" x14ac:dyDescent="0.25">
      <c r="B229" s="194"/>
      <c r="C229" s="85"/>
      <c r="D229" s="85"/>
      <c r="E229" s="194"/>
      <c r="F229" s="85"/>
      <c r="G229" s="194"/>
      <c r="H229" s="254"/>
    </row>
    <row r="230" spans="2:8" ht="21" customHeight="1" x14ac:dyDescent="0.25">
      <c r="B230" s="85" t="str">
        <f>+B7</f>
        <v>Ana Isabel Pirro</v>
      </c>
      <c r="C230" s="85"/>
      <c r="D230" s="85"/>
      <c r="E230" s="85" t="str">
        <f>+E1</f>
        <v>Lima 461 C:A:B:A:</v>
      </c>
      <c r="F230" s="85"/>
      <c r="G230" s="194"/>
      <c r="H230" s="90" t="s">
        <v>89</v>
      </c>
    </row>
    <row r="231" spans="2:8" ht="18" x14ac:dyDescent="0.25">
      <c r="B231" s="85"/>
      <c r="C231" s="85"/>
      <c r="D231" s="85"/>
      <c r="E231" s="194"/>
      <c r="F231" s="85"/>
      <c r="G231" s="85"/>
      <c r="H231" s="90" t="str">
        <f>+'RES CUENTA'!A20</f>
        <v>2D</v>
      </c>
    </row>
    <row r="232" spans="2:8" ht="30.75" customHeight="1" x14ac:dyDescent="0.25">
      <c r="B232" s="85"/>
      <c r="C232" s="85"/>
      <c r="D232" s="85"/>
      <c r="E232" s="85"/>
      <c r="F232" s="85"/>
      <c r="G232" s="85"/>
      <c r="H232" s="90"/>
    </row>
    <row r="233" spans="2:8" ht="18" x14ac:dyDescent="0.25">
      <c r="B233" s="85" t="s">
        <v>222</v>
      </c>
      <c r="C233" s="85"/>
      <c r="D233" s="107">
        <f>+'RES CUENTA'!$L$25</f>
        <v>10859801.41</v>
      </c>
      <c r="E233" s="108">
        <f>+'RES CUENTA'!G20</f>
        <v>8.27</v>
      </c>
      <c r="F233" s="103">
        <f>+D233*E233/100</f>
        <v>898105.57660699997</v>
      </c>
      <c r="G233" s="85"/>
      <c r="H233" s="90"/>
    </row>
    <row r="234" spans="2:8" ht="18" x14ac:dyDescent="0.25">
      <c r="B234" s="85" t="s">
        <v>226</v>
      </c>
      <c r="C234" s="85"/>
      <c r="D234" s="107">
        <f>+'RES CUENTA'!M25</f>
        <v>125000</v>
      </c>
      <c r="E234" s="108">
        <f>+'RES CUENTA'!H20</f>
        <v>12.56</v>
      </c>
      <c r="F234" s="103">
        <f>+D234*E234/100</f>
        <v>15700</v>
      </c>
      <c r="G234" s="90"/>
      <c r="H234" s="89"/>
    </row>
    <row r="235" spans="2:8" ht="18" x14ac:dyDescent="0.25">
      <c r="B235" s="85" t="s">
        <v>202</v>
      </c>
      <c r="C235" s="85"/>
      <c r="D235" s="107">
        <v>0</v>
      </c>
      <c r="E235" s="108">
        <v>0</v>
      </c>
      <c r="F235" s="103">
        <f>+'RES CUENTA'!N20</f>
        <v>0</v>
      </c>
      <c r="G235" s="90"/>
      <c r="H235" s="89"/>
    </row>
    <row r="236" spans="2:8" ht="18" x14ac:dyDescent="0.25">
      <c r="B236" s="85" t="s">
        <v>269</v>
      </c>
      <c r="C236" s="85"/>
      <c r="D236" s="107">
        <v>0</v>
      </c>
      <c r="E236" s="108">
        <v>0</v>
      </c>
      <c r="F236" s="103">
        <v>0</v>
      </c>
      <c r="G236" s="90"/>
      <c r="H236" s="89"/>
    </row>
    <row r="237" spans="2:8" ht="18" x14ac:dyDescent="0.25">
      <c r="B237" s="85" t="s">
        <v>79</v>
      </c>
      <c r="C237" s="85"/>
      <c r="D237" s="107">
        <f>+'RES CUENTA'!Q20</f>
        <v>0</v>
      </c>
      <c r="E237" s="90">
        <v>0</v>
      </c>
      <c r="F237" s="103">
        <f>+D237</f>
        <v>0</v>
      </c>
      <c r="G237" s="89"/>
      <c r="H237" s="90"/>
    </row>
    <row r="238" spans="2:8" ht="18" x14ac:dyDescent="0.25">
      <c r="B238" s="85" t="s">
        <v>80</v>
      </c>
      <c r="C238" s="85"/>
      <c r="D238" s="107">
        <f>+'RES CUENTA'!R20</f>
        <v>0</v>
      </c>
      <c r="E238" s="90">
        <v>0</v>
      </c>
      <c r="F238" s="165">
        <f>+D238</f>
        <v>0</v>
      </c>
      <c r="G238" s="90"/>
      <c r="H238" s="90"/>
    </row>
    <row r="239" spans="2:8" ht="18" x14ac:dyDescent="0.25">
      <c r="B239" s="85"/>
      <c r="C239" s="85"/>
      <c r="D239" s="85"/>
      <c r="E239" s="194"/>
      <c r="F239" s="103">
        <f>SUM(F233:F238)</f>
        <v>913805.57660699997</v>
      </c>
      <c r="G239" s="90"/>
      <c r="H239" s="90"/>
    </row>
    <row r="240" spans="2:8" ht="18" x14ac:dyDescent="0.25">
      <c r="B240" s="85"/>
      <c r="C240" s="85"/>
      <c r="D240" s="85"/>
      <c r="E240" s="85"/>
      <c r="F240" s="92"/>
      <c r="G240" s="90"/>
      <c r="H240" s="90"/>
    </row>
    <row r="241" spans="2:8" ht="14.25" customHeight="1" x14ac:dyDescent="0.25">
      <c r="B241" s="85"/>
      <c r="C241" s="85"/>
      <c r="D241" s="85"/>
      <c r="E241" s="85"/>
      <c r="F241" s="92"/>
      <c r="G241" s="90"/>
      <c r="H241" s="90"/>
    </row>
    <row r="242" spans="2:8" ht="14.25" customHeight="1" x14ac:dyDescent="0.25">
      <c r="B242" s="85"/>
      <c r="C242" s="85"/>
      <c r="D242" s="85"/>
      <c r="E242" s="85"/>
      <c r="F242" s="92"/>
      <c r="G242" s="90"/>
      <c r="H242" s="90"/>
    </row>
    <row r="243" spans="2:8" ht="15.75" customHeight="1" x14ac:dyDescent="0.25">
      <c r="B243" s="85"/>
      <c r="C243" s="85"/>
      <c r="D243" s="85"/>
      <c r="E243" s="85"/>
      <c r="F243" s="92"/>
      <c r="G243" s="90"/>
      <c r="H243" s="90"/>
    </row>
    <row r="244" spans="2:8" ht="21.75" customHeight="1" x14ac:dyDescent="0.25">
      <c r="B244" s="85" t="str">
        <f>+B230</f>
        <v>Ana Isabel Pirro</v>
      </c>
      <c r="C244" s="85"/>
      <c r="D244" s="85"/>
      <c r="E244" s="85" t="str">
        <f>+B230</f>
        <v>Ana Isabel Pirro</v>
      </c>
      <c r="F244" s="85"/>
      <c r="G244" s="85"/>
      <c r="H244" s="90"/>
    </row>
    <row r="245" spans="2:8" ht="18" x14ac:dyDescent="0.25">
      <c r="B245" s="85"/>
      <c r="C245" s="85"/>
      <c r="D245" s="85"/>
      <c r="E245" s="194"/>
      <c r="F245" s="85"/>
      <c r="G245" s="92"/>
      <c r="H245" s="90" t="s">
        <v>89</v>
      </c>
    </row>
    <row r="246" spans="2:8" ht="18" x14ac:dyDescent="0.25">
      <c r="B246" s="85" t="str">
        <f>+E1</f>
        <v>Lima 461 C:A:B:A:</v>
      </c>
      <c r="C246" s="85"/>
      <c r="D246" s="90" t="s">
        <v>89</v>
      </c>
      <c r="E246" s="85" t="str">
        <f>+E1</f>
        <v>Lima 461 C:A:B:A:</v>
      </c>
      <c r="F246" s="85"/>
      <c r="G246" s="85"/>
      <c r="H246" s="90" t="str">
        <f>+H231</f>
        <v>2D</v>
      </c>
    </row>
    <row r="247" spans="2:8" ht="18" x14ac:dyDescent="0.25">
      <c r="B247" s="85"/>
      <c r="C247" s="85"/>
      <c r="D247" s="90" t="str">
        <f>+H246</f>
        <v>2D</v>
      </c>
      <c r="E247" s="194"/>
      <c r="F247" s="85"/>
      <c r="G247" s="85"/>
      <c r="H247" s="254"/>
    </row>
    <row r="248" spans="2:8" ht="32.25" customHeight="1" x14ac:dyDescent="0.25">
      <c r="B248" s="85" t="str">
        <f>+F1</f>
        <v>P/Depósito/transferencia en Bco Santander Rio</v>
      </c>
      <c r="C248" s="85"/>
      <c r="D248" s="85"/>
      <c r="E248" s="85"/>
      <c r="F248" s="85"/>
      <c r="G248" s="85"/>
      <c r="H248" s="90"/>
    </row>
    <row r="249" spans="2:8" ht="18" x14ac:dyDescent="0.25">
      <c r="B249" s="85" t="str">
        <f>+F2</f>
        <v>Cta. Cte. $ N° 210-1950/3</v>
      </c>
      <c r="C249" s="85"/>
      <c r="D249" s="85"/>
      <c r="E249" s="148"/>
      <c r="F249" s="194"/>
      <c r="G249" s="90"/>
      <c r="H249" s="148"/>
    </row>
    <row r="250" spans="2:8" ht="18" x14ac:dyDescent="0.25">
      <c r="B250" s="85" t="str">
        <f>+F3</f>
        <v>CBU 0720210220000000195036</v>
      </c>
      <c r="C250" s="85"/>
      <c r="D250" s="85"/>
      <c r="E250" s="85" t="s">
        <v>223</v>
      </c>
      <c r="F250" s="106">
        <f>+F233</f>
        <v>898105.57660699997</v>
      </c>
      <c r="G250" s="149"/>
      <c r="H250" s="99">
        <f>+G227</f>
        <v>46037</v>
      </c>
    </row>
    <row r="251" spans="2:8" ht="18" x14ac:dyDescent="0.25">
      <c r="B251" s="85" t="str">
        <f>+F4</f>
        <v>CUIT: 30-53267348-4</v>
      </c>
      <c r="C251" s="85"/>
      <c r="D251" s="85"/>
      <c r="E251" s="85" t="s">
        <v>227</v>
      </c>
      <c r="F251" s="106">
        <f>+F234</f>
        <v>15700</v>
      </c>
      <c r="G251" s="194"/>
      <c r="H251" s="90"/>
    </row>
    <row r="252" spans="2:8" ht="18" x14ac:dyDescent="0.25">
      <c r="B252" s="194"/>
      <c r="C252" s="85"/>
      <c r="D252" s="85"/>
      <c r="E252" s="85" t="s">
        <v>81</v>
      </c>
      <c r="F252" s="106">
        <f>+F237</f>
        <v>0</v>
      </c>
      <c r="G252" s="85"/>
      <c r="H252" s="90"/>
    </row>
    <row r="253" spans="2:8" ht="18" x14ac:dyDescent="0.25">
      <c r="B253" s="148"/>
      <c r="C253" s="148"/>
      <c r="D253" s="148"/>
      <c r="E253" s="85" t="s">
        <v>82</v>
      </c>
      <c r="F253" s="106">
        <f>+F238</f>
        <v>0</v>
      </c>
      <c r="G253" s="85"/>
      <c r="H253" s="90"/>
    </row>
    <row r="254" spans="2:8" ht="18" x14ac:dyDescent="0.25">
      <c r="B254" s="194"/>
      <c r="C254" s="194"/>
      <c r="D254" s="85"/>
      <c r="E254" s="85" t="s">
        <v>188</v>
      </c>
      <c r="F254" s="166">
        <f>+F235+F236</f>
        <v>0</v>
      </c>
      <c r="G254" s="85"/>
      <c r="H254" s="90"/>
    </row>
    <row r="255" spans="2:8" ht="18" x14ac:dyDescent="0.25">
      <c r="B255" s="99">
        <f>+$G$30</f>
        <v>46037</v>
      </c>
      <c r="C255" s="105">
        <f>+F239</f>
        <v>913805.57660699997</v>
      </c>
      <c r="D255" s="85"/>
      <c r="E255" s="85" t="s">
        <v>83</v>
      </c>
      <c r="F255" s="106">
        <f>+F239</f>
        <v>913805.57660699997</v>
      </c>
      <c r="G255" s="85"/>
      <c r="H255" s="90"/>
    </row>
    <row r="256" spans="2:8" ht="18" x14ac:dyDescent="0.25">
      <c r="B256" s="85"/>
      <c r="C256" s="85"/>
      <c r="D256" s="85"/>
      <c r="E256" s="85"/>
      <c r="F256" s="85"/>
      <c r="G256" s="85"/>
      <c r="H256" s="90"/>
    </row>
    <row r="257" spans="1:8" ht="18" x14ac:dyDescent="0.25">
      <c r="B257" s="85"/>
      <c r="C257" s="85"/>
      <c r="D257" s="85"/>
      <c r="E257" s="102"/>
      <c r="F257" s="85"/>
      <c r="G257" s="85"/>
      <c r="H257" s="90"/>
    </row>
    <row r="258" spans="1:8" ht="18" x14ac:dyDescent="0.25">
      <c r="B258" s="85"/>
      <c r="C258" s="85"/>
      <c r="D258" s="85"/>
      <c r="E258" s="85"/>
      <c r="F258" s="85"/>
      <c r="G258" s="85"/>
      <c r="H258" s="94"/>
    </row>
    <row r="259" spans="1:8" ht="18" x14ac:dyDescent="0.25">
      <c r="E259" s="85"/>
      <c r="G259" s="94"/>
      <c r="H259" s="90"/>
    </row>
    <row r="260" spans="1:8" ht="18" x14ac:dyDescent="0.25">
      <c r="E260" s="85"/>
      <c r="G260" s="94"/>
      <c r="H260" s="90"/>
    </row>
    <row r="261" spans="1:8" ht="12.75" customHeight="1" x14ac:dyDescent="0.25">
      <c r="A261" s="184"/>
      <c r="B261" s="81"/>
      <c r="C261" s="81"/>
      <c r="D261" s="81"/>
      <c r="E261" s="85"/>
      <c r="F261" s="81"/>
      <c r="G261" s="90"/>
      <c r="H261" s="90"/>
    </row>
    <row r="262" spans="1:8" ht="12.75" customHeight="1" x14ac:dyDescent="0.2">
      <c r="B262" s="81"/>
      <c r="C262" s="81"/>
      <c r="D262" s="81"/>
      <c r="E262" s="81"/>
      <c r="F262" s="81"/>
      <c r="G262" s="81"/>
      <c r="H262" s="133"/>
    </row>
    <row r="263" spans="1:8" ht="18" x14ac:dyDescent="0.25">
      <c r="B263" s="334"/>
      <c r="C263" s="334"/>
      <c r="D263" s="334"/>
      <c r="E263" s="336">
        <f>+$B$1</f>
        <v>46143</v>
      </c>
      <c r="F263" s="85"/>
      <c r="G263" s="337">
        <f>+$D$1</f>
        <v>46037</v>
      </c>
      <c r="H263" s="90"/>
    </row>
    <row r="264" spans="1:8" ht="18" x14ac:dyDescent="0.25">
      <c r="B264" s="147"/>
      <c r="C264" s="147"/>
      <c r="D264" s="100"/>
      <c r="E264" s="336"/>
      <c r="F264" s="85"/>
      <c r="G264" s="337"/>
      <c r="H264" s="90"/>
    </row>
    <row r="265" spans="1:8" ht="21" customHeight="1" x14ac:dyDescent="0.25">
      <c r="B265" s="85"/>
      <c r="C265" s="85"/>
      <c r="D265" s="85"/>
      <c r="E265" s="85"/>
      <c r="F265" s="85"/>
      <c r="G265" s="85"/>
      <c r="H265" s="90"/>
    </row>
    <row r="266" spans="1:8" ht="25.5" customHeight="1" x14ac:dyDescent="0.25">
      <c r="B266" s="85" t="str">
        <f>+B8</f>
        <v>Leandro Acero</v>
      </c>
      <c r="C266" s="85"/>
      <c r="D266" s="85"/>
      <c r="E266" s="85" t="str">
        <f>+E34</f>
        <v>Lima 461 C:A:B:A:</v>
      </c>
      <c r="F266" s="85"/>
      <c r="G266" s="85"/>
      <c r="H266" s="90"/>
    </row>
    <row r="267" spans="1:8" ht="23.25" customHeight="1" x14ac:dyDescent="0.25">
      <c r="F267" s="85"/>
      <c r="G267" s="85"/>
      <c r="H267" s="90" t="s">
        <v>90</v>
      </c>
    </row>
    <row r="268" spans="1:8" ht="18" x14ac:dyDescent="0.25">
      <c r="B268" s="85"/>
      <c r="C268" s="85"/>
      <c r="D268" s="85"/>
      <c r="E268" s="85"/>
      <c r="F268" s="85"/>
      <c r="G268" s="85"/>
      <c r="H268" s="90" t="str">
        <f>+'RES CUENTA'!A21</f>
        <v>3E</v>
      </c>
    </row>
    <row r="269" spans="1:8" ht="9.75" customHeight="1" x14ac:dyDescent="0.25">
      <c r="B269" s="90"/>
      <c r="C269" s="85"/>
      <c r="D269" s="90"/>
      <c r="E269" s="85"/>
      <c r="F269" s="85"/>
      <c r="G269" s="85"/>
      <c r="H269" s="90"/>
    </row>
    <row r="270" spans="1:8" ht="12" customHeight="1" x14ac:dyDescent="0.25">
      <c r="B270" s="90"/>
      <c r="C270" s="85"/>
      <c r="D270" s="90"/>
      <c r="E270" s="85"/>
      <c r="F270" s="85"/>
      <c r="G270" s="85"/>
      <c r="H270" s="90"/>
    </row>
    <row r="271" spans="1:8" ht="18" x14ac:dyDescent="0.25">
      <c r="B271" s="85" t="s">
        <v>222</v>
      </c>
      <c r="C271" s="85"/>
      <c r="D271" s="107">
        <f>+'RES CUENTA'!L25</f>
        <v>10859801.41</v>
      </c>
      <c r="E271" s="108">
        <f>+'RES CUENTA'!G21</f>
        <v>8.35</v>
      </c>
      <c r="F271" s="103">
        <f>+D271*E271/100</f>
        <v>906793.41773499991</v>
      </c>
      <c r="G271" s="338"/>
      <c r="H271" s="338"/>
    </row>
    <row r="272" spans="1:8" ht="18" x14ac:dyDescent="0.25">
      <c r="B272" s="85" t="s">
        <v>226</v>
      </c>
      <c r="C272" s="85"/>
      <c r="D272" s="107">
        <f>+'RES CUENTA'!M25</f>
        <v>125000</v>
      </c>
      <c r="E272" s="108">
        <f>+'RES CUENTA'!H21</f>
        <v>12.68</v>
      </c>
      <c r="F272" s="103">
        <f>+D272*E272/100</f>
        <v>15850</v>
      </c>
      <c r="G272" s="341"/>
      <c r="H272" s="341"/>
    </row>
    <row r="273" spans="2:8" ht="18" x14ac:dyDescent="0.25">
      <c r="B273" s="85" t="s">
        <v>202</v>
      </c>
      <c r="D273" s="107">
        <f>+'RES CUENTA'!N21</f>
        <v>0</v>
      </c>
      <c r="E273" s="108">
        <v>0</v>
      </c>
      <c r="F273" s="103">
        <f>+D273</f>
        <v>0</v>
      </c>
      <c r="G273" s="341"/>
      <c r="H273" s="341"/>
    </row>
    <row r="274" spans="2:8" ht="18" x14ac:dyDescent="0.25">
      <c r="B274" s="85" t="s">
        <v>269</v>
      </c>
      <c r="D274" s="107">
        <v>0</v>
      </c>
      <c r="E274" s="108">
        <v>0</v>
      </c>
      <c r="F274" s="103">
        <v>0</v>
      </c>
      <c r="G274" s="341"/>
      <c r="H274" s="341"/>
    </row>
    <row r="275" spans="2:8" ht="18" x14ac:dyDescent="0.25">
      <c r="B275" s="85" t="s">
        <v>79</v>
      </c>
      <c r="C275" s="85"/>
      <c r="D275" s="107">
        <f>+'RES CUENTA'!Q21</f>
        <v>0</v>
      </c>
      <c r="E275" s="90">
        <v>0</v>
      </c>
      <c r="F275" s="103">
        <f>+D275</f>
        <v>0</v>
      </c>
      <c r="G275" s="341"/>
      <c r="H275" s="341"/>
    </row>
    <row r="276" spans="2:8" ht="18" x14ac:dyDescent="0.25">
      <c r="B276" s="85" t="s">
        <v>80</v>
      </c>
      <c r="C276" s="85"/>
      <c r="D276" s="107">
        <f>+'RES CUENTA'!R21</f>
        <v>0</v>
      </c>
      <c r="E276" s="90">
        <v>0</v>
      </c>
      <c r="F276" s="165">
        <f>+D276</f>
        <v>0</v>
      </c>
      <c r="G276" s="338"/>
      <c r="H276" s="338"/>
    </row>
    <row r="277" spans="2:8" ht="18" x14ac:dyDescent="0.25">
      <c r="B277" s="85"/>
      <c r="C277" s="85"/>
      <c r="D277" s="85"/>
      <c r="E277" s="92"/>
      <c r="F277" s="103">
        <f>SUM(F271:F276)</f>
        <v>922643.41773499991</v>
      </c>
      <c r="G277" s="90"/>
      <c r="H277" s="90"/>
    </row>
    <row r="278" spans="2:8" ht="18" x14ac:dyDescent="0.25">
      <c r="B278" s="85"/>
      <c r="C278" s="85"/>
      <c r="D278" s="85"/>
      <c r="E278" s="85"/>
      <c r="F278" s="92"/>
      <c r="G278" s="85"/>
      <c r="H278" s="90"/>
    </row>
    <row r="279" spans="2:8" ht="18" x14ac:dyDescent="0.25">
      <c r="B279" s="85"/>
      <c r="C279" s="85"/>
      <c r="D279" s="85"/>
      <c r="E279" s="85"/>
      <c r="F279" s="92"/>
      <c r="G279" s="85"/>
      <c r="H279" s="90"/>
    </row>
    <row r="280" spans="2:8" ht="18" x14ac:dyDescent="0.25">
      <c r="B280" s="85"/>
      <c r="C280" s="85"/>
      <c r="D280" s="85"/>
      <c r="E280" s="85"/>
      <c r="F280" s="92"/>
      <c r="G280" s="85"/>
      <c r="H280" s="90"/>
    </row>
    <row r="281" spans="2:8" ht="12.75" customHeight="1" x14ac:dyDescent="0.25">
      <c r="B281" s="85"/>
      <c r="C281" s="85"/>
      <c r="D281" s="85"/>
      <c r="E281" s="85"/>
      <c r="F281" s="92"/>
      <c r="G281" s="85"/>
      <c r="H281" s="90"/>
    </row>
    <row r="282" spans="2:8" ht="20.25" customHeight="1" x14ac:dyDescent="0.25">
      <c r="B282" s="85" t="str">
        <f>+B266</f>
        <v>Leandro Acero</v>
      </c>
      <c r="C282" s="339"/>
      <c r="D282" s="339"/>
      <c r="E282" s="85" t="str">
        <f>+B282</f>
        <v>Leandro Acero</v>
      </c>
      <c r="F282" s="92"/>
      <c r="G282" s="85"/>
      <c r="H282" s="90"/>
    </row>
    <row r="283" spans="2:8" ht="18" x14ac:dyDescent="0.25">
      <c r="B283" s="81"/>
      <c r="C283" s="85"/>
      <c r="D283" s="85"/>
      <c r="E283" s="81"/>
      <c r="F283" s="339"/>
      <c r="G283" s="339"/>
      <c r="H283" s="339"/>
    </row>
    <row r="284" spans="2:8" ht="18" x14ac:dyDescent="0.25">
      <c r="B284" s="85" t="str">
        <f>+E1</f>
        <v>Lima 461 C:A:B:A:</v>
      </c>
      <c r="C284" s="85"/>
      <c r="D284" s="90" t="str">
        <f>+H267</f>
        <v>Unid. 7</v>
      </c>
      <c r="E284" s="85" t="str">
        <f>+E1</f>
        <v>Lima 461 C:A:B:A:</v>
      </c>
      <c r="F284" s="85"/>
      <c r="G284" s="85"/>
      <c r="H284" s="90" t="str">
        <f>+D284</f>
        <v>Unid. 7</v>
      </c>
    </row>
    <row r="285" spans="2:8" ht="18" x14ac:dyDescent="0.25">
      <c r="B285" s="81"/>
      <c r="C285" s="81"/>
      <c r="D285" s="90" t="str">
        <f>+H285</f>
        <v>3E</v>
      </c>
      <c r="E285" s="81"/>
      <c r="F285" s="81"/>
      <c r="G285" s="81"/>
      <c r="H285" s="90" t="str">
        <f>+H268</f>
        <v>3E</v>
      </c>
    </row>
    <row r="286" spans="2:8" ht="14.25" customHeight="1" x14ac:dyDescent="0.25">
      <c r="B286" s="85"/>
      <c r="C286" s="85"/>
      <c r="D286" s="85"/>
      <c r="E286" s="85"/>
      <c r="F286" s="85"/>
      <c r="G286" s="85"/>
      <c r="H286" s="133"/>
    </row>
    <row r="287" spans="2:8" ht="18" x14ac:dyDescent="0.25">
      <c r="B287" s="85" t="str">
        <f>+F1</f>
        <v>P/Depósito/transferencia en Bco Santander Rio</v>
      </c>
      <c r="C287" s="85"/>
      <c r="D287" s="85"/>
      <c r="E287" s="85"/>
      <c r="F287" s="85"/>
      <c r="G287" s="85"/>
      <c r="H287" s="90"/>
    </row>
    <row r="288" spans="2:8" ht="19.5" customHeight="1" x14ac:dyDescent="0.25">
      <c r="B288" s="85" t="str">
        <f>+F2</f>
        <v>Cta. Cte. $ N° 210-1950/3</v>
      </c>
      <c r="C288" s="85"/>
      <c r="D288" s="85"/>
      <c r="E288" s="148"/>
      <c r="F288" s="85"/>
      <c r="G288" s="90"/>
      <c r="H288" s="90"/>
    </row>
    <row r="289" spans="2:8" ht="18" x14ac:dyDescent="0.25">
      <c r="B289" s="85" t="str">
        <f>+F3</f>
        <v>CBU 0720210220000000195036</v>
      </c>
      <c r="C289" s="85"/>
      <c r="D289" s="85"/>
      <c r="E289" s="85" t="s">
        <v>223</v>
      </c>
      <c r="F289" s="106">
        <f>+F271</f>
        <v>906793.41773499991</v>
      </c>
      <c r="G289" s="81"/>
      <c r="H289" s="99">
        <f>+D1</f>
        <v>46037</v>
      </c>
    </row>
    <row r="290" spans="2:8" ht="18" x14ac:dyDescent="0.25">
      <c r="B290" s="85" t="str">
        <f>+F4</f>
        <v>CUIT: 30-53267348-4</v>
      </c>
      <c r="C290" s="85"/>
      <c r="D290" s="85"/>
      <c r="E290" s="85" t="s">
        <v>227</v>
      </c>
      <c r="F290" s="106">
        <f>+F272</f>
        <v>15850</v>
      </c>
      <c r="G290" s="81"/>
      <c r="H290" s="133"/>
    </row>
    <row r="291" spans="2:8" ht="18" x14ac:dyDescent="0.25">
      <c r="B291" s="85"/>
      <c r="C291" s="85"/>
      <c r="D291" s="85"/>
      <c r="E291" s="85" t="s">
        <v>81</v>
      </c>
      <c r="F291" s="106">
        <f>+F275</f>
        <v>0</v>
      </c>
      <c r="G291" s="85"/>
      <c r="H291" s="90"/>
    </row>
    <row r="292" spans="2:8" ht="18" x14ac:dyDescent="0.25">
      <c r="B292" s="85"/>
      <c r="C292" s="85"/>
      <c r="D292" s="85"/>
      <c r="E292" s="85" t="s">
        <v>82</v>
      </c>
      <c r="F292" s="106">
        <f>+F276</f>
        <v>0</v>
      </c>
      <c r="G292" s="85"/>
      <c r="H292" s="90"/>
    </row>
    <row r="293" spans="2:8" ht="18" x14ac:dyDescent="0.25">
      <c r="B293" s="148"/>
      <c r="C293" s="148"/>
      <c r="D293" s="148"/>
      <c r="E293" s="85" t="s">
        <v>188</v>
      </c>
      <c r="F293" s="166">
        <f>+F274</f>
        <v>0</v>
      </c>
      <c r="G293" s="85"/>
      <c r="H293" s="90"/>
    </row>
    <row r="294" spans="2:8" ht="18" x14ac:dyDescent="0.25">
      <c r="B294" s="99">
        <f>+$G$30</f>
        <v>46037</v>
      </c>
      <c r="C294" s="105">
        <f>+F277</f>
        <v>922643.41773499991</v>
      </c>
      <c r="D294" s="85"/>
      <c r="E294" s="85" t="s">
        <v>83</v>
      </c>
      <c r="F294" s="106">
        <f>+F277</f>
        <v>922643.41773499991</v>
      </c>
      <c r="G294" s="85"/>
      <c r="H294" s="90"/>
    </row>
    <row r="295" spans="2:8" ht="18" x14ac:dyDescent="0.25">
      <c r="B295" s="85"/>
      <c r="C295" s="85"/>
      <c r="D295" s="85"/>
      <c r="E295" s="102"/>
      <c r="F295" s="85"/>
      <c r="G295" s="85"/>
      <c r="H295" s="90"/>
    </row>
    <row r="296" spans="2:8" ht="18" x14ac:dyDescent="0.25">
      <c r="B296" s="85"/>
      <c r="C296" s="85"/>
      <c r="D296" s="85"/>
      <c r="E296" s="81"/>
      <c r="F296" s="85"/>
      <c r="G296" s="85"/>
      <c r="H296" s="90"/>
    </row>
    <row r="297" spans="2:8" ht="18" x14ac:dyDescent="0.25">
      <c r="B297" s="85"/>
      <c r="C297" s="85"/>
      <c r="D297" s="85"/>
      <c r="E297" s="85"/>
      <c r="F297" s="85"/>
      <c r="G297" s="85"/>
      <c r="H297" s="90"/>
    </row>
    <row r="298" spans="2:8" ht="18" x14ac:dyDescent="0.25">
      <c r="B298" s="85"/>
      <c r="C298" s="85"/>
      <c r="D298" s="85"/>
      <c r="E298" s="85"/>
      <c r="F298" s="85"/>
      <c r="G298" s="85"/>
      <c r="H298" s="90"/>
    </row>
    <row r="299" spans="2:8" ht="18" x14ac:dyDescent="0.25">
      <c r="B299" s="85"/>
      <c r="C299" s="85"/>
      <c r="D299" s="85"/>
      <c r="E299" s="85"/>
      <c r="F299" s="85"/>
      <c r="G299" s="338"/>
      <c r="H299" s="338"/>
    </row>
    <row r="300" spans="2:8" ht="18" x14ac:dyDescent="0.25">
      <c r="B300" s="85"/>
      <c r="C300" s="85"/>
      <c r="D300" s="85"/>
      <c r="E300" s="85"/>
      <c r="F300" s="85"/>
      <c r="G300" s="85"/>
      <c r="H300" s="90"/>
    </row>
    <row r="301" spans="2:8" ht="18" x14ac:dyDescent="0.25">
      <c r="B301" s="85"/>
      <c r="C301" s="85"/>
      <c r="D301" s="85"/>
      <c r="E301" s="85"/>
      <c r="F301" s="85"/>
      <c r="G301" s="85"/>
      <c r="H301" s="90"/>
    </row>
    <row r="302" spans="2:8" ht="18" x14ac:dyDescent="0.25">
      <c r="B302" s="85"/>
      <c r="C302" s="85"/>
      <c r="D302" s="85"/>
      <c r="E302" s="85"/>
      <c r="F302" s="85"/>
      <c r="G302" s="85"/>
      <c r="H302" s="90"/>
    </row>
    <row r="303" spans="2:8" ht="18" x14ac:dyDescent="0.25">
      <c r="B303" s="85"/>
      <c r="C303" s="85"/>
      <c r="D303" s="85"/>
      <c r="E303" s="85"/>
      <c r="F303" s="85"/>
      <c r="G303" s="81"/>
      <c r="H303" s="90"/>
    </row>
    <row r="304" spans="2:8" ht="18" x14ac:dyDescent="0.25">
      <c r="B304" s="334"/>
      <c r="C304" s="334"/>
      <c r="D304" s="334"/>
      <c r="E304" s="109">
        <f>+$B$1</f>
        <v>46143</v>
      </c>
      <c r="F304" s="85"/>
      <c r="G304" s="99">
        <f>+$D$1</f>
        <v>46037</v>
      </c>
      <c r="H304" s="90"/>
    </row>
    <row r="305" spans="2:8" ht="18" x14ac:dyDescent="0.25">
      <c r="B305" s="334"/>
      <c r="C305" s="334"/>
      <c r="D305" s="334"/>
      <c r="E305" s="109"/>
      <c r="F305" s="85"/>
      <c r="H305" s="162"/>
    </row>
    <row r="306" spans="2:8" ht="12" customHeight="1" x14ac:dyDescent="0.25">
      <c r="C306" s="85"/>
      <c r="D306" s="85"/>
      <c r="E306" s="81"/>
      <c r="F306" s="85"/>
      <c r="G306" s="81"/>
      <c r="H306" s="133"/>
    </row>
    <row r="307" spans="2:8" ht="15.75" customHeight="1" x14ac:dyDescent="0.25">
      <c r="B307" s="85" t="str">
        <f>+B9</f>
        <v>Jose A. Montans</v>
      </c>
      <c r="C307" s="85"/>
      <c r="D307" s="85"/>
      <c r="E307" s="85" t="str">
        <f>+E1</f>
        <v>Lima 461 C:A:B:A:</v>
      </c>
      <c r="F307" s="85"/>
      <c r="G307" s="81"/>
      <c r="H307" s="90" t="s">
        <v>91</v>
      </c>
    </row>
    <row r="308" spans="2:8" ht="18" x14ac:dyDescent="0.25">
      <c r="F308" s="85"/>
      <c r="G308" s="85"/>
      <c r="H308" s="90" t="str">
        <f>+'RES CUENTA'!A22</f>
        <v>3F</v>
      </c>
    </row>
    <row r="309" spans="2:8" ht="18" x14ac:dyDescent="0.25">
      <c r="B309" s="85"/>
      <c r="C309" s="85"/>
      <c r="D309" s="85"/>
      <c r="E309" s="85"/>
      <c r="F309" s="85"/>
      <c r="G309" s="85"/>
      <c r="H309" s="90"/>
    </row>
    <row r="310" spans="2:8" ht="18" x14ac:dyDescent="0.25">
      <c r="B310" s="90"/>
      <c r="C310" s="85"/>
      <c r="D310" s="90"/>
      <c r="E310" s="85"/>
      <c r="F310" s="85"/>
      <c r="G310" s="85"/>
      <c r="H310" s="90"/>
    </row>
    <row r="311" spans="2:8" ht="18" x14ac:dyDescent="0.25">
      <c r="B311" s="85" t="s">
        <v>222</v>
      </c>
      <c r="C311" s="85"/>
      <c r="D311" s="107">
        <f>+'RES CUENTA'!$L$25</f>
        <v>10859801.41</v>
      </c>
      <c r="E311" s="108">
        <f>+'RES CUENTA'!G22</f>
        <v>8.35</v>
      </c>
      <c r="F311" s="103">
        <f>+D311*E311/100</f>
        <v>906793.41773499991</v>
      </c>
      <c r="G311" s="85"/>
      <c r="H311" s="90"/>
    </row>
    <row r="312" spans="2:8" ht="18" x14ac:dyDescent="0.25">
      <c r="B312" s="85" t="s">
        <v>222</v>
      </c>
      <c r="C312" s="85"/>
      <c r="D312" s="107">
        <f>+'RES CUENTA'!M25</f>
        <v>125000</v>
      </c>
      <c r="E312" s="108">
        <f>+'RES CUENTA'!H22</f>
        <v>12.68</v>
      </c>
      <c r="F312" s="103">
        <f>+D312*E312/100</f>
        <v>15850</v>
      </c>
      <c r="G312" s="90"/>
      <c r="H312" s="89"/>
    </row>
    <row r="313" spans="2:8" ht="18" x14ac:dyDescent="0.25">
      <c r="B313" s="85" t="s">
        <v>202</v>
      </c>
      <c r="C313" s="85"/>
      <c r="D313" s="107">
        <f>+'RES CUENTA'!N22</f>
        <v>0</v>
      </c>
      <c r="E313" s="108">
        <v>0</v>
      </c>
      <c r="F313" s="103">
        <f>+D313</f>
        <v>0</v>
      </c>
      <c r="G313" s="90"/>
      <c r="H313" s="89"/>
    </row>
    <row r="314" spans="2:8" ht="18" x14ac:dyDescent="0.25">
      <c r="B314" s="85" t="s">
        <v>269</v>
      </c>
      <c r="C314" s="85"/>
      <c r="D314" s="107">
        <v>0</v>
      </c>
      <c r="E314" s="108">
        <v>0</v>
      </c>
      <c r="F314" s="103">
        <v>0</v>
      </c>
      <c r="G314" s="90"/>
      <c r="H314" s="89"/>
    </row>
    <row r="315" spans="2:8" ht="18" x14ac:dyDescent="0.25">
      <c r="B315" s="85" t="s">
        <v>79</v>
      </c>
      <c r="C315" s="85"/>
      <c r="D315" s="107">
        <f>+'RES CUENTA'!Q22</f>
        <v>0</v>
      </c>
      <c r="E315" s="108">
        <v>0</v>
      </c>
      <c r="F315" s="103">
        <f>+D315</f>
        <v>0</v>
      </c>
      <c r="G315" s="89"/>
      <c r="H315" s="89"/>
    </row>
    <row r="316" spans="2:8" ht="18" x14ac:dyDescent="0.25">
      <c r="B316" s="85" t="s">
        <v>80</v>
      </c>
      <c r="C316" s="85"/>
      <c r="D316" s="107">
        <f>+'RES CUENTA'!R22</f>
        <v>0</v>
      </c>
      <c r="E316" s="108">
        <v>0</v>
      </c>
      <c r="F316" s="165">
        <f>+D316</f>
        <v>0</v>
      </c>
      <c r="G316" s="89"/>
      <c r="H316" s="90"/>
    </row>
    <row r="317" spans="2:8" ht="18" x14ac:dyDescent="0.25">
      <c r="B317" s="85"/>
      <c r="C317" s="85"/>
      <c r="D317" s="85"/>
      <c r="E317" s="81"/>
      <c r="F317" s="103">
        <f>SUM(F311:F316)</f>
        <v>922643.41773499991</v>
      </c>
      <c r="G317" s="90"/>
      <c r="H317" s="90"/>
    </row>
    <row r="318" spans="2:8" ht="18" x14ac:dyDescent="0.25">
      <c r="B318" s="85"/>
      <c r="C318" s="85"/>
      <c r="D318" s="85"/>
      <c r="E318" s="85"/>
      <c r="F318" s="92"/>
      <c r="G318" s="90"/>
      <c r="H318" s="90"/>
    </row>
    <row r="319" spans="2:8" ht="18" x14ac:dyDescent="0.25">
      <c r="B319" s="85"/>
      <c r="C319" s="85"/>
      <c r="D319" s="85"/>
      <c r="E319" s="85"/>
      <c r="F319" s="92"/>
      <c r="G319" s="90"/>
      <c r="H319" s="90"/>
    </row>
    <row r="320" spans="2:8" ht="18" x14ac:dyDescent="0.25">
      <c r="B320" s="85"/>
      <c r="C320" s="85"/>
      <c r="D320" s="85"/>
      <c r="E320" s="85"/>
      <c r="F320" s="92"/>
      <c r="G320" s="90"/>
      <c r="H320" s="90"/>
    </row>
    <row r="321" spans="2:8" ht="15" customHeight="1" x14ac:dyDescent="0.25">
      <c r="B321" s="85"/>
      <c r="C321" s="85"/>
      <c r="D321" s="85"/>
      <c r="E321" s="85"/>
      <c r="F321" s="92"/>
      <c r="G321" s="90"/>
      <c r="H321" s="90"/>
    </row>
    <row r="322" spans="2:8" ht="21.75" customHeight="1" x14ac:dyDescent="0.25">
      <c r="B322" s="85" t="str">
        <f>+B307</f>
        <v>Jose A. Montans</v>
      </c>
      <c r="C322" s="85"/>
      <c r="D322" s="85"/>
      <c r="E322" s="85" t="str">
        <f>+B307</f>
        <v>Jose A. Montans</v>
      </c>
      <c r="F322" s="85"/>
      <c r="G322" s="85"/>
      <c r="H322" s="90"/>
    </row>
    <row r="323" spans="2:8" ht="18" x14ac:dyDescent="0.25">
      <c r="B323" s="85"/>
      <c r="C323" s="85"/>
      <c r="D323" s="85"/>
      <c r="E323" s="81"/>
      <c r="F323" s="85"/>
      <c r="G323" s="92"/>
      <c r="H323" s="90" t="s">
        <v>91</v>
      </c>
    </row>
    <row r="324" spans="2:8" ht="18" x14ac:dyDescent="0.25">
      <c r="B324" s="85" t="str">
        <f>+E1</f>
        <v>Lima 461 C:A:B:A:</v>
      </c>
      <c r="C324" s="85"/>
      <c r="D324" s="90" t="str">
        <f>+H323</f>
        <v>Unid. 8</v>
      </c>
      <c r="E324" s="85" t="str">
        <f>+E1</f>
        <v>Lima 461 C:A:B:A:</v>
      </c>
      <c r="F324" s="85"/>
      <c r="G324" s="85"/>
      <c r="H324" s="90" t="str">
        <f>+H308</f>
        <v>3F</v>
      </c>
    </row>
    <row r="325" spans="2:8" ht="18" x14ac:dyDescent="0.25">
      <c r="B325" s="85"/>
      <c r="C325" s="85"/>
      <c r="D325" s="90" t="str">
        <f>+H324</f>
        <v>3F</v>
      </c>
      <c r="E325" s="81"/>
      <c r="F325" s="85"/>
      <c r="G325" s="85"/>
      <c r="H325" s="133"/>
    </row>
    <row r="326" spans="2:8" ht="18" x14ac:dyDescent="0.25">
      <c r="B326" s="85"/>
      <c r="C326" s="85"/>
      <c r="D326" s="85"/>
      <c r="E326" s="85"/>
      <c r="F326" s="85"/>
      <c r="G326" s="85"/>
      <c r="H326" s="90"/>
    </row>
    <row r="327" spans="2:8" ht="15.75" customHeight="1" x14ac:dyDescent="0.25">
      <c r="B327" s="85" t="str">
        <f>+F1</f>
        <v>P/Depósito/transferencia en Bco Santander Rio</v>
      </c>
      <c r="C327" s="85"/>
      <c r="D327" s="85"/>
      <c r="E327" s="85"/>
      <c r="F327" s="148"/>
      <c r="G327" s="85"/>
      <c r="H327" s="90"/>
    </row>
    <row r="328" spans="2:8" ht="18" x14ac:dyDescent="0.25">
      <c r="B328" s="85" t="str">
        <f>+F2</f>
        <v>Cta. Cte. $ N° 210-1950/3</v>
      </c>
      <c r="C328" s="85"/>
      <c r="D328" s="85"/>
      <c r="E328" s="148"/>
      <c r="F328" s="81"/>
      <c r="G328" s="90"/>
      <c r="H328" s="148"/>
    </row>
    <row r="329" spans="2:8" ht="18" x14ac:dyDescent="0.25">
      <c r="B329" s="85" t="str">
        <f>+F3</f>
        <v>CBU 0720210220000000195036</v>
      </c>
      <c r="C329" s="85"/>
      <c r="D329" s="85"/>
      <c r="E329" s="85" t="s">
        <v>223</v>
      </c>
      <c r="F329" s="106">
        <f>+F311</f>
        <v>906793.41773499991</v>
      </c>
      <c r="G329" s="149"/>
      <c r="H329" s="99">
        <f>+D1</f>
        <v>46037</v>
      </c>
    </row>
    <row r="330" spans="2:8" ht="18" x14ac:dyDescent="0.25">
      <c r="B330" s="85" t="str">
        <f>+F4</f>
        <v>CUIT: 30-53267348-4</v>
      </c>
      <c r="C330" s="85"/>
      <c r="D330" s="85"/>
      <c r="E330" s="85" t="s">
        <v>227</v>
      </c>
      <c r="F330" s="106">
        <f>+F312</f>
        <v>15850</v>
      </c>
      <c r="G330" s="81"/>
      <c r="H330" s="90"/>
    </row>
    <row r="331" spans="2:8" ht="18" x14ac:dyDescent="0.25">
      <c r="B331" s="85"/>
      <c r="C331" s="85"/>
      <c r="D331" s="85"/>
      <c r="E331" s="85" t="s">
        <v>81</v>
      </c>
      <c r="F331" s="106">
        <f>+F315</f>
        <v>0</v>
      </c>
      <c r="G331" s="85"/>
      <c r="H331" s="90"/>
    </row>
    <row r="332" spans="2:8" ht="18" x14ac:dyDescent="0.25">
      <c r="B332" s="148"/>
      <c r="C332" s="148"/>
      <c r="D332" s="148"/>
      <c r="E332" s="85" t="s">
        <v>82</v>
      </c>
      <c r="F332" s="106">
        <f>+F316</f>
        <v>0</v>
      </c>
      <c r="G332" s="85"/>
      <c r="H332" s="90"/>
    </row>
    <row r="333" spans="2:8" ht="18" x14ac:dyDescent="0.25">
      <c r="D333" s="85"/>
      <c r="E333" s="85" t="s">
        <v>188</v>
      </c>
      <c r="F333" s="166">
        <f>+F313+F314</f>
        <v>0</v>
      </c>
      <c r="G333" s="85"/>
      <c r="H333" s="90"/>
    </row>
    <row r="334" spans="2:8" ht="18" x14ac:dyDescent="0.25">
      <c r="B334" s="99">
        <f>+$G$30</f>
        <v>46037</v>
      </c>
      <c r="C334" s="105">
        <f>+F317</f>
        <v>922643.41773499991</v>
      </c>
      <c r="D334" s="85"/>
      <c r="E334" s="85" t="s">
        <v>83</v>
      </c>
      <c r="F334" s="106">
        <f>+F317</f>
        <v>922643.41773499991</v>
      </c>
      <c r="G334" s="85"/>
      <c r="H334" s="90"/>
    </row>
    <row r="335" spans="2:8" ht="18" x14ac:dyDescent="0.25">
      <c r="B335" s="85"/>
      <c r="C335" s="85"/>
      <c r="D335" s="85"/>
      <c r="E335" s="85"/>
      <c r="F335" s="85"/>
      <c r="G335" s="85"/>
      <c r="H335" s="90"/>
    </row>
    <row r="336" spans="2:8" ht="18" x14ac:dyDescent="0.25">
      <c r="B336" s="85"/>
      <c r="C336" s="85"/>
      <c r="D336" s="85"/>
      <c r="E336" s="102"/>
      <c r="F336" s="85"/>
      <c r="G336" s="85"/>
      <c r="H336" s="90"/>
    </row>
    <row r="337" spans="2:8" ht="18" x14ac:dyDescent="0.25">
      <c r="B337" s="85"/>
      <c r="C337" s="85"/>
      <c r="D337" s="85"/>
      <c r="E337" s="85"/>
      <c r="F337" s="85"/>
      <c r="G337" s="85"/>
      <c r="H337" s="94"/>
    </row>
    <row r="338" spans="2:8" ht="18" x14ac:dyDescent="0.25">
      <c r="E338" s="85"/>
      <c r="G338" s="94"/>
      <c r="H338" s="90"/>
    </row>
    <row r="339" spans="2:8" x14ac:dyDescent="0.2">
      <c r="B339" s="183"/>
    </row>
    <row r="340" spans="2:8" ht="13.5" customHeight="1" x14ac:dyDescent="0.2">
      <c r="B340" s="194"/>
      <c r="C340" s="194"/>
      <c r="D340" s="194"/>
      <c r="E340" s="194"/>
      <c r="F340" s="194"/>
      <c r="G340" s="194"/>
      <c r="H340" s="254"/>
    </row>
    <row r="341" spans="2:8" ht="18" x14ac:dyDescent="0.25">
      <c r="B341" s="334"/>
      <c r="C341" s="334"/>
      <c r="D341" s="334"/>
      <c r="E341" s="342">
        <f>+$B$1</f>
        <v>46143</v>
      </c>
      <c r="F341" s="85"/>
      <c r="G341" s="337">
        <f>+$D$1</f>
        <v>46037</v>
      </c>
      <c r="H341" s="90"/>
    </row>
    <row r="342" spans="2:8" ht="20.25" customHeight="1" x14ac:dyDescent="0.25">
      <c r="B342" s="147"/>
      <c r="C342" s="147"/>
      <c r="D342" s="100"/>
      <c r="E342" s="342"/>
      <c r="F342" s="85"/>
      <c r="G342" s="337"/>
      <c r="H342" s="90"/>
    </row>
    <row r="343" spans="2:8" ht="18" x14ac:dyDescent="0.25">
      <c r="B343" s="85"/>
      <c r="C343" s="85"/>
      <c r="D343" s="85"/>
      <c r="E343" s="85"/>
      <c r="F343" s="85"/>
      <c r="G343" s="85"/>
      <c r="H343" s="90"/>
    </row>
    <row r="344" spans="2:8" ht="26.25" customHeight="1" x14ac:dyDescent="0.25">
      <c r="B344" s="194"/>
      <c r="C344" s="85"/>
      <c r="D344" s="85"/>
      <c r="E344" s="85"/>
      <c r="F344" s="85"/>
      <c r="G344" s="85"/>
      <c r="H344" s="90"/>
    </row>
    <row r="345" spans="2:8" ht="23.25" customHeight="1" x14ac:dyDescent="0.25">
      <c r="B345" s="85" t="str">
        <f>+B10</f>
        <v>Miguel A. Machinandiarena</v>
      </c>
      <c r="C345" s="85"/>
      <c r="D345" s="85"/>
      <c r="E345" s="85" t="str">
        <f>+E34</f>
        <v>Lima 461 C:A:B:A:</v>
      </c>
      <c r="F345" s="85"/>
      <c r="G345" s="85"/>
      <c r="H345" s="90" t="s">
        <v>92</v>
      </c>
    </row>
    <row r="346" spans="2:8" ht="18" x14ac:dyDescent="0.25">
      <c r="B346" s="85"/>
      <c r="C346" s="85"/>
      <c r="D346" s="85"/>
      <c r="E346" s="85"/>
      <c r="F346" s="85"/>
      <c r="G346" s="85"/>
      <c r="H346" s="90" t="str">
        <f>+'RES CUENTA'!A23</f>
        <v>4G</v>
      </c>
    </row>
    <row r="347" spans="2:8" ht="18" x14ac:dyDescent="0.25">
      <c r="B347" s="90"/>
      <c r="C347" s="85"/>
      <c r="D347" s="90"/>
      <c r="E347" s="85"/>
      <c r="F347" s="85"/>
      <c r="G347" s="85"/>
      <c r="H347" s="90"/>
    </row>
    <row r="348" spans="2:8" ht="14.25" customHeight="1" x14ac:dyDescent="0.25">
      <c r="B348" s="90"/>
      <c r="C348" s="85"/>
      <c r="D348" s="90"/>
      <c r="E348" s="85"/>
      <c r="F348" s="85"/>
      <c r="G348" s="85"/>
      <c r="H348" s="90"/>
    </row>
    <row r="349" spans="2:8" ht="18" x14ac:dyDescent="0.25">
      <c r="B349" s="85" t="s">
        <v>222</v>
      </c>
      <c r="C349" s="85"/>
      <c r="D349" s="107">
        <f>+'RES CUENTA'!$L$25</f>
        <v>10859801.41</v>
      </c>
      <c r="E349" s="108">
        <f>+'RES CUENTA'!G23</f>
        <v>8.11</v>
      </c>
      <c r="F349" s="103">
        <f>+D349*E349/100</f>
        <v>880729.89435099985</v>
      </c>
      <c r="G349" s="338"/>
      <c r="H349" s="338"/>
    </row>
    <row r="350" spans="2:8" ht="18" x14ac:dyDescent="0.25">
      <c r="B350" s="85" t="s">
        <v>226</v>
      </c>
      <c r="C350" s="85"/>
      <c r="D350" s="107">
        <f>+'RES CUENTA'!M25</f>
        <v>125000</v>
      </c>
      <c r="E350" s="108">
        <f>+'RES CUENTA'!H23</f>
        <v>12.32</v>
      </c>
      <c r="F350" s="103">
        <f>+D350*E350/100</f>
        <v>15400</v>
      </c>
      <c r="G350" s="341"/>
      <c r="H350" s="341"/>
    </row>
    <row r="351" spans="2:8" ht="18" x14ac:dyDescent="0.25">
      <c r="B351" s="85" t="s">
        <v>202</v>
      </c>
      <c r="C351" s="194"/>
      <c r="D351" s="107">
        <f>+'RES CUENTA'!N23</f>
        <v>0</v>
      </c>
      <c r="E351" s="108">
        <v>0</v>
      </c>
      <c r="F351" s="103">
        <f>+D351</f>
        <v>0</v>
      </c>
      <c r="G351" s="341"/>
      <c r="H351" s="341"/>
    </row>
    <row r="352" spans="2:8" ht="18" x14ac:dyDescent="0.25">
      <c r="B352" s="85" t="s">
        <v>269</v>
      </c>
      <c r="C352" s="194"/>
      <c r="D352" s="107">
        <v>0</v>
      </c>
      <c r="E352" s="108">
        <v>0</v>
      </c>
      <c r="F352" s="103">
        <v>0</v>
      </c>
      <c r="G352" s="341"/>
      <c r="H352" s="341"/>
    </row>
    <row r="353" spans="2:8" ht="18" x14ac:dyDescent="0.25">
      <c r="B353" s="85" t="s">
        <v>79</v>
      </c>
      <c r="C353" s="85"/>
      <c r="D353" s="107">
        <f>+'RES CUENTA'!Q23</f>
        <v>0</v>
      </c>
      <c r="E353" s="108">
        <v>0</v>
      </c>
      <c r="F353" s="103">
        <f>+D353</f>
        <v>0</v>
      </c>
      <c r="G353" s="341"/>
      <c r="H353" s="341"/>
    </row>
    <row r="354" spans="2:8" ht="18" x14ac:dyDescent="0.25">
      <c r="B354" s="85" t="s">
        <v>80</v>
      </c>
      <c r="C354" s="85"/>
      <c r="D354" s="107">
        <f>+'RES CUENTA'!R23</f>
        <v>0</v>
      </c>
      <c r="E354" s="108">
        <v>0</v>
      </c>
      <c r="F354" s="165">
        <f>+D354</f>
        <v>0</v>
      </c>
      <c r="G354" s="338"/>
      <c r="H354" s="338"/>
    </row>
    <row r="355" spans="2:8" ht="18" x14ac:dyDescent="0.25">
      <c r="B355" s="85"/>
      <c r="C355" s="85"/>
      <c r="D355" s="85"/>
      <c r="E355" s="92"/>
      <c r="F355" s="103">
        <f>SUM(F349:F354)</f>
        <v>896129.89435099985</v>
      </c>
      <c r="G355" s="90"/>
      <c r="H355" s="90"/>
    </row>
    <row r="356" spans="2:8" ht="11.25" customHeight="1" x14ac:dyDescent="0.25">
      <c r="B356" s="85"/>
      <c r="C356" s="85"/>
      <c r="D356" s="85"/>
      <c r="E356" s="85"/>
      <c r="F356" s="92"/>
      <c r="G356" s="85"/>
      <c r="H356" s="90"/>
    </row>
    <row r="357" spans="2:8" ht="14.25" customHeight="1" x14ac:dyDescent="0.25">
      <c r="B357" s="85"/>
      <c r="C357" s="85"/>
      <c r="D357" s="85"/>
      <c r="E357" s="85"/>
      <c r="F357" s="92"/>
      <c r="G357" s="85"/>
      <c r="H357" s="90"/>
    </row>
    <row r="358" spans="2:8" ht="12.75" customHeight="1" x14ac:dyDescent="0.25">
      <c r="B358" s="85"/>
      <c r="C358" s="85"/>
      <c r="D358" s="85"/>
      <c r="E358" s="85"/>
      <c r="F358" s="92"/>
      <c r="G358" s="85"/>
      <c r="H358" s="90"/>
    </row>
    <row r="359" spans="2:8" ht="14.25" customHeight="1" x14ac:dyDescent="0.25">
      <c r="B359" s="85"/>
      <c r="C359" s="85"/>
      <c r="D359" s="85"/>
      <c r="E359" s="85"/>
      <c r="F359" s="92"/>
      <c r="G359" s="85"/>
      <c r="H359" s="90"/>
    </row>
    <row r="360" spans="2:8" ht="21.75" customHeight="1" x14ac:dyDescent="0.25">
      <c r="B360" s="85" t="str">
        <f>+B345</f>
        <v>Miguel A. Machinandiarena</v>
      </c>
      <c r="C360" s="85"/>
      <c r="D360" s="85"/>
      <c r="E360" s="85" t="str">
        <f>+B360</f>
        <v>Miguel A. Machinandiarena</v>
      </c>
      <c r="F360" s="92"/>
      <c r="G360" s="85"/>
      <c r="H360" s="90"/>
    </row>
    <row r="361" spans="2:8" ht="18" x14ac:dyDescent="0.25">
      <c r="B361" s="194"/>
      <c r="C361" s="85"/>
      <c r="D361" s="85"/>
      <c r="E361" s="194"/>
      <c r="F361" s="339"/>
      <c r="G361" s="339"/>
      <c r="H361" s="339"/>
    </row>
    <row r="362" spans="2:8" ht="18" x14ac:dyDescent="0.25">
      <c r="B362" s="85" t="str">
        <f>+E1</f>
        <v>Lima 461 C:A:B:A:</v>
      </c>
      <c r="C362" s="85"/>
      <c r="D362" s="90" t="str">
        <f>+H345</f>
        <v>Unid. 9</v>
      </c>
      <c r="E362" s="85" t="str">
        <f>+E1</f>
        <v>Lima 461 C:A:B:A:</v>
      </c>
      <c r="F362" s="85"/>
      <c r="G362" s="85"/>
      <c r="H362" s="90" t="str">
        <f>+D362</f>
        <v>Unid. 9</v>
      </c>
    </row>
    <row r="363" spans="2:8" ht="18" x14ac:dyDescent="0.25">
      <c r="B363" s="194"/>
      <c r="C363" s="194"/>
      <c r="D363" s="90" t="str">
        <f>+H363</f>
        <v>4G</v>
      </c>
      <c r="E363" s="194"/>
      <c r="F363" s="194"/>
      <c r="G363" s="194"/>
      <c r="H363" s="90" t="str">
        <f>+H346</f>
        <v>4G</v>
      </c>
    </row>
    <row r="364" spans="2:8" ht="18" x14ac:dyDescent="0.25">
      <c r="B364" s="85"/>
      <c r="C364" s="85"/>
      <c r="D364" s="85"/>
      <c r="E364" s="85"/>
      <c r="F364" s="85"/>
      <c r="G364" s="85"/>
      <c r="H364" s="254"/>
    </row>
    <row r="365" spans="2:8" ht="18" x14ac:dyDescent="0.25">
      <c r="B365" s="85" t="str">
        <f>+F1</f>
        <v>P/Depósito/transferencia en Bco Santander Rio</v>
      </c>
      <c r="C365" s="85"/>
      <c r="D365" s="85"/>
      <c r="E365" s="85"/>
      <c r="F365" s="85"/>
      <c r="G365" s="85"/>
      <c r="H365" s="90"/>
    </row>
    <row r="366" spans="2:8" ht="14.25" customHeight="1" x14ac:dyDescent="0.25">
      <c r="B366" s="85" t="str">
        <f>+F2</f>
        <v>Cta. Cte. $ N° 210-1950/3</v>
      </c>
      <c r="C366" s="85"/>
      <c r="D366" s="85"/>
      <c r="E366" s="148"/>
      <c r="F366" s="85"/>
      <c r="G366" s="90"/>
      <c r="H366" s="90"/>
    </row>
    <row r="367" spans="2:8" ht="18" x14ac:dyDescent="0.25">
      <c r="B367" s="85" t="str">
        <f>+F3</f>
        <v>CBU 0720210220000000195036</v>
      </c>
      <c r="C367" s="85"/>
      <c r="D367" s="85"/>
      <c r="E367" s="85" t="s">
        <v>223</v>
      </c>
      <c r="F367" s="106">
        <f>+F349</f>
        <v>880729.89435099985</v>
      </c>
      <c r="G367" s="194"/>
      <c r="H367" s="99">
        <f>+D1</f>
        <v>46037</v>
      </c>
    </row>
    <row r="368" spans="2:8" ht="18" x14ac:dyDescent="0.25">
      <c r="B368" s="85" t="str">
        <f>+F4</f>
        <v>CUIT: 30-53267348-4</v>
      </c>
      <c r="C368" s="85"/>
      <c r="D368" s="85"/>
      <c r="E368" s="85" t="s">
        <v>227</v>
      </c>
      <c r="F368" s="106">
        <f>+F350</f>
        <v>15400</v>
      </c>
      <c r="G368" s="194"/>
      <c r="H368" s="254"/>
    </row>
    <row r="369" spans="2:8" ht="18" x14ac:dyDescent="0.25">
      <c r="B369" s="85"/>
      <c r="C369" s="85"/>
      <c r="D369" s="85"/>
      <c r="E369" s="85" t="s">
        <v>81</v>
      </c>
      <c r="F369" s="106">
        <f>+F353</f>
        <v>0</v>
      </c>
      <c r="G369" s="85"/>
      <c r="H369" s="90"/>
    </row>
    <row r="370" spans="2:8" ht="18" x14ac:dyDescent="0.25">
      <c r="B370" s="85"/>
      <c r="C370" s="85"/>
      <c r="D370" s="85"/>
      <c r="E370" s="85" t="s">
        <v>82</v>
      </c>
      <c r="F370" s="106">
        <f>+F354</f>
        <v>0</v>
      </c>
      <c r="G370" s="85"/>
      <c r="H370" s="90"/>
    </row>
    <row r="371" spans="2:8" ht="18" x14ac:dyDescent="0.25">
      <c r="B371" s="148"/>
      <c r="C371" s="148"/>
      <c r="D371" s="148"/>
      <c r="E371" s="85" t="s">
        <v>188</v>
      </c>
      <c r="F371" s="166">
        <f>+F352</f>
        <v>0</v>
      </c>
      <c r="G371" s="85"/>
      <c r="H371" s="90"/>
    </row>
    <row r="372" spans="2:8" ht="18" x14ac:dyDescent="0.25">
      <c r="B372" s="99">
        <f>+$G$30</f>
        <v>46037</v>
      </c>
      <c r="C372" s="105">
        <f>+F355</f>
        <v>896129.89435099985</v>
      </c>
      <c r="D372" s="85"/>
      <c r="E372" s="85" t="s">
        <v>83</v>
      </c>
      <c r="F372" s="106">
        <f>+F355</f>
        <v>896129.89435099985</v>
      </c>
      <c r="G372" s="85"/>
      <c r="H372" s="90"/>
    </row>
    <row r="373" spans="2:8" ht="18" x14ac:dyDescent="0.25">
      <c r="B373" s="85"/>
      <c r="C373" s="85"/>
      <c r="D373" s="85"/>
      <c r="E373" s="102"/>
      <c r="F373" s="85"/>
      <c r="G373" s="85"/>
      <c r="H373" s="90"/>
    </row>
    <row r="374" spans="2:8" ht="18" x14ac:dyDescent="0.25">
      <c r="B374" s="85"/>
      <c r="C374" s="85"/>
      <c r="D374" s="85"/>
      <c r="E374" s="102"/>
      <c r="F374" s="85"/>
      <c r="G374" s="85"/>
      <c r="H374" s="90"/>
    </row>
    <row r="375" spans="2:8" ht="18" x14ac:dyDescent="0.25">
      <c r="B375" s="85"/>
      <c r="C375" s="85"/>
      <c r="D375" s="85"/>
      <c r="E375" s="194"/>
      <c r="F375" s="85"/>
      <c r="G375" s="85"/>
      <c r="H375" s="90"/>
    </row>
    <row r="376" spans="2:8" ht="18" x14ac:dyDescent="0.25">
      <c r="B376" s="85"/>
      <c r="C376" s="85"/>
      <c r="D376" s="85"/>
      <c r="E376" s="85"/>
      <c r="F376" s="85"/>
      <c r="G376" s="85"/>
      <c r="H376" s="90"/>
    </row>
    <row r="377" spans="2:8" ht="18" x14ac:dyDescent="0.25">
      <c r="B377" s="85"/>
      <c r="C377" s="85"/>
      <c r="D377" s="85"/>
      <c r="E377" s="85"/>
      <c r="F377" s="85"/>
      <c r="G377" s="338"/>
      <c r="H377" s="338"/>
    </row>
    <row r="378" spans="2:8" ht="18" x14ac:dyDescent="0.25">
      <c r="B378" s="85"/>
      <c r="C378" s="85"/>
      <c r="D378" s="85"/>
      <c r="E378" s="85"/>
      <c r="F378" s="85"/>
      <c r="G378" s="85"/>
      <c r="H378" s="90"/>
    </row>
    <row r="379" spans="2:8" ht="18" x14ac:dyDescent="0.25">
      <c r="B379" s="85"/>
      <c r="C379" s="85"/>
      <c r="D379" s="85"/>
      <c r="E379" s="85"/>
      <c r="F379" s="85"/>
      <c r="G379" s="85"/>
      <c r="H379" s="90"/>
    </row>
    <row r="380" spans="2:8" ht="18" x14ac:dyDescent="0.25">
      <c r="B380" s="85"/>
      <c r="C380" s="85"/>
      <c r="D380" s="85"/>
      <c r="E380" s="85"/>
      <c r="F380" s="85"/>
      <c r="G380" s="85"/>
      <c r="H380" s="90"/>
    </row>
    <row r="381" spans="2:8" ht="18" x14ac:dyDescent="0.25">
      <c r="B381" s="85"/>
      <c r="C381" s="85"/>
      <c r="D381" s="85"/>
      <c r="E381" s="85"/>
      <c r="F381" s="85"/>
      <c r="G381" s="85"/>
      <c r="H381" s="90"/>
    </row>
    <row r="382" spans="2:8" ht="18" x14ac:dyDescent="0.25">
      <c r="B382" s="334"/>
      <c r="C382" s="334"/>
      <c r="D382" s="334"/>
      <c r="E382" s="98">
        <f>+$B$1</f>
        <v>46143</v>
      </c>
      <c r="F382" s="85"/>
      <c r="G382" s="99">
        <f>+$D$1</f>
        <v>46037</v>
      </c>
      <c r="H382" s="162"/>
    </row>
    <row r="383" spans="2:8" ht="18" x14ac:dyDescent="0.25">
      <c r="B383" s="147"/>
      <c r="C383" s="147"/>
      <c r="D383" s="100"/>
      <c r="E383" s="98"/>
      <c r="F383" s="85"/>
      <c r="G383" s="194"/>
      <c r="H383" s="254"/>
    </row>
    <row r="384" spans="2:8" ht="15" customHeight="1" x14ac:dyDescent="0.25">
      <c r="B384" s="194"/>
      <c r="C384" s="85"/>
      <c r="D384" s="85"/>
      <c r="E384" s="194"/>
      <c r="F384" s="85"/>
      <c r="G384" s="194"/>
      <c r="H384" s="254"/>
    </row>
    <row r="385" spans="2:8" ht="18" x14ac:dyDescent="0.25">
      <c r="B385" s="85" t="str">
        <f>+B11</f>
        <v>Olivier Liem</v>
      </c>
      <c r="C385" s="85"/>
      <c r="D385" s="85"/>
      <c r="E385" s="85" t="str">
        <f>+E73</f>
        <v>Lima 461 C:A:B:A:</v>
      </c>
      <c r="F385" s="85"/>
      <c r="G385" s="194"/>
      <c r="H385" s="90" t="s">
        <v>93</v>
      </c>
    </row>
    <row r="386" spans="2:8" ht="18" x14ac:dyDescent="0.25">
      <c r="B386" s="85"/>
      <c r="C386" s="85"/>
      <c r="D386" s="85"/>
      <c r="E386" s="194"/>
      <c r="F386" s="85"/>
      <c r="G386" s="85"/>
      <c r="H386" s="90" t="str">
        <f>+'RES CUENTA'!A24</f>
        <v>4H</v>
      </c>
    </row>
    <row r="387" spans="2:8" ht="18" x14ac:dyDescent="0.25">
      <c r="B387" s="85"/>
      <c r="C387" s="85"/>
      <c r="D387" s="85"/>
      <c r="E387" s="85"/>
      <c r="F387" s="85"/>
      <c r="G387" s="85"/>
      <c r="H387" s="90"/>
    </row>
    <row r="388" spans="2:8" ht="18" x14ac:dyDescent="0.25">
      <c r="B388" s="85"/>
      <c r="C388" s="85"/>
      <c r="D388" s="85"/>
      <c r="E388" s="85"/>
      <c r="F388" s="85"/>
      <c r="G388" s="85"/>
      <c r="H388" s="90"/>
    </row>
    <row r="389" spans="2:8" ht="18" x14ac:dyDescent="0.25">
      <c r="B389" s="85" t="s">
        <v>222</v>
      </c>
      <c r="C389" s="85"/>
      <c r="D389" s="107">
        <f>+'RES CUENTA'!$L$25</f>
        <v>10859801.41</v>
      </c>
      <c r="E389" s="108">
        <f>+'RES CUENTA'!G24</f>
        <v>8.11</v>
      </c>
      <c r="F389" s="103">
        <f>+D389*E389/100</f>
        <v>880729.89435099985</v>
      </c>
      <c r="G389" s="85"/>
      <c r="H389" s="90"/>
    </row>
    <row r="390" spans="2:8" ht="18" x14ac:dyDescent="0.25">
      <c r="B390" s="85" t="s">
        <v>226</v>
      </c>
      <c r="C390" s="85"/>
      <c r="D390" s="107">
        <f>+'RES CUENTA'!M25</f>
        <v>125000</v>
      </c>
      <c r="E390" s="108">
        <f>+'RES CUENTA'!H24</f>
        <v>12.32</v>
      </c>
      <c r="F390" s="103">
        <f>+D390*E390/100</f>
        <v>15400</v>
      </c>
      <c r="G390" s="90"/>
      <c r="H390" s="89"/>
    </row>
    <row r="391" spans="2:8" ht="18" x14ac:dyDescent="0.25">
      <c r="B391" s="85" t="s">
        <v>202</v>
      </c>
      <c r="C391" s="85"/>
      <c r="D391" s="107">
        <f>+'RES CUENTA'!N24</f>
        <v>0</v>
      </c>
      <c r="E391" s="108">
        <v>0</v>
      </c>
      <c r="F391" s="103">
        <f>+D391</f>
        <v>0</v>
      </c>
      <c r="G391" s="90"/>
      <c r="H391" s="89"/>
    </row>
    <row r="392" spans="2:8" ht="18" x14ac:dyDescent="0.25">
      <c r="B392" s="85" t="s">
        <v>296</v>
      </c>
      <c r="C392" s="85"/>
      <c r="D392" s="107">
        <v>0</v>
      </c>
      <c r="E392" s="108">
        <v>0</v>
      </c>
      <c r="F392" s="103">
        <v>0</v>
      </c>
      <c r="G392" s="90"/>
      <c r="H392" s="89"/>
    </row>
    <row r="393" spans="2:8" ht="18" x14ac:dyDescent="0.25">
      <c r="B393" s="85" t="s">
        <v>79</v>
      </c>
      <c r="C393" s="85"/>
      <c r="D393" s="107">
        <f>+'RES CUENTA'!Q24</f>
        <v>1046410.4599369997</v>
      </c>
      <c r="E393" s="108">
        <v>0</v>
      </c>
      <c r="F393" s="103">
        <f>+D393</f>
        <v>1046410.4599369997</v>
      </c>
      <c r="G393" s="89"/>
      <c r="H393" s="89"/>
    </row>
    <row r="394" spans="2:8" ht="18" x14ac:dyDescent="0.25">
      <c r="B394" s="85" t="s">
        <v>80</v>
      </c>
      <c r="C394" s="85"/>
      <c r="D394" s="107">
        <f>+'RES CUENTA'!R24</f>
        <v>51872.390965319981</v>
      </c>
      <c r="E394" s="108">
        <v>0</v>
      </c>
      <c r="F394" s="165">
        <f>+D394</f>
        <v>51872.390965319981</v>
      </c>
      <c r="G394" s="89"/>
      <c r="H394" s="90"/>
    </row>
    <row r="395" spans="2:8" ht="18" x14ac:dyDescent="0.25">
      <c r="B395" s="85"/>
      <c r="C395" s="85"/>
      <c r="D395" s="85"/>
      <c r="E395" s="194"/>
      <c r="F395" s="103">
        <f>SUM(F389:F394)</f>
        <v>1994412.7452533196</v>
      </c>
      <c r="G395" s="90"/>
      <c r="H395" s="90"/>
    </row>
    <row r="396" spans="2:8" ht="18" x14ac:dyDescent="0.25">
      <c r="B396" s="85"/>
      <c r="C396" s="85"/>
      <c r="D396" s="85"/>
      <c r="E396" s="85"/>
      <c r="F396" s="92"/>
      <c r="G396" s="90"/>
      <c r="H396" s="90"/>
    </row>
    <row r="397" spans="2:8" ht="18" x14ac:dyDescent="0.25">
      <c r="B397" s="85"/>
      <c r="C397" s="85"/>
      <c r="D397" s="85"/>
      <c r="E397" s="85"/>
      <c r="F397" s="92"/>
      <c r="G397" s="90"/>
      <c r="H397" s="90"/>
    </row>
    <row r="398" spans="2:8" ht="12.75" customHeight="1" x14ac:dyDescent="0.25">
      <c r="B398" s="85"/>
      <c r="C398" s="85"/>
      <c r="D398" s="85"/>
      <c r="E398" s="85"/>
      <c r="F398" s="92"/>
      <c r="G398" s="90"/>
      <c r="H398" s="90"/>
    </row>
    <row r="399" spans="2:8" ht="17.25" customHeight="1" x14ac:dyDescent="0.25">
      <c r="B399" s="85"/>
      <c r="C399" s="85"/>
      <c r="D399" s="85"/>
      <c r="E399" s="85"/>
      <c r="F399" s="92"/>
      <c r="G399" s="90"/>
      <c r="H399" s="90"/>
    </row>
    <row r="400" spans="2:8" ht="24" customHeight="1" x14ac:dyDescent="0.25">
      <c r="B400" s="85" t="str">
        <f>+B385</f>
        <v>Olivier Liem</v>
      </c>
      <c r="C400" s="85"/>
      <c r="D400" s="85"/>
      <c r="E400" s="85" t="str">
        <f>+B385</f>
        <v>Olivier Liem</v>
      </c>
      <c r="F400" s="85"/>
      <c r="G400" s="85"/>
      <c r="H400" s="90"/>
    </row>
    <row r="401" spans="2:8" ht="18" x14ac:dyDescent="0.25">
      <c r="B401" s="85"/>
      <c r="C401" s="85"/>
      <c r="D401" s="85"/>
      <c r="E401" s="194"/>
      <c r="F401" s="85"/>
      <c r="G401" s="92"/>
      <c r="H401" s="90" t="str">
        <f>+H385</f>
        <v>Unid. 10</v>
      </c>
    </row>
    <row r="402" spans="2:8" ht="18" x14ac:dyDescent="0.25">
      <c r="B402" s="85" t="str">
        <f>+E1</f>
        <v>Lima 461 C:A:B:A:</v>
      </c>
      <c r="C402" s="85"/>
      <c r="D402" s="90" t="str">
        <f>+H401</f>
        <v>Unid. 10</v>
      </c>
      <c r="E402" s="85" t="str">
        <f>+E1</f>
        <v>Lima 461 C:A:B:A:</v>
      </c>
      <c r="F402" s="85"/>
      <c r="G402" s="85"/>
      <c r="H402" s="90" t="str">
        <f>+H386</f>
        <v>4H</v>
      </c>
    </row>
    <row r="403" spans="2:8" ht="18" x14ac:dyDescent="0.25">
      <c r="B403" s="85"/>
      <c r="C403" s="85"/>
      <c r="D403" s="90" t="str">
        <f>+H402</f>
        <v>4H</v>
      </c>
      <c r="E403" s="194"/>
      <c r="F403" s="85"/>
      <c r="G403" s="85"/>
      <c r="H403" s="254"/>
    </row>
    <row r="404" spans="2:8" ht="12" customHeight="1" x14ac:dyDescent="0.25">
      <c r="B404" s="85"/>
      <c r="C404" s="85"/>
      <c r="D404" s="85"/>
      <c r="E404" s="85"/>
      <c r="F404" s="85"/>
      <c r="G404" s="85"/>
      <c r="H404" s="90"/>
    </row>
    <row r="405" spans="2:8" ht="18" x14ac:dyDescent="0.25">
      <c r="B405" s="85" t="str">
        <f>+F1</f>
        <v>P/Depósito/transferencia en Bco Santander Rio</v>
      </c>
      <c r="C405" s="85"/>
      <c r="D405" s="85"/>
      <c r="E405" s="85"/>
      <c r="F405" s="148"/>
      <c r="G405" s="85"/>
      <c r="H405" s="90"/>
    </row>
    <row r="406" spans="2:8" ht="21" customHeight="1" x14ac:dyDescent="0.25">
      <c r="B406" s="85" t="str">
        <f>+F2</f>
        <v>Cta. Cte. $ N° 210-1950/3</v>
      </c>
      <c r="C406" s="85"/>
      <c r="D406" s="85"/>
      <c r="E406" s="148"/>
      <c r="F406" s="194"/>
      <c r="G406" s="90"/>
      <c r="H406" s="148"/>
    </row>
    <row r="407" spans="2:8" ht="18" x14ac:dyDescent="0.25">
      <c r="B407" s="85" t="str">
        <f>+F3</f>
        <v>CBU 0720210220000000195036</v>
      </c>
      <c r="C407" s="85"/>
      <c r="D407" s="85"/>
      <c r="E407" s="85" t="s">
        <v>223</v>
      </c>
      <c r="F407" s="106">
        <f>+F389</f>
        <v>880729.89435099985</v>
      </c>
      <c r="G407" s="149"/>
      <c r="H407" s="99">
        <f>+D1</f>
        <v>46037</v>
      </c>
    </row>
    <row r="408" spans="2:8" ht="18" x14ac:dyDescent="0.25">
      <c r="B408" s="85" t="str">
        <f>+F4</f>
        <v>CUIT: 30-53267348-4</v>
      </c>
      <c r="C408" s="85"/>
      <c r="D408" s="85"/>
      <c r="E408" s="85" t="s">
        <v>227</v>
      </c>
      <c r="F408" s="106">
        <f>+F390</f>
        <v>15400</v>
      </c>
      <c r="G408" s="194"/>
      <c r="H408" s="90"/>
    </row>
    <row r="409" spans="2:8" ht="18" x14ac:dyDescent="0.25">
      <c r="B409" s="85"/>
      <c r="C409" s="85"/>
      <c r="D409" s="85"/>
      <c r="E409" s="85" t="s">
        <v>81</v>
      </c>
      <c r="F409" s="106">
        <f>+F393</f>
        <v>1046410.4599369997</v>
      </c>
      <c r="G409" s="85"/>
      <c r="H409" s="90"/>
    </row>
    <row r="410" spans="2:8" ht="18" x14ac:dyDescent="0.25">
      <c r="B410" s="148"/>
      <c r="C410" s="148"/>
      <c r="D410" s="148"/>
      <c r="E410" s="85" t="s">
        <v>82</v>
      </c>
      <c r="F410" s="106">
        <f>+F394</f>
        <v>51872.390965319981</v>
      </c>
      <c r="G410" s="85"/>
      <c r="H410" s="90"/>
    </row>
    <row r="411" spans="2:8" ht="18" x14ac:dyDescent="0.25">
      <c r="B411" s="194"/>
      <c r="C411" s="194"/>
      <c r="D411" s="85"/>
      <c r="E411" s="85" t="s">
        <v>188</v>
      </c>
      <c r="F411" s="166">
        <f>+F392</f>
        <v>0</v>
      </c>
      <c r="G411" s="85"/>
      <c r="H411" s="90"/>
    </row>
    <row r="412" spans="2:8" ht="18" x14ac:dyDescent="0.25">
      <c r="B412" s="99">
        <f>+$G$30</f>
        <v>46037</v>
      </c>
      <c r="C412" s="105">
        <f>+F395</f>
        <v>1994412.7452533196</v>
      </c>
      <c r="D412" s="85"/>
      <c r="E412" s="85" t="s">
        <v>83</v>
      </c>
      <c r="F412" s="106">
        <f>+F395</f>
        <v>1994412.7452533196</v>
      </c>
      <c r="G412" s="85"/>
      <c r="H412" s="90"/>
    </row>
    <row r="413" spans="2:8" ht="18" x14ac:dyDescent="0.25">
      <c r="B413" s="85"/>
      <c r="C413" s="85"/>
      <c r="D413" s="85"/>
      <c r="E413" s="85"/>
      <c r="F413" s="85"/>
      <c r="G413" s="85"/>
      <c r="H413" s="90"/>
    </row>
    <row r="414" spans="2:8" ht="18" x14ac:dyDescent="0.25">
      <c r="B414" s="85"/>
      <c r="C414" s="85"/>
      <c r="D414" s="85"/>
      <c r="E414" s="102"/>
      <c r="F414" s="85"/>
      <c r="G414" s="85"/>
      <c r="H414" s="90"/>
    </row>
    <row r="415" spans="2:8" ht="18" customHeight="1" x14ac:dyDescent="0.25">
      <c r="B415" s="85"/>
      <c r="C415" s="85"/>
      <c r="D415" s="85"/>
      <c r="E415" s="85"/>
      <c r="F415" s="85"/>
      <c r="G415" s="85"/>
      <c r="H415" s="94"/>
    </row>
    <row r="416" spans="2:8" ht="15.75" customHeight="1" x14ac:dyDescent="0.25">
      <c r="E416" s="85"/>
      <c r="G416" s="94"/>
      <c r="H416" s="90"/>
    </row>
    <row r="417" spans="2:8" ht="10.5" customHeight="1" x14ac:dyDescent="0.25">
      <c r="E417" s="85"/>
      <c r="G417" s="94"/>
      <c r="H417" s="90"/>
    </row>
    <row r="419" spans="2:8" ht="18" x14ac:dyDescent="0.25">
      <c r="B419" s="343"/>
      <c r="C419" s="343"/>
      <c r="D419" s="343"/>
      <c r="E419" s="342">
        <f>+$B$1</f>
        <v>46143</v>
      </c>
      <c r="F419" s="85"/>
      <c r="G419" s="337">
        <f>+$D$1</f>
        <v>46037</v>
      </c>
      <c r="H419" s="90"/>
    </row>
    <row r="420" spans="2:8" ht="18" x14ac:dyDescent="0.25">
      <c r="B420" s="84"/>
      <c r="C420" s="84"/>
      <c r="D420" s="100"/>
      <c r="E420" s="342"/>
      <c r="F420" s="85"/>
      <c r="G420" s="337"/>
      <c r="H420" s="90"/>
    </row>
    <row r="421" spans="2:8" ht="9.75" customHeight="1" x14ac:dyDescent="0.25">
      <c r="B421" s="85"/>
      <c r="C421" s="85"/>
      <c r="D421" s="85"/>
      <c r="E421" s="86"/>
      <c r="F421" s="85"/>
      <c r="G421" s="86"/>
      <c r="H421" s="90"/>
    </row>
    <row r="422" spans="2:8" ht="12.75" customHeight="1" x14ac:dyDescent="0.25">
      <c r="B422" s="85"/>
      <c r="C422" s="85"/>
      <c r="D422" s="85"/>
      <c r="E422" s="86"/>
      <c r="F422" s="85"/>
      <c r="G422" s="86"/>
      <c r="H422" s="90"/>
    </row>
    <row r="423" spans="2:8" ht="25.5" customHeight="1" x14ac:dyDescent="0.25">
      <c r="B423" s="85" t="e">
        <f>+B12</f>
        <v>#REF!</v>
      </c>
      <c r="C423" s="85"/>
      <c r="D423" s="85"/>
      <c r="E423" s="86"/>
      <c r="F423" s="85"/>
      <c r="G423" s="86"/>
      <c r="H423" s="90"/>
    </row>
    <row r="424" spans="2:8" ht="21" customHeight="1" x14ac:dyDescent="0.25">
      <c r="B424" s="86"/>
      <c r="C424" s="85"/>
      <c r="D424" s="85"/>
      <c r="E424" s="85" t="str">
        <f>+E34</f>
        <v>Lima 461 C:A:B:A:</v>
      </c>
      <c r="F424" s="85"/>
      <c r="G424" s="85"/>
      <c r="H424" s="90" t="s">
        <v>94</v>
      </c>
    </row>
    <row r="425" spans="2:8" ht="18" x14ac:dyDescent="0.25">
      <c r="B425" s="85"/>
      <c r="C425" s="85"/>
      <c r="D425" s="85"/>
      <c r="E425" s="86"/>
      <c r="F425" s="86"/>
      <c r="G425" s="85"/>
      <c r="H425" s="90" t="e">
        <f>+'RES CUENTA'!#REF!</f>
        <v>#REF!</v>
      </c>
    </row>
    <row r="426" spans="2:8" ht="18" x14ac:dyDescent="0.25">
      <c r="B426" s="94"/>
      <c r="C426" s="85"/>
      <c r="D426" s="94"/>
      <c r="E426" s="85"/>
      <c r="F426" s="85"/>
      <c r="G426" s="85"/>
      <c r="H426" s="90"/>
    </row>
    <row r="427" spans="2:8" ht="21.75" customHeight="1" x14ac:dyDescent="0.25">
      <c r="B427" s="94"/>
      <c r="C427" s="85"/>
      <c r="D427" s="94"/>
      <c r="E427" s="85"/>
      <c r="F427" s="85"/>
      <c r="G427" s="85"/>
      <c r="H427" s="90"/>
    </row>
    <row r="428" spans="2:8" ht="18" x14ac:dyDescent="0.25">
      <c r="B428" s="85" t="s">
        <v>198</v>
      </c>
      <c r="C428" s="85"/>
      <c r="D428" s="107">
        <f>+'RES CUENTA'!$L$25</f>
        <v>10859801.41</v>
      </c>
      <c r="E428" s="108" t="e">
        <f>+'RES CUENTA'!#REF!</f>
        <v>#REF!</v>
      </c>
      <c r="F428" s="103" t="e">
        <f>+D428*E428/100</f>
        <v>#REF!</v>
      </c>
      <c r="G428" s="345"/>
      <c r="H428" s="345"/>
    </row>
    <row r="429" spans="2:8" ht="18" x14ac:dyDescent="0.25">
      <c r="B429" s="85" t="s">
        <v>199</v>
      </c>
      <c r="C429" s="85"/>
      <c r="D429" s="107" t="e">
        <f>+'RES CUENTA'!#REF!</f>
        <v>#REF!</v>
      </c>
      <c r="E429" s="108" t="e">
        <f>+'RES CUENTA'!#REF!</f>
        <v>#REF!</v>
      </c>
      <c r="F429" s="103" t="e">
        <f>+D429*E429/100</f>
        <v>#REF!</v>
      </c>
      <c r="G429" s="341"/>
      <c r="H429" s="341"/>
    </row>
    <row r="430" spans="2:8" ht="18" x14ac:dyDescent="0.25">
      <c r="B430" s="85" t="s">
        <v>79</v>
      </c>
      <c r="C430" s="85"/>
      <c r="D430" s="107" t="e">
        <f>+'RES CUENTA'!#REF!</f>
        <v>#REF!</v>
      </c>
      <c r="E430" s="108">
        <v>0</v>
      </c>
      <c r="F430" s="103" t="e">
        <f>+D430</f>
        <v>#REF!</v>
      </c>
      <c r="G430" s="341"/>
      <c r="H430" s="341"/>
    </row>
    <row r="431" spans="2:8" ht="18" x14ac:dyDescent="0.25">
      <c r="B431" s="85" t="s">
        <v>80</v>
      </c>
      <c r="C431" s="85"/>
      <c r="D431" s="107" t="e">
        <f>+'RES CUENTA'!#REF!</f>
        <v>#REF!</v>
      </c>
      <c r="E431" s="108">
        <v>0</v>
      </c>
      <c r="F431" s="165" t="e">
        <f>+D431</f>
        <v>#REF!</v>
      </c>
      <c r="G431" s="341"/>
      <c r="H431" s="341"/>
    </row>
    <row r="432" spans="2:8" ht="18" x14ac:dyDescent="0.25">
      <c r="B432" s="86"/>
      <c r="C432" s="85"/>
      <c r="D432" s="85"/>
      <c r="E432" s="92"/>
      <c r="F432" s="104" t="e">
        <f>SUM(F428:F431)</f>
        <v>#REF!</v>
      </c>
      <c r="G432" s="341"/>
      <c r="H432" s="341"/>
    </row>
    <row r="433" spans="2:8" ht="18" x14ac:dyDescent="0.25">
      <c r="B433" s="86"/>
      <c r="C433" s="85"/>
      <c r="D433" s="85"/>
      <c r="E433" s="85"/>
      <c r="G433" s="338"/>
      <c r="H433" s="338"/>
    </row>
    <row r="434" spans="2:8" ht="18" x14ac:dyDescent="0.25">
      <c r="B434" s="85"/>
      <c r="C434" s="85"/>
      <c r="D434" s="85"/>
      <c r="E434" s="85"/>
      <c r="F434" s="91"/>
      <c r="G434" s="90"/>
      <c r="H434" s="90"/>
    </row>
    <row r="435" spans="2:8" ht="18" x14ac:dyDescent="0.25">
      <c r="B435" s="85"/>
      <c r="C435" s="85"/>
      <c r="D435" s="85"/>
      <c r="E435" s="85"/>
      <c r="F435" s="91"/>
      <c r="G435" s="90"/>
      <c r="H435" s="90"/>
    </row>
    <row r="436" spans="2:8" ht="18" x14ac:dyDescent="0.25">
      <c r="B436" s="85"/>
      <c r="C436" s="85"/>
      <c r="D436" s="85"/>
      <c r="E436" s="85"/>
      <c r="F436" s="92"/>
      <c r="G436" s="85"/>
      <c r="H436" s="90"/>
    </row>
    <row r="437" spans="2:8" ht="18" x14ac:dyDescent="0.25">
      <c r="B437" s="85"/>
      <c r="C437" s="85"/>
      <c r="D437" s="85"/>
      <c r="E437" s="85"/>
      <c r="F437" s="92"/>
      <c r="G437" s="85"/>
      <c r="H437" s="90"/>
    </row>
    <row r="438" spans="2:8" ht="6" customHeight="1" x14ac:dyDescent="0.25">
      <c r="B438" s="85"/>
      <c r="C438" s="85"/>
      <c r="D438" s="85"/>
      <c r="E438" s="85"/>
      <c r="F438" s="92"/>
      <c r="G438" s="85"/>
      <c r="H438" s="90"/>
    </row>
    <row r="439" spans="2:8" ht="18" x14ac:dyDescent="0.25">
      <c r="B439" s="85" t="e">
        <f>+B423</f>
        <v>#REF!</v>
      </c>
      <c r="C439" s="344"/>
      <c r="D439" s="344"/>
      <c r="E439" s="85" t="e">
        <f>+B439</f>
        <v>#REF!</v>
      </c>
      <c r="F439" s="92"/>
      <c r="G439" s="85"/>
      <c r="H439" s="90"/>
    </row>
    <row r="440" spans="2:8" ht="18" x14ac:dyDescent="0.25">
      <c r="C440" s="85"/>
      <c r="D440" s="85"/>
      <c r="F440" s="344"/>
      <c r="G440" s="344"/>
      <c r="H440" s="344"/>
    </row>
    <row r="441" spans="2:8" ht="18" x14ac:dyDescent="0.25">
      <c r="B441" s="85" t="str">
        <f>+E1</f>
        <v>Lima 461 C:A:B:A:</v>
      </c>
      <c r="C441" s="85"/>
      <c r="D441" s="90" t="str">
        <f>+H424</f>
        <v>Unid. 11</v>
      </c>
      <c r="E441" s="85" t="str">
        <f>+E1</f>
        <v>Lima 461 C:A:B:A:</v>
      </c>
      <c r="F441" s="85"/>
      <c r="G441" s="85"/>
      <c r="H441" s="90" t="str">
        <f>+D441</f>
        <v>Unid. 11</v>
      </c>
    </row>
    <row r="442" spans="2:8" ht="18" x14ac:dyDescent="0.25">
      <c r="D442" s="90" t="e">
        <f>+H442</f>
        <v>#REF!</v>
      </c>
      <c r="H442" s="90" t="e">
        <f>+H425</f>
        <v>#REF!</v>
      </c>
    </row>
    <row r="443" spans="2:8" ht="18" x14ac:dyDescent="0.25">
      <c r="B443" s="86"/>
      <c r="C443" s="86"/>
      <c r="D443" s="86"/>
      <c r="E443" s="86"/>
      <c r="F443" s="85"/>
      <c r="G443" s="85"/>
    </row>
    <row r="444" spans="2:8" ht="18" x14ac:dyDescent="0.25">
      <c r="B444" s="85"/>
      <c r="C444" s="85"/>
      <c r="D444" s="85"/>
      <c r="E444" s="85"/>
      <c r="F444" s="85"/>
      <c r="G444" s="86"/>
      <c r="H444" s="94"/>
    </row>
    <row r="445" spans="2:8" ht="18" x14ac:dyDescent="0.25">
      <c r="C445" s="85"/>
      <c r="D445" s="85"/>
      <c r="E445" s="85" t="s">
        <v>200</v>
      </c>
      <c r="F445" s="106" t="e">
        <f>+F428</f>
        <v>#REF!</v>
      </c>
      <c r="H445" s="99">
        <f>+D1</f>
        <v>46037</v>
      </c>
    </row>
    <row r="446" spans="2:8" ht="18" x14ac:dyDescent="0.25">
      <c r="B446" s="86"/>
      <c r="C446" s="85"/>
      <c r="D446" s="85"/>
      <c r="E446" s="85" t="s">
        <v>201</v>
      </c>
      <c r="F446" s="106" t="e">
        <f>+F429</f>
        <v>#REF!</v>
      </c>
    </row>
    <row r="447" spans="2:8" ht="18" x14ac:dyDescent="0.25">
      <c r="B447" s="86"/>
      <c r="C447" s="85"/>
      <c r="D447" s="85"/>
      <c r="E447" s="85" t="s">
        <v>81</v>
      </c>
      <c r="F447" s="106" t="e">
        <f>+F430</f>
        <v>#REF!</v>
      </c>
      <c r="G447" s="85"/>
      <c r="H447" s="90"/>
    </row>
    <row r="448" spans="2:8" ht="18" x14ac:dyDescent="0.25">
      <c r="B448" s="85"/>
      <c r="C448" s="85"/>
      <c r="D448" s="85"/>
      <c r="E448" s="85" t="s">
        <v>82</v>
      </c>
      <c r="F448" s="106" t="e">
        <f>+F431</f>
        <v>#REF!</v>
      </c>
      <c r="G448" s="85"/>
      <c r="H448" s="90"/>
    </row>
    <row r="449" spans="2:8" ht="18" x14ac:dyDescent="0.25">
      <c r="B449" s="96"/>
      <c r="C449" s="96"/>
      <c r="D449" s="96"/>
      <c r="E449" s="85" t="s">
        <v>188</v>
      </c>
      <c r="F449" s="166">
        <v>0</v>
      </c>
      <c r="G449" s="85"/>
      <c r="H449" s="90"/>
    </row>
    <row r="450" spans="2:8" ht="18" x14ac:dyDescent="0.25">
      <c r="B450" s="99">
        <f>+$G$30</f>
        <v>46037</v>
      </c>
      <c r="C450" s="105" t="e">
        <f>+F432</f>
        <v>#REF!</v>
      </c>
      <c r="D450" s="85"/>
      <c r="E450" s="85" t="s">
        <v>83</v>
      </c>
      <c r="F450" s="106" t="e">
        <f>+F432</f>
        <v>#REF!</v>
      </c>
      <c r="G450" s="85"/>
      <c r="H450" s="90"/>
    </row>
    <row r="451" spans="2:8" ht="18" x14ac:dyDescent="0.25">
      <c r="B451" s="99"/>
      <c r="C451" s="105"/>
      <c r="D451" s="85"/>
      <c r="E451" s="85"/>
      <c r="F451" s="97"/>
      <c r="G451" s="85"/>
      <c r="H451" s="90"/>
    </row>
    <row r="452" spans="2:8" ht="18" x14ac:dyDescent="0.25">
      <c r="B452" s="85"/>
      <c r="C452" s="85"/>
      <c r="D452" s="85"/>
      <c r="E452" s="102"/>
      <c r="F452" s="85"/>
      <c r="G452" s="85"/>
      <c r="H452" s="90"/>
    </row>
    <row r="453" spans="2:8" ht="18" x14ac:dyDescent="0.25">
      <c r="B453" s="85"/>
      <c r="C453" s="85"/>
      <c r="D453" s="85"/>
      <c r="F453" s="85"/>
      <c r="G453" s="85"/>
      <c r="H453" s="90"/>
    </row>
    <row r="454" spans="2:8" ht="18" x14ac:dyDescent="0.25">
      <c r="B454" s="85"/>
      <c r="C454" s="85"/>
      <c r="D454" s="85"/>
      <c r="E454" s="85"/>
      <c r="F454" s="85"/>
      <c r="G454" s="85"/>
      <c r="H454" s="90"/>
    </row>
    <row r="455" spans="2:8" ht="18" x14ac:dyDescent="0.25">
      <c r="B455" s="85"/>
      <c r="C455" s="85"/>
      <c r="D455" s="85"/>
      <c r="E455" s="85"/>
      <c r="F455" s="85"/>
      <c r="G455" s="345"/>
      <c r="H455" s="345"/>
    </row>
    <row r="456" spans="2:8" ht="18" x14ac:dyDescent="0.25">
      <c r="B456" s="85"/>
      <c r="C456" s="85"/>
      <c r="D456" s="85"/>
      <c r="E456" s="85"/>
      <c r="F456" s="85"/>
      <c r="G456" s="85"/>
      <c r="H456" s="90"/>
    </row>
    <row r="457" spans="2:8" ht="16.5" customHeight="1" x14ac:dyDescent="0.25">
      <c r="B457" s="85"/>
      <c r="C457" s="85"/>
      <c r="D457" s="85"/>
      <c r="E457" s="85"/>
      <c r="F457" s="85"/>
      <c r="G457" s="85"/>
      <c r="H457" s="90"/>
    </row>
    <row r="458" spans="2:8" ht="18" x14ac:dyDescent="0.25">
      <c r="B458" s="343"/>
      <c r="C458" s="343"/>
      <c r="D458" s="343"/>
      <c r="E458" s="85"/>
      <c r="F458" s="85"/>
      <c r="H458" s="90"/>
    </row>
    <row r="459" spans="2:8" ht="18" x14ac:dyDescent="0.25">
      <c r="B459" s="343"/>
      <c r="C459" s="343"/>
      <c r="D459" s="343"/>
      <c r="E459" s="98">
        <f>+$B$1</f>
        <v>46143</v>
      </c>
      <c r="F459" s="85"/>
      <c r="G459" s="99">
        <f>+$D$1</f>
        <v>46037</v>
      </c>
      <c r="H459" s="160"/>
    </row>
    <row r="460" spans="2:8" ht="28.5" customHeight="1" x14ac:dyDescent="0.25">
      <c r="B460" s="84"/>
      <c r="C460" s="84"/>
      <c r="D460" s="100"/>
      <c r="E460" s="98"/>
      <c r="F460" s="85"/>
    </row>
    <row r="461" spans="2:8" ht="18" x14ac:dyDescent="0.25">
      <c r="B461" s="85" t="e">
        <f>+B13</f>
        <v>#REF!</v>
      </c>
      <c r="C461" s="85"/>
      <c r="D461" s="85"/>
      <c r="F461" s="85"/>
    </row>
    <row r="462" spans="2:8" ht="21.75" customHeight="1" x14ac:dyDescent="0.25">
      <c r="C462" s="85"/>
      <c r="D462" s="85"/>
      <c r="E462" s="85" t="str">
        <f>+E73</f>
        <v>Lima 461 C:A:B:A:</v>
      </c>
      <c r="F462" s="85"/>
      <c r="H462" s="90" t="s">
        <v>95</v>
      </c>
    </row>
    <row r="463" spans="2:8" ht="18" x14ac:dyDescent="0.25">
      <c r="B463" s="86"/>
      <c r="C463" s="85"/>
      <c r="D463" s="85"/>
      <c r="F463" s="85"/>
      <c r="G463" s="86"/>
      <c r="H463" s="90" t="e">
        <f>+'RES CUENTA'!#REF!</f>
        <v>#REF!</v>
      </c>
    </row>
    <row r="464" spans="2:8" ht="18" x14ac:dyDescent="0.25">
      <c r="B464" s="85"/>
      <c r="C464" s="85"/>
      <c r="D464" s="85"/>
      <c r="E464" s="86"/>
      <c r="F464" s="86"/>
      <c r="G464" s="85"/>
      <c r="H464" s="94"/>
    </row>
    <row r="465" spans="2:8" ht="15.75" customHeight="1" x14ac:dyDescent="0.25">
      <c r="B465" s="94"/>
      <c r="C465" s="85"/>
      <c r="D465" s="94"/>
      <c r="E465" s="85"/>
      <c r="F465" s="85"/>
      <c r="G465" s="85"/>
      <c r="H465" s="90"/>
    </row>
    <row r="466" spans="2:8" ht="18" x14ac:dyDescent="0.25">
      <c r="B466" s="85" t="s">
        <v>198</v>
      </c>
      <c r="C466" s="85"/>
      <c r="D466" s="107">
        <f>+'RES CUENTA'!$L$25</f>
        <v>10859801.41</v>
      </c>
      <c r="E466" s="108" t="e">
        <f>+'RES CUENTA'!#REF!</f>
        <v>#REF!</v>
      </c>
      <c r="F466" s="103" t="e">
        <f>+D466*E466/100</f>
        <v>#REF!</v>
      </c>
      <c r="G466" s="85"/>
      <c r="H466" s="94"/>
    </row>
    <row r="467" spans="2:8" ht="18" x14ac:dyDescent="0.25">
      <c r="B467" s="85" t="s">
        <v>199</v>
      </c>
      <c r="C467" s="85"/>
      <c r="D467" s="107" t="e">
        <f>+'RES CUENTA'!#REF!</f>
        <v>#REF!</v>
      </c>
      <c r="E467" s="108" t="e">
        <f>+'RES CUENTA'!#REF!</f>
        <v>#REF!</v>
      </c>
      <c r="F467" s="103" t="e">
        <f>+D467*E467/100</f>
        <v>#REF!</v>
      </c>
      <c r="G467" s="94"/>
      <c r="H467" s="89"/>
    </row>
    <row r="468" spans="2:8" ht="18" x14ac:dyDescent="0.25">
      <c r="B468" s="85" t="s">
        <v>202</v>
      </c>
      <c r="C468" s="85"/>
      <c r="D468" s="107" t="e">
        <f>+'RES CUENTA'!#REF!</f>
        <v>#REF!</v>
      </c>
      <c r="E468" s="108">
        <v>0</v>
      </c>
      <c r="F468" s="103" t="e">
        <f>+D468</f>
        <v>#REF!</v>
      </c>
      <c r="G468" s="94"/>
      <c r="H468" s="89"/>
    </row>
    <row r="469" spans="2:8" ht="18" x14ac:dyDescent="0.25">
      <c r="B469" s="85" t="s">
        <v>79</v>
      </c>
      <c r="C469" s="85"/>
      <c r="D469" s="107" t="e">
        <f>+'RES CUENTA'!#REF!</f>
        <v>#REF!</v>
      </c>
      <c r="E469" s="108">
        <v>0</v>
      </c>
      <c r="F469" s="103" t="e">
        <f>+D469</f>
        <v>#REF!</v>
      </c>
      <c r="G469" s="89"/>
      <c r="H469" s="89"/>
    </row>
    <row r="470" spans="2:8" ht="18" x14ac:dyDescent="0.25">
      <c r="B470" s="85" t="s">
        <v>80</v>
      </c>
      <c r="C470" s="85"/>
      <c r="D470" s="107" t="e">
        <f>+'RES CUENTA'!#REF!</f>
        <v>#REF!</v>
      </c>
      <c r="E470" s="108">
        <v>0</v>
      </c>
      <c r="F470" s="165" t="e">
        <f>+D470</f>
        <v>#REF!</v>
      </c>
      <c r="G470" s="89"/>
      <c r="H470" s="89"/>
    </row>
    <row r="471" spans="2:8" ht="18" x14ac:dyDescent="0.25">
      <c r="B471" s="86"/>
      <c r="C471" s="85"/>
      <c r="D471" s="85"/>
      <c r="F471" s="104" t="e">
        <f>SUM(F466:F470)</f>
        <v>#REF!</v>
      </c>
      <c r="G471" s="89"/>
      <c r="H471" s="90"/>
    </row>
    <row r="472" spans="2:8" ht="18" x14ac:dyDescent="0.25">
      <c r="B472" s="85"/>
      <c r="C472" s="85"/>
      <c r="D472" s="85"/>
      <c r="E472" s="85"/>
      <c r="F472" s="92"/>
      <c r="G472" s="90"/>
      <c r="H472" s="90"/>
    </row>
    <row r="473" spans="2:8" ht="18" x14ac:dyDescent="0.25">
      <c r="B473" s="85"/>
      <c r="C473" s="85"/>
      <c r="D473" s="85"/>
      <c r="E473" s="85"/>
      <c r="F473" s="92"/>
      <c r="G473" s="90"/>
      <c r="H473" s="90"/>
    </row>
    <row r="474" spans="2:8" ht="18" x14ac:dyDescent="0.25">
      <c r="B474" s="85"/>
      <c r="C474" s="85"/>
      <c r="D474" s="85"/>
      <c r="E474" s="85"/>
      <c r="F474" s="92"/>
      <c r="G474" s="90"/>
      <c r="H474" s="90"/>
    </row>
    <row r="475" spans="2:8" ht="24.75" customHeight="1" x14ac:dyDescent="0.25">
      <c r="B475" s="85"/>
      <c r="C475" s="85"/>
      <c r="D475" s="85"/>
      <c r="E475" s="85"/>
      <c r="F475" s="92"/>
      <c r="G475" s="90"/>
      <c r="H475" s="90"/>
    </row>
    <row r="476" spans="2:8" ht="18" x14ac:dyDescent="0.25">
      <c r="B476" s="85" t="e">
        <f>+B461</f>
        <v>#REF!</v>
      </c>
      <c r="C476" s="85"/>
      <c r="D476" s="85"/>
      <c r="E476" s="85" t="e">
        <f>+B461</f>
        <v>#REF!</v>
      </c>
      <c r="F476" s="85"/>
      <c r="G476" s="85"/>
      <c r="H476" s="94"/>
    </row>
    <row r="477" spans="2:8" ht="18" x14ac:dyDescent="0.25">
      <c r="B477" s="86"/>
      <c r="C477" s="85"/>
      <c r="D477" s="85"/>
      <c r="F477" s="85"/>
      <c r="G477" s="101"/>
      <c r="H477" s="90" t="str">
        <f>+H462</f>
        <v>Unid. 12</v>
      </c>
    </row>
    <row r="478" spans="2:8" ht="18" x14ac:dyDescent="0.25">
      <c r="B478" s="85" t="str">
        <f>+E1</f>
        <v>Lima 461 C:A:B:A:</v>
      </c>
      <c r="C478" s="85"/>
      <c r="D478" s="90" t="str">
        <f>+H477</f>
        <v>Unid. 12</v>
      </c>
      <c r="E478" s="85" t="str">
        <f>+E1</f>
        <v>Lima 461 C:A:B:A:</v>
      </c>
      <c r="F478" s="85"/>
      <c r="G478" s="85"/>
      <c r="H478" s="90" t="e">
        <f>+H463</f>
        <v>#REF!</v>
      </c>
    </row>
    <row r="479" spans="2:8" ht="18" x14ac:dyDescent="0.25">
      <c r="B479" s="86"/>
      <c r="C479" s="86"/>
      <c r="D479" s="90" t="e">
        <f>+H478</f>
        <v>#REF!</v>
      </c>
      <c r="F479" s="85"/>
      <c r="G479" s="85"/>
    </row>
    <row r="480" spans="2:8" ht="18" x14ac:dyDescent="0.25">
      <c r="B480" s="85"/>
      <c r="C480" s="85"/>
      <c r="D480" s="85"/>
      <c r="E480" s="86"/>
      <c r="F480" s="85"/>
      <c r="G480" s="85"/>
      <c r="H480" s="94"/>
    </row>
    <row r="481" spans="2:8" ht="11.25" customHeight="1" x14ac:dyDescent="0.25">
      <c r="B481" s="85"/>
      <c r="C481" s="85"/>
      <c r="D481" s="85"/>
      <c r="E481" s="85"/>
      <c r="F481" s="96"/>
      <c r="G481" s="86"/>
      <c r="H481" s="90"/>
    </row>
    <row r="482" spans="2:8" ht="18" x14ac:dyDescent="0.25">
      <c r="B482" s="85"/>
      <c r="C482" s="85"/>
      <c r="D482" s="85"/>
      <c r="E482" s="96"/>
      <c r="G482" s="94"/>
      <c r="H482" s="96"/>
    </row>
    <row r="483" spans="2:8" ht="18" x14ac:dyDescent="0.25">
      <c r="B483" s="86"/>
      <c r="C483" s="85"/>
      <c r="D483" s="85"/>
      <c r="E483" s="85" t="s">
        <v>200</v>
      </c>
      <c r="F483" s="106" t="e">
        <f>+F466</f>
        <v>#REF!</v>
      </c>
      <c r="G483" s="95"/>
      <c r="H483" s="99">
        <f>+D1</f>
        <v>46037</v>
      </c>
    </row>
    <row r="484" spans="2:8" ht="18" x14ac:dyDescent="0.25">
      <c r="B484" s="86"/>
      <c r="C484" s="85"/>
      <c r="D484" s="85"/>
      <c r="E484" s="85" t="s">
        <v>201</v>
      </c>
      <c r="F484" s="106" t="e">
        <f>+F467</f>
        <v>#REF!</v>
      </c>
      <c r="H484" s="90"/>
    </row>
    <row r="485" spans="2:8" ht="18" x14ac:dyDescent="0.25">
      <c r="B485" s="85"/>
      <c r="C485" s="85"/>
      <c r="D485" s="85"/>
      <c r="E485" s="85" t="s">
        <v>81</v>
      </c>
      <c r="F485" s="106" t="e">
        <f>+F469</f>
        <v>#REF!</v>
      </c>
      <c r="G485" s="85"/>
      <c r="H485" s="90"/>
    </row>
    <row r="486" spans="2:8" ht="18" x14ac:dyDescent="0.25">
      <c r="B486" s="96"/>
      <c r="C486" s="96"/>
      <c r="D486" s="96"/>
      <c r="E486" s="85" t="s">
        <v>82</v>
      </c>
      <c r="F486" s="106" t="e">
        <f>+F470</f>
        <v>#REF!</v>
      </c>
      <c r="G486" s="85"/>
      <c r="H486" s="90"/>
    </row>
    <row r="487" spans="2:8" ht="18" x14ac:dyDescent="0.25">
      <c r="B487" s="99">
        <f>+$G$30</f>
        <v>46037</v>
      </c>
      <c r="C487" s="105" t="e">
        <f>+F471</f>
        <v>#REF!</v>
      </c>
      <c r="D487" s="85"/>
      <c r="E487" s="85" t="s">
        <v>188</v>
      </c>
      <c r="F487" s="166" t="e">
        <f>+F468</f>
        <v>#REF!</v>
      </c>
      <c r="G487" s="85"/>
      <c r="H487" s="90"/>
    </row>
    <row r="488" spans="2:8" ht="18" x14ac:dyDescent="0.25">
      <c r="B488" s="85"/>
      <c r="C488" s="85"/>
      <c r="D488" s="85"/>
      <c r="E488" s="85" t="s">
        <v>83</v>
      </c>
      <c r="F488" s="106" t="e">
        <f>+F471</f>
        <v>#REF!</v>
      </c>
      <c r="G488" s="85"/>
      <c r="H488" s="90"/>
    </row>
    <row r="489" spans="2:8" ht="18" x14ac:dyDescent="0.25">
      <c r="B489" s="85"/>
      <c r="C489" s="85"/>
      <c r="D489" s="85"/>
      <c r="E489" s="85"/>
      <c r="F489" s="85"/>
      <c r="G489" s="85"/>
      <c r="H489" s="90"/>
    </row>
    <row r="490" spans="2:8" ht="18" x14ac:dyDescent="0.25">
      <c r="B490" s="85"/>
      <c r="C490" s="85"/>
      <c r="D490" s="85"/>
      <c r="E490" s="102"/>
      <c r="F490" s="85"/>
      <c r="G490" s="85"/>
      <c r="H490" s="90"/>
    </row>
    <row r="491" spans="2:8" ht="18" x14ac:dyDescent="0.25">
      <c r="B491" s="85"/>
      <c r="C491" s="85"/>
      <c r="D491" s="85"/>
      <c r="E491" s="85"/>
      <c r="F491" s="85"/>
      <c r="G491" s="85"/>
      <c r="H491" s="94"/>
    </row>
    <row r="492" spans="2:8" ht="11.25" customHeight="1" x14ac:dyDescent="0.25">
      <c r="E492" s="85"/>
      <c r="G492" s="94"/>
      <c r="H492" s="90"/>
    </row>
    <row r="494" spans="2:8" ht="18" x14ac:dyDescent="0.25">
      <c r="B494" s="343"/>
      <c r="C494" s="343"/>
      <c r="D494" s="343"/>
      <c r="E494" s="342">
        <f>+$B$1</f>
        <v>46143</v>
      </c>
      <c r="F494" s="85"/>
      <c r="G494" s="337">
        <f>+$D$1</f>
        <v>46037</v>
      </c>
      <c r="H494" s="90"/>
    </row>
    <row r="495" spans="2:8" ht="18" x14ac:dyDescent="0.25">
      <c r="B495" s="84"/>
      <c r="C495" s="84"/>
      <c r="D495" s="100"/>
      <c r="E495" s="342"/>
      <c r="F495" s="85"/>
      <c r="G495" s="337"/>
      <c r="H495" s="90"/>
    </row>
    <row r="496" spans="2:8" ht="21" customHeight="1" x14ac:dyDescent="0.25">
      <c r="B496" s="85"/>
      <c r="C496" s="85"/>
      <c r="D496" s="85"/>
      <c r="E496" s="86"/>
      <c r="F496" s="85"/>
      <c r="G496" s="86"/>
      <c r="H496" s="90"/>
    </row>
    <row r="497" spans="2:8" ht="25.5" customHeight="1" x14ac:dyDescent="0.25">
      <c r="B497" s="85" t="e">
        <f>+B14</f>
        <v>#REF!</v>
      </c>
      <c r="C497" s="85"/>
      <c r="D497" s="85"/>
      <c r="E497" s="86"/>
      <c r="F497" s="85"/>
      <c r="G497" s="86"/>
      <c r="H497" s="90"/>
    </row>
    <row r="498" spans="2:8" ht="21" customHeight="1" x14ac:dyDescent="0.25">
      <c r="B498" s="86"/>
      <c r="C498" s="85"/>
      <c r="D498" s="85"/>
      <c r="E498" s="85" t="str">
        <f>+E34</f>
        <v>Lima 461 C:A:B:A:</v>
      </c>
      <c r="F498" s="85"/>
      <c r="G498" s="85"/>
      <c r="H498" s="90" t="s">
        <v>96</v>
      </c>
    </row>
    <row r="499" spans="2:8" ht="18" x14ac:dyDescent="0.25">
      <c r="B499" s="85"/>
      <c r="C499" s="85"/>
      <c r="D499" s="85"/>
      <c r="E499" s="86"/>
      <c r="F499" s="86"/>
      <c r="G499" s="85"/>
      <c r="H499" s="90" t="e">
        <f>+'RES CUENTA'!#REF!</f>
        <v>#REF!</v>
      </c>
    </row>
    <row r="500" spans="2:8" ht="18" x14ac:dyDescent="0.25">
      <c r="B500" s="94"/>
      <c r="C500" s="85"/>
      <c r="D500" s="94"/>
      <c r="E500" s="85"/>
      <c r="F500" s="85"/>
      <c r="G500" s="85"/>
      <c r="H500" s="90"/>
    </row>
    <row r="501" spans="2:8" ht="18" x14ac:dyDescent="0.25">
      <c r="B501" s="94"/>
      <c r="C501" s="85"/>
      <c r="D501" s="94"/>
      <c r="E501" s="85"/>
      <c r="F501" s="85"/>
      <c r="G501" s="85"/>
      <c r="H501" s="90"/>
    </row>
    <row r="502" spans="2:8" ht="18" x14ac:dyDescent="0.25">
      <c r="B502" s="85" t="s">
        <v>198</v>
      </c>
      <c r="C502" s="85"/>
      <c r="D502" s="107">
        <f>+'RES CUENTA'!$L$25</f>
        <v>10859801.41</v>
      </c>
      <c r="E502" s="108" t="e">
        <f>+'RES CUENTA'!#REF!</f>
        <v>#REF!</v>
      </c>
      <c r="F502" s="103" t="e">
        <f>+D502*E502/100</f>
        <v>#REF!</v>
      </c>
      <c r="G502" s="345"/>
      <c r="H502" s="345"/>
    </row>
    <row r="503" spans="2:8" ht="18" x14ac:dyDescent="0.25">
      <c r="B503" s="85" t="s">
        <v>199</v>
      </c>
      <c r="C503" s="85"/>
      <c r="D503" s="107" t="e">
        <f>+'RES CUENTA'!#REF!</f>
        <v>#REF!</v>
      </c>
      <c r="E503" s="108" t="e">
        <f>+'RES CUENTA'!#REF!</f>
        <v>#REF!</v>
      </c>
      <c r="F503" s="103" t="e">
        <f>+D503*E503/100</f>
        <v>#REF!</v>
      </c>
      <c r="G503" s="341"/>
      <c r="H503" s="341"/>
    </row>
    <row r="504" spans="2:8" ht="18" x14ac:dyDescent="0.25">
      <c r="B504" s="85" t="s">
        <v>202</v>
      </c>
      <c r="C504" s="85"/>
      <c r="D504" s="107" t="e">
        <f>+'RES CUENTA'!#REF!</f>
        <v>#REF!</v>
      </c>
      <c r="E504" s="108">
        <v>0</v>
      </c>
      <c r="F504" s="103" t="e">
        <f>+D504</f>
        <v>#REF!</v>
      </c>
      <c r="G504" s="341"/>
      <c r="H504" s="341"/>
    </row>
    <row r="505" spans="2:8" ht="18" x14ac:dyDescent="0.25">
      <c r="B505" s="85" t="s">
        <v>79</v>
      </c>
      <c r="C505" s="85"/>
      <c r="D505" s="107" t="e">
        <f>+'RES CUENTA'!#REF!</f>
        <v>#REF!</v>
      </c>
      <c r="E505" s="108">
        <v>0</v>
      </c>
      <c r="F505" s="103" t="e">
        <f>+D505</f>
        <v>#REF!</v>
      </c>
      <c r="G505" s="341"/>
      <c r="H505" s="341"/>
    </row>
    <row r="506" spans="2:8" ht="18" x14ac:dyDescent="0.25">
      <c r="B506" s="85" t="s">
        <v>80</v>
      </c>
      <c r="C506" s="85"/>
      <c r="D506" s="107" t="e">
        <f>+'RES CUENTA'!#REF!</f>
        <v>#REF!</v>
      </c>
      <c r="E506" s="108">
        <v>0</v>
      </c>
      <c r="F506" s="165" t="e">
        <f>+D506</f>
        <v>#REF!</v>
      </c>
      <c r="G506" s="341"/>
      <c r="H506" s="341"/>
    </row>
    <row r="507" spans="2:8" ht="18" x14ac:dyDescent="0.25">
      <c r="B507" s="86"/>
      <c r="C507" s="85"/>
      <c r="D507" s="85"/>
      <c r="E507" s="92"/>
      <c r="F507" s="104" t="e">
        <f>SUM(F502:F506)</f>
        <v>#REF!</v>
      </c>
      <c r="G507" s="338"/>
      <c r="H507" s="338"/>
    </row>
    <row r="508" spans="2:8" ht="18" x14ac:dyDescent="0.25">
      <c r="B508" s="86"/>
      <c r="C508" s="85"/>
      <c r="D508" s="85"/>
      <c r="E508" s="85"/>
      <c r="G508" s="90"/>
      <c r="H508" s="90"/>
    </row>
    <row r="509" spans="2:8" ht="18" x14ac:dyDescent="0.25">
      <c r="B509" s="85"/>
      <c r="C509" s="85"/>
      <c r="D509" s="85"/>
      <c r="E509" s="85"/>
      <c r="F509" s="91"/>
      <c r="G509" s="90"/>
      <c r="H509" s="90"/>
    </row>
    <row r="510" spans="2:8" ht="18" x14ac:dyDescent="0.25">
      <c r="B510" s="85"/>
      <c r="C510" s="85"/>
      <c r="D510" s="85"/>
      <c r="E510" s="85"/>
      <c r="F510" s="92"/>
      <c r="G510" s="85"/>
      <c r="H510" s="90"/>
    </row>
    <row r="511" spans="2:8" ht="25.5" customHeight="1" x14ac:dyDescent="0.25">
      <c r="B511" s="85"/>
      <c r="C511" s="85"/>
      <c r="D511" s="85"/>
      <c r="E511" s="85"/>
      <c r="F511" s="92"/>
      <c r="G511" s="85"/>
      <c r="H511" s="90"/>
    </row>
    <row r="512" spans="2:8" ht="18" x14ac:dyDescent="0.25">
      <c r="B512" s="85" t="e">
        <f>+B497</f>
        <v>#REF!</v>
      </c>
      <c r="C512" s="344"/>
      <c r="D512" s="344"/>
      <c r="E512" s="85" t="e">
        <f>+B512</f>
        <v>#REF!</v>
      </c>
      <c r="F512" s="92"/>
      <c r="G512" s="85"/>
      <c r="H512" s="90"/>
    </row>
    <row r="513" spans="2:8" ht="18" x14ac:dyDescent="0.25">
      <c r="C513" s="85"/>
      <c r="D513" s="85"/>
      <c r="F513" s="344"/>
      <c r="G513" s="344"/>
      <c r="H513" s="344"/>
    </row>
    <row r="514" spans="2:8" ht="18" x14ac:dyDescent="0.25">
      <c r="B514" s="85" t="str">
        <f>+E1</f>
        <v>Lima 461 C:A:B:A:</v>
      </c>
      <c r="C514" s="85"/>
      <c r="D514" s="90" t="str">
        <f>+H498</f>
        <v>Unid. 13</v>
      </c>
      <c r="E514" s="85" t="str">
        <f>+E1</f>
        <v>Lima 461 C:A:B:A:</v>
      </c>
      <c r="F514" s="85"/>
      <c r="G514" s="85"/>
      <c r="H514" s="90" t="str">
        <f>+D514</f>
        <v>Unid. 13</v>
      </c>
    </row>
    <row r="515" spans="2:8" ht="18" x14ac:dyDescent="0.25">
      <c r="D515" s="90" t="e">
        <f>+H515</f>
        <v>#REF!</v>
      </c>
      <c r="H515" s="90" t="e">
        <f>+H499</f>
        <v>#REF!</v>
      </c>
    </row>
    <row r="516" spans="2:8" ht="18" x14ac:dyDescent="0.25">
      <c r="B516" s="86"/>
      <c r="C516" s="86"/>
      <c r="D516" s="86"/>
      <c r="E516" s="86"/>
      <c r="F516" s="85"/>
      <c r="G516" s="85"/>
    </row>
    <row r="517" spans="2:8" ht="12.75" customHeight="1" x14ac:dyDescent="0.25">
      <c r="B517" s="85"/>
      <c r="C517" s="85"/>
      <c r="D517" s="85"/>
      <c r="E517" s="85"/>
      <c r="F517" s="85"/>
      <c r="G517" s="86"/>
      <c r="H517" s="94"/>
    </row>
    <row r="518" spans="2:8" ht="14.25" customHeight="1" x14ac:dyDescent="0.25">
      <c r="B518" s="85"/>
      <c r="C518" s="85"/>
      <c r="D518" s="85"/>
      <c r="E518" s="96"/>
      <c r="F518" s="85"/>
      <c r="G518" s="94"/>
      <c r="H518" s="90"/>
    </row>
    <row r="519" spans="2:8" ht="18" x14ac:dyDescent="0.25">
      <c r="C519" s="85"/>
      <c r="D519" s="85"/>
      <c r="E519" s="85" t="s">
        <v>200</v>
      </c>
      <c r="F519" s="106" t="e">
        <f>+F502</f>
        <v>#REF!</v>
      </c>
      <c r="H519" s="99">
        <f>+B524</f>
        <v>46037</v>
      </c>
    </row>
    <row r="520" spans="2:8" ht="18" x14ac:dyDescent="0.25">
      <c r="B520" s="86"/>
      <c r="C520" s="85"/>
      <c r="D520" s="85"/>
      <c r="E520" s="85" t="s">
        <v>201</v>
      </c>
      <c r="F520" s="106" t="e">
        <f>+F503</f>
        <v>#REF!</v>
      </c>
    </row>
    <row r="521" spans="2:8" ht="18" x14ac:dyDescent="0.25">
      <c r="B521" s="86"/>
      <c r="C521" s="85"/>
      <c r="D521" s="85"/>
      <c r="E521" s="85" t="s">
        <v>81</v>
      </c>
      <c r="F521" s="106" t="e">
        <f>+F505</f>
        <v>#REF!</v>
      </c>
      <c r="G521" s="85"/>
      <c r="H521" s="90"/>
    </row>
    <row r="522" spans="2:8" ht="18" x14ac:dyDescent="0.25">
      <c r="B522" s="85"/>
      <c r="C522" s="85"/>
      <c r="D522" s="85"/>
      <c r="E522" s="85" t="s">
        <v>82</v>
      </c>
      <c r="F522" s="106" t="e">
        <f>+F506</f>
        <v>#REF!</v>
      </c>
      <c r="G522" s="85"/>
      <c r="H522" s="90"/>
    </row>
    <row r="523" spans="2:8" ht="18" x14ac:dyDescent="0.25">
      <c r="B523" s="96"/>
      <c r="C523" s="96"/>
      <c r="D523" s="96"/>
      <c r="E523" s="85" t="s">
        <v>188</v>
      </c>
      <c r="F523" s="166" t="e">
        <f>+F504</f>
        <v>#REF!</v>
      </c>
      <c r="G523" s="85"/>
      <c r="H523" s="90"/>
    </row>
    <row r="524" spans="2:8" ht="18" x14ac:dyDescent="0.25">
      <c r="B524" s="99">
        <f>+$G$30</f>
        <v>46037</v>
      </c>
      <c r="C524" s="105" t="e">
        <f>+F507</f>
        <v>#REF!</v>
      </c>
      <c r="D524" s="85"/>
      <c r="E524" s="85" t="s">
        <v>83</v>
      </c>
      <c r="F524" s="106" t="e">
        <f>+F507</f>
        <v>#REF!</v>
      </c>
      <c r="G524" s="85"/>
      <c r="H524" s="90"/>
    </row>
    <row r="525" spans="2:8" ht="18" x14ac:dyDescent="0.25">
      <c r="B525" s="85"/>
      <c r="C525" s="85"/>
      <c r="D525" s="85"/>
      <c r="E525" s="102"/>
      <c r="F525" s="85"/>
      <c r="G525" s="85"/>
      <c r="H525" s="90"/>
    </row>
    <row r="526" spans="2:8" ht="18" x14ac:dyDescent="0.25">
      <c r="B526" s="85"/>
      <c r="C526" s="85"/>
      <c r="D526" s="85"/>
      <c r="F526" s="85"/>
      <c r="G526" s="85"/>
      <c r="H526" s="90"/>
    </row>
    <row r="527" spans="2:8" ht="18" x14ac:dyDescent="0.25">
      <c r="B527" s="85"/>
      <c r="C527" s="85"/>
      <c r="D527" s="85"/>
      <c r="E527" s="85"/>
      <c r="F527" s="85"/>
      <c r="G527" s="85"/>
      <c r="H527" s="90"/>
    </row>
    <row r="528" spans="2:8" ht="18" x14ac:dyDescent="0.25">
      <c r="B528" s="85"/>
      <c r="C528" s="85"/>
      <c r="D528" s="85"/>
      <c r="E528" s="85"/>
      <c r="F528" s="85"/>
      <c r="G528" s="85"/>
      <c r="H528" s="90"/>
    </row>
    <row r="529" spans="2:8" ht="18" x14ac:dyDescent="0.25">
      <c r="B529" s="85"/>
      <c r="C529" s="85"/>
      <c r="D529" s="85"/>
      <c r="E529" s="85"/>
      <c r="F529" s="85"/>
      <c r="G529" s="345"/>
      <c r="H529" s="345"/>
    </row>
    <row r="530" spans="2:8" ht="18" x14ac:dyDescent="0.25">
      <c r="B530" s="85"/>
      <c r="C530" s="85"/>
      <c r="D530" s="85"/>
      <c r="E530" s="85"/>
      <c r="F530" s="85"/>
      <c r="G530" s="85"/>
      <c r="H530" s="90"/>
    </row>
    <row r="531" spans="2:8" ht="18" x14ac:dyDescent="0.25">
      <c r="B531" s="85"/>
      <c r="C531" s="85"/>
      <c r="D531" s="85"/>
      <c r="E531" s="85"/>
      <c r="F531" s="85"/>
      <c r="G531" s="85"/>
      <c r="H531" s="90"/>
    </row>
    <row r="532" spans="2:8" ht="18" x14ac:dyDescent="0.25">
      <c r="B532" s="343"/>
      <c r="C532" s="343"/>
      <c r="D532" s="343"/>
      <c r="E532" s="85"/>
      <c r="F532" s="85"/>
      <c r="H532" s="90"/>
    </row>
    <row r="533" spans="2:8" ht="18" x14ac:dyDescent="0.25">
      <c r="B533" s="343"/>
      <c r="C533" s="343"/>
      <c r="D533" s="343"/>
      <c r="E533" s="98">
        <f>+$B$1</f>
        <v>46143</v>
      </c>
      <c r="F533" s="85"/>
      <c r="G533" s="99">
        <f>+$D$1</f>
        <v>46037</v>
      </c>
      <c r="H533" s="160"/>
    </row>
    <row r="534" spans="2:8" ht="18" x14ac:dyDescent="0.25">
      <c r="B534" s="84"/>
      <c r="C534" s="84"/>
      <c r="D534" s="100"/>
      <c r="E534" s="98"/>
      <c r="F534" s="85"/>
    </row>
    <row r="535" spans="2:8" ht="18.75" customHeight="1" x14ac:dyDescent="0.25">
      <c r="B535" s="85" t="e">
        <f>+B15</f>
        <v>#REF!</v>
      </c>
      <c r="C535" s="85"/>
      <c r="D535" s="85"/>
      <c r="F535" s="85"/>
    </row>
    <row r="536" spans="2:8" ht="18.75" customHeight="1" x14ac:dyDescent="0.25">
      <c r="C536" s="85"/>
      <c r="D536" s="85"/>
      <c r="E536" s="85" t="str">
        <f>+E1</f>
        <v>Lima 461 C:A:B:A:</v>
      </c>
      <c r="F536" s="85"/>
      <c r="H536" s="90" t="s">
        <v>97</v>
      </c>
    </row>
    <row r="537" spans="2:8" ht="18" x14ac:dyDescent="0.25">
      <c r="B537" s="86"/>
      <c r="C537" s="85"/>
      <c r="D537" s="85"/>
      <c r="F537" s="85"/>
      <c r="G537" s="86"/>
      <c r="H537" s="90" t="e">
        <f>+'RES CUENTA'!#REF!</f>
        <v>#REF!</v>
      </c>
    </row>
    <row r="538" spans="2:8" ht="18" x14ac:dyDescent="0.25">
      <c r="B538" s="85"/>
      <c r="C538" s="85"/>
      <c r="D538" s="85"/>
      <c r="E538" s="86"/>
      <c r="F538" s="86"/>
      <c r="G538" s="85"/>
      <c r="H538" s="94"/>
    </row>
    <row r="539" spans="2:8" ht="18" x14ac:dyDescent="0.25">
      <c r="B539" s="94"/>
      <c r="C539" s="85"/>
      <c r="D539" s="94"/>
      <c r="E539" s="85"/>
      <c r="F539" s="85"/>
      <c r="G539" s="85"/>
      <c r="H539" s="90"/>
    </row>
    <row r="540" spans="2:8" ht="18" x14ac:dyDescent="0.25">
      <c r="B540" s="85" t="s">
        <v>198</v>
      </c>
      <c r="C540" s="85"/>
      <c r="D540" s="107">
        <f>+'RES CUENTA'!$L$25</f>
        <v>10859801.41</v>
      </c>
      <c r="E540" s="108" t="e">
        <f>+'RES CUENTA'!#REF!</f>
        <v>#REF!</v>
      </c>
      <c r="F540" s="103" t="e">
        <f>+D540*E540/100</f>
        <v>#REF!</v>
      </c>
      <c r="G540" s="85"/>
      <c r="H540" s="94"/>
    </row>
    <row r="541" spans="2:8" ht="18" x14ac:dyDescent="0.25">
      <c r="B541" s="85" t="s">
        <v>199</v>
      </c>
      <c r="C541" s="85"/>
      <c r="D541" s="107" t="e">
        <f>+'RES CUENTA'!#REF!</f>
        <v>#REF!</v>
      </c>
      <c r="E541" s="108" t="e">
        <f>+'RES CUENTA'!#REF!</f>
        <v>#REF!</v>
      </c>
      <c r="F541" s="103" t="e">
        <f>+D541*E541/100</f>
        <v>#REF!</v>
      </c>
      <c r="G541" s="94"/>
      <c r="H541" s="89"/>
    </row>
    <row r="542" spans="2:8" ht="18" x14ac:dyDescent="0.25">
      <c r="B542" s="85" t="s">
        <v>79</v>
      </c>
      <c r="C542" s="85"/>
      <c r="D542" s="107" t="e">
        <f>+'RES CUENTA'!#REF!</f>
        <v>#REF!</v>
      </c>
      <c r="E542" s="108">
        <v>0</v>
      </c>
      <c r="F542" s="103" t="e">
        <f>+D542</f>
        <v>#REF!</v>
      </c>
      <c r="G542" s="89"/>
      <c r="H542" s="89"/>
    </row>
    <row r="543" spans="2:8" ht="18" x14ac:dyDescent="0.25">
      <c r="B543" s="85" t="s">
        <v>80</v>
      </c>
      <c r="C543" s="85"/>
      <c r="D543" s="107" t="e">
        <f>+'RES CUENTA'!#REF!</f>
        <v>#REF!</v>
      </c>
      <c r="E543" s="108">
        <v>0</v>
      </c>
      <c r="F543" s="165" t="e">
        <f>+D543+E543</f>
        <v>#REF!</v>
      </c>
      <c r="G543" s="89"/>
      <c r="H543" s="89"/>
    </row>
    <row r="544" spans="2:8" ht="18" x14ac:dyDescent="0.25">
      <c r="B544" s="86"/>
      <c r="C544" s="85"/>
      <c r="D544" s="85"/>
      <c r="F544" s="104" t="e">
        <f>SUM(F540:F543)</f>
        <v>#REF!</v>
      </c>
      <c r="G544" s="89"/>
      <c r="H544" s="89"/>
    </row>
    <row r="545" spans="2:8" ht="18" x14ac:dyDescent="0.25">
      <c r="B545" s="86"/>
      <c r="C545" s="85"/>
      <c r="D545" s="85"/>
      <c r="F545" s="91"/>
      <c r="G545" s="89"/>
      <c r="H545" s="90"/>
    </row>
    <row r="546" spans="2:8" ht="18" x14ac:dyDescent="0.25">
      <c r="B546" s="85"/>
      <c r="C546" s="85"/>
      <c r="D546" s="85"/>
      <c r="E546" s="85"/>
      <c r="F546" s="92"/>
      <c r="G546" s="90"/>
      <c r="H546" s="90"/>
    </row>
    <row r="547" spans="2:8" ht="18" x14ac:dyDescent="0.25">
      <c r="B547" s="85"/>
      <c r="C547" s="85"/>
      <c r="D547" s="85"/>
      <c r="E547" s="85"/>
      <c r="F547" s="92"/>
      <c r="G547" s="90"/>
      <c r="H547" s="90"/>
    </row>
    <row r="548" spans="2:8" ht="18" x14ac:dyDescent="0.25">
      <c r="B548" s="85"/>
      <c r="C548" s="85"/>
      <c r="D548" s="85"/>
      <c r="E548" s="85"/>
      <c r="F548" s="92"/>
      <c r="G548" s="90"/>
      <c r="H548" s="90"/>
    </row>
    <row r="549" spans="2:8" ht="22.5" customHeight="1" x14ac:dyDescent="0.25">
      <c r="B549" s="85"/>
      <c r="C549" s="85"/>
      <c r="D549" s="85"/>
      <c r="E549" s="85"/>
      <c r="F549" s="92"/>
      <c r="G549" s="90"/>
      <c r="H549" s="90"/>
    </row>
    <row r="550" spans="2:8" ht="23.25" customHeight="1" x14ac:dyDescent="0.25">
      <c r="B550" s="85" t="e">
        <f>+B535</f>
        <v>#REF!</v>
      </c>
      <c r="C550" s="85"/>
      <c r="D550" s="85"/>
      <c r="E550" s="85" t="e">
        <f>+B535</f>
        <v>#REF!</v>
      </c>
      <c r="F550" s="85"/>
      <c r="G550" s="85"/>
      <c r="H550" s="94"/>
    </row>
    <row r="551" spans="2:8" ht="18" x14ac:dyDescent="0.25">
      <c r="B551" s="86"/>
      <c r="C551" s="85"/>
      <c r="D551" s="85"/>
      <c r="F551" s="85"/>
      <c r="G551" s="101"/>
      <c r="H551" s="90" t="str">
        <f>+H536</f>
        <v>Unid. 14</v>
      </c>
    </row>
    <row r="552" spans="2:8" ht="18" x14ac:dyDescent="0.25">
      <c r="B552" s="85" t="str">
        <f>+E1</f>
        <v>Lima 461 C:A:B:A:</v>
      </c>
      <c r="C552" s="85"/>
      <c r="D552" s="90" t="str">
        <f>+H551</f>
        <v>Unid. 14</v>
      </c>
      <c r="E552" s="85" t="str">
        <f>+E1</f>
        <v>Lima 461 C:A:B:A:</v>
      </c>
      <c r="F552" s="85"/>
      <c r="G552" s="85"/>
      <c r="H552" s="90" t="e">
        <f>+H537</f>
        <v>#REF!</v>
      </c>
    </row>
    <row r="553" spans="2:8" ht="18" x14ac:dyDescent="0.25">
      <c r="B553" s="86"/>
      <c r="C553" s="86"/>
      <c r="D553" s="90" t="e">
        <f>+H552</f>
        <v>#REF!</v>
      </c>
      <c r="F553" s="85"/>
      <c r="G553" s="85"/>
    </row>
    <row r="554" spans="2:8" ht="18" x14ac:dyDescent="0.25">
      <c r="B554" s="85"/>
      <c r="C554" s="85"/>
      <c r="D554" s="85"/>
      <c r="E554" s="86"/>
      <c r="F554" s="85"/>
      <c r="G554" s="85"/>
      <c r="H554" s="94"/>
    </row>
    <row r="555" spans="2:8" ht="24.75" customHeight="1" x14ac:dyDescent="0.25">
      <c r="B555" s="85"/>
      <c r="C555" s="85"/>
      <c r="D555" s="85"/>
      <c r="E555" s="85"/>
      <c r="F555" s="96"/>
      <c r="G555" s="86"/>
      <c r="H555" s="90"/>
    </row>
    <row r="556" spans="2:8" ht="18" x14ac:dyDescent="0.25">
      <c r="B556" s="86"/>
      <c r="C556" s="85"/>
      <c r="D556" s="85"/>
      <c r="E556" s="85" t="s">
        <v>200</v>
      </c>
      <c r="F556" s="106" t="e">
        <f>+F540</f>
        <v>#REF!</v>
      </c>
      <c r="G556" s="95"/>
      <c r="H556" s="99">
        <f>+B560</f>
        <v>46037</v>
      </c>
    </row>
    <row r="557" spans="2:8" ht="18" x14ac:dyDescent="0.25">
      <c r="B557" s="86"/>
      <c r="C557" s="85"/>
      <c r="D557" s="85"/>
      <c r="E557" s="85" t="s">
        <v>201</v>
      </c>
      <c r="F557" s="106" t="e">
        <f>+F541</f>
        <v>#REF!</v>
      </c>
      <c r="H557" s="90"/>
    </row>
    <row r="558" spans="2:8" ht="18" x14ac:dyDescent="0.25">
      <c r="B558" s="85"/>
      <c r="C558" s="85"/>
      <c r="D558" s="85"/>
      <c r="E558" s="85" t="s">
        <v>81</v>
      </c>
      <c r="F558" s="106" t="e">
        <f>+F542</f>
        <v>#REF!</v>
      </c>
      <c r="G558" s="85"/>
      <c r="H558" s="90"/>
    </row>
    <row r="559" spans="2:8" ht="18" x14ac:dyDescent="0.25">
      <c r="B559" s="96"/>
      <c r="C559" s="96"/>
      <c r="D559" s="96"/>
      <c r="E559" s="85" t="s">
        <v>82</v>
      </c>
      <c r="F559" s="106" t="e">
        <f>+F543</f>
        <v>#REF!</v>
      </c>
      <c r="G559" s="85"/>
      <c r="H559" s="90"/>
    </row>
    <row r="560" spans="2:8" ht="18" x14ac:dyDescent="0.25">
      <c r="B560" s="99">
        <f>+$G$30</f>
        <v>46037</v>
      </c>
      <c r="C560" s="105" t="e">
        <f>+F544</f>
        <v>#REF!</v>
      </c>
      <c r="D560" s="85"/>
      <c r="E560" s="85" t="s">
        <v>188</v>
      </c>
      <c r="F560" s="166">
        <v>0</v>
      </c>
      <c r="G560" s="85"/>
      <c r="H560" s="90"/>
    </row>
    <row r="561" spans="2:8" ht="18" x14ac:dyDescent="0.25">
      <c r="B561" s="85"/>
      <c r="C561" s="85"/>
      <c r="D561" s="85"/>
      <c r="E561" s="85" t="s">
        <v>83</v>
      </c>
      <c r="F561" s="106" t="e">
        <f>+F544</f>
        <v>#REF!</v>
      </c>
      <c r="G561" s="85"/>
      <c r="H561" s="90"/>
    </row>
    <row r="562" spans="2:8" ht="18" x14ac:dyDescent="0.25">
      <c r="B562" s="85"/>
      <c r="C562" s="85"/>
      <c r="D562" s="85"/>
      <c r="E562" s="85"/>
      <c r="F562" s="85"/>
      <c r="G562" s="85"/>
      <c r="H562" s="90"/>
    </row>
    <row r="563" spans="2:8" ht="18" x14ac:dyDescent="0.25">
      <c r="B563" s="85"/>
      <c r="C563" s="85"/>
      <c r="D563" s="85"/>
      <c r="E563" s="102"/>
      <c r="F563" s="85"/>
      <c r="G563" s="85"/>
      <c r="H563" s="90"/>
    </row>
    <row r="564" spans="2:8" ht="18" x14ac:dyDescent="0.25">
      <c r="B564" s="85"/>
      <c r="C564" s="85"/>
      <c r="D564" s="85"/>
      <c r="E564" s="85"/>
      <c r="F564" s="85"/>
      <c r="G564" s="85"/>
      <c r="H564" s="94"/>
    </row>
    <row r="565" spans="2:8" ht="11.25" customHeight="1" x14ac:dyDescent="0.25">
      <c r="E565" s="85"/>
      <c r="G565" s="94"/>
      <c r="H565" s="90"/>
    </row>
    <row r="567" spans="2:8" ht="18" x14ac:dyDescent="0.25">
      <c r="B567" s="343"/>
      <c r="C567" s="343"/>
      <c r="D567" s="343"/>
      <c r="E567" s="342">
        <f>+$B$1</f>
        <v>46143</v>
      </c>
      <c r="F567" s="85"/>
      <c r="G567" s="337">
        <f>+$D$1</f>
        <v>46037</v>
      </c>
      <c r="H567" s="90"/>
    </row>
    <row r="568" spans="2:8" ht="18" x14ac:dyDescent="0.25">
      <c r="B568" s="84"/>
      <c r="C568" s="84"/>
      <c r="D568" s="100"/>
      <c r="E568" s="342"/>
      <c r="F568" s="85"/>
      <c r="G568" s="337"/>
      <c r="H568" s="90"/>
    </row>
    <row r="569" spans="2:8" ht="23.25" customHeight="1" x14ac:dyDescent="0.25">
      <c r="B569" s="85"/>
      <c r="C569" s="85"/>
      <c r="D569" s="85"/>
      <c r="E569" s="86"/>
      <c r="F569" s="85"/>
      <c r="G569" s="86"/>
      <c r="H569" s="90"/>
    </row>
    <row r="570" spans="2:8" ht="26.25" customHeight="1" x14ac:dyDescent="0.25">
      <c r="B570" s="85" t="e">
        <f>+B16</f>
        <v>#REF!</v>
      </c>
      <c r="C570" s="85"/>
      <c r="D570" s="85"/>
      <c r="E570" s="86"/>
      <c r="F570" s="85"/>
      <c r="G570" s="86"/>
      <c r="H570" s="90"/>
    </row>
    <row r="571" spans="2:8" ht="21" customHeight="1" x14ac:dyDescent="0.25">
      <c r="B571" s="86"/>
      <c r="C571" s="85"/>
      <c r="D571" s="85"/>
      <c r="E571" s="85" t="str">
        <f>+E34</f>
        <v>Lima 461 C:A:B:A:</v>
      </c>
      <c r="F571" s="85"/>
      <c r="G571" s="85"/>
      <c r="H571" s="90" t="s">
        <v>98</v>
      </c>
    </row>
    <row r="572" spans="2:8" ht="18" x14ac:dyDescent="0.25">
      <c r="B572" s="85"/>
      <c r="C572" s="85"/>
      <c r="D572" s="85"/>
      <c r="E572" s="86"/>
      <c r="F572" s="86"/>
      <c r="G572" s="85"/>
      <c r="H572" s="90" t="e">
        <f>+'RES CUENTA'!#REF!</f>
        <v>#REF!</v>
      </c>
    </row>
    <row r="573" spans="2:8" ht="18" x14ac:dyDescent="0.25">
      <c r="B573" s="94"/>
      <c r="C573" s="85"/>
      <c r="D573" s="94"/>
      <c r="E573" s="85"/>
      <c r="F573" s="85"/>
      <c r="G573" s="85"/>
      <c r="H573" s="90"/>
    </row>
    <row r="574" spans="2:8" ht="18" x14ac:dyDescent="0.25">
      <c r="B574" s="94"/>
      <c r="C574" s="85"/>
      <c r="D574" s="94"/>
      <c r="E574" s="85"/>
      <c r="F574" s="85"/>
      <c r="G574" s="85"/>
      <c r="H574" s="90"/>
    </row>
    <row r="575" spans="2:8" ht="18" x14ac:dyDescent="0.25">
      <c r="B575" s="85" t="s">
        <v>198</v>
      </c>
      <c r="C575" s="85"/>
      <c r="D575" s="107">
        <f>+'RES CUENTA'!$L$25</f>
        <v>10859801.41</v>
      </c>
      <c r="E575" s="108" t="e">
        <f>+'RES CUENTA'!#REF!</f>
        <v>#REF!</v>
      </c>
      <c r="F575" s="103" t="e">
        <f>+D575*E575/100</f>
        <v>#REF!</v>
      </c>
      <c r="G575" s="345"/>
      <c r="H575" s="345"/>
    </row>
    <row r="576" spans="2:8" ht="18" x14ac:dyDescent="0.25">
      <c r="B576" s="85" t="s">
        <v>199</v>
      </c>
      <c r="C576" s="85"/>
      <c r="D576" s="107" t="e">
        <f>+'RES CUENTA'!#REF!</f>
        <v>#REF!</v>
      </c>
      <c r="E576" s="108" t="e">
        <f>+'RES CUENTA'!#REF!</f>
        <v>#REF!</v>
      </c>
      <c r="F576" s="103" t="e">
        <f>+D576*E576/100</f>
        <v>#REF!</v>
      </c>
      <c r="G576" s="341"/>
      <c r="H576" s="341"/>
    </row>
    <row r="577" spans="2:8" ht="18" x14ac:dyDescent="0.25">
      <c r="B577" s="85" t="s">
        <v>202</v>
      </c>
      <c r="C577" s="85"/>
      <c r="D577" s="107" t="e">
        <f>+'RES CUENTA'!#REF!</f>
        <v>#REF!</v>
      </c>
      <c r="E577" s="108">
        <v>0</v>
      </c>
      <c r="F577" s="103" t="e">
        <f>+D577</f>
        <v>#REF!</v>
      </c>
      <c r="G577" s="341"/>
      <c r="H577" s="341"/>
    </row>
    <row r="578" spans="2:8" ht="18" x14ac:dyDescent="0.25">
      <c r="B578" s="85" t="s">
        <v>79</v>
      </c>
      <c r="C578" s="85"/>
      <c r="D578" s="107" t="e">
        <f>+'RES CUENTA'!#REF!</f>
        <v>#REF!</v>
      </c>
      <c r="E578" s="108">
        <v>0</v>
      </c>
      <c r="F578" s="103" t="e">
        <f>+D578</f>
        <v>#REF!</v>
      </c>
      <c r="G578" s="341"/>
      <c r="H578" s="341"/>
    </row>
    <row r="579" spans="2:8" ht="18" x14ac:dyDescent="0.25">
      <c r="B579" s="85" t="s">
        <v>80</v>
      </c>
      <c r="C579" s="85"/>
      <c r="D579" s="107" t="e">
        <f>+'RES CUENTA'!#REF!</f>
        <v>#REF!</v>
      </c>
      <c r="E579" s="108">
        <v>0</v>
      </c>
      <c r="F579" s="165" t="e">
        <f>+D579</f>
        <v>#REF!</v>
      </c>
      <c r="G579" s="341"/>
      <c r="H579" s="341"/>
    </row>
    <row r="580" spans="2:8" ht="18" x14ac:dyDescent="0.25">
      <c r="B580" s="86"/>
      <c r="C580" s="85"/>
      <c r="D580" s="85"/>
      <c r="E580" s="92"/>
      <c r="F580" s="104" t="e">
        <f>SUM(F575:F579)</f>
        <v>#REF!</v>
      </c>
      <c r="G580" s="338"/>
      <c r="H580" s="338"/>
    </row>
    <row r="581" spans="2:8" ht="18" x14ac:dyDescent="0.25">
      <c r="B581" s="86"/>
      <c r="C581" s="85"/>
      <c r="D581" s="85"/>
      <c r="E581" s="85"/>
      <c r="G581" s="90"/>
      <c r="H581" s="90"/>
    </row>
    <row r="582" spans="2:8" ht="18" x14ac:dyDescent="0.25">
      <c r="B582" s="85"/>
      <c r="C582" s="85"/>
      <c r="D582" s="85"/>
      <c r="E582" s="85"/>
      <c r="F582" s="91"/>
      <c r="G582" s="90"/>
      <c r="H582" s="90"/>
    </row>
    <row r="583" spans="2:8" ht="18" x14ac:dyDescent="0.25">
      <c r="B583" s="85"/>
      <c r="C583" s="85"/>
      <c r="D583" s="85"/>
      <c r="E583" s="85"/>
      <c r="F583" s="92"/>
      <c r="G583" s="85"/>
      <c r="H583" s="90"/>
    </row>
    <row r="584" spans="2:8" ht="25.5" customHeight="1" x14ac:dyDescent="0.25">
      <c r="B584" s="85"/>
      <c r="C584" s="85"/>
      <c r="D584" s="85"/>
      <c r="E584" s="85"/>
      <c r="F584" s="92"/>
      <c r="G584" s="85"/>
      <c r="H584" s="90"/>
    </row>
    <row r="585" spans="2:8" ht="18" x14ac:dyDescent="0.25">
      <c r="B585" s="85" t="e">
        <f>+B570</f>
        <v>#REF!</v>
      </c>
      <c r="C585" s="344"/>
      <c r="D585" s="344"/>
      <c r="E585" s="85" t="e">
        <f>+B585</f>
        <v>#REF!</v>
      </c>
      <c r="F585" s="92"/>
      <c r="G585" s="85"/>
      <c r="H585" s="90"/>
    </row>
    <row r="586" spans="2:8" ht="21" customHeight="1" x14ac:dyDescent="0.25">
      <c r="C586" s="85"/>
      <c r="D586" s="85"/>
      <c r="F586" s="344"/>
      <c r="G586" s="344"/>
      <c r="H586" s="344"/>
    </row>
    <row r="587" spans="2:8" ht="18" x14ac:dyDescent="0.25">
      <c r="B587" s="85" t="str">
        <f>+E1</f>
        <v>Lima 461 C:A:B:A:</v>
      </c>
      <c r="C587" s="85"/>
      <c r="D587" s="90" t="str">
        <f>+H571</f>
        <v>Unid. 15</v>
      </c>
      <c r="E587" s="85" t="str">
        <f>+E1</f>
        <v>Lima 461 C:A:B:A:</v>
      </c>
      <c r="F587" s="85"/>
      <c r="G587" s="85"/>
      <c r="H587" s="90" t="str">
        <f>+D587</f>
        <v>Unid. 15</v>
      </c>
    </row>
    <row r="588" spans="2:8" ht="18" x14ac:dyDescent="0.25">
      <c r="D588" s="90" t="e">
        <f>+H588</f>
        <v>#REF!</v>
      </c>
      <c r="H588" s="90" t="e">
        <f>+H572</f>
        <v>#REF!</v>
      </c>
    </row>
    <row r="589" spans="2:8" ht="18" x14ac:dyDescent="0.25">
      <c r="B589" s="86"/>
      <c r="C589" s="86"/>
      <c r="D589" s="86"/>
      <c r="E589" s="86"/>
      <c r="F589" s="85"/>
      <c r="G589" s="85"/>
    </row>
    <row r="590" spans="2:8" ht="12.75" customHeight="1" x14ac:dyDescent="0.25">
      <c r="B590" s="85"/>
      <c r="C590" s="85"/>
      <c r="D590" s="85"/>
      <c r="E590" s="85"/>
      <c r="F590" s="85"/>
      <c r="G590" s="86"/>
      <c r="H590" s="94"/>
    </row>
    <row r="591" spans="2:8" ht="9" customHeight="1" x14ac:dyDescent="0.25">
      <c r="B591" s="85"/>
      <c r="C591" s="85"/>
      <c r="D591" s="85"/>
      <c r="E591" s="96"/>
      <c r="F591" s="85"/>
      <c r="G591" s="94"/>
      <c r="H591" s="90"/>
    </row>
    <row r="592" spans="2:8" ht="18" x14ac:dyDescent="0.25">
      <c r="C592" s="85"/>
      <c r="D592" s="85"/>
      <c r="E592" s="85" t="s">
        <v>200</v>
      </c>
      <c r="F592" s="106" t="e">
        <f>+F575</f>
        <v>#REF!</v>
      </c>
      <c r="H592" s="99">
        <f>+B597</f>
        <v>46037</v>
      </c>
    </row>
    <row r="593" spans="2:8" ht="18" x14ac:dyDescent="0.25">
      <c r="B593" s="86"/>
      <c r="C593" s="85"/>
      <c r="D593" s="85"/>
      <c r="E593" s="85" t="s">
        <v>201</v>
      </c>
      <c r="F593" s="106" t="e">
        <f>+F576</f>
        <v>#REF!</v>
      </c>
    </row>
    <row r="594" spans="2:8" ht="18" x14ac:dyDescent="0.25">
      <c r="B594" s="86"/>
      <c r="C594" s="85"/>
      <c r="D594" s="85"/>
      <c r="E594" s="85" t="s">
        <v>81</v>
      </c>
      <c r="F594" s="106" t="e">
        <f>+F578</f>
        <v>#REF!</v>
      </c>
      <c r="G594" s="85"/>
      <c r="H594" s="90"/>
    </row>
    <row r="595" spans="2:8" ht="18" x14ac:dyDescent="0.25">
      <c r="B595" s="85"/>
      <c r="C595" s="85"/>
      <c r="D595" s="85"/>
      <c r="E595" s="85" t="s">
        <v>82</v>
      </c>
      <c r="F595" s="106" t="e">
        <f>+F579</f>
        <v>#REF!</v>
      </c>
      <c r="G595" s="85"/>
      <c r="H595" s="90"/>
    </row>
    <row r="596" spans="2:8" ht="18" x14ac:dyDescent="0.25">
      <c r="B596" s="96"/>
      <c r="C596" s="96"/>
      <c r="D596" s="96"/>
      <c r="E596" s="85" t="s">
        <v>188</v>
      </c>
      <c r="F596" s="166" t="e">
        <f>+F577</f>
        <v>#REF!</v>
      </c>
      <c r="G596" s="85"/>
      <c r="H596" s="90"/>
    </row>
    <row r="597" spans="2:8" ht="18" x14ac:dyDescent="0.25">
      <c r="B597" s="99">
        <f>+$G$30</f>
        <v>46037</v>
      </c>
      <c r="C597" s="105" t="e">
        <f>+F580</f>
        <v>#REF!</v>
      </c>
      <c r="D597" s="85"/>
      <c r="E597" s="85" t="s">
        <v>83</v>
      </c>
      <c r="F597" s="106" t="e">
        <f>+F580</f>
        <v>#REF!</v>
      </c>
      <c r="G597" s="85"/>
      <c r="H597" s="90"/>
    </row>
    <row r="598" spans="2:8" ht="18" x14ac:dyDescent="0.25">
      <c r="B598" s="85"/>
      <c r="C598" s="85"/>
      <c r="D598" s="85"/>
      <c r="E598" s="102"/>
      <c r="F598" s="85"/>
      <c r="G598" s="85"/>
      <c r="H598" s="90"/>
    </row>
    <row r="599" spans="2:8" ht="18" x14ac:dyDescent="0.25">
      <c r="B599" s="85"/>
      <c r="C599" s="85"/>
      <c r="D599" s="85"/>
      <c r="F599" s="85"/>
      <c r="G599" s="85"/>
      <c r="H599" s="90"/>
    </row>
    <row r="600" spans="2:8" ht="18" x14ac:dyDescent="0.25">
      <c r="B600" s="85"/>
      <c r="C600" s="85"/>
      <c r="D600" s="85"/>
      <c r="E600" s="85"/>
      <c r="F600" s="85"/>
      <c r="G600" s="85"/>
      <c r="H600" s="90"/>
    </row>
    <row r="601" spans="2:8" ht="18" x14ac:dyDescent="0.25">
      <c r="B601" s="85"/>
      <c r="C601" s="85"/>
      <c r="D601" s="85"/>
      <c r="E601" s="85"/>
      <c r="F601" s="85"/>
      <c r="G601" s="345"/>
      <c r="H601" s="345"/>
    </row>
    <row r="602" spans="2:8" ht="18" x14ac:dyDescent="0.25">
      <c r="B602" s="85"/>
      <c r="C602" s="85"/>
      <c r="D602" s="85"/>
      <c r="E602" s="85"/>
      <c r="F602" s="85"/>
      <c r="G602" s="94"/>
      <c r="H602" s="94"/>
    </row>
    <row r="603" spans="2:8" ht="18" x14ac:dyDescent="0.25">
      <c r="B603" s="85"/>
      <c r="C603" s="85"/>
      <c r="D603" s="85"/>
      <c r="E603" s="85"/>
      <c r="F603" s="85"/>
      <c r="G603" s="85"/>
      <c r="H603" s="90"/>
    </row>
    <row r="604" spans="2:8" ht="18" x14ac:dyDescent="0.25">
      <c r="B604" s="85"/>
      <c r="C604" s="85"/>
      <c r="D604" s="85"/>
      <c r="E604" s="85"/>
      <c r="F604" s="85"/>
      <c r="G604" s="85"/>
      <c r="H604" s="90"/>
    </row>
    <row r="605" spans="2:8" ht="18" x14ac:dyDescent="0.25">
      <c r="B605" s="343"/>
      <c r="C605" s="343"/>
      <c r="D605" s="343"/>
      <c r="E605" s="85"/>
      <c r="F605" s="85"/>
      <c r="H605" s="90"/>
    </row>
    <row r="606" spans="2:8" ht="18" x14ac:dyDescent="0.25">
      <c r="B606" s="343"/>
      <c r="C606" s="343"/>
      <c r="D606" s="343"/>
      <c r="E606" s="98">
        <f>+$B$1</f>
        <v>46143</v>
      </c>
      <c r="F606" s="85"/>
      <c r="G606" s="99">
        <f>+$D$1</f>
        <v>46037</v>
      </c>
      <c r="H606" s="160"/>
    </row>
    <row r="607" spans="2:8" ht="18" x14ac:dyDescent="0.25">
      <c r="B607" s="84"/>
      <c r="C607" s="84"/>
      <c r="D607" s="100"/>
      <c r="E607" s="98"/>
      <c r="F607" s="85"/>
    </row>
    <row r="608" spans="2:8" ht="18" x14ac:dyDescent="0.25">
      <c r="B608" s="85" t="e">
        <f>+B17</f>
        <v>#REF!</v>
      </c>
      <c r="C608" s="85"/>
      <c r="D608" s="85"/>
      <c r="F608" s="85"/>
    </row>
    <row r="609" spans="2:8" ht="20.25" customHeight="1" x14ac:dyDescent="0.25">
      <c r="C609" s="85"/>
      <c r="D609" s="85"/>
      <c r="E609" s="85" t="str">
        <f>+$E$1</f>
        <v>Lima 461 C:A:B:A:</v>
      </c>
      <c r="F609" s="85"/>
      <c r="H609" s="90" t="s">
        <v>99</v>
      </c>
    </row>
    <row r="610" spans="2:8" ht="18" x14ac:dyDescent="0.25">
      <c r="B610" s="86"/>
      <c r="C610" s="85"/>
      <c r="D610" s="85"/>
      <c r="F610" s="85"/>
      <c r="G610" s="86"/>
      <c r="H610" s="90" t="e">
        <f>+'RES CUENTA'!#REF!</f>
        <v>#REF!</v>
      </c>
    </row>
    <row r="611" spans="2:8" ht="18" x14ac:dyDescent="0.25">
      <c r="B611" s="85"/>
      <c r="C611" s="85"/>
      <c r="D611" s="85"/>
      <c r="E611" s="86"/>
      <c r="F611" s="86"/>
      <c r="G611" s="85"/>
      <c r="H611" s="94"/>
    </row>
    <row r="612" spans="2:8" ht="18" x14ac:dyDescent="0.25">
      <c r="B612" s="94"/>
      <c r="C612" s="85"/>
      <c r="D612" s="94"/>
      <c r="E612" s="85"/>
      <c r="F612" s="85"/>
      <c r="G612" s="85"/>
      <c r="H612" s="90"/>
    </row>
    <row r="613" spans="2:8" ht="18" x14ac:dyDescent="0.25">
      <c r="B613" s="85" t="s">
        <v>198</v>
      </c>
      <c r="C613" s="85"/>
      <c r="D613" s="107">
        <f>+'RES CUENTA'!$L$25</f>
        <v>10859801.41</v>
      </c>
      <c r="E613" s="108" t="e">
        <f>+'RES CUENTA'!#REF!</f>
        <v>#REF!</v>
      </c>
      <c r="F613" s="103" t="e">
        <f>+D613*E613/100</f>
        <v>#REF!</v>
      </c>
      <c r="G613" s="85"/>
      <c r="H613" s="94"/>
    </row>
    <row r="614" spans="2:8" ht="18" x14ac:dyDescent="0.25">
      <c r="B614" s="85" t="s">
        <v>199</v>
      </c>
      <c r="C614" s="85"/>
      <c r="D614" s="107" t="e">
        <f>+'RES CUENTA'!#REF!</f>
        <v>#REF!</v>
      </c>
      <c r="E614" s="108" t="e">
        <f>+'RES CUENTA'!#REF!</f>
        <v>#REF!</v>
      </c>
      <c r="F614" s="103" t="e">
        <f>+D614*E614/100</f>
        <v>#REF!</v>
      </c>
      <c r="G614" s="94"/>
      <c r="H614" s="89"/>
    </row>
    <row r="615" spans="2:8" ht="18" x14ac:dyDescent="0.25">
      <c r="B615" s="85" t="s">
        <v>202</v>
      </c>
      <c r="C615" s="85"/>
      <c r="D615" s="107" t="e">
        <f>+'RES CUENTA'!#REF!</f>
        <v>#REF!</v>
      </c>
      <c r="E615" s="108">
        <v>0</v>
      </c>
      <c r="F615" s="103" t="e">
        <f>+D615</f>
        <v>#REF!</v>
      </c>
      <c r="G615" s="94"/>
      <c r="H615" s="89"/>
    </row>
    <row r="616" spans="2:8" ht="18" x14ac:dyDescent="0.25">
      <c r="B616" s="85" t="s">
        <v>79</v>
      </c>
      <c r="C616" s="85"/>
      <c r="D616" s="107" t="e">
        <f>+'RES CUENTA'!#REF!</f>
        <v>#REF!</v>
      </c>
      <c r="E616" s="108">
        <v>0</v>
      </c>
      <c r="F616" s="103" t="e">
        <f>+D616</f>
        <v>#REF!</v>
      </c>
      <c r="G616" s="89"/>
      <c r="H616" s="89"/>
    </row>
    <row r="617" spans="2:8" ht="18" x14ac:dyDescent="0.25">
      <c r="B617" s="85" t="s">
        <v>80</v>
      </c>
      <c r="C617" s="85"/>
      <c r="D617" s="107" t="e">
        <f>+'RES CUENTA'!#REF!</f>
        <v>#REF!</v>
      </c>
      <c r="E617" s="108">
        <v>0</v>
      </c>
      <c r="F617" s="165" t="e">
        <f>+D617+E617</f>
        <v>#REF!</v>
      </c>
      <c r="G617" s="89"/>
      <c r="H617" s="89"/>
    </row>
    <row r="618" spans="2:8" ht="18" x14ac:dyDescent="0.25">
      <c r="B618" s="86"/>
      <c r="C618" s="85"/>
      <c r="D618" s="107"/>
      <c r="E618" s="107"/>
      <c r="F618" s="104" t="e">
        <f>SUM(F613:F617)</f>
        <v>#REF!</v>
      </c>
      <c r="G618" s="89"/>
      <c r="H618" s="90"/>
    </row>
    <row r="619" spans="2:8" ht="18" x14ac:dyDescent="0.25">
      <c r="B619" s="85"/>
      <c r="C619" s="85"/>
      <c r="D619" s="107"/>
      <c r="E619" s="107"/>
      <c r="F619" s="92"/>
      <c r="G619" s="90"/>
      <c r="H619" s="90"/>
    </row>
    <row r="620" spans="2:8" ht="18" x14ac:dyDescent="0.25">
      <c r="B620" s="85"/>
      <c r="C620" s="85"/>
      <c r="D620" s="85"/>
      <c r="E620" s="85"/>
      <c r="F620" s="92"/>
      <c r="G620" s="90"/>
      <c r="H620" s="90"/>
    </row>
    <row r="621" spans="2:8" ht="18" x14ac:dyDescent="0.25">
      <c r="B621" s="85"/>
      <c r="C621" s="85"/>
      <c r="D621" s="85"/>
      <c r="E621" s="85"/>
      <c r="F621" s="92"/>
      <c r="G621" s="90"/>
      <c r="H621" s="90"/>
    </row>
    <row r="622" spans="2:8" ht="23.25" customHeight="1" x14ac:dyDescent="0.25">
      <c r="B622" s="85"/>
      <c r="C622" s="85"/>
      <c r="D622" s="85"/>
      <c r="E622" s="85"/>
      <c r="F622" s="92"/>
      <c r="G622" s="90"/>
      <c r="H622" s="90"/>
    </row>
    <row r="623" spans="2:8" ht="18" x14ac:dyDescent="0.25">
      <c r="B623" s="85" t="e">
        <f>+B608</f>
        <v>#REF!</v>
      </c>
      <c r="C623" s="85"/>
      <c r="D623" s="85"/>
      <c r="E623" s="85" t="e">
        <f>+B608</f>
        <v>#REF!</v>
      </c>
      <c r="F623" s="85"/>
      <c r="G623" s="85"/>
      <c r="H623" s="94"/>
    </row>
    <row r="624" spans="2:8" ht="18" x14ac:dyDescent="0.25">
      <c r="B624" s="86"/>
      <c r="C624" s="85"/>
      <c r="D624" s="85"/>
      <c r="F624" s="85"/>
      <c r="G624" s="101"/>
      <c r="H624" s="90" t="str">
        <f>+H609</f>
        <v>Unid. 16</v>
      </c>
    </row>
    <row r="625" spans="2:8" ht="21.75" customHeight="1" x14ac:dyDescent="0.25">
      <c r="B625" s="85" t="str">
        <f>+E1</f>
        <v>Lima 461 C:A:B:A:</v>
      </c>
      <c r="C625" s="85"/>
      <c r="D625" s="90" t="str">
        <f>+H624</f>
        <v>Unid. 16</v>
      </c>
      <c r="E625" s="85" t="str">
        <f>+$E$1</f>
        <v>Lima 461 C:A:B:A:</v>
      </c>
      <c r="F625" s="85"/>
      <c r="G625" s="85"/>
      <c r="H625" s="90" t="e">
        <f>+H610</f>
        <v>#REF!</v>
      </c>
    </row>
    <row r="626" spans="2:8" ht="18" x14ac:dyDescent="0.25">
      <c r="B626" s="86"/>
      <c r="C626" s="86"/>
      <c r="D626" s="90" t="e">
        <f>+H625</f>
        <v>#REF!</v>
      </c>
      <c r="F626" s="85"/>
      <c r="G626" s="85"/>
    </row>
    <row r="627" spans="2:8" ht="18" x14ac:dyDescent="0.25">
      <c r="B627" s="85"/>
      <c r="C627" s="85"/>
      <c r="D627" s="85"/>
      <c r="E627" s="86"/>
      <c r="F627" s="85"/>
      <c r="G627" s="85"/>
      <c r="H627" s="94"/>
    </row>
    <row r="628" spans="2:8" ht="11.25" customHeight="1" x14ac:dyDescent="0.25">
      <c r="B628" s="85"/>
      <c r="C628" s="85"/>
      <c r="D628" s="85"/>
      <c r="E628" s="85"/>
      <c r="F628" s="96"/>
      <c r="G628" s="86"/>
      <c r="H628" s="90"/>
    </row>
    <row r="629" spans="2:8" ht="14.25" customHeight="1" x14ac:dyDescent="0.25">
      <c r="B629" s="85"/>
      <c r="C629" s="85"/>
      <c r="D629" s="85"/>
      <c r="E629" s="96"/>
      <c r="G629" s="94"/>
      <c r="H629" s="96"/>
    </row>
    <row r="630" spans="2:8" ht="18" x14ac:dyDescent="0.25">
      <c r="B630" s="86"/>
      <c r="C630" s="85"/>
      <c r="D630" s="85"/>
      <c r="E630" s="85" t="s">
        <v>200</v>
      </c>
      <c r="F630" s="106" t="e">
        <f>+F613</f>
        <v>#REF!</v>
      </c>
      <c r="G630" s="95"/>
      <c r="H630" s="99">
        <f>+B634</f>
        <v>46037</v>
      </c>
    </row>
    <row r="631" spans="2:8" ht="18" x14ac:dyDescent="0.25">
      <c r="B631" s="86"/>
      <c r="C631" s="85"/>
      <c r="D631" s="85"/>
      <c r="E631" s="85" t="s">
        <v>201</v>
      </c>
      <c r="F631" s="106" t="e">
        <f>+F614</f>
        <v>#REF!</v>
      </c>
      <c r="H631" s="90"/>
    </row>
    <row r="632" spans="2:8" ht="18" x14ac:dyDescent="0.25">
      <c r="B632" s="85"/>
      <c r="C632" s="85"/>
      <c r="D632" s="85"/>
      <c r="E632" s="85" t="s">
        <v>81</v>
      </c>
      <c r="F632" s="106" t="e">
        <f>+F616</f>
        <v>#REF!</v>
      </c>
      <c r="G632" s="85"/>
      <c r="H632" s="90"/>
    </row>
    <row r="633" spans="2:8" ht="18" x14ac:dyDescent="0.25">
      <c r="B633" s="96"/>
      <c r="C633" s="96"/>
      <c r="D633" s="96"/>
      <c r="E633" s="85" t="s">
        <v>82</v>
      </c>
      <c r="F633" s="106" t="e">
        <f>+F617</f>
        <v>#REF!</v>
      </c>
      <c r="G633" s="85"/>
      <c r="H633" s="90"/>
    </row>
    <row r="634" spans="2:8" ht="18" x14ac:dyDescent="0.25">
      <c r="B634" s="99">
        <f>+$G$30</f>
        <v>46037</v>
      </c>
      <c r="C634" s="105" t="e">
        <f>+F618</f>
        <v>#REF!</v>
      </c>
      <c r="D634" s="85"/>
      <c r="E634" s="85" t="s">
        <v>188</v>
      </c>
      <c r="F634" s="166" t="e">
        <f>+F615</f>
        <v>#REF!</v>
      </c>
      <c r="G634" s="85"/>
      <c r="H634" s="90"/>
    </row>
    <row r="635" spans="2:8" ht="18" x14ac:dyDescent="0.25">
      <c r="B635" s="85"/>
      <c r="C635" s="85"/>
      <c r="D635" s="85"/>
      <c r="E635" s="85" t="s">
        <v>83</v>
      </c>
      <c r="F635" s="106" t="e">
        <f>+F618</f>
        <v>#REF!</v>
      </c>
      <c r="G635" s="85"/>
      <c r="H635" s="90"/>
    </row>
    <row r="636" spans="2:8" ht="18" x14ac:dyDescent="0.25">
      <c r="B636" s="85"/>
      <c r="C636" s="85"/>
      <c r="D636" s="85"/>
      <c r="E636" s="85"/>
      <c r="F636" s="85"/>
      <c r="G636" s="85"/>
      <c r="H636" s="90"/>
    </row>
    <row r="637" spans="2:8" ht="18" x14ac:dyDescent="0.25">
      <c r="B637" s="85"/>
      <c r="C637" s="85"/>
      <c r="D637" s="85"/>
      <c r="E637" s="102"/>
      <c r="F637" s="85"/>
      <c r="G637" s="85"/>
      <c r="H637" s="90"/>
    </row>
    <row r="638" spans="2:8" ht="27" customHeight="1" x14ac:dyDescent="0.25">
      <c r="B638" s="85"/>
      <c r="C638" s="85"/>
      <c r="D638" s="85"/>
      <c r="E638" s="85"/>
      <c r="F638" s="85"/>
      <c r="G638" s="85"/>
      <c r="H638" s="94"/>
    </row>
    <row r="639" spans="2:8" ht="11.25" customHeight="1" x14ac:dyDescent="0.25">
      <c r="E639" s="85"/>
      <c r="G639" s="94"/>
      <c r="H639" s="90"/>
    </row>
    <row r="641" spans="2:8" ht="18" x14ac:dyDescent="0.25">
      <c r="B641" s="343"/>
      <c r="C641" s="343"/>
      <c r="D641" s="343"/>
      <c r="E641" s="342">
        <f>+$B$1</f>
        <v>46143</v>
      </c>
      <c r="F641" s="85"/>
      <c r="G641" s="337">
        <f>+$D$1</f>
        <v>46037</v>
      </c>
      <c r="H641" s="90"/>
    </row>
    <row r="642" spans="2:8" ht="18" x14ac:dyDescent="0.25">
      <c r="B642" s="84"/>
      <c r="C642" s="84"/>
      <c r="D642" s="100"/>
      <c r="E642" s="342"/>
      <c r="F642" s="85"/>
      <c r="G642" s="337"/>
      <c r="H642" s="90"/>
    </row>
    <row r="643" spans="2:8" ht="18" x14ac:dyDescent="0.25">
      <c r="B643" s="85"/>
      <c r="C643" s="85"/>
      <c r="D643" s="85"/>
      <c r="E643" s="86"/>
      <c r="F643" s="85"/>
      <c r="G643" s="86"/>
      <c r="H643" s="90"/>
    </row>
    <row r="644" spans="2:8" ht="32.25" customHeight="1" x14ac:dyDescent="0.25">
      <c r="B644" s="85" t="e">
        <f>+B18</f>
        <v>#REF!</v>
      </c>
      <c r="C644" s="85"/>
      <c r="D644" s="85"/>
      <c r="E644" s="86"/>
      <c r="F644" s="85"/>
      <c r="G644" s="86"/>
      <c r="H644" s="90"/>
    </row>
    <row r="645" spans="2:8" ht="24" customHeight="1" x14ac:dyDescent="0.25">
      <c r="B645" s="86"/>
      <c r="C645" s="85"/>
      <c r="D645" s="85"/>
      <c r="E645" s="85" t="str">
        <f>+E34</f>
        <v>Lima 461 C:A:B:A:</v>
      </c>
      <c r="F645" s="85"/>
      <c r="G645" s="85"/>
      <c r="H645" s="90" t="s">
        <v>100</v>
      </c>
    </row>
    <row r="646" spans="2:8" ht="18" x14ac:dyDescent="0.25">
      <c r="B646" s="85"/>
      <c r="C646" s="85"/>
      <c r="D646" s="85"/>
      <c r="E646" s="86"/>
      <c r="F646" s="86"/>
      <c r="G646" s="85"/>
      <c r="H646" s="90" t="e">
        <f>+'RES CUENTA'!#REF!</f>
        <v>#REF!</v>
      </c>
    </row>
    <row r="647" spans="2:8" ht="18" x14ac:dyDescent="0.25">
      <c r="B647" s="94"/>
      <c r="C647" s="85"/>
      <c r="D647" s="94"/>
      <c r="E647" s="85"/>
      <c r="F647" s="85"/>
      <c r="G647" s="85"/>
      <c r="H647" s="90"/>
    </row>
    <row r="648" spans="2:8" ht="12.75" customHeight="1" x14ac:dyDescent="0.25">
      <c r="B648" s="94"/>
      <c r="C648" s="85"/>
      <c r="D648" s="94"/>
      <c r="E648" s="85"/>
      <c r="F648" s="85"/>
      <c r="G648" s="85"/>
      <c r="H648" s="90"/>
    </row>
    <row r="649" spans="2:8" ht="18" x14ac:dyDescent="0.25">
      <c r="B649" s="85" t="s">
        <v>198</v>
      </c>
      <c r="C649" s="85"/>
      <c r="D649" s="107">
        <f>+'RES CUENTA'!$L$25</f>
        <v>10859801.41</v>
      </c>
      <c r="E649" s="108" t="e">
        <f>+'RES CUENTA'!#REF!</f>
        <v>#REF!</v>
      </c>
      <c r="F649" s="103" t="e">
        <f>+D649*E649/100</f>
        <v>#REF!</v>
      </c>
      <c r="G649" s="345"/>
      <c r="H649" s="345"/>
    </row>
    <row r="650" spans="2:8" ht="18" x14ac:dyDescent="0.25">
      <c r="B650" s="85" t="s">
        <v>199</v>
      </c>
      <c r="C650" s="85"/>
      <c r="D650" s="107" t="e">
        <f>+'RES CUENTA'!#REF!</f>
        <v>#REF!</v>
      </c>
      <c r="E650" s="108" t="e">
        <f>+'RES CUENTA'!#REF!</f>
        <v>#REF!</v>
      </c>
      <c r="F650" s="103" t="e">
        <f>+D650*E650/100</f>
        <v>#REF!</v>
      </c>
      <c r="G650" s="341"/>
      <c r="H650" s="341"/>
    </row>
    <row r="651" spans="2:8" ht="18" x14ac:dyDescent="0.25">
      <c r="B651" s="85" t="s">
        <v>202</v>
      </c>
      <c r="C651" s="85"/>
      <c r="D651" s="107" t="e">
        <f>+'RES CUENTA'!#REF!</f>
        <v>#REF!</v>
      </c>
      <c r="E651" s="108">
        <v>0</v>
      </c>
      <c r="F651" s="103" t="e">
        <f>+D651</f>
        <v>#REF!</v>
      </c>
      <c r="G651" s="341"/>
      <c r="H651" s="341"/>
    </row>
    <row r="652" spans="2:8" ht="18" x14ac:dyDescent="0.25">
      <c r="B652" s="85" t="s">
        <v>79</v>
      </c>
      <c r="C652" s="85"/>
      <c r="D652" s="107" t="e">
        <f>+'RES CUENTA'!#REF!</f>
        <v>#REF!</v>
      </c>
      <c r="E652" s="108">
        <v>0</v>
      </c>
      <c r="F652" s="103" t="e">
        <f>+D652</f>
        <v>#REF!</v>
      </c>
      <c r="G652" s="341"/>
      <c r="H652" s="341"/>
    </row>
    <row r="653" spans="2:8" ht="18" x14ac:dyDescent="0.25">
      <c r="B653" s="85" t="s">
        <v>80</v>
      </c>
      <c r="C653" s="85"/>
      <c r="D653" s="107" t="e">
        <f>+'RES CUENTA'!#REF!</f>
        <v>#REF!</v>
      </c>
      <c r="E653" s="108">
        <v>0</v>
      </c>
      <c r="F653" s="165" t="e">
        <f>+D653</f>
        <v>#REF!</v>
      </c>
      <c r="G653" s="341"/>
      <c r="H653" s="341"/>
    </row>
    <row r="654" spans="2:8" ht="18" x14ac:dyDescent="0.25">
      <c r="B654" s="86"/>
      <c r="C654" s="85"/>
      <c r="D654" s="85"/>
      <c r="E654" s="92"/>
      <c r="F654" s="104" t="e">
        <f>SUM(F649:F653)</f>
        <v>#REF!</v>
      </c>
      <c r="G654" s="338"/>
      <c r="H654" s="338"/>
    </row>
    <row r="655" spans="2:8" ht="18" x14ac:dyDescent="0.25">
      <c r="B655" s="85"/>
      <c r="C655" s="85"/>
      <c r="D655" s="85"/>
      <c r="E655" s="85"/>
      <c r="F655" s="91"/>
      <c r="G655" s="90"/>
      <c r="H655" s="90"/>
    </row>
    <row r="656" spans="2:8" ht="18" x14ac:dyDescent="0.25">
      <c r="B656" s="85"/>
      <c r="C656" s="85"/>
      <c r="D656" s="85"/>
      <c r="E656" s="85"/>
      <c r="F656" s="92"/>
      <c r="G656" s="85"/>
      <c r="H656" s="90"/>
    </row>
    <row r="657" spans="2:8" ht="18" x14ac:dyDescent="0.25">
      <c r="B657" s="85"/>
      <c r="C657" s="85"/>
      <c r="D657" s="85"/>
      <c r="E657" s="85"/>
      <c r="F657" s="92"/>
      <c r="G657" s="85"/>
      <c r="H657" s="90"/>
    </row>
    <row r="658" spans="2:8" ht="20.25" customHeight="1" x14ac:dyDescent="0.25">
      <c r="B658" s="85"/>
      <c r="C658" s="85"/>
      <c r="D658" s="85"/>
      <c r="E658" s="85"/>
      <c r="F658" s="92"/>
      <c r="G658" s="85"/>
      <c r="H658" s="90"/>
    </row>
    <row r="659" spans="2:8" ht="21.75" customHeight="1" x14ac:dyDescent="0.25">
      <c r="B659" s="85" t="e">
        <f>+B644</f>
        <v>#REF!</v>
      </c>
      <c r="C659" s="344"/>
      <c r="D659" s="344"/>
      <c r="E659" s="85" t="e">
        <f>+B659</f>
        <v>#REF!</v>
      </c>
      <c r="F659" s="92"/>
      <c r="G659" s="85"/>
      <c r="H659" s="90"/>
    </row>
    <row r="660" spans="2:8" ht="18" x14ac:dyDescent="0.25">
      <c r="C660" s="85"/>
      <c r="D660" s="85"/>
      <c r="F660" s="344"/>
      <c r="G660" s="344"/>
      <c r="H660" s="344"/>
    </row>
    <row r="661" spans="2:8" ht="18" x14ac:dyDescent="0.25">
      <c r="B661" s="85" t="str">
        <f>+E1</f>
        <v>Lima 461 C:A:B:A:</v>
      </c>
      <c r="C661" s="85"/>
      <c r="D661" s="90" t="str">
        <f>+H645</f>
        <v>Unid. 17</v>
      </c>
      <c r="E661" s="85" t="str">
        <f>+$E$1</f>
        <v>Lima 461 C:A:B:A:</v>
      </c>
      <c r="F661" s="85"/>
      <c r="G661" s="85"/>
      <c r="H661" s="90" t="str">
        <f>+D661</f>
        <v>Unid. 17</v>
      </c>
    </row>
    <row r="662" spans="2:8" ht="18" x14ac:dyDescent="0.25">
      <c r="D662" s="90" t="e">
        <f>+H662</f>
        <v>#REF!</v>
      </c>
      <c r="H662" s="90" t="e">
        <f>+H646</f>
        <v>#REF!</v>
      </c>
    </row>
    <row r="663" spans="2:8" ht="18" x14ac:dyDescent="0.25">
      <c r="B663" s="86"/>
      <c r="C663" s="86"/>
      <c r="D663" s="86"/>
      <c r="E663" s="86"/>
      <c r="F663" s="85"/>
      <c r="G663" s="85"/>
    </row>
    <row r="664" spans="2:8" ht="18" x14ac:dyDescent="0.25">
      <c r="B664" s="85"/>
      <c r="C664" s="85"/>
      <c r="D664" s="85"/>
      <c r="E664" s="85"/>
      <c r="F664" s="85"/>
      <c r="G664" s="86"/>
      <c r="H664" s="94"/>
    </row>
    <row r="665" spans="2:8" ht="9.75" customHeight="1" x14ac:dyDescent="0.25">
      <c r="B665" s="85"/>
      <c r="C665" s="85"/>
      <c r="D665" s="85"/>
      <c r="E665" s="96"/>
      <c r="F665" s="85"/>
      <c r="G665" s="94"/>
      <c r="H665" s="90"/>
    </row>
    <row r="666" spans="2:8" ht="18" x14ac:dyDescent="0.25">
      <c r="C666" s="85"/>
      <c r="D666" s="85"/>
      <c r="E666" s="85" t="s">
        <v>200</v>
      </c>
      <c r="F666" s="106" t="e">
        <f>+F649</f>
        <v>#REF!</v>
      </c>
      <c r="H666" s="99">
        <f>+B671</f>
        <v>46037</v>
      </c>
    </row>
    <row r="667" spans="2:8" ht="18" x14ac:dyDescent="0.25">
      <c r="B667" s="86"/>
      <c r="C667" s="85"/>
      <c r="D667" s="85"/>
      <c r="E667" s="85" t="s">
        <v>201</v>
      </c>
      <c r="F667" s="106" t="e">
        <f>+F650</f>
        <v>#REF!</v>
      </c>
    </row>
    <row r="668" spans="2:8" ht="18" x14ac:dyDescent="0.25">
      <c r="B668" s="86"/>
      <c r="C668" s="85"/>
      <c r="D668" s="85"/>
      <c r="E668" s="85" t="s">
        <v>81</v>
      </c>
      <c r="F668" s="106" t="e">
        <f>+F652</f>
        <v>#REF!</v>
      </c>
      <c r="G668" s="85"/>
      <c r="H668" s="90"/>
    </row>
    <row r="669" spans="2:8" ht="18" x14ac:dyDescent="0.25">
      <c r="B669" s="85"/>
      <c r="C669" s="85"/>
      <c r="D669" s="85"/>
      <c r="E669" s="85" t="s">
        <v>82</v>
      </c>
      <c r="F669" s="106" t="e">
        <f>+F653</f>
        <v>#REF!</v>
      </c>
      <c r="G669" s="85"/>
      <c r="H669" s="90"/>
    </row>
    <row r="670" spans="2:8" ht="18" x14ac:dyDescent="0.25">
      <c r="B670" s="96"/>
      <c r="C670" s="96"/>
      <c r="D670" s="96"/>
      <c r="E670" s="85" t="s">
        <v>188</v>
      </c>
      <c r="F670" s="166" t="e">
        <f>+F651</f>
        <v>#REF!</v>
      </c>
      <c r="G670" s="106"/>
      <c r="H670" s="90"/>
    </row>
    <row r="671" spans="2:8" ht="18" x14ac:dyDescent="0.25">
      <c r="B671" s="99">
        <f>+$G$30</f>
        <v>46037</v>
      </c>
      <c r="C671" s="105" t="e">
        <f>+F654</f>
        <v>#REF!</v>
      </c>
      <c r="D671" s="85"/>
      <c r="E671" s="85" t="s">
        <v>83</v>
      </c>
      <c r="F671" s="106" t="e">
        <f>+F654</f>
        <v>#REF!</v>
      </c>
      <c r="G671" s="85"/>
      <c r="H671" s="90"/>
    </row>
    <row r="672" spans="2:8" ht="18" x14ac:dyDescent="0.25">
      <c r="B672" s="85"/>
      <c r="C672" s="85"/>
      <c r="D672" s="85"/>
      <c r="E672" s="102"/>
      <c r="F672" s="85"/>
      <c r="G672" s="85"/>
      <c r="H672" s="90"/>
    </row>
    <row r="673" spans="2:8" ht="18" x14ac:dyDescent="0.25">
      <c r="B673" s="85"/>
      <c r="C673" s="85"/>
      <c r="D673" s="85"/>
      <c r="F673" s="85"/>
      <c r="G673" s="85"/>
      <c r="H673" s="90"/>
    </row>
    <row r="674" spans="2:8" ht="18" x14ac:dyDescent="0.25">
      <c r="B674" s="85"/>
      <c r="C674" s="85"/>
      <c r="D674" s="85"/>
      <c r="E674" s="85"/>
      <c r="F674" s="85"/>
      <c r="G674" s="85"/>
      <c r="H674" s="90"/>
    </row>
    <row r="675" spans="2:8" ht="18" x14ac:dyDescent="0.25">
      <c r="B675" s="85"/>
      <c r="C675" s="85"/>
      <c r="D675" s="85"/>
      <c r="E675" s="85"/>
      <c r="F675" s="85"/>
      <c r="G675" s="345"/>
      <c r="H675" s="345"/>
    </row>
    <row r="676" spans="2:8" ht="18" x14ac:dyDescent="0.25">
      <c r="B676" s="85"/>
      <c r="C676" s="85"/>
      <c r="D676" s="85"/>
      <c r="E676" s="85"/>
      <c r="F676" s="85"/>
      <c r="G676" s="85"/>
      <c r="H676" s="90"/>
    </row>
    <row r="677" spans="2:8" ht="18" x14ac:dyDescent="0.25">
      <c r="B677" s="85"/>
      <c r="C677" s="85"/>
      <c r="D677" s="85"/>
      <c r="E677" s="85"/>
      <c r="F677" s="85"/>
      <c r="G677" s="85"/>
      <c r="H677" s="90"/>
    </row>
    <row r="678" spans="2:8" ht="18.75" customHeight="1" x14ac:dyDescent="0.25">
      <c r="B678" s="343"/>
      <c r="C678" s="343"/>
      <c r="D678" s="343"/>
      <c r="E678" s="85"/>
      <c r="F678" s="85"/>
      <c r="H678" s="90"/>
    </row>
    <row r="679" spans="2:8" ht="18" x14ac:dyDescent="0.25">
      <c r="B679" s="343"/>
      <c r="C679" s="343"/>
      <c r="D679" s="343"/>
      <c r="E679" s="98">
        <f>+$B$1</f>
        <v>46143</v>
      </c>
      <c r="F679" s="85"/>
      <c r="G679" s="99">
        <f>+$D$1</f>
        <v>46037</v>
      </c>
      <c r="H679" s="160"/>
    </row>
    <row r="680" spans="2:8" ht="18" x14ac:dyDescent="0.25">
      <c r="B680" s="84"/>
      <c r="C680" s="84"/>
      <c r="D680" s="84"/>
      <c r="E680" s="98"/>
      <c r="F680" s="85"/>
      <c r="G680" s="99"/>
      <c r="H680" s="160"/>
    </row>
    <row r="681" spans="2:8" ht="20.25" customHeight="1" x14ac:dyDescent="0.25">
      <c r="B681" s="84"/>
      <c r="C681" s="84"/>
      <c r="D681" s="100"/>
      <c r="E681" s="98"/>
      <c r="F681" s="85"/>
    </row>
    <row r="682" spans="2:8" ht="18" x14ac:dyDescent="0.25">
      <c r="B682" s="85" t="e">
        <f>+B19</f>
        <v>#REF!</v>
      </c>
      <c r="C682" s="85"/>
      <c r="D682" s="85"/>
      <c r="F682" s="85"/>
    </row>
    <row r="683" spans="2:8" ht="15" customHeight="1" x14ac:dyDescent="0.25">
      <c r="C683" s="85"/>
      <c r="D683" s="85"/>
      <c r="E683" s="85" t="str">
        <f>+$E$1</f>
        <v>Lima 461 C:A:B:A:</v>
      </c>
      <c r="F683" s="85"/>
      <c r="H683" s="90" t="s">
        <v>101</v>
      </c>
    </row>
    <row r="684" spans="2:8" ht="18" x14ac:dyDescent="0.25">
      <c r="B684" s="86"/>
      <c r="C684" s="85"/>
      <c r="D684" s="85"/>
      <c r="F684" s="85"/>
      <c r="G684" s="86"/>
      <c r="H684" s="90" t="e">
        <f>+'RES CUENTA'!#REF!</f>
        <v>#REF!</v>
      </c>
    </row>
    <row r="685" spans="2:8" ht="18" x14ac:dyDescent="0.25">
      <c r="B685" s="85"/>
      <c r="C685" s="85"/>
      <c r="D685" s="85"/>
      <c r="E685" s="86"/>
      <c r="F685" s="86"/>
      <c r="G685" s="85"/>
      <c r="H685" s="94"/>
    </row>
    <row r="686" spans="2:8" ht="18" customHeight="1" x14ac:dyDescent="0.25">
      <c r="B686" s="94"/>
      <c r="C686" s="85"/>
      <c r="D686" s="94"/>
      <c r="E686" s="85"/>
      <c r="F686" s="85"/>
      <c r="G686" s="85"/>
      <c r="H686" s="90"/>
    </row>
    <row r="687" spans="2:8" ht="18" x14ac:dyDescent="0.25">
      <c r="B687" s="85" t="s">
        <v>198</v>
      </c>
      <c r="C687" s="85"/>
      <c r="D687" s="107">
        <f>+'RES CUENTA'!$L$25</f>
        <v>10859801.41</v>
      </c>
      <c r="E687" s="108" t="e">
        <f>+'RES CUENTA'!#REF!</f>
        <v>#REF!</v>
      </c>
      <c r="F687" s="103" t="e">
        <f>+D687*E687/100</f>
        <v>#REF!</v>
      </c>
      <c r="G687" s="85"/>
      <c r="H687" s="94"/>
    </row>
    <row r="688" spans="2:8" ht="18" x14ac:dyDescent="0.25">
      <c r="B688" s="85" t="s">
        <v>199</v>
      </c>
      <c r="C688" s="85"/>
      <c r="D688" s="107" t="e">
        <f>+'RES CUENTA'!#REF!</f>
        <v>#REF!</v>
      </c>
      <c r="E688" s="108" t="e">
        <f>+'RES CUENTA'!#REF!</f>
        <v>#REF!</v>
      </c>
      <c r="F688" s="103" t="e">
        <f>+D688*E688/100</f>
        <v>#REF!</v>
      </c>
      <c r="G688" s="94"/>
      <c r="H688" s="89"/>
    </row>
    <row r="689" spans="2:8" ht="18" x14ac:dyDescent="0.25">
      <c r="B689" s="85" t="s">
        <v>202</v>
      </c>
      <c r="C689" s="85"/>
      <c r="D689" s="107" t="e">
        <f>+'RES CUENTA'!#REF!</f>
        <v>#REF!</v>
      </c>
      <c r="E689" s="108">
        <v>0</v>
      </c>
      <c r="F689" s="103" t="e">
        <f>+D689</f>
        <v>#REF!</v>
      </c>
      <c r="G689" s="94"/>
      <c r="H689" s="89"/>
    </row>
    <row r="690" spans="2:8" ht="18" x14ac:dyDescent="0.25">
      <c r="B690" s="85" t="s">
        <v>79</v>
      </c>
      <c r="C690" s="85"/>
      <c r="D690" s="107" t="e">
        <f>+'RES CUENTA'!#REF!</f>
        <v>#REF!</v>
      </c>
      <c r="E690" s="108">
        <v>0</v>
      </c>
      <c r="F690" s="103" t="e">
        <f>+D690</f>
        <v>#REF!</v>
      </c>
      <c r="G690" s="89"/>
      <c r="H690" s="89"/>
    </row>
    <row r="691" spans="2:8" ht="18" x14ac:dyDescent="0.25">
      <c r="B691" s="85" t="s">
        <v>80</v>
      </c>
      <c r="C691" s="85"/>
      <c r="D691" s="107" t="e">
        <f>+'RES CUENTA'!#REF!</f>
        <v>#REF!</v>
      </c>
      <c r="E691" s="108">
        <v>0</v>
      </c>
      <c r="F691" s="165" t="e">
        <f>+D691+E691</f>
        <v>#REF!</v>
      </c>
      <c r="G691" s="89"/>
      <c r="H691" s="89"/>
    </row>
    <row r="692" spans="2:8" ht="18" x14ac:dyDescent="0.25">
      <c r="B692" s="86"/>
      <c r="C692" s="85"/>
      <c r="D692" s="85"/>
      <c r="F692" s="104" t="e">
        <f>SUM(F687:F691)</f>
        <v>#REF!</v>
      </c>
      <c r="G692" s="89"/>
      <c r="H692" s="89"/>
    </row>
    <row r="693" spans="2:8" ht="18" x14ac:dyDescent="0.25">
      <c r="B693" s="86"/>
      <c r="C693" s="85"/>
      <c r="D693" s="85"/>
      <c r="F693" s="91"/>
      <c r="G693" s="89"/>
      <c r="H693" s="90"/>
    </row>
    <row r="694" spans="2:8" ht="18" x14ac:dyDescent="0.25">
      <c r="B694" s="85"/>
      <c r="C694" s="85"/>
      <c r="D694" s="85"/>
      <c r="E694" s="85"/>
      <c r="F694" s="92"/>
      <c r="G694" s="90"/>
      <c r="H694" s="90"/>
    </row>
    <row r="695" spans="2:8" ht="24.75" customHeight="1" x14ac:dyDescent="0.25">
      <c r="B695" s="85"/>
      <c r="C695" s="85"/>
      <c r="D695" s="85"/>
      <c r="E695" s="85"/>
      <c r="F695" s="92"/>
      <c r="G695" s="90"/>
      <c r="H695" s="90"/>
    </row>
    <row r="696" spans="2:8" ht="13.5" customHeight="1" x14ac:dyDescent="0.25">
      <c r="B696" s="85"/>
      <c r="C696" s="85"/>
      <c r="D696" s="85"/>
      <c r="E696" s="85"/>
      <c r="F696" s="92"/>
      <c r="G696" s="90"/>
      <c r="H696" s="90"/>
    </row>
    <row r="697" spans="2:8" ht="27.75" customHeight="1" x14ac:dyDescent="0.25">
      <c r="B697" s="85" t="e">
        <f>+B682</f>
        <v>#REF!</v>
      </c>
      <c r="C697" s="85"/>
      <c r="D697" s="85"/>
      <c r="E697" s="85" t="e">
        <f>+B682</f>
        <v>#REF!</v>
      </c>
      <c r="F697" s="85"/>
      <c r="G697" s="85"/>
      <c r="H697" s="94"/>
    </row>
    <row r="698" spans="2:8" ht="15" customHeight="1" x14ac:dyDescent="0.25">
      <c r="B698" s="86"/>
      <c r="C698" s="85"/>
      <c r="D698" s="85"/>
      <c r="F698" s="85"/>
      <c r="G698" s="101"/>
      <c r="H698" s="90" t="str">
        <f>+H683</f>
        <v>Unid. 18</v>
      </c>
    </row>
    <row r="699" spans="2:8" ht="20.25" customHeight="1" x14ac:dyDescent="0.25">
      <c r="B699" s="85" t="str">
        <f>+E1</f>
        <v>Lima 461 C:A:B:A:</v>
      </c>
      <c r="C699" s="85"/>
      <c r="D699" s="90" t="str">
        <f>+H698</f>
        <v>Unid. 18</v>
      </c>
      <c r="E699" s="85" t="str">
        <f>+E683</f>
        <v>Lima 461 C:A:B:A:</v>
      </c>
      <c r="F699" s="85"/>
      <c r="G699" s="85"/>
      <c r="H699" s="90" t="e">
        <f>+H684</f>
        <v>#REF!</v>
      </c>
    </row>
    <row r="700" spans="2:8" ht="18" x14ac:dyDescent="0.25">
      <c r="B700" s="86"/>
      <c r="C700" s="86"/>
      <c r="D700" s="90" t="e">
        <f>+H699</f>
        <v>#REF!</v>
      </c>
      <c r="F700" s="85"/>
      <c r="G700" s="85"/>
    </row>
    <row r="701" spans="2:8" ht="18" x14ac:dyDescent="0.25">
      <c r="B701" s="85"/>
      <c r="C701" s="85"/>
      <c r="D701" s="85"/>
      <c r="E701" s="86"/>
      <c r="F701" s="85"/>
      <c r="G701" s="85"/>
      <c r="H701" s="94"/>
    </row>
    <row r="702" spans="2:8" ht="18" x14ac:dyDescent="0.25">
      <c r="B702" s="85"/>
      <c r="C702" s="85"/>
      <c r="D702" s="85"/>
      <c r="E702" s="85"/>
      <c r="F702" s="96"/>
      <c r="G702" s="86"/>
      <c r="H702" s="90"/>
    </row>
    <row r="703" spans="2:8" ht="12" customHeight="1" x14ac:dyDescent="0.25">
      <c r="B703" s="85"/>
      <c r="C703" s="85"/>
      <c r="D703" s="85"/>
      <c r="E703" s="96"/>
      <c r="G703" s="94"/>
      <c r="H703" s="96"/>
    </row>
    <row r="704" spans="2:8" ht="18" x14ac:dyDescent="0.25">
      <c r="B704" s="86"/>
      <c r="C704" s="85"/>
      <c r="D704" s="85"/>
      <c r="E704" s="85" t="s">
        <v>200</v>
      </c>
      <c r="F704" s="106" t="e">
        <f>+F687</f>
        <v>#REF!</v>
      </c>
      <c r="G704" s="95"/>
      <c r="H704" s="99">
        <f>+B708</f>
        <v>46037</v>
      </c>
    </row>
    <row r="705" spans="2:8" ht="18" x14ac:dyDescent="0.25">
      <c r="B705" s="86"/>
      <c r="C705" s="85"/>
      <c r="D705" s="85"/>
      <c r="E705" s="85" t="s">
        <v>201</v>
      </c>
      <c r="F705" s="106" t="e">
        <f>+F688</f>
        <v>#REF!</v>
      </c>
      <c r="H705" s="90"/>
    </row>
    <row r="706" spans="2:8" ht="18" x14ac:dyDescent="0.25">
      <c r="B706" s="85"/>
      <c r="C706" s="85"/>
      <c r="D706" s="85"/>
      <c r="E706" s="85" t="s">
        <v>81</v>
      </c>
      <c r="F706" s="106" t="e">
        <f>+F690</f>
        <v>#REF!</v>
      </c>
      <c r="G706" s="85"/>
      <c r="H706" s="90"/>
    </row>
    <row r="707" spans="2:8" ht="18" x14ac:dyDescent="0.25">
      <c r="B707" s="96"/>
      <c r="C707" s="96"/>
      <c r="D707" s="96"/>
      <c r="E707" s="85" t="s">
        <v>82</v>
      </c>
      <c r="F707" s="106" t="e">
        <f>+F691</f>
        <v>#REF!</v>
      </c>
      <c r="G707" s="85"/>
      <c r="H707" s="90"/>
    </row>
    <row r="708" spans="2:8" ht="18" x14ac:dyDescent="0.25">
      <c r="B708" s="99">
        <f>+$G$30</f>
        <v>46037</v>
      </c>
      <c r="C708" s="105" t="e">
        <f>+F692</f>
        <v>#REF!</v>
      </c>
      <c r="D708" s="85"/>
      <c r="E708" s="85" t="s">
        <v>188</v>
      </c>
      <c r="F708" s="166" t="e">
        <f>+F689</f>
        <v>#REF!</v>
      </c>
      <c r="G708" s="85"/>
      <c r="H708" s="90"/>
    </row>
    <row r="709" spans="2:8" ht="18" x14ac:dyDescent="0.25">
      <c r="B709" s="85"/>
      <c r="C709" s="85"/>
      <c r="D709" s="85"/>
      <c r="E709" s="85" t="s">
        <v>83</v>
      </c>
      <c r="F709" s="106" t="e">
        <f>+F692</f>
        <v>#REF!</v>
      </c>
      <c r="G709" s="85"/>
      <c r="H709" s="90"/>
    </row>
    <row r="710" spans="2:8" ht="18" x14ac:dyDescent="0.25">
      <c r="B710" s="85"/>
      <c r="C710" s="85"/>
      <c r="D710" s="85"/>
      <c r="E710" s="85"/>
      <c r="F710" s="85"/>
      <c r="G710" s="85"/>
      <c r="H710" s="90"/>
    </row>
    <row r="711" spans="2:8" ht="18" x14ac:dyDescent="0.25">
      <c r="B711" s="85"/>
      <c r="C711" s="85"/>
      <c r="D711" s="85"/>
      <c r="E711" s="102"/>
      <c r="F711" s="85"/>
      <c r="G711" s="85"/>
      <c r="H711" s="90"/>
    </row>
    <row r="712" spans="2:8" ht="18" x14ac:dyDescent="0.25">
      <c r="B712" s="85"/>
      <c r="C712" s="85"/>
      <c r="D712" s="85"/>
      <c r="E712" s="85"/>
      <c r="F712" s="85"/>
      <c r="G712" s="85"/>
      <c r="H712" s="94"/>
    </row>
    <row r="713" spans="2:8" ht="12" customHeight="1" x14ac:dyDescent="0.25">
      <c r="E713" s="85"/>
      <c r="G713" s="94"/>
      <c r="H713" s="90"/>
    </row>
    <row r="715" spans="2:8" ht="18" x14ac:dyDescent="0.25">
      <c r="B715" s="343"/>
      <c r="C715" s="343"/>
      <c r="D715" s="343"/>
      <c r="E715" s="342">
        <f>+$B$1</f>
        <v>46143</v>
      </c>
      <c r="F715" s="85"/>
      <c r="G715" s="337">
        <f>+$D$1</f>
        <v>46037</v>
      </c>
      <c r="H715" s="90"/>
    </row>
    <row r="716" spans="2:8" ht="18" x14ac:dyDescent="0.25">
      <c r="B716" s="84"/>
      <c r="C716" s="84"/>
      <c r="D716" s="100"/>
      <c r="E716" s="342"/>
      <c r="F716" s="85"/>
      <c r="G716" s="337"/>
      <c r="H716" s="90"/>
    </row>
    <row r="717" spans="2:8" ht="21.75" customHeight="1" x14ac:dyDescent="0.25">
      <c r="B717" s="85"/>
      <c r="C717" s="85"/>
      <c r="D717" s="85"/>
      <c r="E717" s="86"/>
      <c r="F717" s="85"/>
      <c r="G717" s="86"/>
      <c r="H717" s="90"/>
    </row>
    <row r="718" spans="2:8" ht="27" customHeight="1" x14ac:dyDescent="0.25">
      <c r="B718" s="85" t="e">
        <f>+B20</f>
        <v>#REF!</v>
      </c>
      <c r="C718" s="85"/>
      <c r="D718" s="85"/>
      <c r="E718" s="86"/>
      <c r="F718" s="85"/>
      <c r="G718" s="86"/>
      <c r="H718" s="90"/>
    </row>
    <row r="719" spans="2:8" ht="21" customHeight="1" x14ac:dyDescent="0.25">
      <c r="B719" s="86"/>
      <c r="C719" s="85"/>
      <c r="D719" s="85"/>
      <c r="E719" s="85" t="str">
        <f>+E34</f>
        <v>Lima 461 C:A:B:A:</v>
      </c>
      <c r="F719" s="85"/>
      <c r="G719" s="85"/>
      <c r="H719" s="90" t="s">
        <v>102</v>
      </c>
    </row>
    <row r="720" spans="2:8" ht="18" x14ac:dyDescent="0.25">
      <c r="B720" s="85"/>
      <c r="C720" s="85"/>
      <c r="D720" s="85"/>
      <c r="E720" s="86"/>
      <c r="F720" s="86"/>
      <c r="G720" s="85"/>
      <c r="H720" s="90" t="e">
        <f>+'RES CUENTA'!#REF!</f>
        <v>#REF!</v>
      </c>
    </row>
    <row r="721" spans="2:8" ht="18" x14ac:dyDescent="0.25">
      <c r="B721" s="94"/>
      <c r="C721" s="85"/>
      <c r="D721" s="94"/>
      <c r="E721" s="85"/>
      <c r="F721" s="85"/>
      <c r="G721" s="85"/>
      <c r="H721" s="90"/>
    </row>
    <row r="722" spans="2:8" ht="18" x14ac:dyDescent="0.25">
      <c r="B722" s="94"/>
      <c r="C722" s="85"/>
      <c r="D722" s="94"/>
      <c r="E722" s="85"/>
      <c r="F722" s="85"/>
      <c r="G722" s="85"/>
      <c r="H722" s="90"/>
    </row>
    <row r="723" spans="2:8" ht="18" x14ac:dyDescent="0.25">
      <c r="B723" s="85" t="s">
        <v>198</v>
      </c>
      <c r="C723" s="85"/>
      <c r="D723" s="107">
        <f>+'RES CUENTA'!$L$25</f>
        <v>10859801.41</v>
      </c>
      <c r="E723" s="108" t="e">
        <f>+'RES CUENTA'!#REF!</f>
        <v>#REF!</v>
      </c>
      <c r="F723" s="103" t="e">
        <f>+D723*E723/100</f>
        <v>#REF!</v>
      </c>
      <c r="G723" s="345"/>
      <c r="H723" s="345"/>
    </row>
    <row r="724" spans="2:8" ht="18" x14ac:dyDescent="0.25">
      <c r="B724" s="85" t="s">
        <v>199</v>
      </c>
      <c r="C724" s="85"/>
      <c r="D724" s="107" t="e">
        <f>+'RES CUENTA'!#REF!</f>
        <v>#REF!</v>
      </c>
      <c r="E724" s="108" t="e">
        <f>+'RES CUENTA'!#REF!</f>
        <v>#REF!</v>
      </c>
      <c r="F724" s="103" t="e">
        <f>+D724*E724/100</f>
        <v>#REF!</v>
      </c>
      <c r="G724" s="341"/>
      <c r="H724" s="341"/>
    </row>
    <row r="725" spans="2:8" ht="18" x14ac:dyDescent="0.25">
      <c r="B725" s="85" t="s">
        <v>202</v>
      </c>
      <c r="C725" s="85"/>
      <c r="D725" s="107" t="e">
        <f>+'RES CUENTA'!#REF!</f>
        <v>#REF!</v>
      </c>
      <c r="E725" s="108">
        <v>0</v>
      </c>
      <c r="F725" s="103" t="e">
        <f>+D725</f>
        <v>#REF!</v>
      </c>
      <c r="G725" s="341"/>
      <c r="H725" s="341"/>
    </row>
    <row r="726" spans="2:8" ht="18" x14ac:dyDescent="0.25">
      <c r="B726" s="85" t="s">
        <v>79</v>
      </c>
      <c r="C726" s="85"/>
      <c r="D726" s="107" t="e">
        <f>+'RES CUENTA'!#REF!</f>
        <v>#REF!</v>
      </c>
      <c r="E726" s="108">
        <v>0</v>
      </c>
      <c r="F726" s="103" t="e">
        <f>+D726</f>
        <v>#REF!</v>
      </c>
      <c r="G726" s="341"/>
      <c r="H726" s="341"/>
    </row>
    <row r="727" spans="2:8" ht="18" x14ac:dyDescent="0.25">
      <c r="B727" s="85" t="s">
        <v>80</v>
      </c>
      <c r="C727" s="85"/>
      <c r="D727" s="107" t="e">
        <f>+'RES CUENTA'!#REF!</f>
        <v>#REF!</v>
      </c>
      <c r="E727" s="108">
        <v>0</v>
      </c>
      <c r="F727" s="165" t="e">
        <f>+D727</f>
        <v>#REF!</v>
      </c>
      <c r="G727" s="341"/>
      <c r="H727" s="341"/>
    </row>
    <row r="728" spans="2:8" ht="18" x14ac:dyDescent="0.25">
      <c r="B728" s="86"/>
      <c r="C728" s="85"/>
      <c r="D728" s="85"/>
      <c r="E728" s="92"/>
      <c r="F728" s="104" t="e">
        <f>SUM(F723:F727)</f>
        <v>#REF!</v>
      </c>
      <c r="G728" s="89"/>
      <c r="H728" s="89"/>
    </row>
    <row r="729" spans="2:8" ht="18" x14ac:dyDescent="0.25">
      <c r="B729" s="86"/>
      <c r="C729" s="85"/>
      <c r="D729" s="85"/>
      <c r="E729" s="85"/>
      <c r="G729" s="338"/>
      <c r="H729" s="338"/>
    </row>
    <row r="730" spans="2:8" ht="18" x14ac:dyDescent="0.25">
      <c r="B730" s="85"/>
      <c r="C730" s="85"/>
      <c r="D730" s="85"/>
      <c r="E730" s="85"/>
      <c r="F730" s="91"/>
      <c r="G730" s="90"/>
      <c r="H730" s="90"/>
    </row>
    <row r="731" spans="2:8" ht="18" x14ac:dyDescent="0.25">
      <c r="B731" s="85"/>
      <c r="C731" s="85"/>
      <c r="D731" s="85"/>
      <c r="E731" s="85"/>
      <c r="F731" s="92"/>
      <c r="G731" s="85"/>
      <c r="H731" s="90"/>
    </row>
    <row r="732" spans="2:8" ht="24" customHeight="1" x14ac:dyDescent="0.25">
      <c r="B732" s="85"/>
      <c r="C732" s="85"/>
      <c r="D732" s="85"/>
      <c r="E732" s="85"/>
      <c r="F732" s="92"/>
      <c r="G732" s="85"/>
      <c r="H732" s="90"/>
    </row>
    <row r="733" spans="2:8" ht="18" x14ac:dyDescent="0.25">
      <c r="B733" s="85" t="e">
        <f>+B718</f>
        <v>#REF!</v>
      </c>
      <c r="C733" s="344"/>
      <c r="D733" s="344"/>
      <c r="E733" s="85" t="e">
        <f>+B733</f>
        <v>#REF!</v>
      </c>
      <c r="F733" s="92"/>
      <c r="G733" s="85"/>
      <c r="H733" s="90"/>
    </row>
    <row r="734" spans="2:8" ht="18" x14ac:dyDescent="0.25">
      <c r="C734" s="85"/>
      <c r="D734" s="85"/>
      <c r="F734" s="344"/>
      <c r="G734" s="344"/>
      <c r="H734" s="344"/>
    </row>
    <row r="735" spans="2:8" ht="18" x14ac:dyDescent="0.25">
      <c r="B735" s="85" t="str">
        <f>+E1</f>
        <v>Lima 461 C:A:B:A:</v>
      </c>
      <c r="C735" s="85"/>
      <c r="D735" s="93" t="str">
        <f>+H719</f>
        <v>Unid. 19</v>
      </c>
      <c r="E735" s="85" t="str">
        <f>+E719</f>
        <v>Lima 461 C:A:B:A:</v>
      </c>
      <c r="F735" s="85"/>
      <c r="G735" s="85"/>
      <c r="H735" s="90" t="str">
        <f>+D735</f>
        <v>Unid. 19</v>
      </c>
    </row>
    <row r="736" spans="2:8" ht="18" x14ac:dyDescent="0.25">
      <c r="D736" s="93" t="e">
        <f>+H736</f>
        <v>#REF!</v>
      </c>
      <c r="H736" s="90" t="e">
        <f>+H720</f>
        <v>#REF!</v>
      </c>
    </row>
    <row r="737" spans="2:8" ht="18" x14ac:dyDescent="0.25">
      <c r="B737" s="86"/>
      <c r="C737" s="86"/>
      <c r="D737" s="86"/>
      <c r="E737" s="86"/>
      <c r="F737" s="85"/>
      <c r="G737" s="85"/>
    </row>
    <row r="738" spans="2:8" ht="18" x14ac:dyDescent="0.25">
      <c r="B738" s="85"/>
      <c r="C738" s="85"/>
      <c r="D738" s="85"/>
      <c r="E738" s="85"/>
      <c r="F738" s="85"/>
      <c r="G738" s="86"/>
      <c r="H738" s="94"/>
    </row>
    <row r="739" spans="2:8" ht="14.25" customHeight="1" x14ac:dyDescent="0.25">
      <c r="B739" s="85"/>
      <c r="C739" s="85"/>
      <c r="D739" s="85"/>
      <c r="E739" s="96"/>
      <c r="F739" s="85"/>
      <c r="G739" s="94"/>
      <c r="H739" s="90"/>
    </row>
    <row r="740" spans="2:8" ht="18" x14ac:dyDescent="0.25">
      <c r="C740" s="85"/>
      <c r="D740" s="85"/>
      <c r="E740" s="85" t="s">
        <v>200</v>
      </c>
      <c r="F740" s="106" t="e">
        <f>+F723</f>
        <v>#REF!</v>
      </c>
      <c r="H740" s="99">
        <f>+B745</f>
        <v>46037</v>
      </c>
    </row>
    <row r="741" spans="2:8" ht="18" x14ac:dyDescent="0.25">
      <c r="B741" s="86"/>
      <c r="C741" s="85"/>
      <c r="D741" s="85"/>
      <c r="E741" s="85" t="s">
        <v>201</v>
      </c>
      <c r="F741" s="106" t="e">
        <f>+F724</f>
        <v>#REF!</v>
      </c>
    </row>
    <row r="742" spans="2:8" ht="18" x14ac:dyDescent="0.25">
      <c r="B742" s="86"/>
      <c r="C742" s="85"/>
      <c r="D742" s="85"/>
      <c r="E742" s="85" t="s">
        <v>81</v>
      </c>
      <c r="F742" s="106" t="e">
        <f>+F726</f>
        <v>#REF!</v>
      </c>
      <c r="G742" s="85"/>
      <c r="H742" s="90"/>
    </row>
    <row r="743" spans="2:8" ht="18" x14ac:dyDescent="0.25">
      <c r="B743" s="85"/>
      <c r="C743" s="85"/>
      <c r="D743" s="85"/>
      <c r="E743" s="85" t="s">
        <v>82</v>
      </c>
      <c r="F743" s="106" t="e">
        <f>+F727</f>
        <v>#REF!</v>
      </c>
      <c r="G743" s="85"/>
      <c r="H743" s="90"/>
    </row>
    <row r="744" spans="2:8" ht="18" x14ac:dyDescent="0.25">
      <c r="B744" s="96"/>
      <c r="C744" s="96"/>
      <c r="D744" s="96"/>
      <c r="E744" s="85" t="s">
        <v>188</v>
      </c>
      <c r="F744" s="166" t="e">
        <f>+F725</f>
        <v>#REF!</v>
      </c>
      <c r="G744" s="85"/>
      <c r="H744" s="90"/>
    </row>
    <row r="745" spans="2:8" ht="18" x14ac:dyDescent="0.25">
      <c r="B745" s="99">
        <f>+$G$30</f>
        <v>46037</v>
      </c>
      <c r="C745" s="105" t="e">
        <f>+F728</f>
        <v>#REF!</v>
      </c>
      <c r="D745" s="85"/>
      <c r="E745" s="85" t="s">
        <v>83</v>
      </c>
      <c r="F745" s="106" t="e">
        <f>+F728</f>
        <v>#REF!</v>
      </c>
      <c r="G745" s="85"/>
      <c r="H745" s="90"/>
    </row>
    <row r="746" spans="2:8" ht="18" x14ac:dyDescent="0.25">
      <c r="B746" s="85"/>
      <c r="C746" s="85"/>
      <c r="D746" s="85"/>
      <c r="E746" s="102"/>
      <c r="F746" s="85"/>
      <c r="G746" s="85"/>
      <c r="H746" s="90"/>
    </row>
    <row r="747" spans="2:8" ht="18" x14ac:dyDescent="0.25">
      <c r="B747" s="85"/>
      <c r="C747" s="85"/>
      <c r="D747" s="85"/>
      <c r="F747" s="85"/>
      <c r="G747" s="85"/>
      <c r="H747" s="90"/>
    </row>
    <row r="748" spans="2:8" ht="18" x14ac:dyDescent="0.25">
      <c r="B748" s="85"/>
      <c r="C748" s="85"/>
      <c r="D748" s="85"/>
      <c r="E748" s="85"/>
      <c r="F748" s="85"/>
      <c r="G748" s="85"/>
      <c r="H748" s="90"/>
    </row>
    <row r="749" spans="2:8" ht="18" x14ac:dyDescent="0.25">
      <c r="B749" s="85"/>
      <c r="C749" s="85"/>
      <c r="D749" s="85"/>
      <c r="E749" s="85"/>
      <c r="F749" s="85"/>
      <c r="G749" s="345"/>
      <c r="H749" s="345"/>
    </row>
    <row r="750" spans="2:8" ht="18" x14ac:dyDescent="0.25">
      <c r="B750" s="85"/>
      <c r="C750" s="85"/>
      <c r="D750" s="85"/>
      <c r="E750" s="85"/>
      <c r="F750" s="85"/>
      <c r="G750" s="85"/>
      <c r="H750" s="90"/>
    </row>
    <row r="751" spans="2:8" ht="18" x14ac:dyDescent="0.25">
      <c r="B751" s="85"/>
      <c r="C751" s="85"/>
      <c r="D751" s="85"/>
      <c r="E751" s="85"/>
      <c r="F751" s="85"/>
      <c r="G751" s="85"/>
      <c r="H751" s="90"/>
    </row>
    <row r="752" spans="2:8" ht="18" x14ac:dyDescent="0.25">
      <c r="B752" s="85"/>
      <c r="C752" s="85"/>
      <c r="D752" s="85"/>
      <c r="E752" s="85"/>
      <c r="F752" s="85"/>
      <c r="H752" s="90"/>
    </row>
    <row r="753" spans="2:8" ht="18" x14ac:dyDescent="0.25">
      <c r="B753" s="343"/>
      <c r="C753" s="343"/>
      <c r="D753" s="343"/>
      <c r="E753" s="85"/>
      <c r="F753" s="85"/>
      <c r="H753" s="90"/>
    </row>
    <row r="754" spans="2:8" ht="18" x14ac:dyDescent="0.25">
      <c r="B754" s="343"/>
      <c r="C754" s="343"/>
      <c r="D754" s="343"/>
      <c r="E754" s="98">
        <f>+$B$1</f>
        <v>46143</v>
      </c>
      <c r="F754" s="85"/>
      <c r="G754" s="99">
        <f>+$D$1</f>
        <v>46037</v>
      </c>
      <c r="H754" s="160"/>
    </row>
    <row r="755" spans="2:8" ht="24" customHeight="1" x14ac:dyDescent="0.25">
      <c r="B755" s="84"/>
      <c r="C755" s="84"/>
      <c r="D755" s="100"/>
      <c r="E755" s="98"/>
      <c r="F755" s="85"/>
    </row>
    <row r="756" spans="2:8" ht="18" x14ac:dyDescent="0.25">
      <c r="B756" s="85" t="e">
        <f>+B21</f>
        <v>#REF!</v>
      </c>
      <c r="C756" s="85"/>
      <c r="D756" s="85"/>
      <c r="F756" s="85"/>
    </row>
    <row r="757" spans="2:8" ht="15.75" customHeight="1" x14ac:dyDescent="0.25">
      <c r="C757" s="85"/>
      <c r="D757" s="85"/>
      <c r="E757" s="85" t="str">
        <f>+$E$1</f>
        <v>Lima 461 C:A:B:A:</v>
      </c>
      <c r="F757" s="85"/>
      <c r="H757" s="90" t="s">
        <v>103</v>
      </c>
    </row>
    <row r="758" spans="2:8" ht="18" x14ac:dyDescent="0.25">
      <c r="B758" s="86"/>
      <c r="C758" s="85"/>
      <c r="D758" s="85"/>
      <c r="F758" s="85"/>
      <c r="G758" s="86"/>
      <c r="H758" s="90" t="e">
        <f>+'RES CUENTA'!#REF!</f>
        <v>#REF!</v>
      </c>
    </row>
    <row r="759" spans="2:8" ht="18" x14ac:dyDescent="0.25">
      <c r="B759" s="85"/>
      <c r="C759" s="85"/>
      <c r="D759" s="85"/>
      <c r="E759" s="86"/>
      <c r="F759" s="86"/>
      <c r="G759" s="85"/>
      <c r="H759" s="94"/>
    </row>
    <row r="760" spans="2:8" ht="18" x14ac:dyDescent="0.25">
      <c r="B760" s="94"/>
      <c r="C760" s="85"/>
      <c r="D760" s="94"/>
      <c r="E760" s="85"/>
      <c r="F760" s="85"/>
      <c r="G760" s="85"/>
      <c r="H760" s="90"/>
    </row>
    <row r="761" spans="2:8" ht="18" x14ac:dyDescent="0.25">
      <c r="B761" s="85" t="s">
        <v>198</v>
      </c>
      <c r="C761" s="85"/>
      <c r="D761" s="107">
        <f>+'RES CUENTA'!$L$25</f>
        <v>10859801.41</v>
      </c>
      <c r="E761" s="108" t="e">
        <f>+'RES CUENTA'!#REF!</f>
        <v>#REF!</v>
      </c>
      <c r="F761" s="103" t="e">
        <f>+D761*E761/100</f>
        <v>#REF!</v>
      </c>
      <c r="G761" s="85"/>
      <c r="H761" s="94"/>
    </row>
    <row r="762" spans="2:8" ht="18" x14ac:dyDescent="0.25">
      <c r="B762" s="85" t="s">
        <v>199</v>
      </c>
      <c r="C762" s="85"/>
      <c r="D762" s="107" t="e">
        <f>+'RES CUENTA'!#REF!</f>
        <v>#REF!</v>
      </c>
      <c r="E762" s="108" t="e">
        <f>+'RES CUENTA'!#REF!</f>
        <v>#REF!</v>
      </c>
      <c r="F762" s="103" t="e">
        <f>+D762*E762/100</f>
        <v>#REF!</v>
      </c>
      <c r="G762" s="94"/>
      <c r="H762" s="89"/>
    </row>
    <row r="763" spans="2:8" ht="18" x14ac:dyDescent="0.25">
      <c r="B763" s="85" t="s">
        <v>202</v>
      </c>
      <c r="C763" s="85"/>
      <c r="D763" s="107">
        <v>0</v>
      </c>
      <c r="E763" s="108">
        <v>0</v>
      </c>
      <c r="F763" s="103" t="e">
        <f>+'RES CUENTA'!#REF!</f>
        <v>#REF!</v>
      </c>
      <c r="G763" s="94"/>
      <c r="H763" s="89"/>
    </row>
    <row r="764" spans="2:8" ht="18" x14ac:dyDescent="0.25">
      <c r="B764" s="85" t="s">
        <v>79</v>
      </c>
      <c r="C764" s="85"/>
      <c r="D764" s="107" t="e">
        <f>+'RES CUENTA'!#REF!</f>
        <v>#REF!</v>
      </c>
      <c r="E764" s="108">
        <v>0</v>
      </c>
      <c r="F764" s="103" t="e">
        <f>+D764</f>
        <v>#REF!</v>
      </c>
      <c r="G764" s="89"/>
      <c r="H764" s="89"/>
    </row>
    <row r="765" spans="2:8" ht="18" x14ac:dyDescent="0.25">
      <c r="B765" s="85" t="s">
        <v>80</v>
      </c>
      <c r="C765" s="85"/>
      <c r="D765" s="107" t="e">
        <f>+'RES CUENTA'!#REF!</f>
        <v>#REF!</v>
      </c>
      <c r="E765" s="108">
        <v>0</v>
      </c>
      <c r="F765" s="165" t="e">
        <f>+D765</f>
        <v>#REF!</v>
      </c>
      <c r="G765" s="89"/>
      <c r="H765" s="89"/>
    </row>
    <row r="766" spans="2:8" ht="18" x14ac:dyDescent="0.25">
      <c r="B766" s="86"/>
      <c r="C766" s="85"/>
      <c r="D766" s="85"/>
      <c r="F766" s="104" t="e">
        <f>SUM(F761:F765)</f>
        <v>#REF!</v>
      </c>
      <c r="G766" s="89"/>
      <c r="H766" s="89"/>
    </row>
    <row r="767" spans="2:8" ht="18" x14ac:dyDescent="0.25">
      <c r="B767" s="86"/>
      <c r="C767" s="85"/>
      <c r="D767" s="85"/>
      <c r="F767" s="91"/>
      <c r="G767" s="89"/>
      <c r="H767" s="90"/>
    </row>
    <row r="768" spans="2:8" ht="18" x14ac:dyDescent="0.25">
      <c r="B768" s="85"/>
      <c r="C768" s="85"/>
      <c r="D768" s="85"/>
      <c r="E768" s="85"/>
      <c r="F768" s="92"/>
      <c r="G768" s="90"/>
      <c r="H768" s="90"/>
    </row>
    <row r="769" spans="2:8" ht="18" x14ac:dyDescent="0.25">
      <c r="B769" s="85"/>
      <c r="C769" s="85"/>
      <c r="D769" s="85"/>
      <c r="E769" s="85"/>
      <c r="F769" s="92"/>
      <c r="G769" s="90"/>
      <c r="H769" s="90"/>
    </row>
    <row r="770" spans="2:8" ht="15" customHeight="1" x14ac:dyDescent="0.25">
      <c r="B770" s="85"/>
      <c r="C770" s="85"/>
      <c r="D770" s="85"/>
      <c r="E770" s="85"/>
      <c r="F770" s="92"/>
      <c r="G770" s="90"/>
      <c r="H770" s="90"/>
    </row>
    <row r="771" spans="2:8" ht="18" x14ac:dyDescent="0.25">
      <c r="B771" s="85" t="e">
        <f>+B756</f>
        <v>#REF!</v>
      </c>
      <c r="C771" s="85"/>
      <c r="D771" s="85"/>
      <c r="E771" s="85" t="e">
        <f>+B756</f>
        <v>#REF!</v>
      </c>
      <c r="F771" s="85"/>
      <c r="G771" s="85"/>
      <c r="H771" s="94"/>
    </row>
    <row r="772" spans="2:8" ht="18" x14ac:dyDescent="0.25">
      <c r="B772" s="86"/>
      <c r="C772" s="85"/>
      <c r="D772" s="85"/>
      <c r="F772" s="85"/>
      <c r="G772" s="101"/>
      <c r="H772" s="90" t="str">
        <f>+H757</f>
        <v>Unid. 20</v>
      </c>
    </row>
    <row r="773" spans="2:8" ht="18" x14ac:dyDescent="0.25">
      <c r="B773" s="85" t="str">
        <f>+E1</f>
        <v>Lima 461 C:A:B:A:</v>
      </c>
      <c r="C773" s="85"/>
      <c r="D773" s="90" t="str">
        <f>+H772</f>
        <v>Unid. 20</v>
      </c>
      <c r="E773" s="85" t="str">
        <f>+$E$1</f>
        <v>Lima 461 C:A:B:A:</v>
      </c>
      <c r="F773" s="85"/>
      <c r="G773" s="85"/>
      <c r="H773" s="90" t="e">
        <f>+H758</f>
        <v>#REF!</v>
      </c>
    </row>
    <row r="774" spans="2:8" ht="18" x14ac:dyDescent="0.25">
      <c r="B774" s="86"/>
      <c r="C774" s="86"/>
      <c r="D774" s="90" t="e">
        <f>+H773</f>
        <v>#REF!</v>
      </c>
      <c r="F774" s="85"/>
      <c r="G774" s="85"/>
    </row>
    <row r="775" spans="2:8" ht="18" x14ac:dyDescent="0.25">
      <c r="B775" s="85"/>
      <c r="C775" s="85"/>
      <c r="D775" s="85"/>
      <c r="E775" s="86"/>
      <c r="F775" s="85"/>
      <c r="G775" s="85"/>
      <c r="H775" s="94"/>
    </row>
    <row r="776" spans="2:8" ht="8.25" customHeight="1" x14ac:dyDescent="0.25">
      <c r="B776" s="85"/>
      <c r="C776" s="85"/>
      <c r="D776" s="85"/>
      <c r="E776" s="85"/>
      <c r="F776" s="96"/>
      <c r="G776" s="86"/>
      <c r="H776" s="90"/>
    </row>
    <row r="777" spans="2:8" ht="18" x14ac:dyDescent="0.25">
      <c r="B777" s="85"/>
      <c r="C777" s="85"/>
      <c r="D777" s="85"/>
      <c r="E777" s="96"/>
      <c r="G777" s="94"/>
      <c r="H777" s="96"/>
    </row>
    <row r="778" spans="2:8" ht="18" x14ac:dyDescent="0.25">
      <c r="B778" s="86"/>
      <c r="C778" s="85"/>
      <c r="D778" s="85"/>
      <c r="E778" s="85" t="s">
        <v>200</v>
      </c>
      <c r="F778" s="106" t="e">
        <f>+F761</f>
        <v>#REF!</v>
      </c>
      <c r="G778" s="95"/>
      <c r="H778" s="99">
        <f>+B782</f>
        <v>46037</v>
      </c>
    </row>
    <row r="779" spans="2:8" ht="18" x14ac:dyDescent="0.25">
      <c r="B779" s="86"/>
      <c r="C779" s="85"/>
      <c r="D779" s="85"/>
      <c r="E779" s="85" t="s">
        <v>201</v>
      </c>
      <c r="F779" s="106" t="e">
        <f>+F762</f>
        <v>#REF!</v>
      </c>
      <c r="H779" s="90"/>
    </row>
    <row r="780" spans="2:8" ht="18" x14ac:dyDescent="0.25">
      <c r="B780" s="85"/>
      <c r="C780" s="85"/>
      <c r="D780" s="85"/>
      <c r="E780" s="85" t="s">
        <v>81</v>
      </c>
      <c r="F780" s="106" t="e">
        <f>+F764</f>
        <v>#REF!</v>
      </c>
      <c r="G780" s="85"/>
      <c r="H780" s="90"/>
    </row>
    <row r="781" spans="2:8" ht="18" x14ac:dyDescent="0.25">
      <c r="B781" s="96"/>
      <c r="C781" s="96"/>
      <c r="D781" s="96"/>
      <c r="E781" s="85" t="s">
        <v>82</v>
      </c>
      <c r="F781" s="106" t="e">
        <f>+F765</f>
        <v>#REF!</v>
      </c>
      <c r="G781" s="85"/>
      <c r="H781" s="90"/>
    </row>
    <row r="782" spans="2:8" ht="18" x14ac:dyDescent="0.25">
      <c r="B782" s="99">
        <f>+$G$30</f>
        <v>46037</v>
      </c>
      <c r="C782" s="105" t="e">
        <f>+F766</f>
        <v>#REF!</v>
      </c>
      <c r="D782" s="85"/>
      <c r="E782" s="85" t="s">
        <v>188</v>
      </c>
      <c r="F782" s="166" t="e">
        <f>+F763</f>
        <v>#REF!</v>
      </c>
      <c r="G782" s="85"/>
      <c r="H782" s="90"/>
    </row>
    <row r="783" spans="2:8" ht="18" x14ac:dyDescent="0.25">
      <c r="B783" s="85"/>
      <c r="C783" s="85"/>
      <c r="D783" s="85"/>
      <c r="E783" s="85" t="s">
        <v>83</v>
      </c>
      <c r="F783" s="106" t="e">
        <f>+F766</f>
        <v>#REF!</v>
      </c>
      <c r="G783" s="85"/>
      <c r="H783" s="90"/>
    </row>
    <row r="784" spans="2:8" ht="18" x14ac:dyDescent="0.25">
      <c r="B784" s="85"/>
      <c r="C784" s="85"/>
      <c r="D784" s="85"/>
      <c r="E784" s="85"/>
      <c r="F784" s="85"/>
      <c r="G784" s="85"/>
      <c r="H784" s="90"/>
    </row>
    <row r="785" spans="2:8" ht="18" x14ac:dyDescent="0.25">
      <c r="B785" s="85"/>
      <c r="C785" s="85"/>
      <c r="D785" s="85"/>
      <c r="E785" s="102"/>
      <c r="F785" s="85"/>
      <c r="G785" s="85"/>
      <c r="H785" s="90"/>
    </row>
    <row r="786" spans="2:8" ht="12" customHeight="1" x14ac:dyDescent="0.25">
      <c r="B786" s="85"/>
      <c r="C786" s="85"/>
      <c r="D786" s="85"/>
      <c r="E786" s="85"/>
      <c r="F786" s="85"/>
      <c r="G786" s="85"/>
      <c r="H786" s="94"/>
    </row>
    <row r="787" spans="2:8" ht="11.25" customHeight="1" x14ac:dyDescent="0.25">
      <c r="E787" s="85"/>
      <c r="G787" s="94"/>
      <c r="H787" s="90"/>
    </row>
    <row r="789" spans="2:8" ht="18" x14ac:dyDescent="0.25">
      <c r="B789" s="343"/>
      <c r="C789" s="343"/>
      <c r="D789" s="343"/>
      <c r="E789" s="342">
        <f>+$B$1</f>
        <v>46143</v>
      </c>
      <c r="F789" s="85"/>
      <c r="G789" s="337">
        <f>+$D$1</f>
        <v>46037</v>
      </c>
      <c r="H789" s="90"/>
    </row>
    <row r="790" spans="2:8" ht="18" x14ac:dyDescent="0.25">
      <c r="B790" s="84"/>
      <c r="C790" s="84"/>
      <c r="D790" s="100"/>
      <c r="E790" s="342"/>
      <c r="F790" s="85"/>
      <c r="G790" s="337"/>
      <c r="H790" s="90"/>
    </row>
    <row r="791" spans="2:8" ht="21.75" customHeight="1" x14ac:dyDescent="0.25">
      <c r="B791" s="85"/>
      <c r="C791" s="85"/>
      <c r="D791" s="85"/>
      <c r="E791" s="86"/>
      <c r="F791" s="85"/>
      <c r="G791" s="86"/>
      <c r="H791" s="90"/>
    </row>
    <row r="792" spans="2:8" ht="25.5" customHeight="1" x14ac:dyDescent="0.25">
      <c r="B792" s="85" t="e">
        <f>+B22</f>
        <v>#REF!</v>
      </c>
      <c r="C792" s="85"/>
      <c r="D792" s="85"/>
      <c r="E792" s="86"/>
      <c r="F792" s="85"/>
      <c r="G792" s="86"/>
      <c r="H792" s="90"/>
    </row>
    <row r="793" spans="2:8" ht="21" customHeight="1" x14ac:dyDescent="0.25">
      <c r="B793" s="86"/>
      <c r="C793" s="85"/>
      <c r="D793" s="85"/>
      <c r="E793" s="85" t="str">
        <f>+E34</f>
        <v>Lima 461 C:A:B:A:</v>
      </c>
      <c r="F793" s="85"/>
      <c r="G793" s="85"/>
      <c r="H793" s="90" t="s">
        <v>104</v>
      </c>
    </row>
    <row r="794" spans="2:8" ht="18" x14ac:dyDescent="0.25">
      <c r="B794" s="85"/>
      <c r="C794" s="85"/>
      <c r="D794" s="85"/>
      <c r="E794" s="86"/>
      <c r="F794" s="86"/>
      <c r="G794" s="85"/>
      <c r="H794" s="90" t="e">
        <f>+'RES CUENTA'!#REF!</f>
        <v>#REF!</v>
      </c>
    </row>
    <row r="795" spans="2:8" ht="18" x14ac:dyDescent="0.25">
      <c r="B795" s="94"/>
      <c r="C795" s="85"/>
      <c r="D795" s="94"/>
      <c r="E795" s="85"/>
      <c r="F795" s="85"/>
      <c r="G795" s="85"/>
      <c r="H795" s="90"/>
    </row>
    <row r="796" spans="2:8" ht="15" customHeight="1" x14ac:dyDescent="0.25">
      <c r="B796" s="94"/>
      <c r="C796" s="85"/>
      <c r="D796" s="94"/>
      <c r="E796" s="85"/>
      <c r="F796" s="85"/>
      <c r="G796" s="85"/>
      <c r="H796" s="90"/>
    </row>
    <row r="797" spans="2:8" ht="18" x14ac:dyDescent="0.25">
      <c r="B797" s="85" t="s">
        <v>198</v>
      </c>
      <c r="C797" s="85"/>
      <c r="D797" s="107">
        <f>+'RES CUENTA'!$L$25</f>
        <v>10859801.41</v>
      </c>
      <c r="E797" s="108" t="e">
        <f>+'RES CUENTA'!#REF!</f>
        <v>#REF!</v>
      </c>
      <c r="F797" s="103" t="e">
        <f>+D797*E797/100</f>
        <v>#REF!</v>
      </c>
      <c r="G797" s="345"/>
      <c r="H797" s="345"/>
    </row>
    <row r="798" spans="2:8" ht="18" x14ac:dyDescent="0.25">
      <c r="B798" s="85" t="s">
        <v>199</v>
      </c>
      <c r="C798" s="85"/>
      <c r="D798" s="107" t="e">
        <f>+'RES CUENTA'!#REF!</f>
        <v>#REF!</v>
      </c>
      <c r="E798" s="108" t="e">
        <f>+'RES CUENTA'!#REF!</f>
        <v>#REF!</v>
      </c>
      <c r="F798" s="103" t="e">
        <f>+D798*E798/100</f>
        <v>#REF!</v>
      </c>
      <c r="G798" s="341"/>
      <c r="H798" s="341"/>
    </row>
    <row r="799" spans="2:8" ht="18" x14ac:dyDescent="0.25">
      <c r="B799" s="85" t="s">
        <v>79</v>
      </c>
      <c r="C799" s="85"/>
      <c r="D799" s="107" t="e">
        <f>+'RES CUENTA'!#REF!</f>
        <v>#REF!</v>
      </c>
      <c r="E799" s="108">
        <v>0</v>
      </c>
      <c r="F799" s="103" t="e">
        <f>+D799</f>
        <v>#REF!</v>
      </c>
      <c r="G799" s="341"/>
      <c r="H799" s="341"/>
    </row>
    <row r="800" spans="2:8" ht="18" x14ac:dyDescent="0.25">
      <c r="B800" s="85" t="s">
        <v>80</v>
      </c>
      <c r="C800" s="85"/>
      <c r="D800" s="107" t="e">
        <f>+'RES CUENTA'!#REF!</f>
        <v>#REF!</v>
      </c>
      <c r="E800" s="108">
        <v>0</v>
      </c>
      <c r="F800" s="165" t="e">
        <f>+D800</f>
        <v>#REF!</v>
      </c>
      <c r="G800" s="341"/>
      <c r="H800" s="341"/>
    </row>
    <row r="801" spans="2:8" ht="18" x14ac:dyDescent="0.25">
      <c r="B801" s="86"/>
      <c r="C801" s="85"/>
      <c r="D801" s="85"/>
      <c r="E801" s="92"/>
      <c r="F801" s="104" t="e">
        <f>SUM(F797:F800)</f>
        <v>#REF!</v>
      </c>
      <c r="G801" s="341"/>
      <c r="H801" s="341"/>
    </row>
    <row r="802" spans="2:8" ht="18" x14ac:dyDescent="0.25">
      <c r="B802" s="86"/>
      <c r="C802" s="85"/>
      <c r="D802" s="85"/>
      <c r="E802" s="92"/>
      <c r="F802" s="104"/>
      <c r="G802" s="89"/>
      <c r="H802" s="89"/>
    </row>
    <row r="803" spans="2:8" ht="18" x14ac:dyDescent="0.25">
      <c r="B803" s="86"/>
      <c r="C803" s="85"/>
      <c r="D803" s="85"/>
      <c r="E803" s="85"/>
      <c r="G803" s="338"/>
      <c r="H803" s="338"/>
    </row>
    <row r="804" spans="2:8" ht="18" x14ac:dyDescent="0.25">
      <c r="B804" s="85"/>
      <c r="C804" s="85"/>
      <c r="D804" s="85"/>
      <c r="E804" s="85"/>
      <c r="F804" s="91"/>
      <c r="G804" s="90"/>
      <c r="H804" s="90"/>
    </row>
    <row r="805" spans="2:8" ht="18" x14ac:dyDescent="0.25">
      <c r="B805" s="85"/>
      <c r="C805" s="85"/>
      <c r="D805" s="85"/>
      <c r="E805" s="85"/>
      <c r="F805" s="92"/>
      <c r="G805" s="85"/>
      <c r="H805" s="90"/>
    </row>
    <row r="806" spans="2:8" ht="9.75" customHeight="1" x14ac:dyDescent="0.25">
      <c r="B806" s="85"/>
      <c r="C806" s="85"/>
      <c r="D806" s="85"/>
      <c r="E806" s="85"/>
      <c r="F806" s="92"/>
      <c r="G806" s="85"/>
      <c r="H806" s="90"/>
    </row>
    <row r="807" spans="2:8" ht="18" x14ac:dyDescent="0.25">
      <c r="B807" s="85"/>
      <c r="C807" s="85"/>
      <c r="D807" s="85"/>
      <c r="E807" s="85"/>
      <c r="F807" s="92"/>
      <c r="G807" s="85"/>
      <c r="H807" s="90"/>
    </row>
    <row r="808" spans="2:8" ht="18" x14ac:dyDescent="0.25">
      <c r="B808" s="85" t="e">
        <f>+B792</f>
        <v>#REF!</v>
      </c>
      <c r="C808" s="344"/>
      <c r="D808" s="344"/>
      <c r="E808" s="85" t="e">
        <f>+B808</f>
        <v>#REF!</v>
      </c>
      <c r="F808" s="92"/>
      <c r="G808" s="85"/>
      <c r="H808" s="90"/>
    </row>
    <row r="809" spans="2:8" ht="18" x14ac:dyDescent="0.25">
      <c r="C809" s="85"/>
      <c r="D809" s="85"/>
      <c r="F809" s="344"/>
      <c r="G809" s="344"/>
      <c r="H809" s="344"/>
    </row>
    <row r="810" spans="2:8" ht="18" x14ac:dyDescent="0.25">
      <c r="B810" s="85" t="str">
        <f>+E1</f>
        <v>Lima 461 C:A:B:A:</v>
      </c>
      <c r="C810" s="85"/>
      <c r="D810" s="90" t="str">
        <f>+H793</f>
        <v>Unid. 21</v>
      </c>
      <c r="E810" s="85" t="str">
        <f>+E1</f>
        <v>Lima 461 C:A:B:A:</v>
      </c>
      <c r="F810" s="85"/>
      <c r="G810" s="85"/>
      <c r="H810" s="90" t="str">
        <f>+D810</f>
        <v>Unid. 21</v>
      </c>
    </row>
    <row r="811" spans="2:8" ht="18" x14ac:dyDescent="0.25">
      <c r="D811" s="90" t="e">
        <f>+H811</f>
        <v>#REF!</v>
      </c>
      <c r="H811" s="90" t="e">
        <f>+H794</f>
        <v>#REF!</v>
      </c>
    </row>
    <row r="812" spans="2:8" ht="18" x14ac:dyDescent="0.25">
      <c r="B812" s="86"/>
      <c r="C812" s="86"/>
      <c r="D812" s="86"/>
      <c r="E812" s="86"/>
      <c r="F812" s="85"/>
      <c r="G812" s="85"/>
    </row>
    <row r="813" spans="2:8" ht="12.75" customHeight="1" x14ac:dyDescent="0.25">
      <c r="B813" s="85"/>
      <c r="C813" s="85"/>
      <c r="D813" s="85"/>
      <c r="E813" s="85"/>
      <c r="F813" s="85"/>
      <c r="G813" s="86"/>
      <c r="H813" s="94"/>
    </row>
    <row r="814" spans="2:8" ht="14.25" customHeight="1" x14ac:dyDescent="0.25">
      <c r="B814" s="85"/>
      <c r="C814" s="85"/>
      <c r="D814" s="85"/>
      <c r="E814" s="96"/>
      <c r="F814" s="85"/>
      <c r="G814" s="94"/>
      <c r="H814" s="90"/>
    </row>
    <row r="815" spans="2:8" ht="18" x14ac:dyDescent="0.25">
      <c r="C815" s="85"/>
      <c r="D815" s="85"/>
      <c r="E815" s="85" t="s">
        <v>200</v>
      </c>
      <c r="F815" s="106" t="e">
        <f>+F797</f>
        <v>#REF!</v>
      </c>
      <c r="H815" s="99">
        <f>+B820</f>
        <v>46037</v>
      </c>
    </row>
    <row r="816" spans="2:8" ht="18" x14ac:dyDescent="0.25">
      <c r="B816" s="86"/>
      <c r="C816" s="85"/>
      <c r="D816" s="85"/>
      <c r="E816" s="85" t="s">
        <v>201</v>
      </c>
      <c r="F816" s="106" t="e">
        <f>+F798</f>
        <v>#REF!</v>
      </c>
    </row>
    <row r="817" spans="2:8" ht="18" x14ac:dyDescent="0.25">
      <c r="B817" s="86"/>
      <c r="C817" s="85"/>
      <c r="D817" s="85"/>
      <c r="E817" s="85" t="s">
        <v>81</v>
      </c>
      <c r="F817" s="106" t="e">
        <f>+F799</f>
        <v>#REF!</v>
      </c>
      <c r="G817" s="85"/>
      <c r="H817" s="90"/>
    </row>
    <row r="818" spans="2:8" ht="18" x14ac:dyDescent="0.25">
      <c r="B818" s="85"/>
      <c r="C818" s="85"/>
      <c r="D818" s="85"/>
      <c r="E818" s="85" t="s">
        <v>82</v>
      </c>
      <c r="F818" s="106" t="e">
        <f>+F800</f>
        <v>#REF!</v>
      </c>
      <c r="G818" s="85"/>
      <c r="H818" s="90"/>
    </row>
    <row r="819" spans="2:8" ht="18" x14ac:dyDescent="0.25">
      <c r="B819" s="96"/>
      <c r="C819" s="96"/>
      <c r="D819" s="96"/>
      <c r="E819" s="85" t="s">
        <v>188</v>
      </c>
      <c r="F819" s="166">
        <v>0</v>
      </c>
      <c r="G819" s="85"/>
      <c r="H819" s="90"/>
    </row>
    <row r="820" spans="2:8" ht="18" x14ac:dyDescent="0.25">
      <c r="B820" s="99">
        <f>+$G$30</f>
        <v>46037</v>
      </c>
      <c r="C820" s="105" t="e">
        <f>+F801</f>
        <v>#REF!</v>
      </c>
      <c r="D820" s="85"/>
      <c r="E820" s="85" t="s">
        <v>83</v>
      </c>
      <c r="F820" s="106" t="e">
        <f>+F801</f>
        <v>#REF!</v>
      </c>
      <c r="G820" s="85"/>
      <c r="H820" s="90"/>
    </row>
    <row r="821" spans="2:8" ht="18" x14ac:dyDescent="0.25">
      <c r="B821" s="85"/>
      <c r="C821" s="85"/>
      <c r="D821" s="85"/>
      <c r="E821" s="102"/>
      <c r="F821" s="85"/>
      <c r="G821" s="85"/>
      <c r="H821" s="90"/>
    </row>
    <row r="822" spans="2:8" ht="18" x14ac:dyDescent="0.25">
      <c r="B822" s="85"/>
      <c r="C822" s="85"/>
      <c r="D822" s="85"/>
      <c r="F822" s="85"/>
      <c r="G822" s="85"/>
      <c r="H822" s="90"/>
    </row>
    <row r="823" spans="2:8" ht="18" x14ac:dyDescent="0.25">
      <c r="B823" s="85"/>
      <c r="C823" s="85"/>
      <c r="D823" s="85"/>
      <c r="E823" s="85"/>
      <c r="F823" s="85"/>
      <c r="G823" s="85"/>
      <c r="H823" s="90"/>
    </row>
    <row r="824" spans="2:8" ht="18" x14ac:dyDescent="0.25">
      <c r="B824" s="85"/>
      <c r="C824" s="85"/>
      <c r="D824" s="85"/>
      <c r="E824" s="85"/>
      <c r="F824" s="85"/>
      <c r="G824" s="345"/>
      <c r="H824" s="345"/>
    </row>
    <row r="825" spans="2:8" ht="18" x14ac:dyDescent="0.25">
      <c r="B825" s="85"/>
      <c r="C825" s="85"/>
      <c r="D825" s="85"/>
      <c r="E825" s="85"/>
      <c r="F825" s="85"/>
      <c r="G825" s="85"/>
      <c r="H825" s="90"/>
    </row>
    <row r="826" spans="2:8" ht="18" x14ac:dyDescent="0.25">
      <c r="B826" s="85"/>
      <c r="C826" s="85"/>
      <c r="D826" s="85"/>
      <c r="E826" s="85"/>
      <c r="F826" s="85"/>
      <c r="G826" s="85"/>
      <c r="H826" s="90"/>
    </row>
    <row r="827" spans="2:8" ht="21.75" customHeight="1" x14ac:dyDescent="0.25">
      <c r="B827" s="85"/>
      <c r="C827" s="85"/>
      <c r="D827" s="85"/>
      <c r="E827" s="85"/>
      <c r="F827" s="85"/>
      <c r="G827" s="85"/>
      <c r="H827" s="90"/>
    </row>
    <row r="828" spans="2:8" ht="18" x14ac:dyDescent="0.25">
      <c r="B828" s="85"/>
      <c r="C828" s="85"/>
      <c r="D828" s="85"/>
      <c r="E828" s="85"/>
      <c r="F828" s="85"/>
      <c r="G828" s="85"/>
      <c r="H828" s="90"/>
    </row>
    <row r="829" spans="2:8" ht="18" x14ac:dyDescent="0.25">
      <c r="B829" s="343"/>
      <c r="C829" s="343"/>
      <c r="D829" s="343"/>
      <c r="E829" s="98">
        <f>+$B$1</f>
        <v>46143</v>
      </c>
      <c r="F829" s="85"/>
      <c r="G829" s="99">
        <f>+$D$1</f>
        <v>46037</v>
      </c>
      <c r="H829" s="160"/>
    </row>
    <row r="830" spans="2:8" ht="18" x14ac:dyDescent="0.25">
      <c r="B830" s="84"/>
      <c r="C830" s="84"/>
      <c r="D830" s="100"/>
      <c r="E830" s="98"/>
      <c r="F830" s="85"/>
    </row>
    <row r="831" spans="2:8" ht="18" x14ac:dyDescent="0.25">
      <c r="B831" s="85" t="e">
        <f>+B23</f>
        <v>#REF!</v>
      </c>
      <c r="C831" s="85"/>
      <c r="D831" s="85"/>
      <c r="F831" s="85"/>
    </row>
    <row r="832" spans="2:8" ht="18" x14ac:dyDescent="0.25">
      <c r="C832" s="85"/>
      <c r="D832" s="85"/>
      <c r="E832" s="85" t="str">
        <f>+$E$1</f>
        <v>Lima 461 C:A:B:A:</v>
      </c>
      <c r="F832" s="85"/>
      <c r="H832" s="90" t="s">
        <v>105</v>
      </c>
    </row>
    <row r="833" spans="2:8" ht="18" x14ac:dyDescent="0.25">
      <c r="B833" s="86"/>
      <c r="C833" s="85"/>
      <c r="D833" s="85"/>
      <c r="F833" s="85"/>
      <c r="G833" s="86"/>
      <c r="H833" s="90" t="e">
        <f>+'RES CUENTA'!#REF!</f>
        <v>#REF!</v>
      </c>
    </row>
    <row r="834" spans="2:8" ht="18" x14ac:dyDescent="0.25">
      <c r="B834" s="85"/>
      <c r="C834" s="85"/>
      <c r="D834" s="85"/>
      <c r="E834" s="86"/>
      <c r="F834" s="86"/>
      <c r="G834" s="85"/>
      <c r="H834" s="94"/>
    </row>
    <row r="835" spans="2:8" ht="15" customHeight="1" x14ac:dyDescent="0.25">
      <c r="B835" s="94"/>
      <c r="C835" s="85"/>
      <c r="D835" s="94"/>
      <c r="E835" s="85"/>
      <c r="F835" s="85"/>
      <c r="G835" s="85"/>
      <c r="H835" s="90"/>
    </row>
    <row r="836" spans="2:8" ht="18" x14ac:dyDescent="0.25">
      <c r="B836" s="85" t="s">
        <v>198</v>
      </c>
      <c r="C836" s="85"/>
      <c r="D836" s="107">
        <f>+'RES CUENTA'!$L$25</f>
        <v>10859801.41</v>
      </c>
      <c r="E836" s="108" t="e">
        <f>+'RES CUENTA'!#REF!</f>
        <v>#REF!</v>
      </c>
      <c r="F836" s="103" t="e">
        <f>+D836*E836/100</f>
        <v>#REF!</v>
      </c>
      <c r="G836" s="85"/>
      <c r="H836" s="94"/>
    </row>
    <row r="837" spans="2:8" ht="18" x14ac:dyDescent="0.25">
      <c r="B837" s="85" t="s">
        <v>199</v>
      </c>
      <c r="C837" s="85"/>
      <c r="D837" s="107" t="e">
        <f>+'RES CUENTA'!#REF!</f>
        <v>#REF!</v>
      </c>
      <c r="E837" s="108" t="e">
        <f>+'RES CUENTA'!#REF!</f>
        <v>#REF!</v>
      </c>
      <c r="F837" s="103" t="e">
        <f>+D837*E837/100</f>
        <v>#REF!</v>
      </c>
      <c r="G837" s="94"/>
      <c r="H837" s="89"/>
    </row>
    <row r="838" spans="2:8" ht="18" x14ac:dyDescent="0.25">
      <c r="B838" s="85" t="s">
        <v>202</v>
      </c>
      <c r="C838" s="85"/>
      <c r="D838" s="107" t="e">
        <f>+'RES CUENTA'!#REF!</f>
        <v>#REF!</v>
      </c>
      <c r="E838" s="108">
        <v>0</v>
      </c>
      <c r="F838" s="103" t="e">
        <f>+D838</f>
        <v>#REF!</v>
      </c>
      <c r="G838" s="94"/>
      <c r="H838" s="89"/>
    </row>
    <row r="839" spans="2:8" ht="18" x14ac:dyDescent="0.25">
      <c r="B839" s="85" t="s">
        <v>79</v>
      </c>
      <c r="C839" s="85"/>
      <c r="D839" s="107" t="e">
        <f>+'RES CUENTA'!#REF!</f>
        <v>#REF!</v>
      </c>
      <c r="E839" s="108">
        <v>0</v>
      </c>
      <c r="F839" s="103" t="e">
        <f>+D839</f>
        <v>#REF!</v>
      </c>
      <c r="G839" s="89"/>
      <c r="H839" s="89"/>
    </row>
    <row r="840" spans="2:8" ht="18" x14ac:dyDescent="0.25">
      <c r="B840" s="85" t="s">
        <v>80</v>
      </c>
      <c r="C840" s="85"/>
      <c r="D840" s="107" t="e">
        <f>+'RES CUENTA'!#REF!</f>
        <v>#REF!</v>
      </c>
      <c r="E840" s="108">
        <v>0</v>
      </c>
      <c r="F840" s="165" t="e">
        <f>+D840</f>
        <v>#REF!</v>
      </c>
      <c r="G840" s="89"/>
      <c r="H840" s="89"/>
    </row>
    <row r="841" spans="2:8" ht="18" x14ac:dyDescent="0.25">
      <c r="B841" s="85"/>
      <c r="C841" s="85"/>
      <c r="D841" s="87"/>
      <c r="F841" s="104" t="e">
        <f>SUM(F836:F840)</f>
        <v>#REF!</v>
      </c>
      <c r="G841" s="89"/>
      <c r="H841" s="90"/>
    </row>
    <row r="842" spans="2:8" ht="18" x14ac:dyDescent="0.25">
      <c r="B842" s="85"/>
      <c r="C842" s="85"/>
      <c r="D842" s="85"/>
      <c r="E842" s="85"/>
      <c r="F842" s="92"/>
      <c r="G842" s="90"/>
      <c r="H842" s="90"/>
    </row>
    <row r="843" spans="2:8" ht="18" x14ac:dyDescent="0.25">
      <c r="B843" s="85"/>
      <c r="C843" s="85"/>
      <c r="D843" s="85"/>
      <c r="E843" s="85"/>
      <c r="F843" s="92"/>
      <c r="G843" s="90"/>
      <c r="H843" s="90"/>
    </row>
    <row r="844" spans="2:8" ht="18" x14ac:dyDescent="0.25">
      <c r="B844" s="85"/>
      <c r="C844" s="85"/>
      <c r="D844" s="85"/>
      <c r="E844" s="85"/>
      <c r="F844" s="92"/>
      <c r="G844" s="90"/>
      <c r="H844" s="90"/>
    </row>
    <row r="845" spans="2:8" ht="21.75" customHeight="1" x14ac:dyDescent="0.25">
      <c r="B845" s="85"/>
      <c r="C845" s="85"/>
      <c r="D845" s="85"/>
      <c r="E845" s="85"/>
      <c r="F845" s="92"/>
      <c r="G845" s="90"/>
      <c r="H845" s="90"/>
    </row>
    <row r="846" spans="2:8" ht="26.25" customHeight="1" x14ac:dyDescent="0.25">
      <c r="B846" s="85" t="e">
        <f>+B831</f>
        <v>#REF!</v>
      </c>
      <c r="C846" s="85"/>
      <c r="D846" s="85"/>
      <c r="E846" s="85" t="e">
        <f>+B831</f>
        <v>#REF!</v>
      </c>
      <c r="F846" s="85"/>
      <c r="G846" s="85"/>
      <c r="H846" s="94"/>
    </row>
    <row r="847" spans="2:8" ht="18" x14ac:dyDescent="0.25">
      <c r="B847" s="86"/>
      <c r="C847" s="85"/>
      <c r="D847" s="85"/>
      <c r="F847" s="85"/>
      <c r="G847" s="101"/>
      <c r="H847" s="90" t="str">
        <f>+H832</f>
        <v>Unid. 22</v>
      </c>
    </row>
    <row r="848" spans="2:8" ht="18" x14ac:dyDescent="0.25">
      <c r="B848" s="85" t="str">
        <f>+E1</f>
        <v>Lima 461 C:A:B:A:</v>
      </c>
      <c r="C848" s="85"/>
      <c r="D848" s="90" t="str">
        <f>+H847</f>
        <v>Unid. 22</v>
      </c>
      <c r="E848" s="85" t="str">
        <f>+E1</f>
        <v>Lima 461 C:A:B:A:</v>
      </c>
      <c r="F848" s="85"/>
      <c r="G848" s="85"/>
      <c r="H848" s="90" t="e">
        <f>+H833</f>
        <v>#REF!</v>
      </c>
    </row>
    <row r="849" spans="2:8" ht="18" x14ac:dyDescent="0.25">
      <c r="B849" s="86"/>
      <c r="C849" s="86"/>
      <c r="D849" s="90" t="e">
        <f>+H848</f>
        <v>#REF!</v>
      </c>
      <c r="F849" s="85"/>
      <c r="G849" s="85"/>
    </row>
    <row r="850" spans="2:8" ht="14.25" customHeight="1" x14ac:dyDescent="0.25">
      <c r="B850" s="85"/>
      <c r="C850" s="85"/>
      <c r="D850" s="85"/>
      <c r="E850" s="86"/>
      <c r="F850" s="85"/>
      <c r="G850" s="85"/>
      <c r="H850" s="94"/>
    </row>
    <row r="851" spans="2:8" ht="18" customHeight="1" x14ac:dyDescent="0.25">
      <c r="B851" s="85"/>
      <c r="C851" s="85"/>
      <c r="D851" s="85"/>
      <c r="E851" s="85"/>
      <c r="F851" s="96"/>
      <c r="G851" s="86"/>
      <c r="H851" s="90"/>
    </row>
    <row r="852" spans="2:8" ht="18" x14ac:dyDescent="0.25">
      <c r="B852" s="85"/>
      <c r="C852" s="85"/>
      <c r="D852" s="85"/>
      <c r="E852" s="96"/>
      <c r="G852" s="94"/>
      <c r="H852" s="96"/>
    </row>
    <row r="853" spans="2:8" ht="18" x14ac:dyDescent="0.25">
      <c r="B853" s="86"/>
      <c r="C853" s="85"/>
      <c r="D853" s="85"/>
      <c r="E853" s="85" t="s">
        <v>200</v>
      </c>
      <c r="F853" s="106" t="e">
        <f>+F836</f>
        <v>#REF!</v>
      </c>
      <c r="G853" s="95"/>
      <c r="H853" s="99">
        <f>+B857</f>
        <v>46037</v>
      </c>
    </row>
    <row r="854" spans="2:8" ht="18" x14ac:dyDescent="0.25">
      <c r="B854" s="86"/>
      <c r="C854" s="85"/>
      <c r="D854" s="85"/>
      <c r="E854" s="85" t="s">
        <v>201</v>
      </c>
      <c r="F854" s="106" t="e">
        <f>+F837</f>
        <v>#REF!</v>
      </c>
      <c r="H854" s="90"/>
    </row>
    <row r="855" spans="2:8" ht="18" x14ac:dyDescent="0.25">
      <c r="B855" s="85"/>
      <c r="C855" s="85"/>
      <c r="D855" s="85"/>
      <c r="E855" s="85" t="s">
        <v>81</v>
      </c>
      <c r="F855" s="106" t="e">
        <f>+F839</f>
        <v>#REF!</v>
      </c>
      <c r="G855" s="85"/>
      <c r="H855" s="90"/>
    </row>
    <row r="856" spans="2:8" ht="18" x14ac:dyDescent="0.25">
      <c r="B856" s="96"/>
      <c r="C856" s="96"/>
      <c r="D856" s="96"/>
      <c r="E856" s="85" t="s">
        <v>82</v>
      </c>
      <c r="F856" s="106" t="e">
        <f>+F840</f>
        <v>#REF!</v>
      </c>
      <c r="G856" s="85"/>
      <c r="H856" s="90"/>
    </row>
    <row r="857" spans="2:8" ht="18" x14ac:dyDescent="0.25">
      <c r="B857" s="99">
        <f>+$G$30</f>
        <v>46037</v>
      </c>
      <c r="C857" s="105" t="e">
        <f>+F841</f>
        <v>#REF!</v>
      </c>
      <c r="D857" s="85"/>
      <c r="E857" s="85" t="s">
        <v>188</v>
      </c>
      <c r="F857" s="166" t="e">
        <f>+F838</f>
        <v>#REF!</v>
      </c>
      <c r="G857" s="85"/>
      <c r="H857" s="90"/>
    </row>
    <row r="858" spans="2:8" ht="18" x14ac:dyDescent="0.25">
      <c r="B858" s="85"/>
      <c r="C858" s="85"/>
      <c r="D858" s="85"/>
      <c r="E858" s="85" t="s">
        <v>83</v>
      </c>
      <c r="F858" s="106" t="e">
        <f>+F841</f>
        <v>#REF!</v>
      </c>
      <c r="G858" s="85"/>
      <c r="H858" s="90"/>
    </row>
    <row r="859" spans="2:8" ht="18" x14ac:dyDescent="0.25">
      <c r="B859" s="85"/>
      <c r="C859" s="85"/>
      <c r="D859" s="85"/>
      <c r="E859" s="85"/>
      <c r="F859" s="85"/>
      <c r="G859" s="85"/>
      <c r="H859" s="90"/>
    </row>
    <row r="860" spans="2:8" ht="18" x14ac:dyDescent="0.25">
      <c r="B860" s="85"/>
      <c r="C860" s="85"/>
      <c r="D860" s="85"/>
      <c r="E860" s="102"/>
      <c r="F860" s="85"/>
      <c r="G860" s="85"/>
      <c r="H860" s="90"/>
    </row>
    <row r="861" spans="2:8" ht="18" x14ac:dyDescent="0.25">
      <c r="B861" s="85"/>
      <c r="C861" s="85"/>
      <c r="D861" s="85"/>
      <c r="E861" s="85"/>
      <c r="F861" s="85"/>
      <c r="G861" s="85"/>
      <c r="H861" s="94"/>
    </row>
    <row r="862" spans="2:8" ht="9" customHeight="1" x14ac:dyDescent="0.25">
      <c r="E862" s="85"/>
      <c r="G862" s="94"/>
      <c r="H862" s="90"/>
    </row>
    <row r="864" spans="2:8" ht="18" x14ac:dyDescent="0.25">
      <c r="B864" s="343"/>
      <c r="C864" s="343"/>
      <c r="D864" s="343"/>
      <c r="E864" s="342">
        <f>+$B$1</f>
        <v>46143</v>
      </c>
      <c r="F864" s="85"/>
      <c r="G864" s="337">
        <f>+$D$1</f>
        <v>46037</v>
      </c>
      <c r="H864" s="90"/>
    </row>
    <row r="865" spans="2:8" ht="18" x14ac:dyDescent="0.25">
      <c r="B865" s="84"/>
      <c r="C865" s="84"/>
      <c r="D865" s="100"/>
      <c r="E865" s="342"/>
      <c r="F865" s="85"/>
      <c r="G865" s="337"/>
      <c r="H865" s="90"/>
    </row>
    <row r="866" spans="2:8" ht="18" x14ac:dyDescent="0.25">
      <c r="B866" s="85"/>
      <c r="C866" s="85"/>
      <c r="D866" s="85"/>
      <c r="E866" s="86"/>
      <c r="F866" s="85"/>
      <c r="G866" s="86"/>
      <c r="H866" s="90"/>
    </row>
    <row r="867" spans="2:8" ht="27" customHeight="1" x14ac:dyDescent="0.25">
      <c r="B867" s="85" t="e">
        <f>+B24</f>
        <v>#REF!</v>
      </c>
      <c r="C867" s="85"/>
      <c r="D867" s="85"/>
      <c r="E867" s="86"/>
      <c r="F867" s="85"/>
      <c r="G867" s="86"/>
      <c r="H867" s="90"/>
    </row>
    <row r="868" spans="2:8" ht="22.5" customHeight="1" x14ac:dyDescent="0.25">
      <c r="B868" s="86"/>
      <c r="C868" s="85"/>
      <c r="D868" s="85"/>
      <c r="E868" s="85" t="str">
        <f>+E34</f>
        <v>Lima 461 C:A:B:A:</v>
      </c>
      <c r="F868" s="85"/>
      <c r="G868" s="85"/>
      <c r="H868" s="90" t="s">
        <v>106</v>
      </c>
    </row>
    <row r="869" spans="2:8" ht="18" x14ac:dyDescent="0.25">
      <c r="B869" s="85"/>
      <c r="C869" s="85"/>
      <c r="D869" s="85"/>
      <c r="E869" s="86"/>
      <c r="F869" s="86"/>
      <c r="G869" s="85"/>
      <c r="H869" s="90" t="e">
        <f>+'RES CUENTA'!#REF!</f>
        <v>#REF!</v>
      </c>
    </row>
    <row r="870" spans="2:8" ht="18" x14ac:dyDescent="0.25">
      <c r="B870" s="94"/>
      <c r="C870" s="85"/>
      <c r="D870" s="94"/>
      <c r="E870" s="85"/>
      <c r="F870" s="85"/>
      <c r="G870" s="85"/>
      <c r="H870" s="90"/>
    </row>
    <row r="871" spans="2:8" ht="18" x14ac:dyDescent="0.25">
      <c r="B871" s="94"/>
      <c r="C871" s="85"/>
      <c r="D871" s="94"/>
      <c r="E871" s="85"/>
      <c r="F871" s="85"/>
      <c r="G871" s="85"/>
      <c r="H871" s="90"/>
    </row>
    <row r="872" spans="2:8" ht="18" x14ac:dyDescent="0.25">
      <c r="B872" s="85" t="s">
        <v>198</v>
      </c>
      <c r="C872" s="85"/>
      <c r="D872" s="107">
        <f>+'RES CUENTA'!$L$25</f>
        <v>10859801.41</v>
      </c>
      <c r="E872" s="108" t="e">
        <f>+'RES CUENTA'!#REF!</f>
        <v>#REF!</v>
      </c>
      <c r="F872" s="103" t="e">
        <f>+D872*E872/100</f>
        <v>#REF!</v>
      </c>
      <c r="G872" s="345"/>
      <c r="H872" s="345"/>
    </row>
    <row r="873" spans="2:8" ht="18" x14ac:dyDescent="0.25">
      <c r="B873" s="85" t="s">
        <v>199</v>
      </c>
      <c r="C873" s="85"/>
      <c r="D873" s="107" t="e">
        <f>+'RES CUENTA'!#REF!</f>
        <v>#REF!</v>
      </c>
      <c r="E873" s="108" t="e">
        <f>+'RES CUENTA'!#REF!</f>
        <v>#REF!</v>
      </c>
      <c r="F873" s="103" t="e">
        <f>+D873*E873/100</f>
        <v>#REF!</v>
      </c>
      <c r="G873" s="341"/>
      <c r="H873" s="341"/>
    </row>
    <row r="874" spans="2:8" ht="18" x14ac:dyDescent="0.25">
      <c r="B874" s="85" t="s">
        <v>79</v>
      </c>
      <c r="C874" s="85"/>
      <c r="D874" s="107" t="e">
        <f>+'RES CUENTA'!#REF!</f>
        <v>#REF!</v>
      </c>
      <c r="E874" s="108">
        <v>0</v>
      </c>
      <c r="F874" s="103" t="e">
        <f>+D874</f>
        <v>#REF!</v>
      </c>
      <c r="G874" s="341"/>
      <c r="H874" s="341"/>
    </row>
    <row r="875" spans="2:8" ht="18" x14ac:dyDescent="0.25">
      <c r="B875" s="85" t="s">
        <v>80</v>
      </c>
      <c r="C875" s="85"/>
      <c r="D875" s="107" t="e">
        <f>+'RES CUENTA'!#REF!</f>
        <v>#REF!</v>
      </c>
      <c r="E875" s="108">
        <v>0</v>
      </c>
      <c r="F875" s="165" t="e">
        <f>+D875</f>
        <v>#REF!</v>
      </c>
      <c r="G875" s="341"/>
      <c r="H875" s="341"/>
    </row>
    <row r="876" spans="2:8" ht="18" x14ac:dyDescent="0.25">
      <c r="B876" s="86"/>
      <c r="C876" s="85"/>
      <c r="D876" s="85"/>
      <c r="E876" s="92"/>
      <c r="F876" s="104" t="e">
        <f>SUM(F872:F875)</f>
        <v>#REF!</v>
      </c>
      <c r="G876" s="341"/>
      <c r="H876" s="341"/>
    </row>
    <row r="877" spans="2:8" ht="18" x14ac:dyDescent="0.25">
      <c r="B877" s="86"/>
      <c r="C877" s="85"/>
      <c r="D877" s="85"/>
      <c r="E877" s="92"/>
      <c r="F877" s="104"/>
      <c r="G877" s="89"/>
      <c r="H877" s="89"/>
    </row>
    <row r="878" spans="2:8" ht="18" x14ac:dyDescent="0.25">
      <c r="B878" s="86"/>
      <c r="C878" s="85"/>
      <c r="D878" s="85"/>
      <c r="E878" s="85"/>
      <c r="G878" s="338"/>
      <c r="H878" s="338"/>
    </row>
    <row r="879" spans="2:8" ht="18" x14ac:dyDescent="0.25">
      <c r="B879" s="85"/>
      <c r="C879" s="85"/>
      <c r="D879" s="85"/>
      <c r="E879" s="85"/>
      <c r="F879" s="91"/>
      <c r="G879" s="90"/>
      <c r="H879" s="90"/>
    </row>
    <row r="880" spans="2:8" ht="18" x14ac:dyDescent="0.25">
      <c r="B880" s="85"/>
      <c r="C880" s="85"/>
      <c r="D880" s="85"/>
      <c r="E880" s="85"/>
      <c r="F880" s="92"/>
      <c r="G880" s="85"/>
      <c r="H880" s="90"/>
    </row>
    <row r="881" spans="2:8" ht="20.25" customHeight="1" x14ac:dyDescent="0.25">
      <c r="B881" s="85"/>
      <c r="C881" s="85"/>
      <c r="D881" s="85"/>
      <c r="E881" s="85"/>
      <c r="F881" s="92"/>
      <c r="G881" s="85"/>
      <c r="H881" s="90"/>
    </row>
    <row r="882" spans="2:8" ht="18" x14ac:dyDescent="0.25">
      <c r="B882" s="85" t="e">
        <f>+B867</f>
        <v>#REF!</v>
      </c>
      <c r="C882" s="344"/>
      <c r="D882" s="344"/>
      <c r="E882" s="85" t="e">
        <f>+B882</f>
        <v>#REF!</v>
      </c>
      <c r="F882" s="92"/>
      <c r="G882" s="85"/>
      <c r="H882" s="90"/>
    </row>
    <row r="883" spans="2:8" ht="21" customHeight="1" x14ac:dyDescent="0.25">
      <c r="C883" s="85"/>
      <c r="D883" s="85"/>
      <c r="F883" s="344"/>
      <c r="G883" s="344"/>
      <c r="H883" s="344"/>
    </row>
    <row r="884" spans="2:8" ht="18" x14ac:dyDescent="0.25">
      <c r="B884" s="85" t="str">
        <f>+E1</f>
        <v>Lima 461 C:A:B:A:</v>
      </c>
      <c r="C884" s="85"/>
      <c r="D884" s="93" t="str">
        <f>+H868</f>
        <v>Unid. 23</v>
      </c>
      <c r="E884" s="85" t="str">
        <f>+E1</f>
        <v>Lima 461 C:A:B:A:</v>
      </c>
      <c r="F884" s="85"/>
      <c r="G884" s="85"/>
      <c r="H884" s="90" t="str">
        <f>+D884</f>
        <v>Unid. 23</v>
      </c>
    </row>
    <row r="885" spans="2:8" ht="18" x14ac:dyDescent="0.25">
      <c r="D885" s="93" t="e">
        <f>+H885</f>
        <v>#REF!</v>
      </c>
      <c r="H885" s="90" t="e">
        <f>+H869</f>
        <v>#REF!</v>
      </c>
    </row>
    <row r="886" spans="2:8" ht="18" x14ac:dyDescent="0.25">
      <c r="B886" s="86"/>
      <c r="C886" s="86"/>
      <c r="D886" s="86"/>
      <c r="E886" s="86"/>
      <c r="F886" s="85"/>
      <c r="G886" s="85"/>
    </row>
    <row r="887" spans="2:8" ht="18" x14ac:dyDescent="0.25">
      <c r="B887" s="85"/>
      <c r="C887" s="85"/>
      <c r="D887" s="85"/>
      <c r="E887" s="85"/>
      <c r="F887" s="85"/>
      <c r="G887" s="86"/>
      <c r="H887" s="94"/>
    </row>
    <row r="888" spans="2:8" ht="11.25" customHeight="1" x14ac:dyDescent="0.25">
      <c r="B888" s="85"/>
      <c r="C888" s="85"/>
      <c r="D888" s="85"/>
      <c r="E888" s="96"/>
      <c r="F888" s="85"/>
      <c r="G888" s="94"/>
      <c r="H888" s="90"/>
    </row>
    <row r="889" spans="2:8" ht="18" x14ac:dyDescent="0.25">
      <c r="C889" s="85"/>
      <c r="D889" s="85"/>
      <c r="E889" s="85" t="s">
        <v>200</v>
      </c>
      <c r="F889" s="106" t="e">
        <f>+F872</f>
        <v>#REF!</v>
      </c>
      <c r="H889" s="99">
        <f>+B894</f>
        <v>46037</v>
      </c>
    </row>
    <row r="890" spans="2:8" ht="18" x14ac:dyDescent="0.25">
      <c r="B890" s="86"/>
      <c r="C890" s="85"/>
      <c r="D890" s="85"/>
      <c r="E890" s="85" t="s">
        <v>201</v>
      </c>
      <c r="F890" s="106" t="e">
        <f>+F873</f>
        <v>#REF!</v>
      </c>
    </row>
    <row r="891" spans="2:8" ht="18" x14ac:dyDescent="0.25">
      <c r="B891" s="86"/>
      <c r="C891" s="85"/>
      <c r="D891" s="85"/>
      <c r="E891" s="85" t="s">
        <v>81</v>
      </c>
      <c r="F891" s="106" t="e">
        <f>+F874</f>
        <v>#REF!</v>
      </c>
      <c r="G891" s="85"/>
      <c r="H891" s="90"/>
    </row>
    <row r="892" spans="2:8" ht="18" x14ac:dyDescent="0.25">
      <c r="B892" s="85"/>
      <c r="C892" s="85"/>
      <c r="D892" s="85"/>
      <c r="E892" s="85" t="s">
        <v>82</v>
      </c>
      <c r="F892" s="106" t="e">
        <f>+F875</f>
        <v>#REF!</v>
      </c>
      <c r="G892" s="85"/>
      <c r="H892" s="90"/>
    </row>
    <row r="893" spans="2:8" ht="18" x14ac:dyDescent="0.25">
      <c r="B893" s="96"/>
      <c r="C893" s="96"/>
      <c r="D893" s="96"/>
      <c r="E893" s="85" t="s">
        <v>188</v>
      </c>
      <c r="F893" s="166">
        <v>0</v>
      </c>
      <c r="G893" s="85"/>
      <c r="H893" s="90"/>
    </row>
    <row r="894" spans="2:8" ht="18" x14ac:dyDescent="0.25">
      <c r="B894" s="99">
        <f>+$G$30</f>
        <v>46037</v>
      </c>
      <c r="C894" s="105" t="e">
        <f>+F876</f>
        <v>#REF!</v>
      </c>
      <c r="D894" s="85"/>
      <c r="E894" s="85" t="s">
        <v>83</v>
      </c>
      <c r="F894" s="106" t="e">
        <f>+F876</f>
        <v>#REF!</v>
      </c>
      <c r="G894" s="85"/>
      <c r="H894" s="90"/>
    </row>
    <row r="895" spans="2:8" ht="18" x14ac:dyDescent="0.25">
      <c r="B895" s="85"/>
      <c r="C895" s="85"/>
      <c r="D895" s="85"/>
      <c r="E895" s="102"/>
      <c r="F895" s="85"/>
      <c r="G895" s="85"/>
      <c r="H895" s="90"/>
    </row>
    <row r="896" spans="2:8" ht="18" x14ac:dyDescent="0.25">
      <c r="B896" s="85"/>
      <c r="C896" s="85"/>
      <c r="D896" s="85"/>
      <c r="F896" s="85"/>
      <c r="G896" s="85"/>
      <c r="H896" s="90"/>
    </row>
    <row r="897" spans="2:8" ht="18" x14ac:dyDescent="0.25">
      <c r="B897" s="85"/>
      <c r="C897" s="85"/>
      <c r="D897" s="85"/>
      <c r="E897" s="85"/>
      <c r="F897" s="85"/>
      <c r="G897" s="85"/>
      <c r="H897" s="90"/>
    </row>
    <row r="898" spans="2:8" ht="18" x14ac:dyDescent="0.25">
      <c r="B898" s="85"/>
      <c r="C898" s="85"/>
      <c r="D898" s="85"/>
      <c r="E898" s="85"/>
      <c r="F898" s="85"/>
      <c r="G898" s="345"/>
      <c r="H898" s="345"/>
    </row>
    <row r="899" spans="2:8" ht="18" x14ac:dyDescent="0.25">
      <c r="B899" s="85"/>
      <c r="C899" s="85"/>
      <c r="D899" s="85"/>
      <c r="E899" s="85"/>
      <c r="F899" s="85"/>
      <c r="G899" s="85"/>
      <c r="H899" s="90"/>
    </row>
    <row r="900" spans="2:8" ht="18" x14ac:dyDescent="0.25">
      <c r="B900" s="85"/>
      <c r="C900" s="85"/>
      <c r="D900" s="85"/>
      <c r="E900" s="85"/>
      <c r="F900" s="85"/>
      <c r="G900" s="85"/>
      <c r="H900" s="90"/>
    </row>
    <row r="901" spans="2:8" ht="18" x14ac:dyDescent="0.25">
      <c r="B901" s="85"/>
      <c r="C901" s="85"/>
      <c r="D901" s="85"/>
      <c r="E901" s="85"/>
      <c r="F901" s="85"/>
      <c r="G901" s="85"/>
      <c r="H901" s="90"/>
    </row>
    <row r="902" spans="2:8" ht="18" x14ac:dyDescent="0.25">
      <c r="B902" s="85"/>
      <c r="C902" s="85"/>
      <c r="D902" s="85"/>
      <c r="E902" s="85"/>
      <c r="F902" s="85"/>
      <c r="G902" s="85"/>
      <c r="H902" s="90"/>
    </row>
    <row r="903" spans="2:8" ht="18" x14ac:dyDescent="0.25">
      <c r="B903" s="343"/>
      <c r="C903" s="343"/>
      <c r="D903" s="343"/>
      <c r="E903" s="98">
        <f>+$B$1</f>
        <v>46143</v>
      </c>
      <c r="F903" s="85"/>
      <c r="G903" s="99">
        <f>+$D$1</f>
        <v>46037</v>
      </c>
      <c r="H903" s="160"/>
    </row>
    <row r="904" spans="2:8" ht="18" x14ac:dyDescent="0.25">
      <c r="B904" s="84"/>
      <c r="C904" s="84"/>
      <c r="D904" s="100"/>
      <c r="E904" s="98"/>
      <c r="F904" s="85"/>
    </row>
    <row r="905" spans="2:8" ht="18" x14ac:dyDescent="0.25">
      <c r="B905" s="85">
        <f>+B25</f>
        <v>0</v>
      </c>
      <c r="C905" s="85"/>
      <c r="D905" s="85"/>
      <c r="F905" s="85"/>
    </row>
    <row r="906" spans="2:8" ht="18" x14ac:dyDescent="0.25">
      <c r="C906" s="85"/>
      <c r="D906" s="85"/>
      <c r="E906" s="85" t="str">
        <f>+E1</f>
        <v>Lima 461 C:A:B:A:</v>
      </c>
      <c r="F906" s="85"/>
      <c r="H906" s="90" t="s">
        <v>107</v>
      </c>
    </row>
    <row r="907" spans="2:8" ht="18" x14ac:dyDescent="0.25">
      <c r="B907" s="86"/>
      <c r="C907" s="85"/>
      <c r="D907" s="85"/>
      <c r="F907" s="85"/>
      <c r="G907" s="86"/>
    </row>
    <row r="908" spans="2:8" ht="18" x14ac:dyDescent="0.25">
      <c r="B908" s="85"/>
      <c r="C908" s="85"/>
      <c r="D908" s="85"/>
      <c r="E908" s="86"/>
      <c r="F908" s="86"/>
      <c r="G908" s="85"/>
      <c r="H908" s="94"/>
    </row>
    <row r="909" spans="2:8" ht="18" x14ac:dyDescent="0.25">
      <c r="B909" s="94"/>
      <c r="C909" s="85"/>
      <c r="D909" s="94"/>
      <c r="E909" s="85"/>
      <c r="F909" s="85"/>
      <c r="G909" s="85"/>
      <c r="H909" s="90"/>
    </row>
    <row r="910" spans="2:8" ht="18" x14ac:dyDescent="0.25">
      <c r="B910" s="85" t="s">
        <v>198</v>
      </c>
      <c r="C910" s="85"/>
      <c r="D910" s="107">
        <f>+'RES CUENTA'!$L$25</f>
        <v>10859801.41</v>
      </c>
      <c r="E910" s="108" t="e">
        <f>+'RES CUENTA'!#REF!</f>
        <v>#REF!</v>
      </c>
      <c r="F910" s="103" t="e">
        <f>+D910*E910/100</f>
        <v>#REF!</v>
      </c>
      <c r="G910" s="85"/>
      <c r="H910" s="94"/>
    </row>
    <row r="911" spans="2:8" ht="18" x14ac:dyDescent="0.25">
      <c r="B911" s="85" t="s">
        <v>199</v>
      </c>
      <c r="C911" s="85"/>
      <c r="D911" s="107">
        <f>+'RES CUENTA'!H25</f>
        <v>100</v>
      </c>
      <c r="E911" s="108" t="e">
        <f>+'RES CUENTA'!#REF!</f>
        <v>#REF!</v>
      </c>
      <c r="F911" s="103" t="e">
        <f>+D911*E911/100</f>
        <v>#REF!</v>
      </c>
      <c r="G911" s="94"/>
      <c r="H911" s="89"/>
    </row>
    <row r="912" spans="2:8" ht="18" x14ac:dyDescent="0.25">
      <c r="B912" s="85" t="s">
        <v>79</v>
      </c>
      <c r="C912" s="85"/>
      <c r="D912" s="107" t="e">
        <f>+'RES CUENTA'!#REF!</f>
        <v>#REF!</v>
      </c>
      <c r="E912" s="108">
        <v>0</v>
      </c>
      <c r="F912" s="103" t="e">
        <f>+D912</f>
        <v>#REF!</v>
      </c>
      <c r="G912" s="89"/>
      <c r="H912" s="89"/>
    </row>
    <row r="913" spans="2:8" ht="18" x14ac:dyDescent="0.25">
      <c r="B913" s="85" t="s">
        <v>80</v>
      </c>
      <c r="C913" s="85"/>
      <c r="D913" s="107" t="e">
        <f>+'RES CUENTA'!#REF!</f>
        <v>#REF!</v>
      </c>
      <c r="E913" s="108">
        <v>0</v>
      </c>
      <c r="F913" s="103">
        <f>+'RES CUENTA'!R805</f>
        <v>0</v>
      </c>
      <c r="G913" s="89"/>
      <c r="H913" s="89"/>
    </row>
    <row r="914" spans="2:8" ht="18" x14ac:dyDescent="0.25">
      <c r="B914" s="86"/>
      <c r="C914" s="85"/>
      <c r="D914" s="85"/>
      <c r="F914" s="104" t="e">
        <f>SUM(F910:F913)</f>
        <v>#REF!</v>
      </c>
      <c r="G914" s="89"/>
      <c r="H914" s="89"/>
    </row>
    <row r="915" spans="2:8" ht="18" x14ac:dyDescent="0.25">
      <c r="B915" s="86"/>
      <c r="C915" s="85"/>
      <c r="D915" s="85"/>
      <c r="F915" s="104"/>
      <c r="G915" s="89"/>
      <c r="H915" s="89"/>
    </row>
    <row r="916" spans="2:8" ht="18" x14ac:dyDescent="0.25">
      <c r="B916" s="86"/>
      <c r="C916" s="85"/>
      <c r="D916" s="85"/>
      <c r="F916" s="91"/>
      <c r="G916" s="89"/>
      <c r="H916" s="90"/>
    </row>
    <row r="917" spans="2:8" ht="18" x14ac:dyDescent="0.25">
      <c r="B917" s="85"/>
      <c r="C917" s="85"/>
      <c r="D917" s="85"/>
      <c r="E917" s="85"/>
      <c r="F917" s="92"/>
      <c r="G917" s="90"/>
      <c r="H917" s="90"/>
    </row>
    <row r="918" spans="2:8" ht="18" x14ac:dyDescent="0.25">
      <c r="B918" s="85"/>
      <c r="C918" s="85"/>
      <c r="D918" s="85"/>
      <c r="E918" s="85"/>
      <c r="F918" s="92"/>
      <c r="G918" s="90"/>
      <c r="H918" s="90"/>
    </row>
    <row r="919" spans="2:8" ht="18" x14ac:dyDescent="0.25">
      <c r="B919" s="85"/>
      <c r="C919" s="85"/>
      <c r="D919" s="85"/>
      <c r="E919" s="85"/>
      <c r="F919" s="92"/>
      <c r="G919" s="90"/>
      <c r="H919" s="90"/>
    </row>
    <row r="920" spans="2:8" ht="18" x14ac:dyDescent="0.25">
      <c r="B920" s="85">
        <f>+B905</f>
        <v>0</v>
      </c>
      <c r="C920" s="85"/>
      <c r="D920" s="85"/>
      <c r="E920" s="85">
        <f>+B905</f>
        <v>0</v>
      </c>
      <c r="F920" s="85"/>
      <c r="G920" s="85"/>
      <c r="H920" s="94"/>
    </row>
    <row r="921" spans="2:8" ht="18" x14ac:dyDescent="0.25">
      <c r="B921" s="86"/>
      <c r="C921" s="85"/>
      <c r="D921" s="85"/>
      <c r="F921" s="85"/>
      <c r="G921" s="101"/>
      <c r="H921" s="90" t="str">
        <f>+H906</f>
        <v>Unid. 24</v>
      </c>
    </row>
    <row r="922" spans="2:8" ht="18" x14ac:dyDescent="0.25">
      <c r="B922" s="85" t="str">
        <f>+E1</f>
        <v>Lima 461 C:A:B:A:</v>
      </c>
      <c r="C922" s="85"/>
      <c r="D922" s="93" t="str">
        <f>+H921</f>
        <v>Unid. 24</v>
      </c>
      <c r="E922" s="85" t="str">
        <f>+E1</f>
        <v>Lima 461 C:A:B:A:</v>
      </c>
      <c r="F922" s="85"/>
      <c r="G922" s="85"/>
      <c r="H922" s="94"/>
    </row>
    <row r="923" spans="2:8" ht="18" x14ac:dyDescent="0.25">
      <c r="B923" s="86"/>
      <c r="C923" s="86"/>
      <c r="D923" s="86"/>
      <c r="F923" s="85"/>
      <c r="G923" s="85"/>
    </row>
    <row r="924" spans="2:8" ht="18" x14ac:dyDescent="0.25">
      <c r="B924" s="85"/>
      <c r="C924" s="85"/>
      <c r="D924" s="85"/>
      <c r="E924" s="86"/>
      <c r="F924" s="85"/>
      <c r="G924" s="85"/>
      <c r="H924" s="94"/>
    </row>
    <row r="925" spans="2:8" ht="18" x14ac:dyDescent="0.25">
      <c r="B925" s="85"/>
      <c r="C925" s="85"/>
      <c r="D925" s="85"/>
      <c r="E925" s="85"/>
      <c r="F925" s="96"/>
      <c r="G925" s="86"/>
      <c r="H925" s="90"/>
    </row>
    <row r="926" spans="2:8" ht="18" x14ac:dyDescent="0.25">
      <c r="B926" s="85"/>
      <c r="C926" s="85"/>
      <c r="D926" s="85"/>
      <c r="E926" s="96"/>
      <c r="G926" s="94"/>
      <c r="H926" s="96"/>
    </row>
    <row r="927" spans="2:8" ht="18" x14ac:dyDescent="0.25">
      <c r="B927" s="86"/>
      <c r="C927" s="85"/>
      <c r="D927" s="85"/>
      <c r="E927" s="85" t="s">
        <v>200</v>
      </c>
      <c r="F927" s="106" t="e">
        <f>+F910</f>
        <v>#REF!</v>
      </c>
      <c r="G927" s="95"/>
      <c r="H927" s="99">
        <f>+B931</f>
        <v>46037</v>
      </c>
    </row>
    <row r="928" spans="2:8" ht="18" x14ac:dyDescent="0.25">
      <c r="B928" s="86"/>
      <c r="C928" s="85"/>
      <c r="D928" s="85"/>
      <c r="E928" s="85" t="s">
        <v>201</v>
      </c>
      <c r="F928" s="106" t="e">
        <f>+F911</f>
        <v>#REF!</v>
      </c>
      <c r="H928" s="90"/>
    </row>
    <row r="929" spans="2:8" ht="18" x14ac:dyDescent="0.25">
      <c r="B929" s="85"/>
      <c r="C929" s="85"/>
      <c r="D929" s="85"/>
      <c r="E929" s="85" t="s">
        <v>81</v>
      </c>
      <c r="F929" s="106" t="e">
        <f>+F912</f>
        <v>#REF!</v>
      </c>
      <c r="G929" s="85"/>
      <c r="H929" s="90"/>
    </row>
    <row r="930" spans="2:8" ht="18" x14ac:dyDescent="0.25">
      <c r="B930" s="96"/>
      <c r="C930" s="96"/>
      <c r="D930" s="96"/>
      <c r="E930" s="85" t="s">
        <v>82</v>
      </c>
      <c r="F930" s="106">
        <f>+'RES CUENTA'!R805</f>
        <v>0</v>
      </c>
      <c r="G930" s="85"/>
      <c r="H930" s="90"/>
    </row>
    <row r="931" spans="2:8" ht="18" x14ac:dyDescent="0.25">
      <c r="B931" s="99">
        <f>+$G$30</f>
        <v>46037</v>
      </c>
      <c r="C931" s="137" t="e">
        <f>+F914</f>
        <v>#REF!</v>
      </c>
      <c r="D931" s="85"/>
      <c r="E931" s="85" t="s">
        <v>188</v>
      </c>
      <c r="F931" s="106">
        <v>0</v>
      </c>
      <c r="G931" s="85"/>
      <c r="H931" s="90"/>
    </row>
    <row r="932" spans="2:8" ht="18" x14ac:dyDescent="0.25">
      <c r="B932" s="85"/>
      <c r="C932" s="85"/>
      <c r="D932" s="85"/>
      <c r="E932" s="85" t="s">
        <v>83</v>
      </c>
      <c r="F932" s="106" t="e">
        <f>+F914</f>
        <v>#REF!</v>
      </c>
      <c r="G932" s="85"/>
      <c r="H932" s="90"/>
    </row>
    <row r="933" spans="2:8" ht="18" x14ac:dyDescent="0.25">
      <c r="B933" s="85"/>
      <c r="C933" s="85"/>
      <c r="D933" s="85"/>
      <c r="E933" s="85"/>
      <c r="F933" s="85"/>
      <c r="G933" s="85"/>
      <c r="H933" s="90"/>
    </row>
    <row r="934" spans="2:8" ht="18" x14ac:dyDescent="0.25">
      <c r="B934" s="85"/>
      <c r="C934" s="85"/>
      <c r="D934" s="85"/>
      <c r="E934" s="102"/>
      <c r="F934" s="85"/>
      <c r="G934" s="85"/>
      <c r="H934" s="90"/>
    </row>
    <row r="935" spans="2:8" ht="18" x14ac:dyDescent="0.25">
      <c r="B935" s="85"/>
      <c r="C935" s="85"/>
      <c r="D935" s="85"/>
      <c r="E935" s="85"/>
      <c r="F935" s="85"/>
      <c r="G935" s="85"/>
      <c r="H935" s="94"/>
    </row>
    <row r="936" spans="2:8" ht="9.75" customHeight="1" x14ac:dyDescent="0.25">
      <c r="E936" s="85"/>
      <c r="G936" s="94"/>
      <c r="H936" s="90"/>
    </row>
    <row r="937" spans="2:8" ht="9" customHeight="1" x14ac:dyDescent="0.2"/>
    <row r="938" spans="2:8" ht="18" x14ac:dyDescent="0.25">
      <c r="B938" s="343"/>
      <c r="C938" s="343"/>
      <c r="D938" s="343"/>
      <c r="E938" s="342">
        <f>+$B$1</f>
        <v>46143</v>
      </c>
      <c r="F938" s="85"/>
      <c r="G938" s="337">
        <f>+$D$1</f>
        <v>46037</v>
      </c>
      <c r="H938" s="90"/>
    </row>
    <row r="939" spans="2:8" ht="18" x14ac:dyDescent="0.25">
      <c r="B939" s="84"/>
      <c r="C939" s="84"/>
      <c r="D939" s="100"/>
      <c r="E939" s="342"/>
      <c r="F939" s="85"/>
      <c r="G939" s="337"/>
      <c r="H939" s="90"/>
    </row>
    <row r="940" spans="2:8" ht="18" x14ac:dyDescent="0.25">
      <c r="B940" s="85"/>
      <c r="C940" s="85"/>
      <c r="D940" s="85"/>
      <c r="E940" s="86"/>
      <c r="F940" s="85"/>
      <c r="G940" s="86"/>
      <c r="H940" s="90"/>
    </row>
    <row r="941" spans="2:8" ht="18" x14ac:dyDescent="0.25">
      <c r="B941" s="85">
        <f>+B26</f>
        <v>0</v>
      </c>
      <c r="C941" s="85"/>
      <c r="D941" s="85"/>
      <c r="E941" s="86"/>
      <c r="F941" s="85"/>
      <c r="G941" s="86"/>
      <c r="H941" s="90"/>
    </row>
    <row r="942" spans="2:8" ht="18" x14ac:dyDescent="0.25">
      <c r="B942" s="86"/>
      <c r="C942" s="85"/>
      <c r="D942" s="85"/>
      <c r="E942" s="85" t="str">
        <f>+E34</f>
        <v>Lima 461 C:A:B:A:</v>
      </c>
      <c r="F942" s="85"/>
      <c r="G942" s="85"/>
      <c r="H942" s="90" t="s">
        <v>108</v>
      </c>
    </row>
    <row r="943" spans="2:8" ht="18" x14ac:dyDescent="0.25">
      <c r="B943" s="85"/>
      <c r="C943" s="85"/>
      <c r="D943" s="85"/>
      <c r="E943" s="86"/>
      <c r="F943" s="86"/>
      <c r="G943" s="85"/>
      <c r="H943" s="94"/>
    </row>
    <row r="944" spans="2:8" ht="18" x14ac:dyDescent="0.25">
      <c r="B944" s="94"/>
      <c r="C944" s="85"/>
      <c r="D944" s="94"/>
      <c r="E944" s="85"/>
      <c r="F944" s="85"/>
      <c r="G944" s="85"/>
      <c r="H944" s="90"/>
    </row>
    <row r="945" spans="2:8" ht="18" x14ac:dyDescent="0.25">
      <c r="B945" s="94"/>
      <c r="C945" s="85"/>
      <c r="D945" s="94"/>
      <c r="E945" s="85"/>
      <c r="F945" s="85"/>
      <c r="G945" s="85"/>
      <c r="H945" s="90"/>
    </row>
    <row r="946" spans="2:8" ht="18" x14ac:dyDescent="0.25">
      <c r="B946" s="85" t="s">
        <v>198</v>
      </c>
      <c r="C946" s="85"/>
      <c r="D946" s="107">
        <f>+'RES CUENTA'!$L$25</f>
        <v>10859801.41</v>
      </c>
      <c r="E946" s="108" t="e">
        <f>+'RES CUENTA'!#REF!</f>
        <v>#REF!</v>
      </c>
      <c r="F946" s="103" t="e">
        <f>+D946*E946/100</f>
        <v>#REF!</v>
      </c>
      <c r="G946" s="345"/>
      <c r="H946" s="345"/>
    </row>
    <row r="947" spans="2:8" ht="18" x14ac:dyDescent="0.25">
      <c r="B947" s="85" t="s">
        <v>199</v>
      </c>
      <c r="C947" s="85"/>
      <c r="D947" s="107">
        <f>+'RES CUENTA'!H25</f>
        <v>100</v>
      </c>
      <c r="E947" s="108" t="e">
        <f>+'RES CUENTA'!#REF!</f>
        <v>#REF!</v>
      </c>
      <c r="F947" s="103" t="e">
        <f>+D947*E947/100</f>
        <v>#REF!</v>
      </c>
      <c r="G947" s="341"/>
      <c r="H947" s="341"/>
    </row>
    <row r="948" spans="2:8" ht="18" x14ac:dyDescent="0.25">
      <c r="B948" s="85" t="s">
        <v>79</v>
      </c>
      <c r="C948" s="85"/>
      <c r="D948" s="107" t="e">
        <f>+'RES CUENTA'!#REF!</f>
        <v>#REF!</v>
      </c>
      <c r="E948" s="108">
        <v>0</v>
      </c>
      <c r="F948" s="103" t="e">
        <f>+D948</f>
        <v>#REF!</v>
      </c>
      <c r="G948" s="341"/>
      <c r="H948" s="341"/>
    </row>
    <row r="949" spans="2:8" ht="18" x14ac:dyDescent="0.25">
      <c r="B949" s="85" t="s">
        <v>80</v>
      </c>
      <c r="C949" s="85"/>
      <c r="D949" s="107" t="e">
        <f>+'RES CUENTA'!#REF!</f>
        <v>#REF!</v>
      </c>
      <c r="E949" s="108">
        <v>0</v>
      </c>
      <c r="F949" s="103" t="e">
        <f>+D949</f>
        <v>#REF!</v>
      </c>
      <c r="G949" s="341"/>
      <c r="H949" s="341"/>
    </row>
    <row r="950" spans="2:8" ht="18" x14ac:dyDescent="0.25">
      <c r="B950" s="86"/>
      <c r="C950" s="85"/>
      <c r="D950" s="85"/>
      <c r="E950" s="92"/>
      <c r="F950" s="104" t="e">
        <f>SUM(F946:F949)</f>
        <v>#REF!</v>
      </c>
      <c r="G950" s="341"/>
      <c r="H950" s="341"/>
    </row>
    <row r="951" spans="2:8" ht="18" x14ac:dyDescent="0.25">
      <c r="B951" s="86"/>
      <c r="C951" s="85"/>
      <c r="D951" s="85"/>
      <c r="E951" s="92"/>
      <c r="F951" s="104"/>
      <c r="G951" s="89"/>
      <c r="H951" s="89"/>
    </row>
    <row r="952" spans="2:8" ht="18" x14ac:dyDescent="0.25">
      <c r="B952" s="86"/>
      <c r="C952" s="85"/>
      <c r="D952" s="85"/>
      <c r="E952" s="85"/>
      <c r="G952" s="338"/>
      <c r="H952" s="338"/>
    </row>
    <row r="953" spans="2:8" ht="18" x14ac:dyDescent="0.25">
      <c r="B953" s="85"/>
      <c r="C953" s="85"/>
      <c r="D953" s="85"/>
      <c r="E953" s="85"/>
      <c r="F953" s="91"/>
      <c r="G953" s="90"/>
      <c r="H953" s="90"/>
    </row>
    <row r="954" spans="2:8" ht="18" x14ac:dyDescent="0.25">
      <c r="B954" s="85"/>
      <c r="C954" s="85"/>
      <c r="D954" s="85"/>
      <c r="E954" s="85"/>
      <c r="F954" s="92"/>
      <c r="G954" s="85"/>
      <c r="H954" s="90"/>
    </row>
    <row r="955" spans="2:8" ht="18" x14ac:dyDescent="0.25">
      <c r="B955" s="85"/>
      <c r="C955" s="85"/>
      <c r="D955" s="85"/>
      <c r="E955" s="85"/>
      <c r="F955" s="92"/>
      <c r="G955" s="85"/>
      <c r="H955" s="90"/>
    </row>
    <row r="956" spans="2:8" ht="18" x14ac:dyDescent="0.25">
      <c r="B956" s="85">
        <f>+B941</f>
        <v>0</v>
      </c>
      <c r="C956" s="344"/>
      <c r="D956" s="344"/>
      <c r="E956" s="85">
        <f>+B956</f>
        <v>0</v>
      </c>
      <c r="F956" s="92"/>
      <c r="G956" s="85"/>
      <c r="H956" s="90"/>
    </row>
    <row r="957" spans="2:8" ht="18" x14ac:dyDescent="0.25">
      <c r="C957" s="85"/>
      <c r="D957" s="85"/>
      <c r="F957" s="344"/>
      <c r="G957" s="344"/>
      <c r="H957" s="344"/>
    </row>
    <row r="958" spans="2:8" ht="18" x14ac:dyDescent="0.25">
      <c r="B958" s="85" t="str">
        <f>+E1</f>
        <v>Lima 461 C:A:B:A:</v>
      </c>
      <c r="C958" s="85"/>
      <c r="D958" s="93" t="str">
        <f>+H942</f>
        <v>Unid. 25</v>
      </c>
      <c r="E958" s="85" t="str">
        <f>+E1</f>
        <v>Lima 461 C:A:B:A:</v>
      </c>
      <c r="F958" s="85"/>
      <c r="G958" s="85"/>
      <c r="H958" s="90" t="str">
        <f>+D958</f>
        <v>Unid. 25</v>
      </c>
    </row>
    <row r="959" spans="2:8" ht="18" x14ac:dyDescent="0.25">
      <c r="H959" s="94"/>
    </row>
    <row r="960" spans="2:8" ht="18" x14ac:dyDescent="0.25">
      <c r="B960" s="86"/>
      <c r="C960" s="86"/>
      <c r="D960" s="86"/>
      <c r="E960" s="86"/>
      <c r="F960" s="85"/>
      <c r="G960" s="85"/>
    </row>
    <row r="961" spans="2:8" ht="18" x14ac:dyDescent="0.25">
      <c r="B961" s="85"/>
      <c r="C961" s="85"/>
      <c r="D961" s="85"/>
      <c r="E961" s="85"/>
      <c r="F961" s="85"/>
      <c r="G961" s="86"/>
      <c r="H961" s="94"/>
    </row>
    <row r="962" spans="2:8" ht="18" x14ac:dyDescent="0.25">
      <c r="B962" s="85"/>
      <c r="C962" s="85"/>
      <c r="D962" s="85"/>
      <c r="E962" s="96"/>
      <c r="F962" s="85"/>
      <c r="G962" s="94"/>
      <c r="H962" s="90"/>
    </row>
    <row r="963" spans="2:8" ht="18" x14ac:dyDescent="0.25">
      <c r="C963" s="85"/>
      <c r="D963" s="85"/>
      <c r="E963" s="85" t="s">
        <v>200</v>
      </c>
      <c r="F963" s="106" t="e">
        <f>+F946</f>
        <v>#REF!</v>
      </c>
      <c r="H963" s="99">
        <f>+RECIBOS!B968</f>
        <v>46037</v>
      </c>
    </row>
    <row r="964" spans="2:8" ht="18" x14ac:dyDescent="0.25">
      <c r="B964" s="86"/>
      <c r="C964" s="85"/>
      <c r="D964" s="85"/>
      <c r="E964" s="85" t="s">
        <v>201</v>
      </c>
      <c r="F964" s="106" t="e">
        <f>+F947</f>
        <v>#REF!</v>
      </c>
    </row>
    <row r="965" spans="2:8" ht="18" x14ac:dyDescent="0.25">
      <c r="B965" s="86"/>
      <c r="C965" s="85"/>
      <c r="D965" s="85"/>
      <c r="E965" s="85" t="s">
        <v>81</v>
      </c>
      <c r="F965" s="106" t="e">
        <f>+F948</f>
        <v>#REF!</v>
      </c>
      <c r="G965" s="85"/>
      <c r="H965" s="90"/>
    </row>
    <row r="966" spans="2:8" ht="18" x14ac:dyDescent="0.25">
      <c r="B966" s="85"/>
      <c r="C966" s="85"/>
      <c r="D966" s="85"/>
      <c r="E966" s="85" t="s">
        <v>82</v>
      </c>
      <c r="F966" s="106" t="e">
        <f>+F949</f>
        <v>#REF!</v>
      </c>
      <c r="G966" s="85"/>
      <c r="H966" s="90"/>
    </row>
    <row r="967" spans="2:8" ht="18" x14ac:dyDescent="0.25">
      <c r="B967" s="96"/>
      <c r="C967" s="96"/>
      <c r="D967" s="96"/>
      <c r="E967" s="85" t="s">
        <v>188</v>
      </c>
      <c r="F967" s="106">
        <v>0</v>
      </c>
      <c r="G967" s="85"/>
      <c r="H967" s="90"/>
    </row>
    <row r="968" spans="2:8" ht="18" x14ac:dyDescent="0.25">
      <c r="B968" s="99">
        <f>+$G$30</f>
        <v>46037</v>
      </c>
      <c r="C968" s="105" t="e">
        <f>+F950</f>
        <v>#REF!</v>
      </c>
      <c r="D968" s="85"/>
      <c r="E968" s="85" t="s">
        <v>83</v>
      </c>
      <c r="F968" s="106" t="e">
        <f>+F950</f>
        <v>#REF!</v>
      </c>
      <c r="G968" s="85"/>
      <c r="H968" s="90"/>
    </row>
    <row r="969" spans="2:8" ht="18" x14ac:dyDescent="0.25">
      <c r="B969" s="85"/>
      <c r="C969" s="85"/>
      <c r="D969" s="85"/>
      <c r="E969" s="102"/>
      <c r="F969" s="85"/>
      <c r="G969" s="85"/>
      <c r="H969" s="90"/>
    </row>
    <row r="970" spans="2:8" ht="18" x14ac:dyDescent="0.25">
      <c r="B970" s="85"/>
      <c r="C970" s="85"/>
      <c r="D970" s="85"/>
      <c r="F970" s="85"/>
      <c r="G970" s="85"/>
      <c r="H970" s="90"/>
    </row>
    <row r="971" spans="2:8" ht="18" x14ac:dyDescent="0.25">
      <c r="B971" s="85"/>
      <c r="C971" s="85"/>
      <c r="D971" s="85"/>
      <c r="E971" s="85"/>
      <c r="F971" s="85"/>
      <c r="G971" s="85"/>
      <c r="H971" s="90"/>
    </row>
    <row r="972" spans="2:8" ht="18" x14ac:dyDescent="0.25">
      <c r="B972" s="85"/>
      <c r="C972" s="85"/>
      <c r="D972" s="85"/>
      <c r="E972" s="85"/>
      <c r="F972" s="85"/>
      <c r="G972" s="345"/>
      <c r="H972" s="345"/>
    </row>
    <row r="973" spans="2:8" ht="18" x14ac:dyDescent="0.25">
      <c r="B973" s="85"/>
      <c r="C973" s="85"/>
      <c r="D973" s="85"/>
      <c r="E973" s="85"/>
      <c r="F973" s="85"/>
      <c r="G973" s="94"/>
      <c r="H973" s="94"/>
    </row>
    <row r="974" spans="2:8" ht="18" x14ac:dyDescent="0.25">
      <c r="B974" s="85"/>
      <c r="C974" s="85"/>
      <c r="D974" s="85"/>
      <c r="E974" s="85"/>
      <c r="F974" s="85"/>
      <c r="G974" s="85"/>
      <c r="H974" s="90"/>
    </row>
    <row r="975" spans="2:8" ht="18" x14ac:dyDescent="0.25">
      <c r="B975" s="85"/>
      <c r="C975" s="85"/>
      <c r="D975" s="85"/>
      <c r="E975" s="85"/>
      <c r="F975" s="85"/>
      <c r="G975" s="85"/>
      <c r="H975" s="90"/>
    </row>
    <row r="976" spans="2:8" ht="18" x14ac:dyDescent="0.25">
      <c r="B976" s="343"/>
      <c r="C976" s="343"/>
      <c r="D976" s="343"/>
      <c r="E976" s="85"/>
      <c r="F976" s="85"/>
      <c r="H976" s="90"/>
    </row>
    <row r="977" spans="2:8" ht="18" x14ac:dyDescent="0.25">
      <c r="B977" s="343"/>
      <c r="C977" s="343"/>
      <c r="D977" s="343"/>
      <c r="E977" s="98">
        <f>+$B$1</f>
        <v>46143</v>
      </c>
      <c r="F977" s="85"/>
      <c r="G977" s="99">
        <f>+$D$1</f>
        <v>46037</v>
      </c>
      <c r="H977" s="160"/>
    </row>
    <row r="978" spans="2:8" ht="18" x14ac:dyDescent="0.25">
      <c r="B978" s="84"/>
      <c r="C978" s="84"/>
      <c r="D978" s="100"/>
      <c r="E978" s="98"/>
      <c r="F978" s="85"/>
    </row>
    <row r="979" spans="2:8" ht="18" x14ac:dyDescent="0.25">
      <c r="B979" s="85">
        <f>+B27</f>
        <v>0</v>
      </c>
      <c r="C979" s="85"/>
      <c r="D979" s="85"/>
      <c r="F979" s="85"/>
    </row>
    <row r="980" spans="2:8" ht="18" x14ac:dyDescent="0.25">
      <c r="C980" s="85"/>
      <c r="D980" s="85"/>
      <c r="E980" s="85" t="str">
        <f>+$E$1</f>
        <v>Lima 461 C:A:B:A:</v>
      </c>
      <c r="F980" s="85"/>
      <c r="H980" s="90" t="s">
        <v>109</v>
      </c>
    </row>
    <row r="981" spans="2:8" ht="18" x14ac:dyDescent="0.25">
      <c r="B981" s="86"/>
      <c r="C981" s="85"/>
      <c r="D981" s="85"/>
      <c r="F981" s="85"/>
      <c r="G981" s="86"/>
    </row>
    <row r="982" spans="2:8" ht="18" x14ac:dyDescent="0.25">
      <c r="B982" s="85"/>
      <c r="C982" s="85"/>
      <c r="D982" s="85"/>
      <c r="E982" s="86"/>
      <c r="F982" s="86"/>
      <c r="G982" s="85"/>
      <c r="H982" s="94"/>
    </row>
    <row r="983" spans="2:8" ht="18" x14ac:dyDescent="0.25">
      <c r="B983" s="94"/>
      <c r="C983" s="85"/>
      <c r="D983" s="94"/>
      <c r="E983" s="85"/>
      <c r="F983" s="85"/>
      <c r="G983" s="85"/>
      <c r="H983" s="90"/>
    </row>
    <row r="984" spans="2:8" ht="18" x14ac:dyDescent="0.25">
      <c r="B984" s="85" t="s">
        <v>198</v>
      </c>
      <c r="C984" s="85"/>
      <c r="D984" s="107">
        <f>+'RES CUENTA'!$L$25</f>
        <v>10859801.41</v>
      </c>
      <c r="E984" s="108" t="e">
        <f>+'RES CUENTA'!#REF!</f>
        <v>#REF!</v>
      </c>
      <c r="F984" s="103" t="e">
        <f>+D984*E984/100</f>
        <v>#REF!</v>
      </c>
      <c r="G984" s="85"/>
      <c r="H984" s="94"/>
    </row>
    <row r="985" spans="2:8" ht="18" x14ac:dyDescent="0.25">
      <c r="B985" s="85" t="s">
        <v>199</v>
      </c>
      <c r="C985" s="85"/>
      <c r="D985" s="107">
        <f>+'RES CUENTA'!H25</f>
        <v>100</v>
      </c>
      <c r="E985" s="108" t="e">
        <f>+'RES CUENTA'!#REF!</f>
        <v>#REF!</v>
      </c>
      <c r="F985" s="103" t="e">
        <f>+D985*E985/100</f>
        <v>#REF!</v>
      </c>
      <c r="G985" s="94"/>
      <c r="H985" s="89"/>
    </row>
    <row r="986" spans="2:8" ht="18" x14ac:dyDescent="0.25">
      <c r="B986" s="85" t="s">
        <v>79</v>
      </c>
      <c r="C986" s="85"/>
      <c r="D986" s="107" t="e">
        <f>+'RES CUENTA'!#REF!</f>
        <v>#REF!</v>
      </c>
      <c r="E986" s="108">
        <f>+'RES CUENTA'!P48</f>
        <v>0</v>
      </c>
      <c r="F986" s="103" t="e">
        <f>+D986</f>
        <v>#REF!</v>
      </c>
      <c r="G986" s="89"/>
      <c r="H986" s="89"/>
    </row>
    <row r="987" spans="2:8" ht="18" x14ac:dyDescent="0.25">
      <c r="B987" s="85" t="s">
        <v>80</v>
      </c>
      <c r="C987" s="85"/>
      <c r="D987" s="107" t="e">
        <f>+'RES CUENTA'!#REF!</f>
        <v>#REF!</v>
      </c>
      <c r="E987" s="108">
        <f>+'RES CUENTA'!R46</f>
        <v>0</v>
      </c>
      <c r="F987" s="103" t="e">
        <f>+D987</f>
        <v>#REF!</v>
      </c>
      <c r="G987" s="89"/>
      <c r="H987" s="89"/>
    </row>
    <row r="988" spans="2:8" ht="18" x14ac:dyDescent="0.25">
      <c r="B988" s="86"/>
      <c r="C988" s="85"/>
      <c r="D988" s="85"/>
      <c r="F988" s="104" t="e">
        <f>SUM(F984:F987)</f>
        <v>#REF!</v>
      </c>
      <c r="G988" s="89"/>
      <c r="H988" s="89"/>
    </row>
    <row r="989" spans="2:8" ht="18" x14ac:dyDescent="0.25">
      <c r="B989" s="86"/>
      <c r="C989" s="85"/>
      <c r="D989" s="85"/>
      <c r="F989" s="104"/>
      <c r="G989" s="89"/>
      <c r="H989" s="89"/>
    </row>
    <row r="990" spans="2:8" ht="18" x14ac:dyDescent="0.25">
      <c r="B990" s="86"/>
      <c r="C990" s="85"/>
      <c r="D990" s="85"/>
      <c r="F990" s="91"/>
      <c r="G990" s="89"/>
      <c r="H990" s="90"/>
    </row>
    <row r="991" spans="2:8" ht="18" x14ac:dyDescent="0.25">
      <c r="B991" s="85"/>
      <c r="C991" s="85"/>
      <c r="D991" s="85"/>
      <c r="E991" s="85"/>
      <c r="F991" s="92"/>
      <c r="G991" s="90"/>
      <c r="H991" s="90"/>
    </row>
    <row r="992" spans="2:8" ht="18" x14ac:dyDescent="0.25">
      <c r="B992" s="85"/>
      <c r="C992" s="85"/>
      <c r="D992" s="85"/>
      <c r="E992" s="85"/>
      <c r="F992" s="92"/>
      <c r="G992" s="90"/>
      <c r="H992" s="90"/>
    </row>
    <row r="993" spans="2:8" ht="18" x14ac:dyDescent="0.25">
      <c r="B993" s="85"/>
      <c r="C993" s="85"/>
      <c r="D993" s="85"/>
      <c r="E993" s="85"/>
      <c r="F993" s="92"/>
      <c r="G993" s="90"/>
      <c r="H993" s="90"/>
    </row>
    <row r="994" spans="2:8" ht="18" x14ac:dyDescent="0.25">
      <c r="B994" s="85">
        <f>+B979</f>
        <v>0</v>
      </c>
      <c r="C994" s="85"/>
      <c r="D994" s="85"/>
      <c r="E994" s="85">
        <f>+B979</f>
        <v>0</v>
      </c>
      <c r="F994" s="85"/>
      <c r="G994" s="85"/>
      <c r="H994" s="94"/>
    </row>
    <row r="995" spans="2:8" ht="18" x14ac:dyDescent="0.25">
      <c r="B995" s="86"/>
      <c r="C995" s="85"/>
      <c r="D995" s="85"/>
      <c r="F995" s="85"/>
      <c r="G995" s="101"/>
      <c r="H995" s="90" t="str">
        <f>+H980</f>
        <v>Unid. 26</v>
      </c>
    </row>
    <row r="996" spans="2:8" ht="18" x14ac:dyDescent="0.25">
      <c r="B996" s="85" t="str">
        <f>+E1</f>
        <v>Lima 461 C:A:B:A:</v>
      </c>
      <c r="C996" s="85"/>
      <c r="D996" s="93" t="str">
        <f>+H995</f>
        <v>Unid. 26</v>
      </c>
      <c r="E996" s="85" t="str">
        <f>+E1</f>
        <v>Lima 461 C:A:B:A:</v>
      </c>
      <c r="F996" s="85"/>
      <c r="G996" s="85"/>
      <c r="H996" s="94"/>
    </row>
    <row r="997" spans="2:8" ht="18" x14ac:dyDescent="0.25">
      <c r="B997" s="86"/>
      <c r="C997" s="86"/>
      <c r="D997" s="86"/>
      <c r="F997" s="85"/>
      <c r="G997" s="85"/>
    </row>
    <row r="998" spans="2:8" ht="18" x14ac:dyDescent="0.25">
      <c r="B998" s="85"/>
      <c r="C998" s="85"/>
      <c r="D998" s="85"/>
      <c r="E998" s="86"/>
      <c r="F998" s="85"/>
      <c r="G998" s="85"/>
      <c r="H998" s="94"/>
    </row>
    <row r="999" spans="2:8" ht="18" x14ac:dyDescent="0.25">
      <c r="B999" s="85"/>
      <c r="C999" s="85"/>
      <c r="D999" s="85"/>
      <c r="E999" s="85"/>
      <c r="F999" s="96"/>
      <c r="G999" s="86"/>
      <c r="H999" s="90"/>
    </row>
    <row r="1000" spans="2:8" ht="18" x14ac:dyDescent="0.25">
      <c r="B1000" s="85"/>
      <c r="C1000" s="85"/>
      <c r="D1000" s="85"/>
      <c r="E1000" s="96"/>
      <c r="G1000" s="94"/>
      <c r="H1000" s="96"/>
    </row>
    <row r="1001" spans="2:8" ht="18" x14ac:dyDescent="0.25">
      <c r="B1001" s="86"/>
      <c r="C1001" s="85"/>
      <c r="D1001" s="85"/>
      <c r="E1001" s="85" t="s">
        <v>200</v>
      </c>
      <c r="F1001" s="106" t="e">
        <f>+F984</f>
        <v>#REF!</v>
      </c>
      <c r="G1001" s="95"/>
      <c r="H1001" s="99">
        <f>+B1005</f>
        <v>46037</v>
      </c>
    </row>
    <row r="1002" spans="2:8" ht="18" x14ac:dyDescent="0.25">
      <c r="B1002" s="86"/>
      <c r="C1002" s="85"/>
      <c r="D1002" s="85"/>
      <c r="E1002" s="85" t="s">
        <v>201</v>
      </c>
      <c r="F1002" s="106" t="e">
        <f>+F985</f>
        <v>#REF!</v>
      </c>
      <c r="H1002" s="90"/>
    </row>
    <row r="1003" spans="2:8" ht="18" x14ac:dyDescent="0.25">
      <c r="B1003" s="85"/>
      <c r="C1003" s="85"/>
      <c r="D1003" s="85"/>
      <c r="E1003" s="85" t="s">
        <v>81</v>
      </c>
      <c r="F1003" s="106" t="e">
        <f>+F986</f>
        <v>#REF!</v>
      </c>
      <c r="G1003" s="85"/>
      <c r="H1003" s="90"/>
    </row>
    <row r="1004" spans="2:8" ht="18" x14ac:dyDescent="0.25">
      <c r="B1004" s="96"/>
      <c r="C1004" s="96"/>
      <c r="D1004" s="96"/>
      <c r="E1004" s="85" t="s">
        <v>82</v>
      </c>
      <c r="F1004" s="106">
        <f>+'RES CUENTA'!R881</f>
        <v>0</v>
      </c>
      <c r="G1004" s="85"/>
      <c r="H1004" s="90"/>
    </row>
    <row r="1005" spans="2:8" ht="18" x14ac:dyDescent="0.25">
      <c r="B1005" s="99">
        <f>+$G$30</f>
        <v>46037</v>
      </c>
      <c r="C1005" s="105" t="e">
        <f>+F988</f>
        <v>#REF!</v>
      </c>
      <c r="D1005" s="85"/>
      <c r="E1005" s="85" t="s">
        <v>188</v>
      </c>
      <c r="F1005" s="106">
        <v>0</v>
      </c>
      <c r="G1005" s="85"/>
      <c r="H1005" s="90"/>
    </row>
    <row r="1006" spans="2:8" ht="18" x14ac:dyDescent="0.25">
      <c r="B1006" s="85"/>
      <c r="C1006" s="85"/>
      <c r="D1006" s="85"/>
      <c r="E1006" s="85" t="s">
        <v>83</v>
      </c>
      <c r="F1006" s="106" t="e">
        <f>+F988</f>
        <v>#REF!</v>
      </c>
      <c r="G1006" s="85"/>
      <c r="H1006" s="90"/>
    </row>
    <row r="1007" spans="2:8" ht="18" x14ac:dyDescent="0.25">
      <c r="B1007" s="85"/>
      <c r="C1007" s="85"/>
      <c r="D1007" s="85"/>
      <c r="E1007" s="85"/>
      <c r="F1007" s="85"/>
      <c r="G1007" s="85"/>
      <c r="H1007" s="90"/>
    </row>
    <row r="1008" spans="2:8" ht="18" x14ac:dyDescent="0.25">
      <c r="B1008" s="85"/>
      <c r="C1008" s="85"/>
      <c r="D1008" s="85"/>
      <c r="E1008" s="102"/>
      <c r="F1008" s="85"/>
      <c r="G1008" s="85"/>
      <c r="H1008" s="90"/>
    </row>
    <row r="1009" spans="2:8" ht="18" x14ac:dyDescent="0.25">
      <c r="B1009" s="85"/>
      <c r="C1009" s="85"/>
      <c r="D1009" s="85"/>
      <c r="E1009" s="85"/>
      <c r="F1009" s="85"/>
      <c r="G1009" s="85"/>
      <c r="H1009" s="94"/>
    </row>
    <row r="1010" spans="2:8" ht="9.75" customHeight="1" x14ac:dyDescent="0.25">
      <c r="E1010" s="85"/>
      <c r="G1010" s="94"/>
      <c r="H1010" s="90"/>
    </row>
    <row r="1012" spans="2:8" ht="18" x14ac:dyDescent="0.25">
      <c r="B1012" s="343"/>
      <c r="C1012" s="343"/>
      <c r="D1012" s="343"/>
      <c r="E1012" s="342">
        <f>+$B$1</f>
        <v>46143</v>
      </c>
      <c r="F1012" s="85"/>
      <c r="G1012" s="337">
        <f>+$D$1</f>
        <v>46037</v>
      </c>
      <c r="H1012" s="90"/>
    </row>
    <row r="1013" spans="2:8" ht="18" x14ac:dyDescent="0.25">
      <c r="B1013" s="84"/>
      <c r="C1013" s="84"/>
      <c r="D1013" s="100"/>
      <c r="E1013" s="342"/>
      <c r="F1013" s="85"/>
      <c r="G1013" s="337"/>
      <c r="H1013" s="90"/>
    </row>
    <row r="1014" spans="2:8" ht="18" x14ac:dyDescent="0.25">
      <c r="B1014" s="85"/>
      <c r="C1014" s="85"/>
      <c r="D1014" s="85"/>
      <c r="E1014" s="86"/>
      <c r="F1014" s="85"/>
      <c r="G1014" s="86"/>
      <c r="H1014" s="90"/>
    </row>
    <row r="1015" spans="2:8" ht="18" x14ac:dyDescent="0.25">
      <c r="B1015" s="85" t="e">
        <f>+#REF!</f>
        <v>#REF!</v>
      </c>
      <c r="C1015" s="85"/>
      <c r="D1015" s="85"/>
      <c r="E1015" s="86"/>
      <c r="F1015" s="85"/>
      <c r="G1015" s="86"/>
      <c r="H1015" s="90"/>
    </row>
    <row r="1016" spans="2:8" ht="18" x14ac:dyDescent="0.25">
      <c r="B1016" s="86"/>
      <c r="C1016" s="85"/>
      <c r="D1016" s="85"/>
      <c r="E1016" s="85" t="str">
        <f>+E34</f>
        <v>Lima 461 C:A:B:A:</v>
      </c>
      <c r="F1016" s="85"/>
      <c r="G1016" s="85"/>
      <c r="H1016" s="90" t="s">
        <v>110</v>
      </c>
    </row>
    <row r="1017" spans="2:8" ht="18" x14ac:dyDescent="0.25">
      <c r="B1017" s="85"/>
      <c r="C1017" s="85"/>
      <c r="D1017" s="85"/>
      <c r="E1017" s="86"/>
      <c r="F1017" s="86"/>
      <c r="G1017" s="85"/>
      <c r="H1017" s="94"/>
    </row>
    <row r="1018" spans="2:8" ht="18" x14ac:dyDescent="0.25">
      <c r="B1018" s="94"/>
      <c r="C1018" s="85"/>
      <c r="D1018" s="94"/>
      <c r="E1018" s="85"/>
      <c r="F1018" s="85"/>
      <c r="G1018" s="85"/>
      <c r="H1018" s="90"/>
    </row>
    <row r="1019" spans="2:8" ht="18" x14ac:dyDescent="0.25">
      <c r="B1019" s="94"/>
      <c r="C1019" s="85"/>
      <c r="D1019" s="94"/>
      <c r="E1019" s="85"/>
      <c r="F1019" s="85"/>
      <c r="G1019" s="85"/>
      <c r="H1019" s="90"/>
    </row>
    <row r="1020" spans="2:8" ht="18" x14ac:dyDescent="0.25">
      <c r="B1020" s="85" t="s">
        <v>198</v>
      </c>
      <c r="C1020" s="85"/>
      <c r="D1020" s="107">
        <f>+'RES CUENTA'!$L$25</f>
        <v>10859801.41</v>
      </c>
      <c r="E1020" s="108" t="e">
        <f>+'RES CUENTA'!#REF!</f>
        <v>#REF!</v>
      </c>
      <c r="F1020" s="103" t="e">
        <f>+D1020*E1020/100</f>
        <v>#REF!</v>
      </c>
      <c r="G1020" s="345"/>
      <c r="H1020" s="345"/>
    </row>
    <row r="1021" spans="2:8" ht="18" x14ac:dyDescent="0.25">
      <c r="B1021" s="85" t="s">
        <v>199</v>
      </c>
      <c r="C1021" s="85"/>
      <c r="D1021" s="107">
        <v>0</v>
      </c>
      <c r="E1021" s="108">
        <v>0</v>
      </c>
      <c r="F1021" s="103">
        <f>+D1021*E1021/100</f>
        <v>0</v>
      </c>
      <c r="G1021" s="341"/>
      <c r="H1021" s="341"/>
    </row>
    <row r="1022" spans="2:8" ht="18" x14ac:dyDescent="0.25">
      <c r="B1022" s="85" t="s">
        <v>79</v>
      </c>
      <c r="C1022" s="85"/>
      <c r="D1022" s="107" t="e">
        <f>+'RES CUENTA'!#REF!</f>
        <v>#REF!</v>
      </c>
      <c r="E1022" s="108">
        <v>0</v>
      </c>
      <c r="F1022" s="103" t="e">
        <f>+D1022</f>
        <v>#REF!</v>
      </c>
      <c r="G1022" s="341"/>
      <c r="H1022" s="341"/>
    </row>
    <row r="1023" spans="2:8" ht="18" x14ac:dyDescent="0.25">
      <c r="B1023" s="85" t="s">
        <v>80</v>
      </c>
      <c r="C1023" s="85"/>
      <c r="D1023" s="107" t="e">
        <f>+'RES CUENTA'!#REF!</f>
        <v>#REF!</v>
      </c>
      <c r="E1023" s="108">
        <v>0</v>
      </c>
      <c r="F1023" s="103" t="e">
        <f>+D1023</f>
        <v>#REF!</v>
      </c>
      <c r="G1023" s="341"/>
      <c r="H1023" s="341"/>
    </row>
    <row r="1024" spans="2:8" ht="18" x14ac:dyDescent="0.25">
      <c r="B1024" s="86"/>
      <c r="C1024" s="85"/>
      <c r="D1024" s="85"/>
      <c r="E1024" s="92"/>
      <c r="F1024" s="104" t="e">
        <f>SUM(F1020:F1023)</f>
        <v>#REF!</v>
      </c>
      <c r="G1024" s="341"/>
      <c r="H1024" s="341"/>
    </row>
    <row r="1025" spans="2:8" ht="18" x14ac:dyDescent="0.25">
      <c r="B1025" s="86"/>
      <c r="C1025" s="85"/>
      <c r="D1025" s="85"/>
      <c r="E1025" s="92"/>
      <c r="F1025" s="104"/>
      <c r="G1025" s="89"/>
      <c r="H1025" s="89"/>
    </row>
    <row r="1026" spans="2:8" ht="18" x14ac:dyDescent="0.25">
      <c r="B1026" s="86"/>
      <c r="C1026" s="85"/>
      <c r="D1026" s="85"/>
      <c r="E1026" s="85"/>
      <c r="G1026" s="338"/>
      <c r="H1026" s="338"/>
    </row>
    <row r="1027" spans="2:8" ht="18" x14ac:dyDescent="0.25">
      <c r="B1027" s="85"/>
      <c r="C1027" s="85"/>
      <c r="D1027" s="85"/>
      <c r="E1027" s="85"/>
      <c r="F1027" s="91"/>
      <c r="G1027" s="90"/>
      <c r="H1027" s="90"/>
    </row>
    <row r="1028" spans="2:8" ht="18" x14ac:dyDescent="0.25">
      <c r="B1028" s="85"/>
      <c r="C1028" s="85"/>
      <c r="D1028" s="85"/>
      <c r="E1028" s="85"/>
      <c r="F1028" s="92"/>
      <c r="G1028" s="85"/>
      <c r="H1028" s="90"/>
    </row>
    <row r="1029" spans="2:8" ht="18" x14ac:dyDescent="0.25">
      <c r="B1029" s="85"/>
      <c r="C1029" s="85"/>
      <c r="D1029" s="85"/>
      <c r="E1029" s="85"/>
      <c r="F1029" s="92"/>
      <c r="G1029" s="85"/>
      <c r="H1029" s="90"/>
    </row>
    <row r="1030" spans="2:8" ht="18" x14ac:dyDescent="0.25">
      <c r="B1030" s="85" t="e">
        <f>+B1015</f>
        <v>#REF!</v>
      </c>
      <c r="C1030" s="344"/>
      <c r="D1030" s="344"/>
      <c r="E1030" s="85"/>
      <c r="F1030" s="92"/>
      <c r="G1030" s="85"/>
      <c r="H1030" s="90"/>
    </row>
    <row r="1031" spans="2:8" ht="18" x14ac:dyDescent="0.25">
      <c r="C1031" s="85"/>
      <c r="D1031" s="85"/>
      <c r="F1031" s="344"/>
      <c r="G1031" s="344"/>
      <c r="H1031" s="344"/>
    </row>
    <row r="1032" spans="2:8" ht="18" x14ac:dyDescent="0.25">
      <c r="B1032" s="85" t="str">
        <f>+$E$1</f>
        <v>Lima 461 C:A:B:A:</v>
      </c>
      <c r="C1032" s="85"/>
      <c r="D1032" s="93" t="str">
        <f>+H1016</f>
        <v>Unid. 27</v>
      </c>
      <c r="E1032" s="85" t="str">
        <f>+$E$1</f>
        <v>Lima 461 C:A:B:A:</v>
      </c>
      <c r="F1032" s="85"/>
      <c r="G1032" s="85"/>
      <c r="H1032" s="90" t="str">
        <f>+D1032</f>
        <v>Unid. 27</v>
      </c>
    </row>
    <row r="1033" spans="2:8" ht="18" x14ac:dyDescent="0.25">
      <c r="H1033" s="94"/>
    </row>
    <row r="1034" spans="2:8" ht="18" x14ac:dyDescent="0.25">
      <c r="B1034" s="86"/>
      <c r="C1034" s="86"/>
      <c r="D1034" s="86"/>
      <c r="E1034" s="86"/>
      <c r="F1034" s="85"/>
      <c r="G1034" s="85"/>
    </row>
    <row r="1035" spans="2:8" ht="18" x14ac:dyDescent="0.25">
      <c r="B1035" s="85">
        <f>+$E$2</f>
        <v>0</v>
      </c>
      <c r="C1035" s="85"/>
      <c r="D1035" s="85"/>
      <c r="E1035" s="85"/>
      <c r="F1035" s="85"/>
      <c r="G1035" s="86"/>
      <c r="H1035" s="94"/>
    </row>
    <row r="1036" spans="2:8" ht="18" x14ac:dyDescent="0.25">
      <c r="B1036" s="85">
        <f>+$E$3</f>
        <v>0</v>
      </c>
      <c r="C1036" s="85"/>
      <c r="D1036" s="85"/>
      <c r="E1036" s="96"/>
      <c r="F1036" s="85"/>
      <c r="G1036" s="94"/>
      <c r="H1036" s="90"/>
    </row>
    <row r="1037" spans="2:8" ht="18" x14ac:dyDescent="0.25">
      <c r="C1037" s="85"/>
      <c r="D1037" s="85"/>
      <c r="E1037" s="85" t="s">
        <v>200</v>
      </c>
      <c r="F1037" s="106" t="e">
        <f>+F1020</f>
        <v>#REF!</v>
      </c>
      <c r="H1037" s="99">
        <f>+B1042</f>
        <v>46037</v>
      </c>
    </row>
    <row r="1038" spans="2:8" ht="18" x14ac:dyDescent="0.25">
      <c r="B1038" s="86"/>
      <c r="C1038" s="85"/>
      <c r="D1038" s="85"/>
      <c r="E1038" s="85" t="s">
        <v>201</v>
      </c>
      <c r="F1038" s="106">
        <f>+F1021</f>
        <v>0</v>
      </c>
    </row>
    <row r="1039" spans="2:8" ht="18" x14ac:dyDescent="0.25">
      <c r="B1039" s="86"/>
      <c r="C1039" s="85"/>
      <c r="D1039" s="85"/>
      <c r="E1039" s="85" t="s">
        <v>81</v>
      </c>
      <c r="F1039" s="106" t="e">
        <f>+F1022</f>
        <v>#REF!</v>
      </c>
      <c r="G1039" s="85"/>
      <c r="H1039" s="90"/>
    </row>
    <row r="1040" spans="2:8" ht="18" x14ac:dyDescent="0.25">
      <c r="B1040" s="85"/>
      <c r="C1040" s="85"/>
      <c r="D1040" s="85"/>
      <c r="E1040" s="85" t="s">
        <v>82</v>
      </c>
      <c r="F1040" s="106" t="e">
        <f>+F1023</f>
        <v>#REF!</v>
      </c>
      <c r="G1040" s="85"/>
      <c r="H1040" s="90"/>
    </row>
    <row r="1041" spans="2:8" ht="18" x14ac:dyDescent="0.25">
      <c r="B1041" s="96"/>
      <c r="C1041" s="96"/>
      <c r="D1041" s="96"/>
      <c r="E1041" s="85" t="s">
        <v>188</v>
      </c>
      <c r="F1041" s="106">
        <v>0</v>
      </c>
      <c r="G1041" s="85"/>
      <c r="H1041" s="90"/>
    </row>
    <row r="1042" spans="2:8" ht="18" x14ac:dyDescent="0.25">
      <c r="B1042" s="99">
        <f>+$G$30</f>
        <v>46037</v>
      </c>
      <c r="C1042" s="105" t="e">
        <f>+F1024</f>
        <v>#REF!</v>
      </c>
      <c r="D1042" s="85"/>
      <c r="E1042" s="85" t="s">
        <v>83</v>
      </c>
      <c r="F1042" s="106" t="e">
        <f>+F1024</f>
        <v>#REF!</v>
      </c>
      <c r="G1042" s="85"/>
      <c r="H1042" s="90"/>
    </row>
    <row r="1043" spans="2:8" ht="18" x14ac:dyDescent="0.25">
      <c r="B1043" s="85"/>
      <c r="C1043" s="85"/>
      <c r="D1043" s="85"/>
      <c r="E1043" s="102"/>
      <c r="F1043" s="85"/>
      <c r="G1043" s="85"/>
      <c r="H1043" s="90"/>
    </row>
    <row r="1044" spans="2:8" ht="18" x14ac:dyDescent="0.25">
      <c r="B1044" s="85"/>
      <c r="C1044" s="85"/>
      <c r="D1044" s="85"/>
      <c r="F1044" s="85"/>
      <c r="G1044" s="85"/>
      <c r="H1044" s="90"/>
    </row>
    <row r="1045" spans="2:8" ht="18" x14ac:dyDescent="0.25">
      <c r="B1045" s="85"/>
      <c r="C1045" s="85"/>
      <c r="D1045" s="85"/>
      <c r="E1045" s="85"/>
      <c r="F1045" s="85"/>
      <c r="G1045" s="85"/>
      <c r="H1045" s="90"/>
    </row>
    <row r="1046" spans="2:8" ht="18" x14ac:dyDescent="0.25">
      <c r="B1046" s="85"/>
      <c r="C1046" s="85"/>
      <c r="D1046" s="85"/>
      <c r="E1046" s="85"/>
      <c r="F1046" s="85"/>
      <c r="G1046" s="345"/>
      <c r="H1046" s="345"/>
    </row>
    <row r="1047" spans="2:8" ht="18" x14ac:dyDescent="0.25">
      <c r="B1047" s="85"/>
      <c r="C1047" s="85"/>
      <c r="D1047" s="85"/>
      <c r="E1047" s="85"/>
      <c r="F1047" s="85"/>
      <c r="G1047" s="85"/>
      <c r="H1047" s="90"/>
    </row>
    <row r="1048" spans="2:8" ht="18" x14ac:dyDescent="0.25">
      <c r="B1048" s="85"/>
      <c r="C1048" s="85"/>
      <c r="D1048" s="85"/>
      <c r="E1048" s="85"/>
      <c r="F1048" s="85"/>
      <c r="G1048" s="85"/>
      <c r="H1048" s="90"/>
    </row>
    <row r="1049" spans="2:8" ht="18" x14ac:dyDescent="0.25">
      <c r="B1049" s="85"/>
      <c r="C1049" s="85"/>
      <c r="D1049" s="85"/>
      <c r="E1049" s="85"/>
      <c r="F1049" s="85"/>
      <c r="G1049" s="85"/>
      <c r="H1049" s="90"/>
    </row>
    <row r="1050" spans="2:8" ht="18" x14ac:dyDescent="0.25">
      <c r="B1050" s="85"/>
      <c r="C1050" s="85"/>
      <c r="D1050" s="85"/>
      <c r="E1050" s="85"/>
      <c r="F1050" s="85"/>
      <c r="G1050" s="85"/>
      <c r="H1050" s="90"/>
    </row>
    <row r="1051" spans="2:8" ht="18" x14ac:dyDescent="0.25">
      <c r="B1051" s="343"/>
      <c r="C1051" s="343"/>
      <c r="D1051" s="343"/>
      <c r="E1051" s="98">
        <f>+$B$1</f>
        <v>46143</v>
      </c>
      <c r="F1051" s="85"/>
      <c r="G1051" s="99">
        <f>+$D$1</f>
        <v>46037</v>
      </c>
      <c r="H1051" s="160"/>
    </row>
    <row r="1052" spans="2:8" ht="18" x14ac:dyDescent="0.25">
      <c r="B1052" s="84"/>
      <c r="C1052" s="84"/>
      <c r="D1052" s="100"/>
      <c r="E1052" s="98"/>
      <c r="F1052" s="85"/>
    </row>
    <row r="1053" spans="2:8" ht="18" x14ac:dyDescent="0.25">
      <c r="B1053" s="85" t="e">
        <f>+#REF!</f>
        <v>#REF!</v>
      </c>
      <c r="C1053" s="85"/>
      <c r="D1053" s="85"/>
      <c r="F1053" s="85"/>
    </row>
    <row r="1054" spans="2:8" ht="18" x14ac:dyDescent="0.25">
      <c r="C1054" s="85"/>
      <c r="D1054" s="85"/>
      <c r="E1054" s="85" t="str">
        <f>+$E$1</f>
        <v>Lima 461 C:A:B:A:</v>
      </c>
      <c r="F1054" s="85"/>
      <c r="H1054" s="90" t="s">
        <v>111</v>
      </c>
    </row>
    <row r="1055" spans="2:8" ht="18" x14ac:dyDescent="0.25">
      <c r="B1055" s="86"/>
      <c r="C1055" s="85"/>
      <c r="D1055" s="85"/>
      <c r="F1055" s="85"/>
      <c r="G1055" s="86"/>
    </row>
    <row r="1056" spans="2:8" ht="18" x14ac:dyDescent="0.25">
      <c r="B1056" s="85"/>
      <c r="C1056" s="85"/>
      <c r="D1056" s="85"/>
      <c r="E1056" s="86"/>
      <c r="F1056" s="86"/>
      <c r="G1056" s="85"/>
      <c r="H1056" s="94"/>
    </row>
    <row r="1057" spans="2:8" ht="18" x14ac:dyDescent="0.25">
      <c r="B1057" s="94"/>
      <c r="C1057" s="85"/>
      <c r="D1057" s="94"/>
      <c r="E1057" s="85"/>
      <c r="F1057" s="85"/>
      <c r="G1057" s="85"/>
      <c r="H1057" s="90"/>
    </row>
    <row r="1058" spans="2:8" ht="18" x14ac:dyDescent="0.25">
      <c r="B1058" s="85" t="s">
        <v>198</v>
      </c>
      <c r="C1058" s="85"/>
      <c r="D1058" s="107">
        <f>+'RES CUENTA'!$L$25</f>
        <v>10859801.41</v>
      </c>
      <c r="E1058" s="108" t="e">
        <f>+'RES CUENTA'!#REF!</f>
        <v>#REF!</v>
      </c>
      <c r="F1058" s="103" t="e">
        <f>+D1058*E1058/100</f>
        <v>#REF!</v>
      </c>
      <c r="G1058" s="85"/>
      <c r="H1058" s="94"/>
    </row>
    <row r="1059" spans="2:8" ht="18" x14ac:dyDescent="0.25">
      <c r="B1059" s="85" t="s">
        <v>199</v>
      </c>
      <c r="C1059" s="85"/>
      <c r="D1059" s="107" t="e">
        <f>+'RES CUENTA'!#REF!</f>
        <v>#REF!</v>
      </c>
      <c r="E1059" s="108" t="e">
        <f>+'RES CUENTA'!#REF!</f>
        <v>#REF!</v>
      </c>
      <c r="F1059" s="103" t="e">
        <f>+D1059*E1059/100</f>
        <v>#REF!</v>
      </c>
      <c r="G1059" s="94"/>
      <c r="H1059" s="89"/>
    </row>
    <row r="1060" spans="2:8" ht="18" x14ac:dyDescent="0.25">
      <c r="B1060" s="85" t="s">
        <v>79</v>
      </c>
      <c r="C1060" s="85"/>
      <c r="D1060" s="107" t="e">
        <f>+'RES CUENTA'!#REF!</f>
        <v>#REF!</v>
      </c>
      <c r="E1060" s="108">
        <f>+'RES CUENTA'!P143</f>
        <v>0</v>
      </c>
      <c r="F1060" s="103" t="e">
        <f>+D1060</f>
        <v>#REF!</v>
      </c>
      <c r="G1060" s="89"/>
      <c r="H1060" s="89"/>
    </row>
    <row r="1061" spans="2:8" ht="18" x14ac:dyDescent="0.25">
      <c r="B1061" s="85" t="s">
        <v>80</v>
      </c>
      <c r="C1061" s="85"/>
      <c r="D1061" s="107" t="e">
        <f>+'RES CUENTA'!#REF!</f>
        <v>#REF!</v>
      </c>
      <c r="E1061" s="108">
        <f>+'RES CUENTA'!R138</f>
        <v>0</v>
      </c>
      <c r="F1061" s="103">
        <f>+'RES CUENTA'!R957</f>
        <v>0</v>
      </c>
      <c r="G1061" s="89"/>
      <c r="H1061" s="89"/>
    </row>
    <row r="1062" spans="2:8" ht="18" x14ac:dyDescent="0.25">
      <c r="B1062" s="86"/>
      <c r="C1062" s="85"/>
      <c r="D1062" s="85"/>
      <c r="F1062" s="104" t="e">
        <f>SUM(F1058:F1061)</f>
        <v>#REF!</v>
      </c>
      <c r="G1062" s="89"/>
      <c r="H1062" s="89"/>
    </row>
    <row r="1063" spans="2:8" ht="18" x14ac:dyDescent="0.25">
      <c r="B1063" s="86"/>
      <c r="C1063" s="85"/>
      <c r="D1063" s="85"/>
      <c r="F1063" s="104"/>
      <c r="G1063" s="89"/>
      <c r="H1063" s="89"/>
    </row>
    <row r="1064" spans="2:8" ht="18" x14ac:dyDescent="0.25">
      <c r="B1064" s="86"/>
      <c r="C1064" s="85"/>
      <c r="D1064" s="85"/>
      <c r="F1064" s="91"/>
      <c r="G1064" s="89"/>
      <c r="H1064" s="90"/>
    </row>
    <row r="1065" spans="2:8" ht="18" x14ac:dyDescent="0.25">
      <c r="B1065" s="85"/>
      <c r="C1065" s="85"/>
      <c r="D1065" s="85"/>
      <c r="E1065" s="85"/>
      <c r="F1065" s="92"/>
      <c r="G1065" s="90"/>
      <c r="H1065" s="90"/>
    </row>
    <row r="1066" spans="2:8" ht="18" x14ac:dyDescent="0.25">
      <c r="B1066" s="85"/>
      <c r="C1066" s="85"/>
      <c r="D1066" s="85"/>
      <c r="E1066" s="85"/>
      <c r="F1066" s="92"/>
      <c r="G1066" s="90"/>
      <c r="H1066" s="90"/>
    </row>
    <row r="1067" spans="2:8" ht="18" x14ac:dyDescent="0.25">
      <c r="B1067" s="85"/>
      <c r="C1067" s="85"/>
      <c r="D1067" s="85"/>
      <c r="E1067" s="85"/>
      <c r="F1067" s="92"/>
      <c r="G1067" s="90"/>
      <c r="H1067" s="90"/>
    </row>
    <row r="1068" spans="2:8" ht="18" x14ac:dyDescent="0.25">
      <c r="B1068" s="85" t="e">
        <f>+B1053</f>
        <v>#REF!</v>
      </c>
      <c r="C1068" s="85"/>
      <c r="D1068" s="85"/>
      <c r="E1068" s="85" t="e">
        <f>+B1053</f>
        <v>#REF!</v>
      </c>
      <c r="F1068" s="85"/>
      <c r="G1068" s="85"/>
      <c r="H1068" s="94"/>
    </row>
    <row r="1069" spans="2:8" ht="18" x14ac:dyDescent="0.25">
      <c r="B1069" s="86"/>
      <c r="C1069" s="85"/>
      <c r="D1069" s="85"/>
      <c r="F1069" s="85"/>
      <c r="G1069" s="101"/>
      <c r="H1069" s="90" t="str">
        <f>+H1054</f>
        <v>Unid. 28</v>
      </c>
    </row>
    <row r="1070" spans="2:8" ht="18" x14ac:dyDescent="0.25">
      <c r="B1070" s="85" t="str">
        <f>+$E$1</f>
        <v>Lima 461 C:A:B:A:</v>
      </c>
      <c r="C1070" s="85"/>
      <c r="D1070" s="93" t="str">
        <f>+H1069</f>
        <v>Unid. 28</v>
      </c>
      <c r="E1070" s="85" t="str">
        <f>+$E$1</f>
        <v>Lima 461 C:A:B:A:</v>
      </c>
      <c r="F1070" s="85"/>
      <c r="G1070" s="85"/>
      <c r="H1070" s="94"/>
    </row>
    <row r="1071" spans="2:8" ht="18" x14ac:dyDescent="0.25">
      <c r="B1071" s="86"/>
      <c r="C1071" s="86"/>
      <c r="D1071" s="86"/>
      <c r="F1071" s="85"/>
      <c r="G1071" s="85"/>
    </row>
    <row r="1072" spans="2:8" ht="18" x14ac:dyDescent="0.25">
      <c r="B1072" s="85"/>
      <c r="C1072" s="85"/>
      <c r="D1072" s="85"/>
      <c r="E1072" s="86"/>
      <c r="F1072" s="85"/>
      <c r="G1072" s="85"/>
      <c r="H1072" s="94"/>
    </row>
    <row r="1073" spans="2:8" ht="18" x14ac:dyDescent="0.25">
      <c r="B1073" s="85">
        <f>+$E$2</f>
        <v>0</v>
      </c>
      <c r="C1073" s="85"/>
      <c r="D1073" s="85"/>
      <c r="E1073" s="85"/>
      <c r="F1073" s="96"/>
      <c r="G1073" s="86"/>
      <c r="H1073" s="90"/>
    </row>
    <row r="1074" spans="2:8" ht="18" x14ac:dyDescent="0.25">
      <c r="B1074" s="85">
        <f>+$E$3</f>
        <v>0</v>
      </c>
      <c r="C1074" s="85"/>
      <c r="D1074" s="85"/>
      <c r="E1074" s="96"/>
      <c r="G1074" s="94"/>
      <c r="H1074" s="96"/>
    </row>
    <row r="1075" spans="2:8" ht="18" x14ac:dyDescent="0.25">
      <c r="B1075" s="86"/>
      <c r="C1075" s="85"/>
      <c r="D1075" s="85"/>
      <c r="E1075" s="85" t="s">
        <v>200</v>
      </c>
      <c r="F1075" s="106" t="e">
        <f>+F1058</f>
        <v>#REF!</v>
      </c>
      <c r="G1075" s="95"/>
      <c r="H1075" s="99">
        <f>+B1079</f>
        <v>46037</v>
      </c>
    </row>
    <row r="1076" spans="2:8" ht="18" x14ac:dyDescent="0.25">
      <c r="B1076" s="86"/>
      <c r="C1076" s="85"/>
      <c r="D1076" s="85"/>
      <c r="E1076" s="85" t="s">
        <v>201</v>
      </c>
      <c r="F1076" s="106" t="e">
        <f>+F1059</f>
        <v>#REF!</v>
      </c>
      <c r="H1076" s="90"/>
    </row>
    <row r="1077" spans="2:8" ht="18" x14ac:dyDescent="0.25">
      <c r="B1077" s="85"/>
      <c r="C1077" s="85"/>
      <c r="D1077" s="85"/>
      <c r="E1077" s="85" t="s">
        <v>81</v>
      </c>
      <c r="F1077" s="106" t="e">
        <f>+F1060</f>
        <v>#REF!</v>
      </c>
      <c r="G1077" s="85"/>
      <c r="H1077" s="90"/>
    </row>
    <row r="1078" spans="2:8" ht="18" x14ac:dyDescent="0.25">
      <c r="B1078" s="96"/>
      <c r="C1078" s="96"/>
      <c r="D1078" s="96"/>
      <c r="E1078" s="85" t="s">
        <v>82</v>
      </c>
      <c r="F1078" s="106">
        <f>+'RES CUENTA'!R957</f>
        <v>0</v>
      </c>
      <c r="G1078" s="85"/>
      <c r="H1078" s="90"/>
    </row>
    <row r="1079" spans="2:8" ht="18" x14ac:dyDescent="0.25">
      <c r="B1079" s="99">
        <f>+$G$30</f>
        <v>46037</v>
      </c>
      <c r="C1079" s="105" t="e">
        <f>+F1062</f>
        <v>#REF!</v>
      </c>
      <c r="D1079" s="85"/>
      <c r="E1079" s="85" t="s">
        <v>188</v>
      </c>
      <c r="F1079" s="106">
        <v>0</v>
      </c>
      <c r="G1079" s="85"/>
      <c r="H1079" s="90"/>
    </row>
    <row r="1080" spans="2:8" ht="18" x14ac:dyDescent="0.25">
      <c r="B1080" s="85"/>
      <c r="C1080" s="85"/>
      <c r="D1080" s="85"/>
      <c r="E1080" s="85" t="s">
        <v>83</v>
      </c>
      <c r="F1080" s="106" t="e">
        <f>+F1062</f>
        <v>#REF!</v>
      </c>
      <c r="G1080" s="85"/>
      <c r="H1080" s="90"/>
    </row>
    <row r="1081" spans="2:8" ht="18" x14ac:dyDescent="0.25">
      <c r="B1081" s="85"/>
      <c r="C1081" s="85"/>
      <c r="D1081" s="85"/>
      <c r="E1081" s="85"/>
      <c r="F1081" s="85"/>
      <c r="G1081" s="85"/>
      <c r="H1081" s="90"/>
    </row>
    <row r="1082" spans="2:8" ht="18" x14ac:dyDescent="0.25">
      <c r="B1082" s="85"/>
      <c r="C1082" s="85"/>
      <c r="D1082" s="85"/>
      <c r="E1082" s="102"/>
      <c r="F1082" s="85"/>
      <c r="G1082" s="85"/>
      <c r="H1082" s="90"/>
    </row>
    <row r="1083" spans="2:8" ht="18" x14ac:dyDescent="0.25">
      <c r="B1083" s="85"/>
      <c r="C1083" s="85"/>
      <c r="D1083" s="85"/>
      <c r="E1083" s="85"/>
      <c r="F1083" s="85"/>
      <c r="G1083" s="85"/>
      <c r="H1083" s="94"/>
    </row>
    <row r="1084" spans="2:8" ht="18" x14ac:dyDescent="0.25">
      <c r="E1084" s="85"/>
      <c r="G1084" s="94"/>
      <c r="H1084" s="90"/>
    </row>
    <row r="1086" spans="2:8" ht="18" x14ac:dyDescent="0.25">
      <c r="B1086" s="343"/>
      <c r="C1086" s="343"/>
      <c r="D1086" s="343"/>
      <c r="E1086" s="342">
        <f>+$B$1</f>
        <v>46143</v>
      </c>
      <c r="F1086" s="85"/>
      <c r="G1086" s="337">
        <f>+$D$1</f>
        <v>46037</v>
      </c>
      <c r="H1086" s="90"/>
    </row>
    <row r="1087" spans="2:8" ht="18" x14ac:dyDescent="0.25">
      <c r="B1087" s="84"/>
      <c r="C1087" s="84"/>
      <c r="D1087" s="100"/>
      <c r="E1087" s="342"/>
      <c r="F1087" s="85"/>
      <c r="G1087" s="337"/>
      <c r="H1087" s="90"/>
    </row>
    <row r="1088" spans="2:8" ht="18" x14ac:dyDescent="0.25">
      <c r="B1088" s="85"/>
      <c r="C1088" s="85"/>
      <c r="D1088" s="85"/>
      <c r="E1088" s="86"/>
      <c r="F1088" s="85"/>
      <c r="G1088" s="86"/>
      <c r="H1088" s="90"/>
    </row>
    <row r="1089" spans="2:8" ht="18" x14ac:dyDescent="0.25">
      <c r="B1089" s="85" t="e">
        <f>+#REF!</f>
        <v>#REF!</v>
      </c>
      <c r="C1089" s="85"/>
      <c r="D1089" s="85"/>
      <c r="E1089" s="86"/>
      <c r="F1089" s="85"/>
      <c r="G1089" s="86"/>
      <c r="H1089" s="90"/>
    </row>
    <row r="1090" spans="2:8" ht="18" x14ac:dyDescent="0.25">
      <c r="B1090" s="86"/>
      <c r="C1090" s="85"/>
      <c r="D1090" s="85"/>
      <c r="E1090" s="85" t="s">
        <v>78</v>
      </c>
      <c r="F1090" s="85"/>
      <c r="G1090" s="85"/>
      <c r="H1090" s="90" t="s">
        <v>112</v>
      </c>
    </row>
    <row r="1091" spans="2:8" ht="18" x14ac:dyDescent="0.25">
      <c r="B1091" s="85"/>
      <c r="C1091" s="85"/>
      <c r="D1091" s="85"/>
      <c r="E1091" s="86"/>
      <c r="F1091" s="86"/>
      <c r="G1091" s="85"/>
      <c r="H1091" s="94"/>
    </row>
    <row r="1092" spans="2:8" ht="18" x14ac:dyDescent="0.25">
      <c r="B1092" s="94"/>
      <c r="C1092" s="85"/>
      <c r="D1092" s="94"/>
      <c r="E1092" s="85"/>
      <c r="F1092" s="85"/>
      <c r="G1092" s="85"/>
      <c r="H1092" s="90"/>
    </row>
    <row r="1093" spans="2:8" ht="18" x14ac:dyDescent="0.25">
      <c r="B1093" s="94"/>
      <c r="C1093" s="85"/>
      <c r="D1093" s="94"/>
      <c r="E1093" s="85"/>
      <c r="F1093" s="85"/>
      <c r="G1093" s="85"/>
      <c r="H1093" s="90"/>
    </row>
    <row r="1094" spans="2:8" ht="18" x14ac:dyDescent="0.25">
      <c r="B1094" s="85" t="s">
        <v>198</v>
      </c>
      <c r="C1094" s="85"/>
      <c r="D1094" s="107">
        <f>+'RES CUENTA'!$L$25</f>
        <v>10859801.41</v>
      </c>
      <c r="E1094" s="108" t="e">
        <f>+'RES CUENTA'!#REF!</f>
        <v>#REF!</v>
      </c>
      <c r="F1094" s="103" t="e">
        <f>+D1094*E1094/100</f>
        <v>#REF!</v>
      </c>
      <c r="G1094" s="345"/>
      <c r="H1094" s="345"/>
    </row>
    <row r="1095" spans="2:8" ht="18" x14ac:dyDescent="0.25">
      <c r="B1095" s="85" t="s">
        <v>199</v>
      </c>
      <c r="C1095" s="85"/>
      <c r="D1095" s="107" t="e">
        <f>+'RES CUENTA'!#REF!</f>
        <v>#REF!</v>
      </c>
      <c r="E1095" s="108" t="e">
        <f>+'RES CUENTA'!#REF!</f>
        <v>#REF!</v>
      </c>
      <c r="F1095" s="103" t="e">
        <f>+D1095*E1095/100</f>
        <v>#REF!</v>
      </c>
      <c r="G1095" s="341"/>
      <c r="H1095" s="341"/>
    </row>
    <row r="1096" spans="2:8" ht="18" x14ac:dyDescent="0.25">
      <c r="B1096" s="85" t="s">
        <v>79</v>
      </c>
      <c r="C1096" s="85"/>
      <c r="D1096" s="107" t="e">
        <f>+'RES CUENTA'!#REF!</f>
        <v>#REF!</v>
      </c>
      <c r="E1096" s="108">
        <v>0</v>
      </c>
      <c r="F1096" s="103" t="e">
        <f>+D1096</f>
        <v>#REF!</v>
      </c>
      <c r="G1096" s="341"/>
      <c r="H1096" s="341"/>
    </row>
    <row r="1097" spans="2:8" ht="18" x14ac:dyDescent="0.25">
      <c r="B1097" s="85" t="s">
        <v>80</v>
      </c>
      <c r="C1097" s="85"/>
      <c r="D1097" s="107" t="e">
        <f>+'RES CUENTA'!#REF!</f>
        <v>#REF!</v>
      </c>
      <c r="E1097" s="108">
        <v>0</v>
      </c>
      <c r="F1097" s="103" t="e">
        <f>+D1097</f>
        <v>#REF!</v>
      </c>
      <c r="G1097" s="341"/>
      <c r="H1097" s="341"/>
    </row>
    <row r="1098" spans="2:8" ht="18" x14ac:dyDescent="0.25">
      <c r="B1098" s="86"/>
      <c r="C1098" s="85"/>
      <c r="D1098" s="85"/>
      <c r="E1098" s="92"/>
      <c r="F1098" s="104" t="e">
        <f>SUM(F1094:F1097)</f>
        <v>#REF!</v>
      </c>
      <c r="G1098" s="341"/>
      <c r="H1098" s="341"/>
    </row>
    <row r="1099" spans="2:8" ht="18" x14ac:dyDescent="0.25">
      <c r="B1099" s="86"/>
      <c r="C1099" s="85"/>
      <c r="D1099" s="85"/>
      <c r="E1099" s="85"/>
      <c r="G1099" s="338"/>
      <c r="H1099" s="338"/>
    </row>
    <row r="1100" spans="2:8" ht="18" x14ac:dyDescent="0.25">
      <c r="B1100" s="85"/>
      <c r="C1100" s="85"/>
      <c r="D1100" s="85"/>
      <c r="E1100" s="85"/>
      <c r="F1100" s="91"/>
      <c r="G1100" s="90"/>
      <c r="H1100" s="90"/>
    </row>
    <row r="1101" spans="2:8" ht="18" x14ac:dyDescent="0.25">
      <c r="B1101" s="85"/>
      <c r="C1101" s="85"/>
      <c r="D1101" s="85"/>
      <c r="E1101" s="85"/>
      <c r="F1101" s="91"/>
      <c r="G1101" s="90"/>
      <c r="H1101" s="90"/>
    </row>
    <row r="1102" spans="2:8" ht="18" x14ac:dyDescent="0.25">
      <c r="B1102" s="85"/>
      <c r="C1102" s="85"/>
      <c r="D1102" s="85"/>
      <c r="E1102" s="85"/>
      <c r="F1102" s="92"/>
      <c r="G1102" s="85"/>
      <c r="H1102" s="90"/>
    </row>
    <row r="1103" spans="2:8" ht="18" x14ac:dyDescent="0.25">
      <c r="B1103" s="85"/>
      <c r="C1103" s="85"/>
      <c r="D1103" s="85"/>
      <c r="E1103" s="85"/>
      <c r="F1103" s="92"/>
      <c r="G1103" s="85"/>
      <c r="H1103" s="90"/>
    </row>
    <row r="1104" spans="2:8" ht="18" x14ac:dyDescent="0.25">
      <c r="B1104" s="85" t="e">
        <f>+B1089</f>
        <v>#REF!</v>
      </c>
      <c r="C1104" s="344"/>
      <c r="D1104" s="344"/>
      <c r="E1104" s="85" t="e">
        <f>+B1104</f>
        <v>#REF!</v>
      </c>
      <c r="F1104" s="92"/>
      <c r="G1104" s="85"/>
      <c r="H1104" s="90"/>
    </row>
    <row r="1105" spans="2:8" ht="18" x14ac:dyDescent="0.25">
      <c r="C1105" s="85"/>
      <c r="D1105" s="85"/>
      <c r="F1105" s="344"/>
      <c r="G1105" s="344"/>
      <c r="H1105" s="344"/>
    </row>
    <row r="1106" spans="2:8" ht="18" x14ac:dyDescent="0.25">
      <c r="B1106" s="85" t="str">
        <f>+$E$1</f>
        <v>Lima 461 C:A:B:A:</v>
      </c>
      <c r="C1106" s="85"/>
      <c r="D1106" s="93" t="str">
        <f>+H1090</f>
        <v>Unid. 29</v>
      </c>
      <c r="E1106" s="85" t="str">
        <f>+$E$1</f>
        <v>Lima 461 C:A:B:A:</v>
      </c>
      <c r="F1106" s="85"/>
      <c r="G1106" s="85"/>
      <c r="H1106" s="90" t="str">
        <f>+D1106</f>
        <v>Unid. 29</v>
      </c>
    </row>
    <row r="1107" spans="2:8" ht="18" x14ac:dyDescent="0.25">
      <c r="H1107" s="94"/>
    </row>
    <row r="1108" spans="2:8" ht="18" x14ac:dyDescent="0.25">
      <c r="B1108" s="86"/>
      <c r="C1108" s="86"/>
      <c r="D1108" s="86"/>
      <c r="E1108" s="86"/>
      <c r="F1108" s="85"/>
      <c r="G1108" s="85"/>
    </row>
    <row r="1109" spans="2:8" ht="18" x14ac:dyDescent="0.25">
      <c r="B1109" s="85">
        <f>+$E$2</f>
        <v>0</v>
      </c>
      <c r="C1109" s="85"/>
      <c r="D1109" s="85"/>
      <c r="E1109" s="85"/>
      <c r="F1109" s="85"/>
      <c r="G1109" s="86"/>
      <c r="H1109" s="94"/>
    </row>
    <row r="1110" spans="2:8" ht="18" x14ac:dyDescent="0.25">
      <c r="B1110" s="85">
        <f>+$E$3</f>
        <v>0</v>
      </c>
      <c r="C1110" s="85"/>
      <c r="D1110" s="85"/>
      <c r="E1110" s="96"/>
      <c r="F1110" s="85"/>
      <c r="G1110" s="94"/>
      <c r="H1110" s="90"/>
    </row>
    <row r="1111" spans="2:8" ht="18" x14ac:dyDescent="0.25">
      <c r="C1111" s="85"/>
      <c r="D1111" s="85"/>
      <c r="E1111" s="85" t="s">
        <v>200</v>
      </c>
      <c r="F1111" s="106" t="e">
        <f>+F1094</f>
        <v>#REF!</v>
      </c>
      <c r="H1111" s="99">
        <f>+B1116</f>
        <v>46037</v>
      </c>
    </row>
    <row r="1112" spans="2:8" ht="18" x14ac:dyDescent="0.25">
      <c r="B1112" s="86"/>
      <c r="C1112" s="85"/>
      <c r="D1112" s="85"/>
      <c r="E1112" s="85" t="s">
        <v>201</v>
      </c>
      <c r="F1112" s="106" t="e">
        <f>+F1095</f>
        <v>#REF!</v>
      </c>
    </row>
    <row r="1113" spans="2:8" ht="18" x14ac:dyDescent="0.25">
      <c r="B1113" s="86"/>
      <c r="C1113" s="85"/>
      <c r="D1113" s="85"/>
      <c r="E1113" s="85" t="s">
        <v>81</v>
      </c>
      <c r="F1113" s="106" t="e">
        <f>+F1096</f>
        <v>#REF!</v>
      </c>
      <c r="G1113" s="85"/>
      <c r="H1113" s="90"/>
    </row>
    <row r="1114" spans="2:8" ht="18" x14ac:dyDescent="0.25">
      <c r="B1114" s="85"/>
      <c r="C1114" s="85"/>
      <c r="D1114" s="85"/>
      <c r="E1114" s="85" t="s">
        <v>82</v>
      </c>
      <c r="F1114" s="106" t="e">
        <f>+F1097</f>
        <v>#REF!</v>
      </c>
      <c r="G1114" s="85"/>
      <c r="H1114" s="90"/>
    </row>
    <row r="1115" spans="2:8" ht="18" x14ac:dyDescent="0.25">
      <c r="B1115" s="96"/>
      <c r="C1115" s="96"/>
      <c r="D1115" s="96"/>
      <c r="E1115" s="85" t="s">
        <v>188</v>
      </c>
      <c r="F1115" s="106">
        <v>0</v>
      </c>
      <c r="G1115" s="85"/>
      <c r="H1115" s="90"/>
    </row>
    <row r="1116" spans="2:8" ht="18" x14ac:dyDescent="0.25">
      <c r="B1116" s="99">
        <f>+$G$30</f>
        <v>46037</v>
      </c>
      <c r="C1116" s="105" t="e">
        <f>+F1098</f>
        <v>#REF!</v>
      </c>
      <c r="D1116" s="85"/>
      <c r="E1116" s="85" t="s">
        <v>83</v>
      </c>
      <c r="F1116" s="106" t="e">
        <f>+F1098</f>
        <v>#REF!</v>
      </c>
      <c r="G1116" s="85"/>
      <c r="H1116" s="90"/>
    </row>
    <row r="1117" spans="2:8" ht="18" x14ac:dyDescent="0.25">
      <c r="B1117" s="85"/>
      <c r="C1117" s="85"/>
      <c r="D1117" s="85"/>
      <c r="E1117" s="102"/>
      <c r="F1117" s="85"/>
      <c r="G1117" s="85"/>
      <c r="H1117" s="90"/>
    </row>
    <row r="1118" spans="2:8" ht="18" x14ac:dyDescent="0.25">
      <c r="B1118" s="85"/>
      <c r="C1118" s="85"/>
      <c r="D1118" s="85"/>
      <c r="E1118" s="85"/>
      <c r="F1118" s="85"/>
      <c r="G1118" s="345"/>
      <c r="H1118" s="345"/>
    </row>
    <row r="1119" spans="2:8" ht="18" x14ac:dyDescent="0.25">
      <c r="B1119" s="85"/>
      <c r="C1119" s="85"/>
      <c r="D1119" s="85"/>
      <c r="E1119" s="85"/>
      <c r="F1119" s="85"/>
      <c r="G1119" s="85"/>
      <c r="H1119" s="90"/>
    </row>
    <row r="1120" spans="2:8" ht="18" x14ac:dyDescent="0.25">
      <c r="B1120" s="85"/>
      <c r="C1120" s="85"/>
      <c r="D1120" s="85"/>
      <c r="E1120" s="85"/>
      <c r="F1120" s="85"/>
      <c r="G1120" s="85"/>
      <c r="H1120" s="90"/>
    </row>
    <row r="1121" spans="2:8" ht="18" x14ac:dyDescent="0.25">
      <c r="B1121" s="85"/>
      <c r="C1121" s="85"/>
      <c r="D1121" s="85"/>
      <c r="E1121" s="85"/>
      <c r="F1121" s="85"/>
      <c r="G1121" s="85"/>
      <c r="H1121" s="90"/>
    </row>
    <row r="1122" spans="2:8" ht="18" x14ac:dyDescent="0.25">
      <c r="B1122" s="85"/>
      <c r="C1122" s="85"/>
      <c r="D1122" s="85"/>
      <c r="E1122" s="85"/>
      <c r="F1122" s="85"/>
      <c r="H1122" s="90"/>
    </row>
    <row r="1123" spans="2:8" ht="18" x14ac:dyDescent="0.25">
      <c r="B1123" s="85"/>
      <c r="C1123" s="85"/>
      <c r="D1123" s="85"/>
      <c r="E1123" s="85"/>
      <c r="F1123" s="85"/>
      <c r="H1123" s="90"/>
    </row>
    <row r="1124" spans="2:8" ht="18" x14ac:dyDescent="0.25">
      <c r="B1124" s="343"/>
      <c r="C1124" s="343"/>
      <c r="D1124" s="343"/>
      <c r="E1124" s="85"/>
      <c r="F1124" s="85"/>
      <c r="H1124" s="90"/>
    </row>
    <row r="1125" spans="2:8" ht="18" x14ac:dyDescent="0.25">
      <c r="B1125" s="343"/>
      <c r="C1125" s="343"/>
      <c r="D1125" s="343"/>
      <c r="E1125" s="98">
        <f>+$B$1</f>
        <v>46143</v>
      </c>
      <c r="F1125" s="85"/>
      <c r="G1125" s="99">
        <f>+$D$1</f>
        <v>46037</v>
      </c>
      <c r="H1125" s="160"/>
    </row>
    <row r="1126" spans="2:8" ht="18" x14ac:dyDescent="0.25">
      <c r="B1126" s="84"/>
      <c r="C1126" s="84"/>
      <c r="D1126" s="100"/>
      <c r="E1126" s="98"/>
      <c r="F1126" s="85"/>
    </row>
    <row r="1127" spans="2:8" ht="18" x14ac:dyDescent="0.25">
      <c r="B1127" s="85" t="e">
        <f>+#REF!</f>
        <v>#REF!</v>
      </c>
      <c r="C1127" s="85"/>
      <c r="D1127" s="85"/>
      <c r="F1127" s="85"/>
    </row>
    <row r="1128" spans="2:8" ht="18" x14ac:dyDescent="0.25">
      <c r="C1128" s="85"/>
      <c r="D1128" s="85"/>
      <c r="E1128" s="85" t="str">
        <f>+$E$1</f>
        <v>Lima 461 C:A:B:A:</v>
      </c>
      <c r="F1128" s="85"/>
      <c r="H1128" s="90" t="s">
        <v>113</v>
      </c>
    </row>
    <row r="1129" spans="2:8" ht="18" x14ac:dyDescent="0.25">
      <c r="B1129" s="86"/>
      <c r="C1129" s="85"/>
      <c r="D1129" s="85"/>
      <c r="F1129" s="85"/>
      <c r="G1129" s="86"/>
    </row>
    <row r="1130" spans="2:8" ht="18" x14ac:dyDescent="0.25">
      <c r="B1130" s="85"/>
      <c r="C1130" s="85"/>
      <c r="D1130" s="85"/>
      <c r="E1130" s="86"/>
      <c r="F1130" s="86"/>
      <c r="G1130" s="85"/>
      <c r="H1130" s="94"/>
    </row>
    <row r="1131" spans="2:8" ht="18" x14ac:dyDescent="0.25">
      <c r="B1131" s="94"/>
      <c r="C1131" s="85"/>
      <c r="D1131" s="94"/>
      <c r="E1131" s="85"/>
      <c r="F1131" s="85"/>
      <c r="G1131" s="85"/>
      <c r="H1131" s="90"/>
    </row>
    <row r="1132" spans="2:8" ht="18" x14ac:dyDescent="0.25">
      <c r="B1132" s="85" t="s">
        <v>198</v>
      </c>
      <c r="C1132" s="85"/>
      <c r="D1132" s="107">
        <f>+'RES CUENTA'!$L$25</f>
        <v>10859801.41</v>
      </c>
      <c r="E1132" s="108" t="e">
        <f>+'RES CUENTA'!#REF!</f>
        <v>#REF!</v>
      </c>
      <c r="F1132" s="103" t="e">
        <f>+D1132*E1132/100</f>
        <v>#REF!</v>
      </c>
      <c r="G1132" s="85"/>
      <c r="H1132" s="94"/>
    </row>
    <row r="1133" spans="2:8" ht="18" x14ac:dyDescent="0.25">
      <c r="B1133" s="85" t="s">
        <v>199</v>
      </c>
      <c r="C1133" s="85"/>
      <c r="D1133" s="107" t="e">
        <f>+'RES CUENTA'!#REF!</f>
        <v>#REF!</v>
      </c>
      <c r="E1133" s="108" t="e">
        <f>+'RES CUENTA'!#REF!</f>
        <v>#REF!</v>
      </c>
      <c r="F1133" s="103" t="e">
        <f>+D1133*E1133/100</f>
        <v>#REF!</v>
      </c>
      <c r="G1133" s="94"/>
      <c r="H1133" s="89"/>
    </row>
    <row r="1134" spans="2:8" ht="18" x14ac:dyDescent="0.25">
      <c r="B1134" s="85" t="s">
        <v>79</v>
      </c>
      <c r="C1134" s="85"/>
      <c r="D1134" s="107" t="e">
        <f>+'RES CUENTA'!#REF!</f>
        <v>#REF!</v>
      </c>
      <c r="E1134" s="108">
        <f>+'RES CUENTA'!P219</f>
        <v>0</v>
      </c>
      <c r="F1134" s="103" t="e">
        <f>+D1134</f>
        <v>#REF!</v>
      </c>
      <c r="G1134" s="89"/>
      <c r="H1134" s="89"/>
    </row>
    <row r="1135" spans="2:8" ht="18" x14ac:dyDescent="0.25">
      <c r="B1135" s="85" t="s">
        <v>80</v>
      </c>
      <c r="C1135" s="85"/>
      <c r="D1135" s="107" t="e">
        <f>+'RES CUENTA'!#REF!</f>
        <v>#REF!</v>
      </c>
      <c r="E1135" s="108">
        <f>+'RES CUENTA'!R214</f>
        <v>0</v>
      </c>
      <c r="F1135" s="103">
        <f>+'RES CUENTA'!R1033</f>
        <v>0</v>
      </c>
      <c r="G1135" s="89"/>
      <c r="H1135" s="89"/>
    </row>
    <row r="1136" spans="2:8" ht="18" x14ac:dyDescent="0.25">
      <c r="B1136" s="86"/>
      <c r="C1136" s="85"/>
      <c r="D1136" s="85"/>
      <c r="F1136" s="104" t="e">
        <f>SUM(F1132:F1135)</f>
        <v>#REF!</v>
      </c>
      <c r="G1136" s="89"/>
      <c r="H1136" s="89"/>
    </row>
    <row r="1137" spans="2:8" ht="18" x14ac:dyDescent="0.25">
      <c r="B1137" s="86"/>
      <c r="C1137" s="85"/>
      <c r="D1137" s="85"/>
      <c r="F1137" s="91"/>
      <c r="G1137" s="89"/>
      <c r="H1137" s="90"/>
    </row>
    <row r="1138" spans="2:8" ht="18" x14ac:dyDescent="0.25">
      <c r="B1138" s="86"/>
      <c r="C1138" s="85"/>
      <c r="D1138" s="85"/>
      <c r="F1138" s="91"/>
      <c r="G1138" s="89"/>
      <c r="H1138" s="90"/>
    </row>
    <row r="1139" spans="2:8" ht="18" x14ac:dyDescent="0.25">
      <c r="B1139" s="85"/>
      <c r="C1139" s="85"/>
      <c r="D1139" s="85"/>
      <c r="E1139" s="85"/>
      <c r="F1139" s="92"/>
      <c r="G1139" s="90"/>
      <c r="H1139" s="90"/>
    </row>
    <row r="1140" spans="2:8" ht="18" x14ac:dyDescent="0.25">
      <c r="B1140" s="85"/>
      <c r="C1140" s="85"/>
      <c r="D1140" s="85"/>
      <c r="E1140" s="85"/>
      <c r="F1140" s="92"/>
      <c r="G1140" s="90"/>
      <c r="H1140" s="90"/>
    </row>
    <row r="1141" spans="2:8" ht="18" x14ac:dyDescent="0.25">
      <c r="B1141" s="85"/>
      <c r="C1141" s="85"/>
      <c r="D1141" s="85"/>
      <c r="E1141" s="85"/>
      <c r="F1141" s="92"/>
      <c r="G1141" s="90"/>
      <c r="H1141" s="90"/>
    </row>
    <row r="1142" spans="2:8" ht="18" x14ac:dyDescent="0.25">
      <c r="B1142" s="85" t="e">
        <f>+B1127</f>
        <v>#REF!</v>
      </c>
      <c r="C1142" s="85"/>
      <c r="D1142" s="85"/>
      <c r="E1142" s="85" t="e">
        <f>+B1127</f>
        <v>#REF!</v>
      </c>
      <c r="F1142" s="85"/>
      <c r="G1142" s="85"/>
      <c r="H1142" s="94"/>
    </row>
    <row r="1143" spans="2:8" ht="18" x14ac:dyDescent="0.25">
      <c r="B1143" s="86"/>
      <c r="C1143" s="85"/>
      <c r="D1143" s="85"/>
      <c r="F1143" s="85"/>
      <c r="G1143" s="101"/>
      <c r="H1143" s="90" t="str">
        <f>+H1128</f>
        <v>Unid. 30</v>
      </c>
    </row>
    <row r="1144" spans="2:8" ht="18" x14ac:dyDescent="0.25">
      <c r="B1144" s="85" t="str">
        <f>+$E$1</f>
        <v>Lima 461 C:A:B:A:</v>
      </c>
      <c r="C1144" s="85"/>
      <c r="D1144" s="93" t="str">
        <f>+H1143</f>
        <v>Unid. 30</v>
      </c>
      <c r="E1144" s="85" t="str">
        <f>+$E$1</f>
        <v>Lima 461 C:A:B:A:</v>
      </c>
      <c r="F1144" s="85"/>
      <c r="G1144" s="85"/>
      <c r="H1144" s="94"/>
    </row>
    <row r="1145" spans="2:8" ht="18" x14ac:dyDescent="0.25">
      <c r="B1145" s="86"/>
      <c r="C1145" s="86"/>
      <c r="D1145" s="86"/>
      <c r="F1145" s="85"/>
      <c r="G1145" s="85"/>
    </row>
    <row r="1146" spans="2:8" ht="18" x14ac:dyDescent="0.25">
      <c r="B1146" s="85"/>
      <c r="C1146" s="85"/>
      <c r="D1146" s="85"/>
      <c r="E1146" s="86"/>
      <c r="F1146" s="85"/>
      <c r="G1146" s="85"/>
      <c r="H1146" s="94"/>
    </row>
    <row r="1147" spans="2:8" ht="18" x14ac:dyDescent="0.25">
      <c r="B1147" s="85">
        <f>+$E$2</f>
        <v>0</v>
      </c>
      <c r="C1147" s="85"/>
      <c r="D1147" s="85"/>
      <c r="E1147" s="85"/>
      <c r="F1147" s="96"/>
      <c r="G1147" s="86"/>
      <c r="H1147" s="90"/>
    </row>
    <row r="1148" spans="2:8" ht="18" x14ac:dyDescent="0.25">
      <c r="B1148" s="85">
        <f>+$E$3</f>
        <v>0</v>
      </c>
      <c r="C1148" s="85"/>
      <c r="D1148" s="85"/>
      <c r="E1148" s="96"/>
      <c r="G1148" s="94"/>
      <c r="H1148" s="96"/>
    </row>
    <row r="1149" spans="2:8" ht="18" x14ac:dyDescent="0.25">
      <c r="B1149" s="86"/>
      <c r="C1149" s="85"/>
      <c r="D1149" s="85"/>
      <c r="E1149" s="85" t="s">
        <v>200</v>
      </c>
      <c r="F1149" s="106" t="e">
        <f>+F1132</f>
        <v>#REF!</v>
      </c>
      <c r="G1149" s="95"/>
      <c r="H1149" s="99">
        <f>+B1153</f>
        <v>46037</v>
      </c>
    </row>
    <row r="1150" spans="2:8" ht="18" x14ac:dyDescent="0.25">
      <c r="B1150" s="86"/>
      <c r="C1150" s="85"/>
      <c r="D1150" s="85"/>
      <c r="E1150" s="85" t="s">
        <v>201</v>
      </c>
      <c r="F1150" s="106" t="e">
        <f>+F1133</f>
        <v>#REF!</v>
      </c>
      <c r="H1150" s="90"/>
    </row>
    <row r="1151" spans="2:8" ht="18" x14ac:dyDescent="0.25">
      <c r="B1151" s="85"/>
      <c r="C1151" s="85"/>
      <c r="D1151" s="85"/>
      <c r="E1151" s="85" t="s">
        <v>81</v>
      </c>
      <c r="F1151" s="106" t="e">
        <f>+F1134</f>
        <v>#REF!</v>
      </c>
      <c r="G1151" s="85"/>
      <c r="H1151" s="90"/>
    </row>
    <row r="1152" spans="2:8" ht="18" x14ac:dyDescent="0.25">
      <c r="B1152" s="96"/>
      <c r="C1152" s="96"/>
      <c r="D1152" s="96"/>
      <c r="E1152" s="85" t="s">
        <v>82</v>
      </c>
      <c r="F1152" s="106">
        <f>+'RES CUENTA'!R1033</f>
        <v>0</v>
      </c>
      <c r="G1152" s="85"/>
      <c r="H1152" s="90"/>
    </row>
    <row r="1153" spans="2:8" ht="18" x14ac:dyDescent="0.25">
      <c r="B1153" s="99">
        <f>+$G$30</f>
        <v>46037</v>
      </c>
      <c r="C1153" s="105" t="e">
        <f>+F1136</f>
        <v>#REF!</v>
      </c>
      <c r="D1153" s="85"/>
      <c r="E1153" s="85" t="s">
        <v>188</v>
      </c>
      <c r="F1153" s="106">
        <v>0</v>
      </c>
      <c r="G1153" s="85"/>
      <c r="H1153" s="90"/>
    </row>
    <row r="1154" spans="2:8" ht="18" x14ac:dyDescent="0.25">
      <c r="B1154" s="85"/>
      <c r="C1154" s="85"/>
      <c r="D1154" s="85"/>
      <c r="E1154" s="85" t="s">
        <v>83</v>
      </c>
      <c r="F1154" s="106" t="e">
        <f>+F1136</f>
        <v>#REF!</v>
      </c>
      <c r="G1154" s="85"/>
      <c r="H1154" s="90"/>
    </row>
    <row r="1155" spans="2:8" ht="18" x14ac:dyDescent="0.25">
      <c r="B1155" s="85"/>
      <c r="C1155" s="85"/>
      <c r="D1155" s="85"/>
      <c r="E1155" s="85"/>
      <c r="F1155" s="85"/>
      <c r="G1155" s="85"/>
      <c r="H1155" s="90"/>
    </row>
    <row r="1156" spans="2:8" ht="18" x14ac:dyDescent="0.25">
      <c r="B1156" s="85"/>
      <c r="C1156" s="85"/>
      <c r="D1156" s="85"/>
      <c r="E1156" s="102"/>
      <c r="F1156" s="85"/>
      <c r="G1156" s="85"/>
      <c r="H1156" s="90"/>
    </row>
    <row r="1157" spans="2:8" ht="18" x14ac:dyDescent="0.25">
      <c r="B1157" s="85"/>
      <c r="C1157" s="85"/>
      <c r="D1157" s="85"/>
      <c r="E1157" s="85"/>
      <c r="F1157" s="85"/>
      <c r="G1157" s="85"/>
      <c r="H1157" s="94"/>
    </row>
    <row r="1158" spans="2:8" ht="18" x14ac:dyDescent="0.25">
      <c r="E1158" s="85"/>
      <c r="G1158" s="94"/>
      <c r="H1158" s="90"/>
    </row>
    <row r="1160" spans="2:8" ht="18" x14ac:dyDescent="0.25">
      <c r="B1160" s="343"/>
      <c r="C1160" s="343"/>
      <c r="D1160" s="343"/>
      <c r="E1160" s="342">
        <f>+$B$1</f>
        <v>46143</v>
      </c>
      <c r="F1160" s="85"/>
      <c r="G1160" s="337">
        <f>+$D$1</f>
        <v>46037</v>
      </c>
      <c r="H1160" s="90"/>
    </row>
    <row r="1161" spans="2:8" ht="18" x14ac:dyDescent="0.25">
      <c r="B1161" s="84"/>
      <c r="C1161" s="84"/>
      <c r="D1161" s="100"/>
      <c r="E1161" s="342"/>
      <c r="F1161" s="85"/>
      <c r="G1161" s="337"/>
      <c r="H1161" s="90"/>
    </row>
    <row r="1162" spans="2:8" ht="18" x14ac:dyDescent="0.25">
      <c r="B1162" s="85"/>
      <c r="C1162" s="85"/>
      <c r="D1162" s="85"/>
      <c r="E1162" s="86"/>
      <c r="F1162" s="85"/>
      <c r="G1162" s="86"/>
      <c r="H1162" s="90"/>
    </row>
    <row r="1163" spans="2:8" ht="18" x14ac:dyDescent="0.25">
      <c r="B1163" s="85" t="e">
        <f>+#REF!</f>
        <v>#REF!</v>
      </c>
      <c r="C1163" s="85"/>
      <c r="D1163" s="85"/>
      <c r="E1163" s="86"/>
      <c r="F1163" s="85"/>
      <c r="G1163" s="86"/>
      <c r="H1163" s="90"/>
    </row>
    <row r="1164" spans="2:8" ht="18" x14ac:dyDescent="0.25">
      <c r="B1164" s="86"/>
      <c r="C1164" s="85"/>
      <c r="D1164" s="85"/>
      <c r="E1164" s="85" t="s">
        <v>78</v>
      </c>
      <c r="F1164" s="85"/>
      <c r="G1164" s="85"/>
      <c r="H1164" s="90" t="s">
        <v>114</v>
      </c>
    </row>
    <row r="1165" spans="2:8" ht="18" x14ac:dyDescent="0.25">
      <c r="B1165" s="85"/>
      <c r="C1165" s="85"/>
      <c r="D1165" s="85"/>
      <c r="E1165" s="86"/>
      <c r="F1165" s="86"/>
      <c r="G1165" s="85"/>
      <c r="H1165" s="94"/>
    </row>
    <row r="1166" spans="2:8" ht="18" x14ac:dyDescent="0.25">
      <c r="B1166" s="94"/>
      <c r="C1166" s="85"/>
      <c r="D1166" s="94"/>
      <c r="E1166" s="85"/>
      <c r="F1166" s="85"/>
      <c r="G1166" s="85"/>
      <c r="H1166" s="90"/>
    </row>
    <row r="1167" spans="2:8" ht="18" x14ac:dyDescent="0.25">
      <c r="B1167" s="94"/>
      <c r="C1167" s="85"/>
      <c r="D1167" s="94"/>
      <c r="E1167" s="85"/>
      <c r="F1167" s="85"/>
      <c r="G1167" s="85"/>
      <c r="H1167" s="90"/>
    </row>
    <row r="1168" spans="2:8" ht="18" x14ac:dyDescent="0.25">
      <c r="B1168" s="85" t="s">
        <v>198</v>
      </c>
      <c r="C1168" s="85"/>
      <c r="D1168" s="107">
        <f>+'RES CUENTA'!$L$25</f>
        <v>10859801.41</v>
      </c>
      <c r="E1168" s="108" t="e">
        <f>+'RES CUENTA'!#REF!</f>
        <v>#REF!</v>
      </c>
      <c r="F1168" s="103" t="e">
        <f>+D1168*E1168/100</f>
        <v>#REF!</v>
      </c>
      <c r="G1168" s="345"/>
      <c r="H1168" s="345"/>
    </row>
    <row r="1169" spans="2:8" ht="18" x14ac:dyDescent="0.25">
      <c r="B1169" s="85" t="s">
        <v>199</v>
      </c>
      <c r="C1169" s="85"/>
      <c r="D1169" s="107" t="e">
        <f>+'RES CUENTA'!#REF!</f>
        <v>#REF!</v>
      </c>
      <c r="E1169" s="108" t="e">
        <f>+'RES CUENTA'!#REF!</f>
        <v>#REF!</v>
      </c>
      <c r="F1169" s="103" t="e">
        <f>+D1169*E1169/100</f>
        <v>#REF!</v>
      </c>
      <c r="G1169" s="341"/>
      <c r="H1169" s="341"/>
    </row>
    <row r="1170" spans="2:8" ht="18" x14ac:dyDescent="0.25">
      <c r="B1170" s="85" t="s">
        <v>79</v>
      </c>
      <c r="C1170" s="85"/>
      <c r="D1170" s="107" t="e">
        <f>+'RES CUENTA'!#REF!</f>
        <v>#REF!</v>
      </c>
      <c r="E1170" s="108">
        <v>0</v>
      </c>
      <c r="F1170" s="103" t="e">
        <f>+D1170</f>
        <v>#REF!</v>
      </c>
      <c r="G1170" s="341"/>
      <c r="H1170" s="341"/>
    </row>
    <row r="1171" spans="2:8" ht="18" x14ac:dyDescent="0.25">
      <c r="B1171" s="85" t="s">
        <v>80</v>
      </c>
      <c r="C1171" s="85"/>
      <c r="D1171" s="107" t="e">
        <f>+'RES CUENTA'!#REF!</f>
        <v>#REF!</v>
      </c>
      <c r="E1171" s="108">
        <v>0</v>
      </c>
      <c r="F1171" s="103" t="e">
        <f>+D1171</f>
        <v>#REF!</v>
      </c>
      <c r="G1171" s="341"/>
      <c r="H1171" s="341"/>
    </row>
    <row r="1172" spans="2:8" ht="18" x14ac:dyDescent="0.25">
      <c r="B1172" s="86"/>
      <c r="C1172" s="85"/>
      <c r="D1172" s="85"/>
      <c r="E1172" s="92"/>
      <c r="F1172" s="104" t="e">
        <f>SUM(F1168:F1171)</f>
        <v>#REF!</v>
      </c>
      <c r="G1172" s="341"/>
      <c r="H1172" s="341"/>
    </row>
    <row r="1173" spans="2:8" ht="18" x14ac:dyDescent="0.25">
      <c r="B1173" s="86"/>
      <c r="C1173" s="85"/>
      <c r="D1173" s="85"/>
      <c r="E1173" s="92"/>
      <c r="F1173" s="104"/>
      <c r="G1173" s="89"/>
      <c r="H1173" s="89"/>
    </row>
    <row r="1174" spans="2:8" ht="18" x14ac:dyDescent="0.25">
      <c r="B1174" s="86"/>
      <c r="C1174" s="85"/>
      <c r="D1174" s="85"/>
      <c r="E1174" s="85"/>
      <c r="G1174" s="338"/>
      <c r="H1174" s="338"/>
    </row>
    <row r="1175" spans="2:8" ht="18" x14ac:dyDescent="0.25">
      <c r="B1175" s="85"/>
      <c r="C1175" s="85"/>
      <c r="D1175" s="85"/>
      <c r="E1175" s="85"/>
      <c r="F1175" s="91"/>
      <c r="G1175" s="90"/>
      <c r="H1175" s="90"/>
    </row>
    <row r="1176" spans="2:8" ht="18" x14ac:dyDescent="0.25">
      <c r="B1176" s="85"/>
      <c r="C1176" s="85"/>
      <c r="D1176" s="85"/>
      <c r="E1176" s="85"/>
      <c r="F1176" s="92"/>
      <c r="G1176" s="85"/>
      <c r="H1176" s="90"/>
    </row>
    <row r="1177" spans="2:8" ht="18" x14ac:dyDescent="0.25">
      <c r="B1177" s="85"/>
      <c r="C1177" s="85"/>
      <c r="D1177" s="85"/>
      <c r="E1177" s="85"/>
      <c r="F1177" s="92"/>
      <c r="G1177" s="85"/>
      <c r="H1177" s="90"/>
    </row>
    <row r="1178" spans="2:8" ht="18" x14ac:dyDescent="0.25">
      <c r="B1178" s="85" t="e">
        <f>+B1163</f>
        <v>#REF!</v>
      </c>
      <c r="C1178" s="344"/>
      <c r="D1178" s="344"/>
      <c r="E1178" s="85" t="e">
        <f>+B1178</f>
        <v>#REF!</v>
      </c>
      <c r="F1178" s="92"/>
      <c r="G1178" s="85"/>
      <c r="H1178" s="90"/>
    </row>
    <row r="1179" spans="2:8" ht="18" x14ac:dyDescent="0.25">
      <c r="C1179" s="85"/>
      <c r="D1179" s="85"/>
      <c r="F1179" s="344"/>
      <c r="G1179" s="344"/>
      <c r="H1179" s="344"/>
    </row>
    <row r="1180" spans="2:8" ht="18" x14ac:dyDescent="0.25">
      <c r="B1180" s="85" t="str">
        <f>+$E$1</f>
        <v>Lima 461 C:A:B:A:</v>
      </c>
      <c r="C1180" s="85"/>
      <c r="D1180" s="93" t="str">
        <f>+H1164</f>
        <v>Unid. 31</v>
      </c>
      <c r="E1180" s="85" t="str">
        <f>+$E$1</f>
        <v>Lima 461 C:A:B:A:</v>
      </c>
      <c r="F1180" s="85"/>
      <c r="G1180" s="85"/>
      <c r="H1180" s="90" t="str">
        <f>+D1180</f>
        <v>Unid. 31</v>
      </c>
    </row>
    <row r="1181" spans="2:8" ht="18" x14ac:dyDescent="0.25">
      <c r="H1181" s="94"/>
    </row>
    <row r="1182" spans="2:8" ht="18" x14ac:dyDescent="0.25">
      <c r="B1182" s="86"/>
      <c r="C1182" s="86"/>
      <c r="D1182" s="86"/>
      <c r="E1182" s="86"/>
      <c r="F1182" s="85"/>
      <c r="G1182" s="85"/>
    </row>
    <row r="1183" spans="2:8" ht="18" x14ac:dyDescent="0.25">
      <c r="B1183" s="85">
        <f>+$E$2</f>
        <v>0</v>
      </c>
      <c r="C1183" s="85"/>
      <c r="D1183" s="85"/>
      <c r="E1183" s="85"/>
      <c r="F1183" s="85"/>
      <c r="G1183" s="86"/>
      <c r="H1183" s="94"/>
    </row>
    <row r="1184" spans="2:8" ht="18" x14ac:dyDescent="0.25">
      <c r="B1184" s="85">
        <f>+$E$3</f>
        <v>0</v>
      </c>
      <c r="C1184" s="85"/>
      <c r="D1184" s="85"/>
      <c r="E1184" s="96"/>
      <c r="F1184" s="85"/>
      <c r="G1184" s="94"/>
      <c r="H1184" s="90"/>
    </row>
    <row r="1185" spans="2:8" ht="18" x14ac:dyDescent="0.25">
      <c r="C1185" s="85"/>
      <c r="D1185" s="85"/>
      <c r="E1185" s="85" t="s">
        <v>200</v>
      </c>
      <c r="F1185" s="106" t="e">
        <f>+F1168</f>
        <v>#REF!</v>
      </c>
      <c r="H1185" s="99">
        <f>+B1190</f>
        <v>46037</v>
      </c>
    </row>
    <row r="1186" spans="2:8" ht="18" x14ac:dyDescent="0.25">
      <c r="B1186" s="86"/>
      <c r="C1186" s="85"/>
      <c r="D1186" s="85"/>
      <c r="E1186" s="85" t="s">
        <v>201</v>
      </c>
      <c r="F1186" s="106" t="e">
        <f>+F1169</f>
        <v>#REF!</v>
      </c>
    </row>
    <row r="1187" spans="2:8" ht="18" x14ac:dyDescent="0.25">
      <c r="B1187" s="86"/>
      <c r="C1187" s="85"/>
      <c r="D1187" s="85"/>
      <c r="E1187" s="85" t="s">
        <v>81</v>
      </c>
      <c r="F1187" s="106" t="e">
        <f>+F1170</f>
        <v>#REF!</v>
      </c>
      <c r="G1187" s="85"/>
      <c r="H1187" s="90"/>
    </row>
    <row r="1188" spans="2:8" ht="18" x14ac:dyDescent="0.25">
      <c r="B1188" s="85"/>
      <c r="C1188" s="85"/>
      <c r="D1188" s="85"/>
      <c r="E1188" s="85" t="s">
        <v>82</v>
      </c>
      <c r="F1188" s="106" t="e">
        <f>+F1171</f>
        <v>#REF!</v>
      </c>
      <c r="G1188" s="85"/>
      <c r="H1188" s="90"/>
    </row>
    <row r="1189" spans="2:8" ht="18" x14ac:dyDescent="0.25">
      <c r="B1189" s="96"/>
      <c r="C1189" s="96"/>
      <c r="D1189" s="96"/>
      <c r="E1189" s="85" t="s">
        <v>188</v>
      </c>
      <c r="F1189" s="106">
        <v>0</v>
      </c>
      <c r="G1189" s="85"/>
      <c r="H1189" s="90"/>
    </row>
    <row r="1190" spans="2:8" ht="18" x14ac:dyDescent="0.25">
      <c r="B1190" s="99">
        <f>+$G$30</f>
        <v>46037</v>
      </c>
      <c r="C1190" s="105" t="e">
        <f>+F1172</f>
        <v>#REF!</v>
      </c>
      <c r="D1190" s="85"/>
      <c r="E1190" s="85" t="s">
        <v>83</v>
      </c>
      <c r="F1190" s="106" t="e">
        <f>+F1172</f>
        <v>#REF!</v>
      </c>
      <c r="G1190" s="85"/>
      <c r="H1190" s="90"/>
    </row>
    <row r="1191" spans="2:8" ht="18" x14ac:dyDescent="0.25">
      <c r="B1191" s="85"/>
      <c r="C1191" s="85"/>
      <c r="D1191" s="85"/>
      <c r="E1191" s="85"/>
      <c r="F1191" s="85"/>
      <c r="G1191" s="85"/>
      <c r="H1191" s="90"/>
    </row>
    <row r="1192" spans="2:8" ht="18" x14ac:dyDescent="0.25">
      <c r="B1192" s="85"/>
      <c r="C1192" s="85"/>
      <c r="D1192" s="85"/>
      <c r="E1192" s="85"/>
      <c r="F1192" s="85"/>
      <c r="G1192" s="345"/>
      <c r="H1192" s="345"/>
    </row>
    <row r="1193" spans="2:8" ht="18" x14ac:dyDescent="0.25">
      <c r="B1193" s="85"/>
      <c r="C1193" s="85"/>
      <c r="D1193" s="85"/>
      <c r="E1193" s="85"/>
      <c r="F1193" s="85"/>
      <c r="G1193" s="85"/>
      <c r="H1193" s="90"/>
    </row>
    <row r="1194" spans="2:8" ht="18" x14ac:dyDescent="0.25">
      <c r="B1194" s="85"/>
      <c r="C1194" s="85"/>
      <c r="D1194" s="85"/>
      <c r="E1194" s="85"/>
      <c r="F1194" s="85"/>
      <c r="G1194" s="85"/>
      <c r="H1194" s="90"/>
    </row>
    <row r="1195" spans="2:8" ht="18" x14ac:dyDescent="0.25">
      <c r="B1195" s="85"/>
      <c r="C1195" s="85"/>
      <c r="D1195" s="85"/>
      <c r="E1195" s="85"/>
      <c r="F1195" s="85"/>
      <c r="G1195" s="85"/>
      <c r="H1195" s="90"/>
    </row>
    <row r="1196" spans="2:8" ht="18" x14ac:dyDescent="0.25">
      <c r="B1196" s="85"/>
      <c r="C1196" s="85"/>
      <c r="D1196" s="85"/>
      <c r="E1196" s="85"/>
      <c r="F1196" s="85"/>
      <c r="H1196" s="90"/>
    </row>
    <row r="1197" spans="2:8" ht="18" x14ac:dyDescent="0.25">
      <c r="B1197" s="85"/>
      <c r="C1197" s="85"/>
      <c r="D1197" s="85"/>
      <c r="E1197" s="85"/>
      <c r="F1197" s="85"/>
      <c r="H1197" s="90"/>
    </row>
    <row r="1198" spans="2:8" ht="18" x14ac:dyDescent="0.25">
      <c r="B1198" s="343"/>
      <c r="C1198" s="343"/>
      <c r="D1198" s="343"/>
      <c r="E1198" s="85"/>
      <c r="F1198" s="85"/>
      <c r="H1198" s="90"/>
    </row>
    <row r="1199" spans="2:8" ht="18" x14ac:dyDescent="0.25">
      <c r="B1199" s="343"/>
      <c r="C1199" s="343"/>
      <c r="D1199" s="343"/>
      <c r="E1199" s="98">
        <f>+$B$1</f>
        <v>46143</v>
      </c>
      <c r="F1199" s="85"/>
      <c r="G1199" s="99">
        <f>+$D$1</f>
        <v>46037</v>
      </c>
      <c r="H1199" s="160"/>
    </row>
    <row r="1200" spans="2:8" ht="18" x14ac:dyDescent="0.25">
      <c r="B1200" s="84"/>
      <c r="C1200" s="84"/>
      <c r="D1200" s="100"/>
      <c r="E1200" s="98"/>
      <c r="F1200" s="85"/>
    </row>
    <row r="1201" spans="2:8" ht="18" x14ac:dyDescent="0.25">
      <c r="B1201" s="85" t="e">
        <f>+#REF!</f>
        <v>#REF!</v>
      </c>
      <c r="C1201" s="85"/>
      <c r="D1201" s="85"/>
      <c r="F1201" s="85"/>
    </row>
    <row r="1202" spans="2:8" ht="18" x14ac:dyDescent="0.25">
      <c r="C1202" s="85"/>
      <c r="D1202" s="85"/>
      <c r="E1202" s="85" t="str">
        <f>+$E$1</f>
        <v>Lima 461 C:A:B:A:</v>
      </c>
      <c r="F1202" s="85"/>
      <c r="H1202" s="90" t="s">
        <v>115</v>
      </c>
    </row>
    <row r="1203" spans="2:8" ht="18" x14ac:dyDescent="0.25">
      <c r="B1203" s="86"/>
      <c r="C1203" s="85"/>
      <c r="D1203" s="85"/>
      <c r="F1203" s="85"/>
      <c r="G1203" s="86"/>
    </row>
    <row r="1204" spans="2:8" ht="18" x14ac:dyDescent="0.25">
      <c r="B1204" s="85"/>
      <c r="C1204" s="85"/>
      <c r="D1204" s="85"/>
      <c r="E1204" s="86"/>
      <c r="F1204" s="86"/>
      <c r="G1204" s="85"/>
      <c r="H1204" s="94"/>
    </row>
    <row r="1205" spans="2:8" ht="18" x14ac:dyDescent="0.25">
      <c r="B1205" s="94"/>
      <c r="C1205" s="85"/>
      <c r="D1205" s="94"/>
      <c r="E1205" s="85"/>
      <c r="F1205" s="85"/>
      <c r="G1205" s="85"/>
      <c r="H1205" s="90"/>
    </row>
    <row r="1206" spans="2:8" ht="18" x14ac:dyDescent="0.25">
      <c r="B1206" s="85" t="s">
        <v>198</v>
      </c>
      <c r="C1206" s="85"/>
      <c r="D1206" s="107">
        <f>+'RES CUENTA'!$L$25</f>
        <v>10859801.41</v>
      </c>
      <c r="E1206" s="108" t="e">
        <f>+'RES CUENTA'!#REF!</f>
        <v>#REF!</v>
      </c>
      <c r="F1206" s="103" t="e">
        <f>+D1206*E1206/100</f>
        <v>#REF!</v>
      </c>
      <c r="G1206" s="85"/>
      <c r="H1206" s="94"/>
    </row>
    <row r="1207" spans="2:8" ht="18" x14ac:dyDescent="0.25">
      <c r="B1207" s="85" t="s">
        <v>199</v>
      </c>
      <c r="C1207" s="85"/>
      <c r="D1207" s="107" t="e">
        <f>+'RES CUENTA'!#REF!</f>
        <v>#REF!</v>
      </c>
      <c r="E1207" s="108" t="e">
        <f>+'RES CUENTA'!#REF!</f>
        <v>#REF!</v>
      </c>
      <c r="F1207" s="103" t="e">
        <f>+D1207*E1207/100</f>
        <v>#REF!</v>
      </c>
      <c r="G1207" s="94"/>
      <c r="H1207" s="89"/>
    </row>
    <row r="1208" spans="2:8" ht="18" x14ac:dyDescent="0.25">
      <c r="B1208" s="85" t="s">
        <v>79</v>
      </c>
      <c r="C1208" s="85"/>
      <c r="D1208" s="107" t="e">
        <f>+'RES CUENTA'!#REF!</f>
        <v>#REF!</v>
      </c>
      <c r="E1208" s="108">
        <f>+'RES CUENTA'!P295</f>
        <v>0</v>
      </c>
      <c r="F1208" s="103" t="e">
        <f>+D1208</f>
        <v>#REF!</v>
      </c>
      <c r="G1208" s="89"/>
      <c r="H1208" s="89"/>
    </row>
    <row r="1209" spans="2:8" ht="18" x14ac:dyDescent="0.25">
      <c r="B1209" s="85" t="s">
        <v>80</v>
      </c>
      <c r="C1209" s="85"/>
      <c r="D1209" s="107" t="e">
        <f>+'RES CUENTA'!#REF!</f>
        <v>#REF!</v>
      </c>
      <c r="E1209" s="108">
        <f>+'RES CUENTA'!R290</f>
        <v>0</v>
      </c>
      <c r="F1209" s="103" t="e">
        <f>+D1209</f>
        <v>#REF!</v>
      </c>
      <c r="G1209" s="89"/>
      <c r="H1209" s="89"/>
    </row>
    <row r="1210" spans="2:8" ht="18" x14ac:dyDescent="0.25">
      <c r="B1210" s="86"/>
      <c r="C1210" s="85"/>
      <c r="D1210" s="85"/>
      <c r="F1210" s="104" t="e">
        <f>SUM(F1206:F1209)</f>
        <v>#REF!</v>
      </c>
      <c r="G1210" s="89"/>
      <c r="H1210" s="89"/>
    </row>
    <row r="1211" spans="2:8" ht="18" x14ac:dyDescent="0.25">
      <c r="B1211" s="86"/>
      <c r="C1211" s="85"/>
      <c r="D1211" s="85"/>
      <c r="F1211" s="91"/>
      <c r="G1211" s="89"/>
      <c r="H1211" s="90"/>
    </row>
    <row r="1212" spans="2:8" ht="18" x14ac:dyDescent="0.25">
      <c r="B1212" s="86"/>
      <c r="C1212" s="85"/>
      <c r="D1212" s="85"/>
      <c r="F1212" s="91"/>
      <c r="G1212" s="89"/>
      <c r="H1212" s="90"/>
    </row>
    <row r="1213" spans="2:8" ht="18" x14ac:dyDescent="0.25">
      <c r="B1213" s="85"/>
      <c r="C1213" s="85"/>
      <c r="D1213" s="85"/>
      <c r="E1213" s="85"/>
      <c r="F1213" s="92"/>
      <c r="G1213" s="90"/>
      <c r="H1213" s="90"/>
    </row>
    <row r="1214" spans="2:8" ht="18" x14ac:dyDescent="0.25">
      <c r="B1214" s="85"/>
      <c r="C1214" s="85"/>
      <c r="D1214" s="85"/>
      <c r="E1214" s="85"/>
      <c r="F1214" s="92"/>
      <c r="G1214" s="90"/>
      <c r="H1214" s="90"/>
    </row>
    <row r="1215" spans="2:8" ht="18" x14ac:dyDescent="0.25">
      <c r="B1215" s="85"/>
      <c r="C1215" s="85"/>
      <c r="D1215" s="85"/>
      <c r="E1215" s="85"/>
      <c r="F1215" s="92"/>
      <c r="G1215" s="90"/>
      <c r="H1215" s="90"/>
    </row>
    <row r="1216" spans="2:8" ht="18" x14ac:dyDescent="0.25">
      <c r="B1216" s="85" t="e">
        <f>+B1201</f>
        <v>#REF!</v>
      </c>
      <c r="C1216" s="85"/>
      <c r="D1216" s="85"/>
      <c r="E1216" s="85" t="e">
        <f>+B1201</f>
        <v>#REF!</v>
      </c>
      <c r="F1216" s="85"/>
      <c r="G1216" s="85"/>
      <c r="H1216" s="94"/>
    </row>
    <row r="1217" spans="2:8" ht="18" x14ac:dyDescent="0.25">
      <c r="B1217" s="86"/>
      <c r="C1217" s="85"/>
      <c r="D1217" s="85"/>
      <c r="F1217" s="85"/>
      <c r="G1217" s="101"/>
      <c r="H1217" s="90" t="str">
        <f>+H1202</f>
        <v>Unid. 32</v>
      </c>
    </row>
    <row r="1218" spans="2:8" ht="18" x14ac:dyDescent="0.25">
      <c r="B1218" s="85" t="str">
        <f>+$E$1</f>
        <v>Lima 461 C:A:B:A:</v>
      </c>
      <c r="C1218" s="85"/>
      <c r="D1218" s="93" t="str">
        <f>+H1217</f>
        <v>Unid. 32</v>
      </c>
      <c r="E1218" s="85" t="str">
        <f>+$E$1</f>
        <v>Lima 461 C:A:B:A:</v>
      </c>
      <c r="F1218" s="85"/>
      <c r="G1218" s="85"/>
      <c r="H1218" s="94"/>
    </row>
    <row r="1219" spans="2:8" ht="18" x14ac:dyDescent="0.25">
      <c r="B1219" s="86"/>
      <c r="C1219" s="86"/>
      <c r="D1219" s="86"/>
      <c r="F1219" s="85"/>
      <c r="G1219" s="85"/>
    </row>
    <row r="1220" spans="2:8" ht="18" x14ac:dyDescent="0.25">
      <c r="B1220" s="85"/>
      <c r="C1220" s="85"/>
      <c r="D1220" s="85"/>
      <c r="E1220" s="86"/>
      <c r="F1220" s="85"/>
      <c r="G1220" s="85"/>
      <c r="H1220" s="94"/>
    </row>
    <row r="1221" spans="2:8" ht="18" x14ac:dyDescent="0.25">
      <c r="B1221" s="85">
        <f>+$E$2</f>
        <v>0</v>
      </c>
      <c r="C1221" s="85"/>
      <c r="D1221" s="85"/>
      <c r="E1221" s="85"/>
      <c r="F1221" s="96"/>
      <c r="G1221" s="86"/>
      <c r="H1221" s="90"/>
    </row>
    <row r="1222" spans="2:8" ht="18" x14ac:dyDescent="0.25">
      <c r="B1222" s="85">
        <f>+$E$3</f>
        <v>0</v>
      </c>
      <c r="C1222" s="85"/>
      <c r="D1222" s="85"/>
      <c r="E1222" s="96"/>
      <c r="G1222" s="94"/>
      <c r="H1222" s="96"/>
    </row>
    <row r="1223" spans="2:8" ht="18" x14ac:dyDescent="0.25">
      <c r="B1223" s="86"/>
      <c r="C1223" s="85"/>
      <c r="D1223" s="85"/>
      <c r="E1223" s="85" t="s">
        <v>200</v>
      </c>
      <c r="F1223" s="106" t="e">
        <f>+F1206</f>
        <v>#REF!</v>
      </c>
      <c r="G1223" s="95"/>
      <c r="H1223" s="99">
        <f>+B1227</f>
        <v>46037</v>
      </c>
    </row>
    <row r="1224" spans="2:8" ht="18" x14ac:dyDescent="0.25">
      <c r="B1224" s="86"/>
      <c r="C1224" s="85"/>
      <c r="D1224" s="85"/>
      <c r="E1224" s="85" t="s">
        <v>201</v>
      </c>
      <c r="F1224" s="106" t="e">
        <f>+F1207</f>
        <v>#REF!</v>
      </c>
      <c r="H1224" s="90"/>
    </row>
    <row r="1225" spans="2:8" ht="18" x14ac:dyDescent="0.25">
      <c r="B1225" s="85"/>
      <c r="C1225" s="85"/>
      <c r="D1225" s="85"/>
      <c r="E1225" s="85" t="s">
        <v>81</v>
      </c>
      <c r="F1225" s="106" t="e">
        <f>+F1208</f>
        <v>#REF!</v>
      </c>
      <c r="G1225" s="85"/>
      <c r="H1225" s="90"/>
    </row>
    <row r="1226" spans="2:8" ht="18" x14ac:dyDescent="0.25">
      <c r="B1226" s="96"/>
      <c r="C1226" s="96"/>
      <c r="D1226" s="96"/>
      <c r="E1226" s="85" t="s">
        <v>82</v>
      </c>
      <c r="F1226" s="106" t="e">
        <f>+F1209</f>
        <v>#REF!</v>
      </c>
      <c r="G1226" s="85"/>
      <c r="H1226" s="90"/>
    </row>
    <row r="1227" spans="2:8" ht="18" x14ac:dyDescent="0.25">
      <c r="B1227" s="99">
        <f>+$G$30</f>
        <v>46037</v>
      </c>
      <c r="C1227" s="105" t="e">
        <f>+F1210</f>
        <v>#REF!</v>
      </c>
      <c r="D1227" s="85"/>
      <c r="E1227" s="85" t="s">
        <v>188</v>
      </c>
      <c r="F1227" s="106">
        <v>0</v>
      </c>
      <c r="G1227" s="85"/>
      <c r="H1227" s="90"/>
    </row>
    <row r="1228" spans="2:8" ht="18" x14ac:dyDescent="0.25">
      <c r="B1228" s="85"/>
      <c r="C1228" s="85"/>
      <c r="D1228" s="85"/>
      <c r="E1228" s="85" t="s">
        <v>83</v>
      </c>
      <c r="F1228" s="106" t="e">
        <f>+F1210</f>
        <v>#REF!</v>
      </c>
      <c r="G1228" s="85"/>
      <c r="H1228" s="90"/>
    </row>
    <row r="1229" spans="2:8" ht="18" x14ac:dyDescent="0.25">
      <c r="B1229" s="85"/>
      <c r="C1229" s="85"/>
      <c r="D1229" s="85"/>
      <c r="E1229" s="85"/>
      <c r="F1229" s="85"/>
      <c r="G1229" s="85"/>
      <c r="H1229" s="90"/>
    </row>
    <row r="1230" spans="2:8" ht="18" x14ac:dyDescent="0.25">
      <c r="B1230" s="85"/>
      <c r="C1230" s="85"/>
      <c r="D1230" s="85"/>
      <c r="E1230" s="102"/>
      <c r="F1230" s="85"/>
      <c r="G1230" s="85"/>
      <c r="H1230" s="90"/>
    </row>
    <row r="1231" spans="2:8" ht="18" x14ac:dyDescent="0.25">
      <c r="B1231" s="85"/>
      <c r="C1231" s="85"/>
      <c r="D1231" s="85"/>
      <c r="E1231" s="85"/>
      <c r="F1231" s="85"/>
      <c r="G1231" s="85"/>
      <c r="H1231" s="94"/>
    </row>
    <row r="1232" spans="2:8" ht="18" x14ac:dyDescent="0.25">
      <c r="E1232" s="85"/>
      <c r="G1232" s="94"/>
      <c r="H1232" s="90"/>
    </row>
    <row r="1234" spans="2:8" ht="18" x14ac:dyDescent="0.25">
      <c r="B1234" s="343"/>
      <c r="C1234" s="343"/>
      <c r="D1234" s="343"/>
      <c r="E1234" s="342">
        <f>+$B$1</f>
        <v>46143</v>
      </c>
      <c r="F1234" s="85"/>
      <c r="G1234" s="337">
        <f>+$D$1</f>
        <v>46037</v>
      </c>
      <c r="H1234" s="90"/>
    </row>
    <row r="1235" spans="2:8" ht="18" x14ac:dyDescent="0.25">
      <c r="B1235" s="84"/>
      <c r="C1235" s="84"/>
      <c r="D1235" s="100"/>
      <c r="E1235" s="342"/>
      <c r="F1235" s="85"/>
      <c r="G1235" s="337"/>
      <c r="H1235" s="90"/>
    </row>
    <row r="1236" spans="2:8" ht="18" x14ac:dyDescent="0.25">
      <c r="B1236" s="85"/>
      <c r="C1236" s="85"/>
      <c r="D1236" s="85"/>
      <c r="E1236" s="86"/>
      <c r="F1236" s="85"/>
      <c r="G1236" s="86"/>
      <c r="H1236" s="90"/>
    </row>
    <row r="1237" spans="2:8" ht="18" x14ac:dyDescent="0.25">
      <c r="B1237" s="85" t="e">
        <f>+#REF!</f>
        <v>#REF!</v>
      </c>
      <c r="C1237" s="85"/>
      <c r="D1237" s="85"/>
      <c r="E1237" s="86"/>
      <c r="F1237" s="85"/>
      <c r="G1237" s="86"/>
      <c r="H1237" s="90"/>
    </row>
    <row r="1238" spans="2:8" ht="18" x14ac:dyDescent="0.25">
      <c r="B1238" s="86"/>
      <c r="C1238" s="85"/>
      <c r="D1238" s="85"/>
      <c r="E1238" s="85" t="s">
        <v>78</v>
      </c>
      <c r="F1238" s="85"/>
      <c r="G1238" s="85"/>
      <c r="H1238" s="90" t="s">
        <v>116</v>
      </c>
    </row>
    <row r="1239" spans="2:8" ht="18" x14ac:dyDescent="0.25">
      <c r="B1239" s="85"/>
      <c r="C1239" s="85"/>
      <c r="D1239" s="85"/>
      <c r="E1239" s="86"/>
      <c r="F1239" s="86"/>
      <c r="G1239" s="85"/>
      <c r="H1239" s="94"/>
    </row>
    <row r="1240" spans="2:8" ht="18" x14ac:dyDescent="0.25">
      <c r="B1240" s="94"/>
      <c r="C1240" s="85"/>
      <c r="D1240" s="94"/>
      <c r="E1240" s="85"/>
      <c r="F1240" s="85"/>
      <c r="G1240" s="85"/>
      <c r="H1240" s="90"/>
    </row>
    <row r="1241" spans="2:8" ht="18" x14ac:dyDescent="0.25">
      <c r="B1241" s="94"/>
      <c r="C1241" s="85"/>
      <c r="D1241" s="94"/>
      <c r="E1241" s="85"/>
      <c r="F1241" s="85"/>
      <c r="G1241" s="85"/>
      <c r="H1241" s="90"/>
    </row>
    <row r="1242" spans="2:8" ht="18" x14ac:dyDescent="0.25">
      <c r="B1242" s="85" t="s">
        <v>198</v>
      </c>
      <c r="C1242" s="85"/>
      <c r="D1242" s="107">
        <f>+'RES CUENTA'!$L$25</f>
        <v>10859801.41</v>
      </c>
      <c r="E1242" s="108" t="e">
        <f>+'RES CUENTA'!#REF!</f>
        <v>#REF!</v>
      </c>
      <c r="F1242" s="103" t="e">
        <f>+D1242*E1242/100</f>
        <v>#REF!</v>
      </c>
      <c r="G1242" s="345"/>
      <c r="H1242" s="345"/>
    </row>
    <row r="1243" spans="2:8" ht="18" x14ac:dyDescent="0.25">
      <c r="B1243" s="85" t="s">
        <v>199</v>
      </c>
      <c r="C1243" s="85"/>
      <c r="D1243" s="107" t="e">
        <f>+'RES CUENTA'!#REF!</f>
        <v>#REF!</v>
      </c>
      <c r="E1243" s="108" t="e">
        <f>+'RES CUENTA'!#REF!</f>
        <v>#REF!</v>
      </c>
      <c r="F1243" s="103" t="e">
        <f>+D1243*E1243/100</f>
        <v>#REF!</v>
      </c>
      <c r="G1243" s="341"/>
      <c r="H1243" s="341"/>
    </row>
    <row r="1244" spans="2:8" ht="18" x14ac:dyDescent="0.25">
      <c r="B1244" s="85" t="s">
        <v>79</v>
      </c>
      <c r="C1244" s="85"/>
      <c r="D1244" s="107" t="e">
        <f>+'RES CUENTA'!#REF!</f>
        <v>#REF!</v>
      </c>
      <c r="E1244" s="108">
        <v>0</v>
      </c>
      <c r="F1244" s="103" t="e">
        <f>+D1244</f>
        <v>#REF!</v>
      </c>
      <c r="G1244" s="341"/>
      <c r="H1244" s="341"/>
    </row>
    <row r="1245" spans="2:8" ht="18" x14ac:dyDescent="0.25">
      <c r="B1245" s="85" t="s">
        <v>80</v>
      </c>
      <c r="C1245" s="85"/>
      <c r="D1245" s="107" t="e">
        <f>+'RES CUENTA'!#REF!</f>
        <v>#REF!</v>
      </c>
      <c r="E1245" s="108">
        <v>0</v>
      </c>
      <c r="F1245" s="103" t="e">
        <f>+D1245</f>
        <v>#REF!</v>
      </c>
      <c r="G1245" s="341"/>
      <c r="H1245" s="341"/>
    </row>
    <row r="1246" spans="2:8" ht="18" x14ac:dyDescent="0.25">
      <c r="B1246" s="86"/>
      <c r="C1246" s="85"/>
      <c r="D1246" s="85"/>
      <c r="E1246" s="92"/>
      <c r="F1246" s="104" t="e">
        <f>SUM(F1242:F1245)</f>
        <v>#REF!</v>
      </c>
      <c r="G1246" s="341"/>
      <c r="H1246" s="341"/>
    </row>
    <row r="1247" spans="2:8" ht="18" x14ac:dyDescent="0.25">
      <c r="B1247" s="86"/>
      <c r="C1247" s="85"/>
      <c r="D1247" s="85"/>
      <c r="E1247" s="92"/>
      <c r="F1247" s="104"/>
      <c r="G1247" s="89"/>
      <c r="H1247" s="89"/>
    </row>
    <row r="1248" spans="2:8" ht="18" x14ac:dyDescent="0.25">
      <c r="B1248" s="86"/>
      <c r="C1248" s="85"/>
      <c r="D1248" s="85"/>
      <c r="E1248" s="85"/>
      <c r="G1248" s="338"/>
      <c r="H1248" s="338"/>
    </row>
    <row r="1249" spans="2:8" ht="18" x14ac:dyDescent="0.25">
      <c r="B1249" s="85"/>
      <c r="C1249" s="85"/>
      <c r="D1249" s="85"/>
      <c r="E1249" s="85"/>
      <c r="F1249" s="91"/>
      <c r="G1249" s="90"/>
      <c r="H1249" s="90"/>
    </row>
    <row r="1250" spans="2:8" ht="18" x14ac:dyDescent="0.25">
      <c r="B1250" s="85"/>
      <c r="C1250" s="85"/>
      <c r="D1250" s="85"/>
      <c r="E1250" s="85"/>
      <c r="F1250" s="92"/>
      <c r="G1250" s="85"/>
      <c r="H1250" s="90"/>
    </row>
    <row r="1251" spans="2:8" ht="18" x14ac:dyDescent="0.25">
      <c r="B1251" s="85"/>
      <c r="C1251" s="85"/>
      <c r="D1251" s="85"/>
      <c r="E1251" s="85"/>
      <c r="F1251" s="92"/>
      <c r="G1251" s="85"/>
      <c r="H1251" s="90"/>
    </row>
    <row r="1252" spans="2:8" ht="18" x14ac:dyDescent="0.25">
      <c r="B1252" s="85" t="e">
        <f>+B1237</f>
        <v>#REF!</v>
      </c>
      <c r="C1252" s="344"/>
      <c r="D1252" s="344"/>
      <c r="E1252" s="85" t="e">
        <f>+B1252</f>
        <v>#REF!</v>
      </c>
      <c r="F1252" s="92"/>
      <c r="G1252" s="85"/>
      <c r="H1252" s="90"/>
    </row>
    <row r="1253" spans="2:8" ht="18" x14ac:dyDescent="0.25">
      <c r="C1253" s="85"/>
      <c r="D1253" s="85"/>
      <c r="F1253" s="344"/>
      <c r="G1253" s="344"/>
      <c r="H1253" s="344"/>
    </row>
    <row r="1254" spans="2:8" ht="18" x14ac:dyDescent="0.25">
      <c r="B1254" s="85" t="str">
        <f>+$E$1</f>
        <v>Lima 461 C:A:B:A:</v>
      </c>
      <c r="C1254" s="85"/>
      <c r="D1254" s="93" t="str">
        <f>+H1238</f>
        <v>Unid. 33</v>
      </c>
      <c r="E1254" s="85" t="str">
        <f>+$E$1</f>
        <v>Lima 461 C:A:B:A:</v>
      </c>
      <c r="F1254" s="85"/>
      <c r="G1254" s="85"/>
      <c r="H1254" s="90" t="str">
        <f>+D1254</f>
        <v>Unid. 33</v>
      </c>
    </row>
    <row r="1255" spans="2:8" ht="18" x14ac:dyDescent="0.25">
      <c r="H1255" s="94"/>
    </row>
    <row r="1256" spans="2:8" ht="18" x14ac:dyDescent="0.25">
      <c r="B1256" s="86"/>
      <c r="C1256" s="86"/>
      <c r="D1256" s="86"/>
      <c r="E1256" s="86"/>
      <c r="F1256" s="85"/>
      <c r="G1256" s="85"/>
    </row>
    <row r="1257" spans="2:8" ht="18" x14ac:dyDescent="0.25">
      <c r="B1257" s="85">
        <f>+$E$2</f>
        <v>0</v>
      </c>
      <c r="C1257" s="85"/>
      <c r="D1257" s="85"/>
      <c r="E1257" s="85"/>
      <c r="F1257" s="85"/>
      <c r="G1257" s="86"/>
      <c r="H1257" s="94"/>
    </row>
    <row r="1258" spans="2:8" ht="18" x14ac:dyDescent="0.25">
      <c r="B1258" s="85">
        <f>+$E$3</f>
        <v>0</v>
      </c>
      <c r="C1258" s="85"/>
      <c r="D1258" s="85"/>
      <c r="E1258" s="96"/>
      <c r="F1258" s="85"/>
      <c r="G1258" s="94"/>
      <c r="H1258" s="90"/>
    </row>
    <row r="1259" spans="2:8" ht="18" x14ac:dyDescent="0.25">
      <c r="C1259" s="85"/>
      <c r="D1259" s="85"/>
      <c r="E1259" s="85" t="s">
        <v>200</v>
      </c>
      <c r="F1259" s="106" t="e">
        <f>+F1242</f>
        <v>#REF!</v>
      </c>
      <c r="H1259" s="99">
        <f>+B1264</f>
        <v>46037</v>
      </c>
    </row>
    <row r="1260" spans="2:8" ht="18" x14ac:dyDescent="0.25">
      <c r="B1260" s="86"/>
      <c r="C1260" s="85"/>
      <c r="D1260" s="85"/>
      <c r="E1260" s="85" t="s">
        <v>201</v>
      </c>
      <c r="F1260" s="106" t="e">
        <f>+F1243</f>
        <v>#REF!</v>
      </c>
    </row>
    <row r="1261" spans="2:8" ht="18" x14ac:dyDescent="0.25">
      <c r="B1261" s="86"/>
      <c r="C1261" s="85"/>
      <c r="D1261" s="85"/>
      <c r="E1261" s="85" t="s">
        <v>81</v>
      </c>
      <c r="F1261" s="106" t="e">
        <f>+F1244</f>
        <v>#REF!</v>
      </c>
      <c r="G1261" s="85"/>
      <c r="H1261" s="90"/>
    </row>
    <row r="1262" spans="2:8" ht="18" x14ac:dyDescent="0.25">
      <c r="B1262" s="85"/>
      <c r="C1262" s="85"/>
      <c r="D1262" s="85"/>
      <c r="E1262" s="85" t="s">
        <v>82</v>
      </c>
      <c r="F1262" s="106" t="e">
        <f>+F1245</f>
        <v>#REF!</v>
      </c>
      <c r="G1262" s="85"/>
      <c r="H1262" s="90"/>
    </row>
    <row r="1263" spans="2:8" ht="18" x14ac:dyDescent="0.25">
      <c r="B1263" s="96"/>
      <c r="C1263" s="96"/>
      <c r="D1263" s="96"/>
      <c r="E1263" s="85" t="s">
        <v>188</v>
      </c>
      <c r="F1263" s="106">
        <v>0</v>
      </c>
      <c r="G1263" s="85"/>
      <c r="H1263" s="90"/>
    </row>
    <row r="1264" spans="2:8" ht="18" x14ac:dyDescent="0.25">
      <c r="B1264" s="99">
        <f>+$G$30</f>
        <v>46037</v>
      </c>
      <c r="C1264" s="105" t="e">
        <f>+F1246</f>
        <v>#REF!</v>
      </c>
      <c r="D1264" s="85"/>
      <c r="E1264" s="85" t="s">
        <v>83</v>
      </c>
      <c r="F1264" s="106" t="e">
        <f>+F1246</f>
        <v>#REF!</v>
      </c>
      <c r="G1264" s="85"/>
      <c r="H1264" s="90"/>
    </row>
    <row r="1265" spans="2:8" ht="18" x14ac:dyDescent="0.25">
      <c r="B1265" s="85"/>
      <c r="C1265" s="85"/>
      <c r="D1265" s="85"/>
      <c r="E1265" s="85"/>
      <c r="F1265" s="85"/>
      <c r="G1265" s="85"/>
      <c r="H1265" s="90"/>
    </row>
    <row r="1266" spans="2:8" ht="18" x14ac:dyDescent="0.25">
      <c r="B1266" s="85"/>
      <c r="C1266" s="85"/>
      <c r="D1266" s="85"/>
      <c r="E1266" s="85"/>
      <c r="F1266" s="85"/>
      <c r="G1266" s="345"/>
      <c r="H1266" s="345"/>
    </row>
    <row r="1267" spans="2:8" ht="18" x14ac:dyDescent="0.25">
      <c r="B1267" s="85"/>
      <c r="C1267" s="85"/>
      <c r="D1267" s="85"/>
      <c r="E1267" s="85"/>
      <c r="F1267" s="85"/>
      <c r="G1267" s="85"/>
      <c r="H1267" s="90"/>
    </row>
    <row r="1268" spans="2:8" ht="18" x14ac:dyDescent="0.25">
      <c r="B1268" s="85"/>
      <c r="C1268" s="85"/>
      <c r="D1268" s="85"/>
      <c r="E1268" s="85"/>
      <c r="F1268" s="85"/>
      <c r="G1268" s="85"/>
      <c r="H1268" s="90"/>
    </row>
    <row r="1269" spans="2:8" ht="18" x14ac:dyDescent="0.25">
      <c r="B1269" s="85"/>
      <c r="C1269" s="85"/>
      <c r="D1269" s="85"/>
      <c r="E1269" s="85"/>
      <c r="F1269" s="85"/>
      <c r="G1269" s="85"/>
      <c r="H1269" s="90"/>
    </row>
    <row r="1270" spans="2:8" ht="18" x14ac:dyDescent="0.25">
      <c r="B1270" s="85"/>
      <c r="C1270" s="85"/>
      <c r="D1270" s="85"/>
      <c r="E1270" s="85"/>
      <c r="F1270" s="85"/>
      <c r="H1270" s="90"/>
    </row>
    <row r="1271" spans="2:8" ht="18" x14ac:dyDescent="0.25">
      <c r="B1271" s="85"/>
      <c r="C1271" s="85"/>
      <c r="D1271" s="85"/>
      <c r="E1271" s="85"/>
      <c r="F1271" s="85"/>
      <c r="H1271" s="90"/>
    </row>
    <row r="1272" spans="2:8" ht="18" x14ac:dyDescent="0.25">
      <c r="B1272" s="343"/>
      <c r="C1272" s="343"/>
      <c r="D1272" s="343"/>
      <c r="E1272" s="85"/>
      <c r="F1272" s="85"/>
      <c r="H1272" s="90"/>
    </row>
    <row r="1273" spans="2:8" ht="18" x14ac:dyDescent="0.25">
      <c r="B1273" s="343"/>
      <c r="C1273" s="343"/>
      <c r="D1273" s="343"/>
      <c r="E1273" s="98">
        <f>+$B$1</f>
        <v>46143</v>
      </c>
      <c r="F1273" s="85"/>
      <c r="G1273" s="99">
        <f>+$D$1</f>
        <v>46037</v>
      </c>
      <c r="H1273" s="160"/>
    </row>
    <row r="1274" spans="2:8" ht="18" x14ac:dyDescent="0.25">
      <c r="B1274" s="84"/>
      <c r="C1274" s="84"/>
      <c r="D1274" s="100"/>
      <c r="E1274" s="98"/>
      <c r="F1274" s="85"/>
    </row>
    <row r="1275" spans="2:8" ht="18" x14ac:dyDescent="0.25">
      <c r="B1275" s="85" t="e">
        <f>+#REF!</f>
        <v>#REF!</v>
      </c>
      <c r="C1275" s="85"/>
      <c r="D1275" s="85"/>
      <c r="F1275" s="85"/>
    </row>
    <row r="1276" spans="2:8" ht="18" x14ac:dyDescent="0.25">
      <c r="C1276" s="85"/>
      <c r="D1276" s="85"/>
      <c r="E1276" s="85" t="str">
        <f>+$E$1</f>
        <v>Lima 461 C:A:B:A:</v>
      </c>
      <c r="F1276" s="85"/>
      <c r="H1276" s="90" t="s">
        <v>117</v>
      </c>
    </row>
    <row r="1277" spans="2:8" ht="18" x14ac:dyDescent="0.25">
      <c r="B1277" s="86"/>
      <c r="C1277" s="85"/>
      <c r="D1277" s="85"/>
      <c r="F1277" s="85"/>
      <c r="G1277" s="86"/>
    </row>
    <row r="1278" spans="2:8" ht="18" x14ac:dyDescent="0.25">
      <c r="B1278" s="85"/>
      <c r="C1278" s="85"/>
      <c r="D1278" s="85"/>
      <c r="E1278" s="86"/>
      <c r="F1278" s="86"/>
      <c r="G1278" s="85"/>
      <c r="H1278" s="94"/>
    </row>
    <row r="1279" spans="2:8" ht="18" x14ac:dyDescent="0.25">
      <c r="B1279" s="94"/>
      <c r="C1279" s="85"/>
      <c r="D1279" s="107"/>
      <c r="E1279" s="108"/>
      <c r="F1279" s="85"/>
      <c r="G1279" s="85"/>
      <c r="H1279" s="90"/>
    </row>
    <row r="1280" spans="2:8" ht="18" x14ac:dyDescent="0.25">
      <c r="B1280" s="85" t="s">
        <v>198</v>
      </c>
      <c r="C1280" s="85"/>
      <c r="D1280" s="107">
        <f>+'RES CUENTA'!$L$25</f>
        <v>10859801.41</v>
      </c>
      <c r="E1280" s="108" t="e">
        <f>+'RES CUENTA'!#REF!</f>
        <v>#REF!</v>
      </c>
      <c r="F1280" s="103" t="e">
        <f>+D1280*E1280/100</f>
        <v>#REF!</v>
      </c>
      <c r="G1280" s="85"/>
      <c r="H1280" s="94"/>
    </row>
    <row r="1281" spans="2:8" ht="18" x14ac:dyDescent="0.25">
      <c r="B1281" s="85" t="s">
        <v>199</v>
      </c>
      <c r="C1281" s="85"/>
      <c r="D1281" s="107" t="e">
        <f>+'RES CUENTA'!#REF!</f>
        <v>#REF!</v>
      </c>
      <c r="E1281" s="108" t="e">
        <f>+'RES CUENTA'!#REF!</f>
        <v>#REF!</v>
      </c>
      <c r="F1281" s="103" t="e">
        <f>+D1281*E1281/100</f>
        <v>#REF!</v>
      </c>
      <c r="G1281" s="94"/>
      <c r="H1281" s="89"/>
    </row>
    <row r="1282" spans="2:8" ht="18" x14ac:dyDescent="0.25">
      <c r="B1282" s="85" t="s">
        <v>79</v>
      </c>
      <c r="C1282" s="85"/>
      <c r="D1282" s="107" t="e">
        <f>+'RES CUENTA'!#REF!</f>
        <v>#REF!</v>
      </c>
      <c r="E1282" s="108">
        <f>+'RES CUENTA'!P371</f>
        <v>0</v>
      </c>
      <c r="F1282" s="103" t="e">
        <f>+D1282</f>
        <v>#REF!</v>
      </c>
      <c r="G1282" s="89"/>
      <c r="H1282" s="89"/>
    </row>
    <row r="1283" spans="2:8" ht="18" x14ac:dyDescent="0.25">
      <c r="B1283" s="85" t="s">
        <v>80</v>
      </c>
      <c r="C1283" s="85"/>
      <c r="D1283" s="107" t="e">
        <f>+'RES CUENTA'!#REF!</f>
        <v>#REF!</v>
      </c>
      <c r="E1283" s="108">
        <f>+'RES CUENTA'!R366</f>
        <v>0</v>
      </c>
      <c r="F1283" s="103" t="e">
        <f>+D1283</f>
        <v>#REF!</v>
      </c>
      <c r="G1283" s="89"/>
      <c r="H1283" s="89"/>
    </row>
    <row r="1284" spans="2:8" ht="18" x14ac:dyDescent="0.25">
      <c r="B1284" s="86"/>
      <c r="C1284" s="85"/>
      <c r="D1284" s="85"/>
      <c r="F1284" s="104" t="e">
        <f>SUM(F1280:F1283)</f>
        <v>#REF!</v>
      </c>
      <c r="G1284" s="89"/>
      <c r="H1284" s="89"/>
    </row>
    <row r="1285" spans="2:8" ht="18" x14ac:dyDescent="0.25">
      <c r="B1285" s="86"/>
      <c r="C1285" s="85"/>
      <c r="D1285" s="85"/>
      <c r="F1285" s="91"/>
      <c r="G1285" s="89"/>
      <c r="H1285" s="90"/>
    </row>
    <row r="1286" spans="2:8" ht="18" x14ac:dyDescent="0.25">
      <c r="B1286" s="86"/>
      <c r="C1286" s="85"/>
      <c r="D1286" s="85"/>
      <c r="F1286" s="91"/>
      <c r="G1286" s="89"/>
      <c r="H1286" s="90"/>
    </row>
    <row r="1287" spans="2:8" ht="18" x14ac:dyDescent="0.25">
      <c r="B1287" s="85"/>
      <c r="C1287" s="85"/>
      <c r="D1287" s="85"/>
      <c r="E1287" s="85"/>
      <c r="F1287" s="92"/>
      <c r="G1287" s="90"/>
      <c r="H1287" s="90"/>
    </row>
    <row r="1288" spans="2:8" ht="18" x14ac:dyDescent="0.25">
      <c r="B1288" s="85"/>
      <c r="C1288" s="85"/>
      <c r="D1288" s="85"/>
      <c r="E1288" s="85"/>
      <c r="F1288" s="92"/>
      <c r="G1288" s="90"/>
      <c r="H1288" s="90"/>
    </row>
    <row r="1289" spans="2:8" ht="18" x14ac:dyDescent="0.25">
      <c r="B1289" s="85"/>
      <c r="C1289" s="85"/>
      <c r="D1289" s="85"/>
      <c r="E1289" s="85"/>
      <c r="F1289" s="92"/>
      <c r="G1289" s="90"/>
      <c r="H1289" s="90"/>
    </row>
    <row r="1290" spans="2:8" ht="18" x14ac:dyDescent="0.25">
      <c r="B1290" s="85" t="e">
        <f>+B1275</f>
        <v>#REF!</v>
      </c>
      <c r="C1290" s="85"/>
      <c r="D1290" s="85"/>
      <c r="E1290" s="85" t="e">
        <f>+B1275</f>
        <v>#REF!</v>
      </c>
      <c r="F1290" s="85"/>
      <c r="G1290" s="85"/>
      <c r="H1290" s="94"/>
    </row>
    <row r="1291" spans="2:8" ht="18" x14ac:dyDescent="0.25">
      <c r="B1291" s="86"/>
      <c r="C1291" s="85"/>
      <c r="D1291" s="85"/>
      <c r="F1291" s="85"/>
      <c r="G1291" s="101"/>
      <c r="H1291" s="90" t="str">
        <f>+H1276</f>
        <v>Unid. 34</v>
      </c>
    </row>
    <row r="1292" spans="2:8" ht="18" x14ac:dyDescent="0.25">
      <c r="B1292" s="85" t="str">
        <f>+$E$1</f>
        <v>Lima 461 C:A:B:A:</v>
      </c>
      <c r="C1292" s="85"/>
      <c r="D1292" s="93" t="str">
        <f>+H1291</f>
        <v>Unid. 34</v>
      </c>
      <c r="E1292" s="85" t="str">
        <f>+$E$1</f>
        <v>Lima 461 C:A:B:A:</v>
      </c>
      <c r="F1292" s="85"/>
      <c r="G1292" s="85"/>
      <c r="H1292" s="94"/>
    </row>
    <row r="1293" spans="2:8" ht="18" x14ac:dyDescent="0.25">
      <c r="B1293" s="86"/>
      <c r="C1293" s="86"/>
      <c r="D1293" s="86"/>
      <c r="F1293" s="85"/>
      <c r="G1293" s="85"/>
    </row>
    <row r="1294" spans="2:8" ht="18" x14ac:dyDescent="0.25">
      <c r="B1294" s="85"/>
      <c r="C1294" s="85"/>
      <c r="D1294" s="85"/>
      <c r="E1294" s="86"/>
      <c r="F1294" s="85"/>
      <c r="G1294" s="85"/>
      <c r="H1294" s="94"/>
    </row>
    <row r="1295" spans="2:8" ht="18" x14ac:dyDescent="0.25">
      <c r="B1295" s="85">
        <f>+$E$2</f>
        <v>0</v>
      </c>
      <c r="C1295" s="85"/>
      <c r="D1295" s="85"/>
      <c r="E1295" s="85"/>
      <c r="F1295" s="96"/>
      <c r="G1295" s="86"/>
      <c r="H1295" s="90"/>
    </row>
    <row r="1296" spans="2:8" ht="18" x14ac:dyDescent="0.25">
      <c r="B1296" s="85">
        <f>+$E$3</f>
        <v>0</v>
      </c>
      <c r="C1296" s="85"/>
      <c r="D1296" s="85"/>
      <c r="E1296" s="96"/>
      <c r="G1296" s="94"/>
      <c r="H1296" s="96"/>
    </row>
    <row r="1297" spans="2:8" ht="18" x14ac:dyDescent="0.25">
      <c r="B1297" s="86"/>
      <c r="C1297" s="85"/>
      <c r="D1297" s="85"/>
      <c r="E1297" s="85" t="s">
        <v>200</v>
      </c>
      <c r="F1297" s="106" t="e">
        <f>+F1280</f>
        <v>#REF!</v>
      </c>
      <c r="G1297" s="95"/>
      <c r="H1297" s="99">
        <f>+B1301</f>
        <v>46037</v>
      </c>
    </row>
    <row r="1298" spans="2:8" ht="18" x14ac:dyDescent="0.25">
      <c r="B1298" s="86"/>
      <c r="C1298" s="85"/>
      <c r="D1298" s="85"/>
      <c r="E1298" s="85" t="s">
        <v>201</v>
      </c>
      <c r="F1298" s="106" t="e">
        <f>+F1281</f>
        <v>#REF!</v>
      </c>
      <c r="H1298" s="90"/>
    </row>
    <row r="1299" spans="2:8" ht="18" x14ac:dyDescent="0.25">
      <c r="B1299" s="85"/>
      <c r="C1299" s="85"/>
      <c r="D1299" s="85"/>
      <c r="E1299" s="85" t="s">
        <v>81</v>
      </c>
      <c r="F1299" s="106" t="e">
        <f>+F1282</f>
        <v>#REF!</v>
      </c>
      <c r="G1299" s="85"/>
      <c r="H1299" s="90"/>
    </row>
    <row r="1300" spans="2:8" ht="18" x14ac:dyDescent="0.25">
      <c r="B1300" s="96"/>
      <c r="C1300" s="96"/>
      <c r="D1300" s="96"/>
      <c r="E1300" s="85" t="s">
        <v>82</v>
      </c>
      <c r="F1300" s="106" t="e">
        <f>+F1283</f>
        <v>#REF!</v>
      </c>
      <c r="G1300" s="85"/>
      <c r="H1300" s="90"/>
    </row>
    <row r="1301" spans="2:8" ht="18" x14ac:dyDescent="0.25">
      <c r="B1301" s="99">
        <f>+$G$30</f>
        <v>46037</v>
      </c>
      <c r="C1301" s="105" t="e">
        <f>+F1284</f>
        <v>#REF!</v>
      </c>
      <c r="D1301" s="85"/>
      <c r="E1301" s="85" t="s">
        <v>188</v>
      </c>
      <c r="F1301" s="106">
        <v>0</v>
      </c>
      <c r="G1301" s="85"/>
      <c r="H1301" s="90"/>
    </row>
    <row r="1302" spans="2:8" ht="18" x14ac:dyDescent="0.25">
      <c r="B1302" s="85"/>
      <c r="C1302" s="85"/>
      <c r="D1302" s="85"/>
      <c r="E1302" s="85" t="s">
        <v>83</v>
      </c>
      <c r="F1302" s="106" t="e">
        <f>+F1284</f>
        <v>#REF!</v>
      </c>
      <c r="G1302" s="85"/>
      <c r="H1302" s="90"/>
    </row>
    <row r="1303" spans="2:8" ht="18" x14ac:dyDescent="0.25">
      <c r="B1303" s="85"/>
      <c r="C1303" s="85"/>
      <c r="D1303" s="85"/>
      <c r="E1303" s="85"/>
      <c r="F1303" s="85"/>
      <c r="G1303" s="85"/>
      <c r="H1303" s="90"/>
    </row>
    <row r="1304" spans="2:8" ht="18" x14ac:dyDescent="0.25">
      <c r="B1304" s="85"/>
      <c r="C1304" s="85"/>
      <c r="D1304" s="85"/>
      <c r="E1304" s="102"/>
      <c r="F1304" s="85"/>
      <c r="G1304" s="85"/>
      <c r="H1304" s="90"/>
    </row>
    <row r="1305" spans="2:8" ht="18" x14ac:dyDescent="0.25">
      <c r="B1305" s="85"/>
      <c r="C1305" s="85"/>
      <c r="D1305" s="85"/>
      <c r="E1305" s="85"/>
      <c r="F1305" s="85"/>
      <c r="G1305" s="85"/>
      <c r="H1305" s="94"/>
    </row>
    <row r="1306" spans="2:8" ht="18" x14ac:dyDescent="0.25">
      <c r="E1306" s="85"/>
      <c r="G1306" s="94"/>
      <c r="H1306" s="90"/>
    </row>
    <row r="1308" spans="2:8" ht="18" x14ac:dyDescent="0.25">
      <c r="B1308" s="343"/>
      <c r="C1308" s="343"/>
      <c r="D1308" s="343"/>
      <c r="E1308" s="342">
        <f>+$B$1</f>
        <v>46143</v>
      </c>
      <c r="F1308" s="85"/>
      <c r="G1308" s="337">
        <f>+$D$1</f>
        <v>46037</v>
      </c>
      <c r="H1308" s="90"/>
    </row>
    <row r="1309" spans="2:8" ht="18" x14ac:dyDescent="0.25">
      <c r="B1309" s="84"/>
      <c r="C1309" s="84"/>
      <c r="D1309" s="100"/>
      <c r="E1309" s="342"/>
      <c r="F1309" s="85"/>
      <c r="G1309" s="337"/>
      <c r="H1309" s="90"/>
    </row>
    <row r="1310" spans="2:8" ht="18" x14ac:dyDescent="0.25">
      <c r="B1310" s="85"/>
      <c r="C1310" s="85"/>
      <c r="D1310" s="85"/>
      <c r="E1310" s="86"/>
      <c r="F1310" s="85"/>
      <c r="G1310" s="86"/>
      <c r="H1310" s="90"/>
    </row>
    <row r="1311" spans="2:8" ht="18" x14ac:dyDescent="0.25">
      <c r="B1311" s="85" t="e">
        <f>+#REF!</f>
        <v>#REF!</v>
      </c>
      <c r="C1311" s="85"/>
      <c r="D1311" s="85"/>
      <c r="E1311" s="86"/>
      <c r="F1311" s="85"/>
      <c r="G1311" s="86"/>
      <c r="H1311" s="90"/>
    </row>
    <row r="1312" spans="2:8" ht="18" x14ac:dyDescent="0.25">
      <c r="B1312" s="86"/>
      <c r="C1312" s="85"/>
      <c r="D1312" s="85"/>
      <c r="E1312" s="85" t="s">
        <v>78</v>
      </c>
      <c r="F1312" s="85"/>
      <c r="G1312" s="85"/>
      <c r="H1312" s="90" t="s">
        <v>118</v>
      </c>
    </row>
    <row r="1313" spans="2:8" ht="18" x14ac:dyDescent="0.25">
      <c r="B1313" s="85"/>
      <c r="C1313" s="85"/>
      <c r="D1313" s="85"/>
      <c r="E1313" s="86"/>
      <c r="F1313" s="86"/>
      <c r="G1313" s="85"/>
      <c r="H1313" s="94"/>
    </row>
    <row r="1314" spans="2:8" ht="18" x14ac:dyDescent="0.25">
      <c r="B1314" s="94"/>
      <c r="C1314" s="85"/>
      <c r="D1314" s="94"/>
      <c r="E1314" s="85"/>
      <c r="F1314" s="85"/>
      <c r="G1314" s="85"/>
      <c r="H1314" s="90"/>
    </row>
    <row r="1315" spans="2:8" ht="18" x14ac:dyDescent="0.25">
      <c r="B1315" s="94"/>
      <c r="C1315" s="85"/>
      <c r="D1315" s="94"/>
      <c r="E1315" s="85"/>
      <c r="F1315" s="85"/>
      <c r="G1315" s="85"/>
      <c r="H1315" s="90"/>
    </row>
    <row r="1316" spans="2:8" ht="18" x14ac:dyDescent="0.25">
      <c r="B1316" s="85" t="s">
        <v>198</v>
      </c>
      <c r="C1316" s="85"/>
      <c r="D1316" s="107">
        <f>+'RES CUENTA'!$L$25</f>
        <v>10859801.41</v>
      </c>
      <c r="E1316" s="108" t="e">
        <f>+'RES CUENTA'!#REF!</f>
        <v>#REF!</v>
      </c>
      <c r="F1316" s="103" t="e">
        <f>+D1316*E1316/100</f>
        <v>#REF!</v>
      </c>
      <c r="G1316" s="345"/>
      <c r="H1316" s="345"/>
    </row>
    <row r="1317" spans="2:8" ht="18" x14ac:dyDescent="0.25">
      <c r="B1317" s="85" t="s">
        <v>199</v>
      </c>
      <c r="C1317" s="85"/>
      <c r="D1317" s="107" t="e">
        <f>+'RES CUENTA'!#REF!</f>
        <v>#REF!</v>
      </c>
      <c r="E1317" s="108" t="e">
        <f>+'RES CUENTA'!#REF!</f>
        <v>#REF!</v>
      </c>
      <c r="F1317" s="103" t="e">
        <f>+D1317*E1317/100</f>
        <v>#REF!</v>
      </c>
      <c r="G1317" s="341"/>
      <c r="H1317" s="341"/>
    </row>
    <row r="1318" spans="2:8" ht="18" x14ac:dyDescent="0.25">
      <c r="B1318" s="85" t="s">
        <v>79</v>
      </c>
      <c r="C1318" s="85"/>
      <c r="D1318" s="107" t="e">
        <f>+'RES CUENTA'!#REF!</f>
        <v>#REF!</v>
      </c>
      <c r="E1318" s="108">
        <v>0</v>
      </c>
      <c r="F1318" s="103" t="e">
        <f>+D1318</f>
        <v>#REF!</v>
      </c>
      <c r="G1318" s="341"/>
      <c r="H1318" s="341"/>
    </row>
    <row r="1319" spans="2:8" ht="18" x14ac:dyDescent="0.25">
      <c r="B1319" s="85" t="s">
        <v>80</v>
      </c>
      <c r="C1319" s="85"/>
      <c r="D1319" s="107" t="e">
        <f>+'RES CUENTA'!#REF!</f>
        <v>#REF!</v>
      </c>
      <c r="E1319" s="108">
        <v>0</v>
      </c>
      <c r="F1319" s="103" t="e">
        <f>+D1319</f>
        <v>#REF!</v>
      </c>
      <c r="G1319" s="341"/>
      <c r="H1319" s="341"/>
    </row>
    <row r="1320" spans="2:8" ht="18" x14ac:dyDescent="0.25">
      <c r="B1320" s="86"/>
      <c r="C1320" s="85"/>
      <c r="D1320" s="85"/>
      <c r="E1320" s="92"/>
      <c r="F1320" s="104" t="e">
        <f>SUM(F1316:F1319)</f>
        <v>#REF!</v>
      </c>
      <c r="G1320" s="341"/>
      <c r="H1320" s="341"/>
    </row>
    <row r="1321" spans="2:8" ht="18" x14ac:dyDescent="0.25">
      <c r="B1321" s="86"/>
      <c r="C1321" s="85"/>
      <c r="D1321" s="85"/>
      <c r="E1321" s="85"/>
      <c r="G1321" s="338"/>
      <c r="H1321" s="338"/>
    </row>
    <row r="1322" spans="2:8" ht="18" x14ac:dyDescent="0.25">
      <c r="B1322" s="85"/>
      <c r="C1322" s="85"/>
      <c r="D1322" s="85"/>
      <c r="E1322" s="85"/>
      <c r="F1322" s="91"/>
      <c r="G1322" s="90"/>
      <c r="H1322" s="90"/>
    </row>
    <row r="1323" spans="2:8" ht="18" x14ac:dyDescent="0.25">
      <c r="B1323" s="85"/>
      <c r="C1323" s="85"/>
      <c r="D1323" s="85"/>
      <c r="E1323" s="85"/>
      <c r="F1323" s="92"/>
      <c r="G1323" s="85"/>
      <c r="H1323" s="90"/>
    </row>
    <row r="1324" spans="2:8" ht="18" x14ac:dyDescent="0.25">
      <c r="B1324" s="85"/>
      <c r="C1324" s="85"/>
      <c r="D1324" s="85"/>
      <c r="E1324" s="85"/>
      <c r="F1324" s="92"/>
      <c r="G1324" s="85"/>
      <c r="H1324" s="90"/>
    </row>
    <row r="1325" spans="2:8" ht="18" x14ac:dyDescent="0.25">
      <c r="B1325" s="85"/>
      <c r="C1325" s="85"/>
      <c r="D1325" s="85"/>
      <c r="E1325" s="85"/>
      <c r="F1325" s="92"/>
      <c r="G1325" s="85"/>
      <c r="H1325" s="90"/>
    </row>
    <row r="1326" spans="2:8" ht="18" x14ac:dyDescent="0.25">
      <c r="B1326" s="85" t="e">
        <f>+B1311</f>
        <v>#REF!</v>
      </c>
      <c r="C1326" s="344"/>
      <c r="D1326" s="344"/>
      <c r="E1326" s="85" t="e">
        <f>+B1326</f>
        <v>#REF!</v>
      </c>
      <c r="F1326" s="92"/>
      <c r="G1326" s="85"/>
      <c r="H1326" s="90"/>
    </row>
    <row r="1327" spans="2:8" ht="18" x14ac:dyDescent="0.25">
      <c r="C1327" s="85"/>
      <c r="D1327" s="85"/>
      <c r="F1327" s="344"/>
      <c r="G1327" s="344"/>
      <c r="H1327" s="344"/>
    </row>
    <row r="1328" spans="2:8" ht="18" x14ac:dyDescent="0.25">
      <c r="B1328" s="85" t="str">
        <f>+$E$1</f>
        <v>Lima 461 C:A:B:A:</v>
      </c>
      <c r="C1328" s="85"/>
      <c r="D1328" s="93" t="str">
        <f>+H1312</f>
        <v>Unid. 35</v>
      </c>
      <c r="E1328" s="85" t="str">
        <f>+$E$1</f>
        <v>Lima 461 C:A:B:A:</v>
      </c>
      <c r="F1328" s="85"/>
      <c r="G1328" s="85"/>
      <c r="H1328" s="90" t="str">
        <f>+D1328</f>
        <v>Unid. 35</v>
      </c>
    </row>
    <row r="1329" spans="2:8" ht="18" x14ac:dyDescent="0.25">
      <c r="H1329" s="94"/>
    </row>
    <row r="1330" spans="2:8" ht="18" x14ac:dyDescent="0.25">
      <c r="B1330" s="86"/>
      <c r="C1330" s="86"/>
      <c r="D1330" s="86"/>
      <c r="E1330" s="86"/>
      <c r="F1330" s="85"/>
      <c r="G1330" s="85"/>
    </row>
    <row r="1331" spans="2:8" ht="18" x14ac:dyDescent="0.25">
      <c r="B1331" s="85">
        <f>+$E$2</f>
        <v>0</v>
      </c>
      <c r="C1331" s="85"/>
      <c r="D1331" s="85"/>
      <c r="E1331" s="85"/>
      <c r="F1331" s="85"/>
      <c r="G1331" s="86"/>
      <c r="H1331" s="94"/>
    </row>
    <row r="1332" spans="2:8" ht="18" x14ac:dyDescent="0.25">
      <c r="B1332" s="85">
        <f>+$E$3</f>
        <v>0</v>
      </c>
      <c r="C1332" s="85"/>
      <c r="D1332" s="85"/>
      <c r="E1332" s="96"/>
      <c r="F1332" s="85"/>
      <c r="G1332" s="94"/>
      <c r="H1332" s="90"/>
    </row>
    <row r="1333" spans="2:8" ht="18" x14ac:dyDescent="0.25">
      <c r="C1333" s="85"/>
      <c r="D1333" s="85"/>
      <c r="E1333" s="85" t="s">
        <v>200</v>
      </c>
      <c r="F1333" s="106" t="e">
        <f>+F1316</f>
        <v>#REF!</v>
      </c>
      <c r="H1333" s="99">
        <f>+B1338</f>
        <v>46037</v>
      </c>
    </row>
    <row r="1334" spans="2:8" ht="18" x14ac:dyDescent="0.25">
      <c r="B1334" s="86"/>
      <c r="C1334" s="85"/>
      <c r="D1334" s="85"/>
      <c r="E1334" s="85" t="s">
        <v>201</v>
      </c>
      <c r="F1334" s="106" t="e">
        <f>+F1317</f>
        <v>#REF!</v>
      </c>
    </row>
    <row r="1335" spans="2:8" ht="18" x14ac:dyDescent="0.25">
      <c r="B1335" s="86"/>
      <c r="C1335" s="85"/>
      <c r="D1335" s="85"/>
      <c r="E1335" s="85" t="s">
        <v>81</v>
      </c>
      <c r="F1335" s="106" t="e">
        <f>+F1318</f>
        <v>#REF!</v>
      </c>
      <c r="G1335" s="85"/>
      <c r="H1335" s="90"/>
    </row>
    <row r="1336" spans="2:8" ht="18" x14ac:dyDescent="0.25">
      <c r="B1336" s="85"/>
      <c r="C1336" s="85"/>
      <c r="D1336" s="85"/>
      <c r="E1336" s="85" t="s">
        <v>82</v>
      </c>
      <c r="F1336" s="106" t="e">
        <f>+F1319</f>
        <v>#REF!</v>
      </c>
      <c r="G1336" s="85"/>
      <c r="H1336" s="90"/>
    </row>
    <row r="1337" spans="2:8" ht="18" x14ac:dyDescent="0.25">
      <c r="B1337" s="96"/>
      <c r="C1337" s="96"/>
      <c r="D1337" s="96"/>
      <c r="E1337" s="85" t="s">
        <v>188</v>
      </c>
      <c r="F1337" s="106">
        <v>0</v>
      </c>
      <c r="G1337" s="85"/>
      <c r="H1337" s="90"/>
    </row>
    <row r="1338" spans="2:8" ht="18" x14ac:dyDescent="0.25">
      <c r="B1338" s="99">
        <f>+$G$30</f>
        <v>46037</v>
      </c>
      <c r="C1338" s="105" t="e">
        <f>+F1320</f>
        <v>#REF!</v>
      </c>
      <c r="D1338" s="85"/>
      <c r="E1338" s="85" t="s">
        <v>83</v>
      </c>
      <c r="F1338" s="106" t="e">
        <f>+F1320</f>
        <v>#REF!</v>
      </c>
      <c r="G1338" s="85"/>
      <c r="H1338" s="90"/>
    </row>
    <row r="1339" spans="2:8" ht="18" x14ac:dyDescent="0.25">
      <c r="B1339" s="85"/>
      <c r="C1339" s="85"/>
      <c r="D1339" s="85"/>
      <c r="E1339" s="85"/>
      <c r="F1339" s="85"/>
      <c r="G1339" s="85"/>
      <c r="H1339" s="90"/>
    </row>
    <row r="1340" spans="2:8" ht="18" x14ac:dyDescent="0.25">
      <c r="B1340" s="85"/>
      <c r="C1340" s="85"/>
      <c r="D1340" s="85"/>
      <c r="E1340" s="85"/>
      <c r="F1340" s="85"/>
      <c r="G1340" s="345"/>
      <c r="H1340" s="345"/>
    </row>
    <row r="1341" spans="2:8" ht="18" x14ac:dyDescent="0.25">
      <c r="B1341" s="85"/>
      <c r="C1341" s="85"/>
      <c r="D1341" s="85"/>
      <c r="E1341" s="85"/>
      <c r="F1341" s="85"/>
      <c r="G1341" s="85"/>
      <c r="H1341" s="90"/>
    </row>
    <row r="1342" spans="2:8" ht="18" x14ac:dyDescent="0.25">
      <c r="B1342" s="85"/>
      <c r="C1342" s="85"/>
      <c r="D1342" s="85"/>
      <c r="E1342" s="85"/>
      <c r="F1342" s="85"/>
      <c r="G1342" s="85"/>
      <c r="H1342" s="90"/>
    </row>
    <row r="1343" spans="2:8" ht="18" x14ac:dyDescent="0.25">
      <c r="B1343" s="85"/>
      <c r="C1343" s="85"/>
      <c r="D1343" s="85"/>
      <c r="E1343" s="85"/>
      <c r="F1343" s="85"/>
      <c r="G1343" s="85"/>
      <c r="H1343" s="90"/>
    </row>
    <row r="1344" spans="2:8" ht="18" x14ac:dyDescent="0.25">
      <c r="B1344" s="85"/>
      <c r="C1344" s="85"/>
      <c r="D1344" s="85"/>
      <c r="E1344" s="85"/>
      <c r="F1344" s="85"/>
      <c r="H1344" s="90"/>
    </row>
    <row r="1345" spans="2:8" ht="18" x14ac:dyDescent="0.25">
      <c r="B1345" s="85"/>
      <c r="C1345" s="85"/>
      <c r="D1345" s="85"/>
      <c r="E1345" s="85"/>
      <c r="F1345" s="85"/>
      <c r="H1345" s="90"/>
    </row>
    <row r="1346" spans="2:8" ht="18" x14ac:dyDescent="0.25">
      <c r="B1346" s="343"/>
      <c r="C1346" s="343"/>
      <c r="D1346" s="343"/>
      <c r="E1346" s="85"/>
      <c r="F1346" s="85"/>
      <c r="H1346" s="90"/>
    </row>
    <row r="1347" spans="2:8" ht="18" x14ac:dyDescent="0.25">
      <c r="B1347" s="343"/>
      <c r="C1347" s="343"/>
      <c r="D1347" s="343"/>
      <c r="E1347" s="98">
        <f>+$B$1</f>
        <v>46143</v>
      </c>
      <c r="F1347" s="85"/>
      <c r="G1347" s="99">
        <f>+$D$1</f>
        <v>46037</v>
      </c>
      <c r="H1347" s="160"/>
    </row>
    <row r="1348" spans="2:8" ht="18" x14ac:dyDescent="0.25">
      <c r="B1348" s="84"/>
      <c r="C1348" s="84"/>
      <c r="D1348" s="100"/>
      <c r="E1348" s="98"/>
      <c r="F1348" s="85"/>
    </row>
    <row r="1349" spans="2:8" ht="18" x14ac:dyDescent="0.25">
      <c r="B1349" s="85" t="e">
        <f>+#REF!</f>
        <v>#REF!</v>
      </c>
      <c r="C1349" s="85"/>
      <c r="D1349" s="85"/>
      <c r="F1349" s="85"/>
    </row>
    <row r="1350" spans="2:8" ht="18" x14ac:dyDescent="0.25">
      <c r="C1350" s="85"/>
      <c r="D1350" s="85"/>
      <c r="E1350" s="85" t="str">
        <f>+$E$1</f>
        <v>Lima 461 C:A:B:A:</v>
      </c>
      <c r="F1350" s="85"/>
      <c r="H1350" s="90" t="s">
        <v>119</v>
      </c>
    </row>
    <row r="1351" spans="2:8" ht="18" x14ac:dyDescent="0.25">
      <c r="B1351" s="86"/>
      <c r="C1351" s="85"/>
      <c r="D1351" s="85"/>
      <c r="F1351" s="85"/>
      <c r="G1351" s="86"/>
    </row>
    <row r="1352" spans="2:8" ht="18" x14ac:dyDescent="0.25">
      <c r="B1352" s="85"/>
      <c r="C1352" s="85"/>
      <c r="D1352" s="85"/>
      <c r="E1352" s="86"/>
      <c r="F1352" s="86"/>
      <c r="G1352" s="85"/>
      <c r="H1352" s="94"/>
    </row>
    <row r="1353" spans="2:8" ht="18" x14ac:dyDescent="0.25">
      <c r="B1353" s="94"/>
      <c r="C1353" s="85"/>
      <c r="D1353" s="94"/>
      <c r="E1353" s="85"/>
      <c r="F1353" s="85"/>
      <c r="G1353" s="85"/>
      <c r="H1353" s="90"/>
    </row>
    <row r="1354" spans="2:8" ht="18" x14ac:dyDescent="0.25">
      <c r="B1354" s="85" t="s">
        <v>198</v>
      </c>
      <c r="C1354" s="85"/>
      <c r="D1354" s="107">
        <f>+'RES CUENTA'!$L$25</f>
        <v>10859801.41</v>
      </c>
      <c r="E1354" s="108" t="e">
        <f>+'RES CUENTA'!#REF!</f>
        <v>#REF!</v>
      </c>
      <c r="F1354" s="103" t="e">
        <f>+D1354*E1354/100</f>
        <v>#REF!</v>
      </c>
      <c r="G1354" s="85"/>
      <c r="H1354" s="94"/>
    </row>
    <row r="1355" spans="2:8" ht="18" x14ac:dyDescent="0.25">
      <c r="B1355" s="85" t="s">
        <v>199</v>
      </c>
      <c r="C1355" s="85"/>
      <c r="D1355" s="107" t="e">
        <f>+'RES CUENTA'!#REF!</f>
        <v>#REF!</v>
      </c>
      <c r="E1355" s="108" t="e">
        <f>+'RES CUENTA'!#REF!</f>
        <v>#REF!</v>
      </c>
      <c r="F1355" s="103" t="e">
        <f>+D1355*E1355/100</f>
        <v>#REF!</v>
      </c>
      <c r="G1355" s="94"/>
      <c r="H1355" s="89"/>
    </row>
    <row r="1356" spans="2:8" ht="18" x14ac:dyDescent="0.25">
      <c r="B1356" s="85" t="s">
        <v>79</v>
      </c>
      <c r="C1356" s="85"/>
      <c r="D1356" s="107" t="e">
        <f>+'RES CUENTA'!#REF!</f>
        <v>#REF!</v>
      </c>
      <c r="E1356" s="108">
        <f>+'RES CUENTA'!P447</f>
        <v>0</v>
      </c>
      <c r="F1356" s="103" t="e">
        <f>+D1356</f>
        <v>#REF!</v>
      </c>
      <c r="G1356" s="89"/>
      <c r="H1356" s="89"/>
    </row>
    <row r="1357" spans="2:8" ht="18" x14ac:dyDescent="0.25">
      <c r="B1357" s="85" t="s">
        <v>80</v>
      </c>
      <c r="C1357" s="85"/>
      <c r="D1357" s="107" t="e">
        <f>+'RES CUENTA'!#REF!</f>
        <v>#REF!</v>
      </c>
      <c r="E1357" s="108">
        <f>+'RES CUENTA'!R442</f>
        <v>0</v>
      </c>
      <c r="F1357" s="103" t="e">
        <f>+D1357</f>
        <v>#REF!</v>
      </c>
      <c r="G1357" s="89"/>
      <c r="H1357" s="89"/>
    </row>
    <row r="1358" spans="2:8" ht="18" x14ac:dyDescent="0.25">
      <c r="B1358" s="86"/>
      <c r="C1358" s="85"/>
      <c r="D1358" s="85"/>
      <c r="F1358" s="104" t="e">
        <f>SUM(F1354:F1357)</f>
        <v>#REF!</v>
      </c>
      <c r="G1358" s="89"/>
      <c r="H1358" s="89"/>
    </row>
    <row r="1359" spans="2:8" ht="18" x14ac:dyDescent="0.25">
      <c r="B1359" s="86"/>
      <c r="C1359" s="85"/>
      <c r="D1359" s="85"/>
      <c r="F1359" s="91"/>
      <c r="G1359" s="89"/>
      <c r="H1359" s="90"/>
    </row>
    <row r="1360" spans="2:8" ht="18" x14ac:dyDescent="0.25">
      <c r="B1360" s="86"/>
      <c r="C1360" s="85"/>
      <c r="D1360" s="85"/>
      <c r="F1360" s="91"/>
      <c r="G1360" s="89"/>
      <c r="H1360" s="90"/>
    </row>
    <row r="1361" spans="2:8" ht="18" x14ac:dyDescent="0.25">
      <c r="B1361" s="85"/>
      <c r="C1361" s="85"/>
      <c r="D1361" s="85"/>
      <c r="E1361" s="85"/>
      <c r="F1361" s="92"/>
      <c r="G1361" s="90"/>
      <c r="H1361" s="90"/>
    </row>
    <row r="1362" spans="2:8" ht="18" x14ac:dyDescent="0.25">
      <c r="B1362" s="85"/>
      <c r="C1362" s="85"/>
      <c r="D1362" s="85"/>
      <c r="E1362" s="85"/>
      <c r="F1362" s="92"/>
      <c r="G1362" s="90"/>
      <c r="H1362" s="90"/>
    </row>
    <row r="1363" spans="2:8" ht="18" x14ac:dyDescent="0.25">
      <c r="B1363" s="85"/>
      <c r="C1363" s="85"/>
      <c r="D1363" s="85"/>
      <c r="E1363" s="85"/>
      <c r="F1363" s="92"/>
      <c r="G1363" s="90"/>
      <c r="H1363" s="90"/>
    </row>
    <row r="1364" spans="2:8" ht="18" x14ac:dyDescent="0.25">
      <c r="B1364" s="85" t="e">
        <f>+B1349</f>
        <v>#REF!</v>
      </c>
      <c r="C1364" s="85"/>
      <c r="D1364" s="85"/>
      <c r="E1364" s="85" t="e">
        <f>+B1349</f>
        <v>#REF!</v>
      </c>
      <c r="F1364" s="85"/>
      <c r="G1364" s="85"/>
      <c r="H1364" s="94"/>
    </row>
    <row r="1365" spans="2:8" ht="18" x14ac:dyDescent="0.25">
      <c r="B1365" s="86"/>
      <c r="C1365" s="85"/>
      <c r="D1365" s="85"/>
      <c r="F1365" s="85"/>
      <c r="G1365" s="101"/>
      <c r="H1365" s="90" t="str">
        <f>+H1350</f>
        <v>Unid. 36</v>
      </c>
    </row>
    <row r="1366" spans="2:8" ht="18" x14ac:dyDescent="0.25">
      <c r="B1366" s="85" t="str">
        <f>+$E$1</f>
        <v>Lima 461 C:A:B:A:</v>
      </c>
      <c r="C1366" s="85"/>
      <c r="D1366" s="93" t="str">
        <f>+H1365</f>
        <v>Unid. 36</v>
      </c>
      <c r="E1366" s="85" t="str">
        <f>+$E$1</f>
        <v>Lima 461 C:A:B:A:</v>
      </c>
      <c r="F1366" s="85"/>
      <c r="G1366" s="85"/>
      <c r="H1366" s="94"/>
    </row>
    <row r="1367" spans="2:8" ht="18" x14ac:dyDescent="0.25">
      <c r="B1367" s="86"/>
      <c r="C1367" s="86"/>
      <c r="D1367" s="86"/>
      <c r="F1367" s="85"/>
      <c r="G1367" s="85"/>
    </row>
    <row r="1368" spans="2:8" ht="18" x14ac:dyDescent="0.25">
      <c r="B1368" s="85"/>
      <c r="C1368" s="85"/>
      <c r="D1368" s="85"/>
      <c r="E1368" s="86"/>
      <c r="F1368" s="85"/>
      <c r="G1368" s="85"/>
      <c r="H1368" s="94"/>
    </row>
    <row r="1369" spans="2:8" ht="18" x14ac:dyDescent="0.25">
      <c r="B1369" s="85">
        <f>+$E$2</f>
        <v>0</v>
      </c>
      <c r="C1369" s="85"/>
      <c r="D1369" s="85"/>
      <c r="E1369" s="85"/>
      <c r="F1369" s="96"/>
      <c r="G1369" s="86"/>
      <c r="H1369" s="90"/>
    </row>
    <row r="1370" spans="2:8" ht="18" x14ac:dyDescent="0.25">
      <c r="B1370" s="85">
        <f>+$E$3</f>
        <v>0</v>
      </c>
      <c r="C1370" s="85"/>
      <c r="D1370" s="85"/>
      <c r="E1370" s="96"/>
      <c r="G1370" s="94"/>
      <c r="H1370" s="96"/>
    </row>
    <row r="1371" spans="2:8" ht="18" x14ac:dyDescent="0.25">
      <c r="B1371" s="86"/>
      <c r="C1371" s="85"/>
      <c r="D1371" s="85"/>
      <c r="E1371" s="85" t="s">
        <v>200</v>
      </c>
      <c r="F1371" s="106" t="e">
        <f>+F1354</f>
        <v>#REF!</v>
      </c>
      <c r="G1371" s="95"/>
      <c r="H1371" s="99">
        <f>+B1375</f>
        <v>46037</v>
      </c>
    </row>
    <row r="1372" spans="2:8" ht="18" x14ac:dyDescent="0.25">
      <c r="B1372" s="86"/>
      <c r="C1372" s="85"/>
      <c r="D1372" s="85"/>
      <c r="E1372" s="85" t="s">
        <v>201</v>
      </c>
      <c r="F1372" s="106" t="e">
        <f>+F1355</f>
        <v>#REF!</v>
      </c>
      <c r="H1372" s="90"/>
    </row>
    <row r="1373" spans="2:8" ht="18" x14ac:dyDescent="0.25">
      <c r="B1373" s="85"/>
      <c r="C1373" s="85"/>
      <c r="D1373" s="85"/>
      <c r="E1373" s="85" t="s">
        <v>81</v>
      </c>
      <c r="F1373" s="106" t="e">
        <f>+F1356</f>
        <v>#REF!</v>
      </c>
      <c r="G1373" s="85"/>
      <c r="H1373" s="90"/>
    </row>
    <row r="1374" spans="2:8" ht="18" x14ac:dyDescent="0.25">
      <c r="B1374" s="96"/>
      <c r="C1374" s="96"/>
      <c r="D1374" s="96"/>
      <c r="E1374" s="85" t="s">
        <v>82</v>
      </c>
      <c r="F1374" s="106" t="e">
        <f>+F1357</f>
        <v>#REF!</v>
      </c>
      <c r="G1374" s="85"/>
      <c r="H1374" s="90"/>
    </row>
    <row r="1375" spans="2:8" ht="18" x14ac:dyDescent="0.25">
      <c r="B1375" s="99">
        <f>+$G$30</f>
        <v>46037</v>
      </c>
      <c r="C1375" s="105" t="e">
        <f>+F1358</f>
        <v>#REF!</v>
      </c>
      <c r="D1375" s="85"/>
      <c r="E1375" s="85" t="s">
        <v>188</v>
      </c>
      <c r="F1375" s="106">
        <v>0</v>
      </c>
      <c r="G1375" s="85"/>
      <c r="H1375" s="90"/>
    </row>
    <row r="1376" spans="2:8" ht="18" x14ac:dyDescent="0.25">
      <c r="B1376" s="85"/>
      <c r="C1376" s="85"/>
      <c r="D1376" s="85"/>
      <c r="E1376" s="85" t="s">
        <v>83</v>
      </c>
      <c r="F1376" s="106" t="e">
        <f>+F1358</f>
        <v>#REF!</v>
      </c>
      <c r="G1376" s="85"/>
      <c r="H1376" s="90"/>
    </row>
    <row r="1377" spans="2:8" ht="18" x14ac:dyDescent="0.25">
      <c r="B1377" s="85"/>
      <c r="C1377" s="85"/>
      <c r="D1377" s="85"/>
      <c r="E1377" s="85"/>
      <c r="F1377" s="85"/>
      <c r="G1377" s="85"/>
      <c r="H1377" s="90"/>
    </row>
    <row r="1378" spans="2:8" ht="18" x14ac:dyDescent="0.25">
      <c r="B1378" s="85"/>
      <c r="C1378" s="85"/>
      <c r="D1378" s="85"/>
      <c r="E1378" s="102"/>
      <c r="F1378" s="85"/>
      <c r="G1378" s="85"/>
      <c r="H1378" s="90"/>
    </row>
    <row r="1379" spans="2:8" ht="18" x14ac:dyDescent="0.25">
      <c r="B1379" s="85"/>
      <c r="C1379" s="85"/>
      <c r="D1379" s="85"/>
      <c r="E1379" s="85"/>
      <c r="F1379" s="85"/>
      <c r="G1379" s="85"/>
      <c r="H1379" s="94"/>
    </row>
    <row r="1380" spans="2:8" ht="18" x14ac:dyDescent="0.25">
      <c r="E1380" s="85"/>
      <c r="G1380" s="94"/>
      <c r="H1380" s="90"/>
    </row>
    <row r="1382" spans="2:8" ht="18" x14ac:dyDescent="0.25">
      <c r="B1382" s="343"/>
      <c r="C1382" s="343"/>
      <c r="D1382" s="343"/>
      <c r="E1382" s="342">
        <f>+$B$1</f>
        <v>46143</v>
      </c>
      <c r="F1382" s="85"/>
      <c r="G1382" s="337">
        <f>+$D$1</f>
        <v>46037</v>
      </c>
      <c r="H1382" s="90"/>
    </row>
    <row r="1383" spans="2:8" ht="18" x14ac:dyDescent="0.25">
      <c r="B1383" s="84"/>
      <c r="C1383" s="84"/>
      <c r="D1383" s="100"/>
      <c r="E1383" s="342"/>
      <c r="F1383" s="85"/>
      <c r="G1383" s="337"/>
      <c r="H1383" s="90"/>
    </row>
    <row r="1384" spans="2:8" ht="18" x14ac:dyDescent="0.25">
      <c r="B1384" s="85"/>
      <c r="C1384" s="85"/>
      <c r="D1384" s="85"/>
      <c r="E1384" s="86"/>
      <c r="F1384" s="85"/>
      <c r="G1384" s="86"/>
      <c r="H1384" s="90"/>
    </row>
    <row r="1385" spans="2:8" ht="18" x14ac:dyDescent="0.25">
      <c r="B1385" s="85" t="e">
        <f>+#REF!</f>
        <v>#REF!</v>
      </c>
      <c r="C1385" s="85"/>
      <c r="D1385" s="85"/>
      <c r="E1385" s="86"/>
      <c r="F1385" s="85"/>
      <c r="G1385" s="86"/>
      <c r="H1385" s="90"/>
    </row>
    <row r="1386" spans="2:8" ht="18" x14ac:dyDescent="0.25">
      <c r="B1386" s="86"/>
      <c r="C1386" s="85"/>
      <c r="D1386" s="85"/>
      <c r="E1386" s="85" t="s">
        <v>78</v>
      </c>
      <c r="F1386" s="85"/>
      <c r="G1386" s="85"/>
      <c r="H1386" s="90" t="s">
        <v>120</v>
      </c>
    </row>
    <row r="1387" spans="2:8" ht="18" x14ac:dyDescent="0.25">
      <c r="B1387" s="85"/>
      <c r="C1387" s="85"/>
      <c r="D1387" s="85"/>
      <c r="E1387" s="86"/>
      <c r="F1387" s="86"/>
      <c r="G1387" s="85"/>
      <c r="H1387" s="94"/>
    </row>
    <row r="1388" spans="2:8" ht="18" x14ac:dyDescent="0.25">
      <c r="B1388" s="94"/>
      <c r="C1388" s="85"/>
      <c r="D1388" s="94"/>
      <c r="E1388" s="85"/>
      <c r="F1388" s="85"/>
      <c r="G1388" s="85"/>
      <c r="H1388" s="90"/>
    </row>
    <row r="1389" spans="2:8" ht="18" x14ac:dyDescent="0.25">
      <c r="B1389" s="94"/>
      <c r="C1389" s="85"/>
      <c r="D1389" s="94"/>
      <c r="E1389" s="85"/>
      <c r="F1389" s="85"/>
      <c r="G1389" s="85"/>
      <c r="H1389" s="90"/>
    </row>
    <row r="1390" spans="2:8" ht="18" x14ac:dyDescent="0.25">
      <c r="B1390" s="85" t="s">
        <v>198</v>
      </c>
      <c r="C1390" s="85"/>
      <c r="D1390" s="107">
        <f>+'RES CUENTA'!$L$25</f>
        <v>10859801.41</v>
      </c>
      <c r="E1390" s="108" t="e">
        <f>+'RES CUENTA'!#REF!</f>
        <v>#REF!</v>
      </c>
      <c r="F1390" s="103" t="e">
        <f>+D1390*E1390/100</f>
        <v>#REF!</v>
      </c>
      <c r="G1390" s="345"/>
      <c r="H1390" s="345"/>
    </row>
    <row r="1391" spans="2:8" ht="18" x14ac:dyDescent="0.25">
      <c r="B1391" s="85" t="s">
        <v>199</v>
      </c>
      <c r="C1391" s="85"/>
      <c r="D1391" s="107" t="e">
        <f>+'RES CUENTA'!#REF!</f>
        <v>#REF!</v>
      </c>
      <c r="E1391" s="108" t="e">
        <f>+'RES CUENTA'!#REF!</f>
        <v>#REF!</v>
      </c>
      <c r="F1391" s="103" t="e">
        <f>+D1391*E1391/100</f>
        <v>#REF!</v>
      </c>
      <c r="G1391" s="341"/>
      <c r="H1391" s="341"/>
    </row>
    <row r="1392" spans="2:8" ht="18" x14ac:dyDescent="0.25">
      <c r="B1392" s="85" t="s">
        <v>79</v>
      </c>
      <c r="C1392" s="85"/>
      <c r="D1392" s="107" t="e">
        <f>+'RES CUENTA'!#REF!</f>
        <v>#REF!</v>
      </c>
      <c r="E1392" s="108">
        <v>0</v>
      </c>
      <c r="F1392" s="103" t="e">
        <f>+D1392</f>
        <v>#REF!</v>
      </c>
      <c r="G1392" s="341"/>
      <c r="H1392" s="341"/>
    </row>
    <row r="1393" spans="2:8" ht="18" x14ac:dyDescent="0.25">
      <c r="B1393" s="85" t="s">
        <v>80</v>
      </c>
      <c r="C1393" s="85"/>
      <c r="D1393" s="107" t="e">
        <f>+'RES CUENTA'!#REF!</f>
        <v>#REF!</v>
      </c>
      <c r="E1393" s="108">
        <v>0</v>
      </c>
      <c r="F1393" s="103" t="e">
        <f>+D1393</f>
        <v>#REF!</v>
      </c>
      <c r="G1393" s="341"/>
      <c r="H1393" s="341"/>
    </row>
    <row r="1394" spans="2:8" ht="18" x14ac:dyDescent="0.25">
      <c r="B1394" s="86"/>
      <c r="C1394" s="85"/>
      <c r="D1394" s="85"/>
      <c r="E1394" s="92"/>
      <c r="F1394" s="104" t="e">
        <f>SUM(F1390:F1393)</f>
        <v>#REF!</v>
      </c>
      <c r="G1394" s="341"/>
      <c r="H1394" s="341"/>
    </row>
    <row r="1395" spans="2:8" ht="18" x14ac:dyDescent="0.25">
      <c r="B1395" s="86"/>
      <c r="C1395" s="85"/>
      <c r="D1395" s="85"/>
      <c r="E1395" s="92"/>
      <c r="F1395" s="104"/>
      <c r="G1395" s="89"/>
      <c r="H1395" s="89"/>
    </row>
    <row r="1396" spans="2:8" ht="18" x14ac:dyDescent="0.25">
      <c r="B1396" s="86"/>
      <c r="C1396" s="85"/>
      <c r="D1396" s="85"/>
      <c r="E1396" s="85"/>
      <c r="G1396" s="338"/>
      <c r="H1396" s="338"/>
    </row>
    <row r="1397" spans="2:8" ht="18" x14ac:dyDescent="0.25">
      <c r="B1397" s="85"/>
      <c r="C1397" s="85"/>
      <c r="D1397" s="85"/>
      <c r="E1397" s="85"/>
      <c r="F1397" s="91"/>
      <c r="G1397" s="90"/>
      <c r="H1397" s="90"/>
    </row>
    <row r="1398" spans="2:8" ht="18" x14ac:dyDescent="0.25">
      <c r="B1398" s="85"/>
      <c r="C1398" s="85"/>
      <c r="D1398" s="85"/>
      <c r="E1398" s="85"/>
      <c r="F1398" s="92"/>
      <c r="G1398" s="85"/>
      <c r="H1398" s="90"/>
    </row>
    <row r="1399" spans="2:8" ht="18" x14ac:dyDescent="0.25">
      <c r="B1399" s="85"/>
      <c r="C1399" s="85"/>
      <c r="D1399" s="85"/>
      <c r="E1399" s="85"/>
      <c r="F1399" s="92"/>
      <c r="G1399" s="85"/>
      <c r="H1399" s="90"/>
    </row>
    <row r="1400" spans="2:8" ht="18" x14ac:dyDescent="0.25">
      <c r="B1400" s="85" t="e">
        <f>+B1385</f>
        <v>#REF!</v>
      </c>
      <c r="C1400" s="344"/>
      <c r="D1400" s="344"/>
      <c r="E1400" s="85" t="e">
        <f>+B1400</f>
        <v>#REF!</v>
      </c>
      <c r="F1400" s="92"/>
      <c r="G1400" s="85"/>
      <c r="H1400" s="90"/>
    </row>
    <row r="1401" spans="2:8" ht="18" x14ac:dyDescent="0.25">
      <c r="C1401" s="85"/>
      <c r="D1401" s="85"/>
      <c r="F1401" s="344"/>
      <c r="G1401" s="344"/>
      <c r="H1401" s="344"/>
    </row>
    <row r="1402" spans="2:8" ht="18" x14ac:dyDescent="0.25">
      <c r="B1402" s="85" t="str">
        <f>+$E$1</f>
        <v>Lima 461 C:A:B:A:</v>
      </c>
      <c r="C1402" s="85"/>
      <c r="D1402" s="93" t="str">
        <f>+H1386</f>
        <v>Unid. 37</v>
      </c>
      <c r="E1402" s="85" t="str">
        <f>+$E$1</f>
        <v>Lima 461 C:A:B:A:</v>
      </c>
      <c r="F1402" s="85"/>
      <c r="G1402" s="85"/>
      <c r="H1402" s="90" t="str">
        <f>+D1402</f>
        <v>Unid. 37</v>
      </c>
    </row>
    <row r="1403" spans="2:8" ht="18" x14ac:dyDescent="0.25">
      <c r="H1403" s="94"/>
    </row>
    <row r="1404" spans="2:8" ht="18" x14ac:dyDescent="0.25">
      <c r="B1404" s="86"/>
      <c r="C1404" s="86"/>
      <c r="D1404" s="86"/>
      <c r="E1404" s="86"/>
      <c r="F1404" s="85"/>
      <c r="G1404" s="85"/>
    </row>
    <row r="1405" spans="2:8" ht="18" x14ac:dyDescent="0.25">
      <c r="B1405" s="85">
        <f>+$E$2</f>
        <v>0</v>
      </c>
      <c r="C1405" s="85"/>
      <c r="D1405" s="85"/>
      <c r="E1405" s="85"/>
      <c r="F1405" s="85"/>
      <c r="G1405" s="86"/>
      <c r="H1405" s="94"/>
    </row>
    <row r="1406" spans="2:8" ht="18" x14ac:dyDescent="0.25">
      <c r="B1406" s="85">
        <f>+$E$3</f>
        <v>0</v>
      </c>
      <c r="C1406" s="85"/>
      <c r="D1406" s="85"/>
      <c r="E1406" s="96"/>
      <c r="F1406" s="85"/>
      <c r="G1406" s="94"/>
      <c r="H1406" s="90"/>
    </row>
    <row r="1407" spans="2:8" ht="18" x14ac:dyDescent="0.25">
      <c r="C1407" s="85"/>
      <c r="D1407" s="85"/>
      <c r="E1407" s="85" t="s">
        <v>200</v>
      </c>
      <c r="F1407" s="106" t="e">
        <f>+F1390</f>
        <v>#REF!</v>
      </c>
      <c r="H1407" s="99">
        <f>+B1412</f>
        <v>46037</v>
      </c>
    </row>
    <row r="1408" spans="2:8" ht="18" x14ac:dyDescent="0.25">
      <c r="B1408" s="86"/>
      <c r="C1408" s="85"/>
      <c r="D1408" s="85"/>
      <c r="E1408" s="85" t="s">
        <v>201</v>
      </c>
      <c r="F1408" s="106" t="e">
        <f>+F1391</f>
        <v>#REF!</v>
      </c>
    </row>
    <row r="1409" spans="2:8" ht="18" x14ac:dyDescent="0.25">
      <c r="B1409" s="86"/>
      <c r="C1409" s="85"/>
      <c r="D1409" s="85"/>
      <c r="E1409" s="85" t="s">
        <v>81</v>
      </c>
      <c r="F1409" s="106" t="e">
        <f>+F1392</f>
        <v>#REF!</v>
      </c>
      <c r="G1409" s="85"/>
      <c r="H1409" s="90"/>
    </row>
    <row r="1410" spans="2:8" ht="18" x14ac:dyDescent="0.25">
      <c r="B1410" s="85"/>
      <c r="C1410" s="85"/>
      <c r="D1410" s="85"/>
      <c r="E1410" s="85" t="s">
        <v>82</v>
      </c>
      <c r="F1410" s="106" t="e">
        <f>+F1393</f>
        <v>#REF!</v>
      </c>
      <c r="G1410" s="85"/>
      <c r="H1410" s="90"/>
    </row>
    <row r="1411" spans="2:8" ht="18" x14ac:dyDescent="0.25">
      <c r="B1411" s="96"/>
      <c r="C1411" s="96"/>
      <c r="D1411" s="96"/>
      <c r="E1411" s="85" t="s">
        <v>188</v>
      </c>
      <c r="F1411" s="106">
        <v>0</v>
      </c>
      <c r="G1411" s="85"/>
      <c r="H1411" s="90"/>
    </row>
    <row r="1412" spans="2:8" ht="18" x14ac:dyDescent="0.25">
      <c r="B1412" s="99">
        <f>+$G$30</f>
        <v>46037</v>
      </c>
      <c r="C1412" s="105" t="e">
        <f>+F1394</f>
        <v>#REF!</v>
      </c>
      <c r="D1412" s="85"/>
      <c r="E1412" s="85" t="s">
        <v>83</v>
      </c>
      <c r="F1412" s="106" t="e">
        <f>+F1394</f>
        <v>#REF!</v>
      </c>
      <c r="G1412" s="85"/>
      <c r="H1412" s="90"/>
    </row>
    <row r="1413" spans="2:8" ht="18" x14ac:dyDescent="0.25">
      <c r="B1413" s="85"/>
      <c r="C1413" s="85"/>
      <c r="D1413" s="85"/>
      <c r="E1413" s="85"/>
      <c r="F1413" s="85"/>
      <c r="G1413" s="85"/>
      <c r="H1413" s="90"/>
    </row>
    <row r="1414" spans="2:8" ht="18" x14ac:dyDescent="0.25">
      <c r="B1414" s="85"/>
      <c r="C1414" s="85"/>
      <c r="D1414" s="85"/>
      <c r="E1414" s="85"/>
      <c r="F1414" s="85"/>
      <c r="G1414" s="345"/>
      <c r="H1414" s="345"/>
    </row>
    <row r="1415" spans="2:8" ht="18" x14ac:dyDescent="0.25">
      <c r="B1415" s="85"/>
      <c r="C1415" s="85"/>
      <c r="D1415" s="85"/>
      <c r="E1415" s="85"/>
      <c r="F1415" s="85"/>
      <c r="G1415" s="85"/>
      <c r="H1415" s="90"/>
    </row>
    <row r="1416" spans="2:8" ht="18" x14ac:dyDescent="0.25">
      <c r="B1416" s="85"/>
      <c r="C1416" s="85"/>
      <c r="D1416" s="85"/>
      <c r="E1416" s="85"/>
      <c r="F1416" s="85"/>
      <c r="G1416" s="85"/>
      <c r="H1416" s="90"/>
    </row>
    <row r="1417" spans="2:8" ht="18" x14ac:dyDescent="0.25">
      <c r="B1417" s="85"/>
      <c r="C1417" s="85"/>
      <c r="D1417" s="85"/>
      <c r="E1417" s="85"/>
      <c r="F1417" s="85"/>
      <c r="G1417" s="85"/>
      <c r="H1417" s="90"/>
    </row>
    <row r="1418" spans="2:8" ht="18" x14ac:dyDescent="0.25">
      <c r="B1418" s="85"/>
      <c r="C1418" s="85"/>
      <c r="D1418" s="85"/>
      <c r="E1418" s="85"/>
      <c r="F1418" s="85"/>
      <c r="H1418" s="90"/>
    </row>
    <row r="1419" spans="2:8" ht="18" x14ac:dyDescent="0.25">
      <c r="B1419" s="85"/>
      <c r="C1419" s="85"/>
      <c r="D1419" s="85"/>
      <c r="E1419" s="85"/>
      <c r="F1419" s="85"/>
      <c r="H1419" s="90"/>
    </row>
    <row r="1420" spans="2:8" ht="18" x14ac:dyDescent="0.25">
      <c r="B1420" s="343"/>
      <c r="C1420" s="343"/>
      <c r="D1420" s="343"/>
      <c r="E1420" s="85"/>
      <c r="F1420" s="85"/>
      <c r="H1420" s="90"/>
    </row>
    <row r="1421" spans="2:8" ht="18" x14ac:dyDescent="0.25">
      <c r="B1421" s="343"/>
      <c r="C1421" s="343"/>
      <c r="D1421" s="343"/>
      <c r="E1421" s="98">
        <f>+$B$1</f>
        <v>46143</v>
      </c>
      <c r="F1421" s="85"/>
      <c r="G1421" s="99">
        <f>+$D$1</f>
        <v>46037</v>
      </c>
      <c r="H1421" s="160"/>
    </row>
    <row r="1422" spans="2:8" ht="18" x14ac:dyDescent="0.25">
      <c r="B1422" s="84"/>
      <c r="C1422" s="84"/>
      <c r="D1422" s="100"/>
      <c r="E1422" s="98"/>
      <c r="F1422" s="85"/>
    </row>
    <row r="1423" spans="2:8" ht="18" x14ac:dyDescent="0.25">
      <c r="B1423" s="85" t="e">
        <f>+#REF!</f>
        <v>#REF!</v>
      </c>
      <c r="C1423" s="85"/>
      <c r="D1423" s="85"/>
      <c r="F1423" s="85"/>
    </row>
    <row r="1424" spans="2:8" ht="18" x14ac:dyDescent="0.25">
      <c r="C1424" s="85"/>
      <c r="D1424" s="85"/>
      <c r="E1424" s="85" t="str">
        <f>+$E$1</f>
        <v>Lima 461 C:A:B:A:</v>
      </c>
      <c r="F1424" s="85"/>
      <c r="H1424" s="90" t="s">
        <v>121</v>
      </c>
    </row>
    <row r="1425" spans="2:8" ht="18" x14ac:dyDescent="0.25">
      <c r="B1425" s="86"/>
      <c r="C1425" s="85"/>
      <c r="D1425" s="85"/>
      <c r="F1425" s="85"/>
      <c r="G1425" s="86"/>
    </row>
    <row r="1426" spans="2:8" ht="18" x14ac:dyDescent="0.25">
      <c r="B1426" s="85"/>
      <c r="C1426" s="85"/>
      <c r="D1426" s="85"/>
      <c r="E1426" s="86"/>
      <c r="F1426" s="86"/>
      <c r="G1426" s="85"/>
      <c r="H1426" s="94"/>
    </row>
    <row r="1427" spans="2:8" ht="18" x14ac:dyDescent="0.25">
      <c r="B1427" s="94"/>
      <c r="C1427" s="85"/>
      <c r="D1427" s="94"/>
      <c r="E1427" s="85"/>
      <c r="F1427" s="85"/>
      <c r="G1427" s="85"/>
      <c r="H1427" s="90"/>
    </row>
    <row r="1428" spans="2:8" ht="18" x14ac:dyDescent="0.25">
      <c r="B1428" s="85" t="s">
        <v>198</v>
      </c>
      <c r="C1428" s="85"/>
      <c r="D1428" s="107">
        <f>+'RES CUENTA'!$L$25</f>
        <v>10859801.41</v>
      </c>
      <c r="E1428" s="108" t="e">
        <f>+'RES CUENTA'!#REF!</f>
        <v>#REF!</v>
      </c>
      <c r="F1428" s="103" t="e">
        <f>+D1428*E1428/100</f>
        <v>#REF!</v>
      </c>
      <c r="G1428" s="85"/>
      <c r="H1428" s="94"/>
    </row>
    <row r="1429" spans="2:8" ht="18" x14ac:dyDescent="0.25">
      <c r="B1429" s="85" t="s">
        <v>199</v>
      </c>
      <c r="C1429" s="85"/>
      <c r="D1429" s="107" t="e">
        <f>+'RES CUENTA'!#REF!</f>
        <v>#REF!</v>
      </c>
      <c r="E1429" s="108" t="e">
        <f>+'RES CUENTA'!#REF!</f>
        <v>#REF!</v>
      </c>
      <c r="F1429" s="103" t="e">
        <f>+D1429*E1429/100</f>
        <v>#REF!</v>
      </c>
      <c r="G1429" s="94"/>
      <c r="H1429" s="89"/>
    </row>
    <row r="1430" spans="2:8" ht="18" x14ac:dyDescent="0.25">
      <c r="B1430" s="85" t="s">
        <v>79</v>
      </c>
      <c r="C1430" s="85"/>
      <c r="D1430" s="107" t="e">
        <f>+'RES CUENTA'!#REF!</f>
        <v>#REF!</v>
      </c>
      <c r="E1430" s="108">
        <f>+'RES CUENTA'!P523</f>
        <v>0</v>
      </c>
      <c r="F1430" s="103" t="e">
        <f>+D1430</f>
        <v>#REF!</v>
      </c>
      <c r="G1430" s="89"/>
      <c r="H1430" s="89"/>
    </row>
    <row r="1431" spans="2:8" ht="18" x14ac:dyDescent="0.25">
      <c r="B1431" s="85" t="s">
        <v>80</v>
      </c>
      <c r="C1431" s="85"/>
      <c r="D1431" s="107" t="e">
        <f>+'RES CUENTA'!#REF!</f>
        <v>#REF!</v>
      </c>
      <c r="E1431" s="108">
        <f>+'RES CUENTA'!R518</f>
        <v>0</v>
      </c>
      <c r="F1431" s="103" t="e">
        <f>+D1431</f>
        <v>#REF!</v>
      </c>
      <c r="G1431" s="89"/>
      <c r="H1431" s="89"/>
    </row>
    <row r="1432" spans="2:8" ht="18" x14ac:dyDescent="0.25">
      <c r="B1432" s="86"/>
      <c r="C1432" s="85"/>
      <c r="D1432" s="85"/>
      <c r="F1432" s="104" t="e">
        <f>SUM(F1428:F1431)</f>
        <v>#REF!</v>
      </c>
      <c r="G1432" s="89"/>
      <c r="H1432" s="89"/>
    </row>
    <row r="1433" spans="2:8" ht="18" x14ac:dyDescent="0.25">
      <c r="B1433" s="86"/>
      <c r="C1433" s="85"/>
      <c r="D1433" s="85"/>
      <c r="F1433" s="104"/>
      <c r="G1433" s="89"/>
      <c r="H1433" s="89"/>
    </row>
    <row r="1434" spans="2:8" ht="18" x14ac:dyDescent="0.25">
      <c r="B1434" s="86"/>
      <c r="C1434" s="85"/>
      <c r="D1434" s="85"/>
      <c r="F1434" s="91"/>
      <c r="G1434" s="89"/>
      <c r="H1434" s="90"/>
    </row>
    <row r="1435" spans="2:8" ht="18" x14ac:dyDescent="0.25">
      <c r="B1435" s="85"/>
      <c r="C1435" s="85"/>
      <c r="D1435" s="85"/>
      <c r="E1435" s="85"/>
      <c r="F1435" s="92"/>
      <c r="G1435" s="90"/>
      <c r="H1435" s="90"/>
    </row>
    <row r="1436" spans="2:8" ht="18" x14ac:dyDescent="0.25">
      <c r="B1436" s="85"/>
      <c r="C1436" s="85"/>
      <c r="D1436" s="85"/>
      <c r="E1436" s="85"/>
      <c r="F1436" s="92"/>
      <c r="G1436" s="90"/>
      <c r="H1436" s="90"/>
    </row>
    <row r="1437" spans="2:8" ht="18" x14ac:dyDescent="0.25">
      <c r="B1437" s="85"/>
      <c r="C1437" s="85"/>
      <c r="D1437" s="85"/>
      <c r="E1437" s="85"/>
      <c r="F1437" s="92"/>
      <c r="G1437" s="90"/>
      <c r="H1437" s="90"/>
    </row>
    <row r="1438" spans="2:8" ht="18" x14ac:dyDescent="0.25">
      <c r="B1438" s="85" t="e">
        <f>+B1423</f>
        <v>#REF!</v>
      </c>
      <c r="C1438" s="85"/>
      <c r="D1438" s="85"/>
      <c r="E1438" s="85" t="e">
        <f>+B1423</f>
        <v>#REF!</v>
      </c>
      <c r="F1438" s="85"/>
      <c r="G1438" s="85"/>
      <c r="H1438" s="94"/>
    </row>
    <row r="1439" spans="2:8" ht="18" x14ac:dyDescent="0.25">
      <c r="B1439" s="86"/>
      <c r="C1439" s="85"/>
      <c r="D1439" s="85"/>
      <c r="F1439" s="85"/>
      <c r="G1439" s="101"/>
      <c r="H1439" s="90" t="str">
        <f>+H1424</f>
        <v>Unid. 38</v>
      </c>
    </row>
    <row r="1440" spans="2:8" ht="18" x14ac:dyDescent="0.25">
      <c r="B1440" s="85" t="str">
        <f>+$E$1</f>
        <v>Lima 461 C:A:B:A:</v>
      </c>
      <c r="C1440" s="85"/>
      <c r="D1440" s="93" t="str">
        <f>+H1439</f>
        <v>Unid. 38</v>
      </c>
      <c r="E1440" s="85" t="str">
        <f>+$E$1</f>
        <v>Lima 461 C:A:B:A:</v>
      </c>
      <c r="F1440" s="85"/>
      <c r="G1440" s="85"/>
      <c r="H1440" s="94"/>
    </row>
    <row r="1441" spans="2:8" ht="18" x14ac:dyDescent="0.25">
      <c r="B1441" s="86"/>
      <c r="C1441" s="86"/>
      <c r="D1441" s="86"/>
      <c r="F1441" s="85"/>
      <c r="G1441" s="85"/>
    </row>
    <row r="1442" spans="2:8" ht="18" x14ac:dyDescent="0.25">
      <c r="B1442" s="85"/>
      <c r="C1442" s="85"/>
      <c r="D1442" s="85"/>
      <c r="E1442" s="86"/>
      <c r="F1442" s="85"/>
      <c r="G1442" s="85"/>
      <c r="H1442" s="94"/>
    </row>
    <row r="1443" spans="2:8" ht="18" x14ac:dyDescent="0.25">
      <c r="B1443" s="85">
        <f>+$E$2</f>
        <v>0</v>
      </c>
      <c r="C1443" s="85"/>
      <c r="D1443" s="85"/>
      <c r="E1443" s="85"/>
      <c r="F1443" s="96"/>
      <c r="G1443" s="86"/>
      <c r="H1443" s="90"/>
    </row>
    <row r="1444" spans="2:8" ht="18" x14ac:dyDescent="0.25">
      <c r="B1444" s="85">
        <f>+$E$3</f>
        <v>0</v>
      </c>
      <c r="C1444" s="85"/>
      <c r="D1444" s="85"/>
      <c r="E1444" s="96"/>
      <c r="G1444" s="94"/>
      <c r="H1444" s="96"/>
    </row>
    <row r="1445" spans="2:8" ht="18" x14ac:dyDescent="0.25">
      <c r="B1445" s="86"/>
      <c r="C1445" s="85"/>
      <c r="D1445" s="85"/>
      <c r="E1445" s="85" t="s">
        <v>200</v>
      </c>
      <c r="F1445" s="106" t="e">
        <f>+F1428</f>
        <v>#REF!</v>
      </c>
      <c r="G1445" s="95"/>
      <c r="H1445" s="99">
        <f>+B1449</f>
        <v>46037</v>
      </c>
    </row>
    <row r="1446" spans="2:8" ht="18" x14ac:dyDescent="0.25">
      <c r="B1446" s="86"/>
      <c r="C1446" s="85"/>
      <c r="D1446" s="85"/>
      <c r="E1446" s="85" t="s">
        <v>201</v>
      </c>
      <c r="F1446" s="106" t="e">
        <f>+F1429</f>
        <v>#REF!</v>
      </c>
      <c r="H1446" s="90"/>
    </row>
    <row r="1447" spans="2:8" ht="18" x14ac:dyDescent="0.25">
      <c r="B1447" s="85"/>
      <c r="C1447" s="85"/>
      <c r="D1447" s="85"/>
      <c r="E1447" s="85" t="s">
        <v>81</v>
      </c>
      <c r="F1447" s="106" t="e">
        <f>+F1430</f>
        <v>#REF!</v>
      </c>
      <c r="G1447" s="85"/>
      <c r="H1447" s="90"/>
    </row>
    <row r="1448" spans="2:8" ht="18" x14ac:dyDescent="0.25">
      <c r="B1448" s="96"/>
      <c r="C1448" s="96"/>
      <c r="D1448" s="96"/>
      <c r="E1448" s="85" t="s">
        <v>82</v>
      </c>
      <c r="F1448" s="106" t="e">
        <f>+F1431</f>
        <v>#REF!</v>
      </c>
      <c r="G1448" s="85"/>
      <c r="H1448" s="90"/>
    </row>
    <row r="1449" spans="2:8" ht="18" x14ac:dyDescent="0.25">
      <c r="B1449" s="99">
        <f>+$G$30</f>
        <v>46037</v>
      </c>
      <c r="C1449" s="105" t="e">
        <f>+F1432</f>
        <v>#REF!</v>
      </c>
      <c r="D1449" s="85"/>
      <c r="E1449" s="85" t="s">
        <v>188</v>
      </c>
      <c r="F1449" s="106">
        <v>0</v>
      </c>
      <c r="G1449" s="85"/>
      <c r="H1449" s="90"/>
    </row>
    <row r="1450" spans="2:8" ht="18" x14ac:dyDescent="0.25">
      <c r="B1450" s="85"/>
      <c r="C1450" s="85"/>
      <c r="D1450" s="85"/>
      <c r="E1450" s="85" t="s">
        <v>83</v>
      </c>
      <c r="F1450" s="106" t="e">
        <f>+F1432</f>
        <v>#REF!</v>
      </c>
      <c r="G1450" s="85"/>
      <c r="H1450" s="90"/>
    </row>
    <row r="1451" spans="2:8" ht="18" x14ac:dyDescent="0.25">
      <c r="B1451" s="85"/>
      <c r="C1451" s="85"/>
      <c r="D1451" s="85"/>
      <c r="E1451" s="85"/>
      <c r="F1451" s="85"/>
      <c r="G1451" s="85"/>
      <c r="H1451" s="90"/>
    </row>
    <row r="1452" spans="2:8" ht="18" x14ac:dyDescent="0.25">
      <c r="B1452" s="85"/>
      <c r="C1452" s="85"/>
      <c r="D1452" s="85"/>
      <c r="E1452" s="102"/>
      <c r="F1452" s="85"/>
      <c r="G1452" s="85"/>
      <c r="H1452" s="90"/>
    </row>
    <row r="1453" spans="2:8" ht="18" x14ac:dyDescent="0.25">
      <c r="B1453" s="85"/>
      <c r="C1453" s="85"/>
      <c r="D1453" s="85"/>
      <c r="E1453" s="85"/>
      <c r="F1453" s="85"/>
      <c r="G1453" s="85"/>
      <c r="H1453" s="94"/>
    </row>
    <row r="1454" spans="2:8" ht="18" x14ac:dyDescent="0.25">
      <c r="E1454" s="85"/>
      <c r="G1454" s="94"/>
      <c r="H1454" s="90"/>
    </row>
    <row r="1456" spans="2:8" ht="18" x14ac:dyDescent="0.25">
      <c r="B1456" s="343"/>
      <c r="C1456" s="343"/>
      <c r="D1456" s="343"/>
      <c r="E1456" s="342">
        <f>+$B$1</f>
        <v>46143</v>
      </c>
      <c r="F1456" s="85"/>
      <c r="G1456" s="337">
        <f>+$D$1</f>
        <v>46037</v>
      </c>
      <c r="H1456" s="90"/>
    </row>
    <row r="1457" spans="2:8" ht="18" x14ac:dyDescent="0.25">
      <c r="B1457" s="84"/>
      <c r="C1457" s="84"/>
      <c r="D1457" s="100"/>
      <c r="E1457" s="342"/>
      <c r="F1457" s="85"/>
      <c r="G1457" s="337"/>
      <c r="H1457" s="90"/>
    </row>
    <row r="1458" spans="2:8" ht="18" x14ac:dyDescent="0.25">
      <c r="B1458" s="85"/>
      <c r="C1458" s="85"/>
      <c r="D1458" s="85"/>
      <c r="E1458" s="86"/>
      <c r="F1458" s="85"/>
      <c r="G1458" s="86"/>
      <c r="H1458" s="90"/>
    </row>
    <row r="1459" spans="2:8" ht="18" x14ac:dyDescent="0.25">
      <c r="B1459" s="85" t="e">
        <f>+#REF!</f>
        <v>#REF!</v>
      </c>
      <c r="C1459" s="85"/>
      <c r="D1459" s="85"/>
      <c r="E1459" s="86"/>
      <c r="F1459" s="85"/>
      <c r="G1459" s="86"/>
      <c r="H1459" s="90"/>
    </row>
    <row r="1460" spans="2:8" ht="18" x14ac:dyDescent="0.25">
      <c r="B1460" s="86"/>
      <c r="C1460" s="85"/>
      <c r="D1460" s="85"/>
      <c r="E1460" s="85" t="s">
        <v>78</v>
      </c>
      <c r="F1460" s="85"/>
      <c r="G1460" s="85"/>
      <c r="H1460" s="90" t="s">
        <v>122</v>
      </c>
    </row>
    <row r="1461" spans="2:8" ht="18" x14ac:dyDescent="0.25">
      <c r="B1461" s="85"/>
      <c r="C1461" s="85"/>
      <c r="D1461" s="85"/>
      <c r="E1461" s="86"/>
      <c r="F1461" s="86"/>
      <c r="G1461" s="85"/>
      <c r="H1461" s="94"/>
    </row>
    <row r="1462" spans="2:8" ht="18" x14ac:dyDescent="0.25">
      <c r="B1462" s="94"/>
      <c r="C1462" s="85"/>
      <c r="D1462" s="94"/>
      <c r="E1462" s="85"/>
      <c r="F1462" s="85"/>
      <c r="G1462" s="85"/>
      <c r="H1462" s="90"/>
    </row>
    <row r="1463" spans="2:8" ht="18" x14ac:dyDescent="0.25">
      <c r="B1463" s="94"/>
      <c r="C1463" s="85"/>
      <c r="D1463" s="94"/>
      <c r="E1463" s="85"/>
      <c r="F1463" s="85"/>
      <c r="G1463" s="85"/>
      <c r="H1463" s="90"/>
    </row>
    <row r="1464" spans="2:8" ht="18" x14ac:dyDescent="0.25">
      <c r="B1464" s="85" t="s">
        <v>198</v>
      </c>
      <c r="C1464" s="85"/>
      <c r="D1464" s="107">
        <f>+'RES CUENTA'!$L$25</f>
        <v>10859801.41</v>
      </c>
      <c r="E1464" s="108" t="e">
        <f>+'RES CUENTA'!#REF!</f>
        <v>#REF!</v>
      </c>
      <c r="F1464" s="103" t="e">
        <f>+D1464*E1464/100</f>
        <v>#REF!</v>
      </c>
      <c r="G1464" s="345"/>
      <c r="H1464" s="345"/>
    </row>
    <row r="1465" spans="2:8" ht="18" x14ac:dyDescent="0.25">
      <c r="B1465" s="85" t="s">
        <v>199</v>
      </c>
      <c r="C1465" s="85"/>
      <c r="D1465" s="107" t="e">
        <f>+'RES CUENTA'!#REF!</f>
        <v>#REF!</v>
      </c>
      <c r="E1465" s="108" t="e">
        <f>+'RES CUENTA'!#REF!</f>
        <v>#REF!</v>
      </c>
      <c r="F1465" s="103" t="e">
        <f>+D1465*E1465/100</f>
        <v>#REF!</v>
      </c>
      <c r="G1465" s="341"/>
      <c r="H1465" s="341"/>
    </row>
    <row r="1466" spans="2:8" ht="18" x14ac:dyDescent="0.25">
      <c r="B1466" s="85" t="s">
        <v>79</v>
      </c>
      <c r="C1466" s="85"/>
      <c r="D1466" s="107" t="e">
        <f>+'RES CUENTA'!#REF!</f>
        <v>#REF!</v>
      </c>
      <c r="E1466" s="108">
        <v>0</v>
      </c>
      <c r="F1466" s="103" t="e">
        <f>+D1466</f>
        <v>#REF!</v>
      </c>
      <c r="G1466" s="341"/>
      <c r="H1466" s="341"/>
    </row>
    <row r="1467" spans="2:8" ht="18" x14ac:dyDescent="0.25">
      <c r="B1467" s="85" t="s">
        <v>80</v>
      </c>
      <c r="C1467" s="85"/>
      <c r="D1467" s="107" t="e">
        <f>+'RES CUENTA'!#REF!</f>
        <v>#REF!</v>
      </c>
      <c r="E1467" s="108">
        <v>0</v>
      </c>
      <c r="F1467" s="103" t="e">
        <f>+D1467</f>
        <v>#REF!</v>
      </c>
      <c r="G1467" s="341"/>
      <c r="H1467" s="341"/>
    </row>
    <row r="1468" spans="2:8" ht="18" x14ac:dyDescent="0.25">
      <c r="B1468" s="86"/>
      <c r="C1468" s="85"/>
      <c r="D1468" s="85"/>
      <c r="E1468" s="92"/>
      <c r="F1468" s="104" t="e">
        <f>SUM(F1464:F1467)</f>
        <v>#REF!</v>
      </c>
      <c r="G1468" s="341"/>
      <c r="H1468" s="341"/>
    </row>
    <row r="1469" spans="2:8" ht="18" x14ac:dyDescent="0.25">
      <c r="B1469" s="86"/>
      <c r="C1469" s="85"/>
      <c r="D1469" s="85"/>
      <c r="E1469" s="92"/>
      <c r="F1469" s="104"/>
      <c r="G1469" s="89"/>
      <c r="H1469" s="89"/>
    </row>
    <row r="1470" spans="2:8" ht="18" x14ac:dyDescent="0.25">
      <c r="B1470" s="86"/>
      <c r="C1470" s="85"/>
      <c r="D1470" s="85"/>
      <c r="E1470" s="85"/>
      <c r="G1470" s="338"/>
      <c r="H1470" s="338"/>
    </row>
    <row r="1471" spans="2:8" ht="18" x14ac:dyDescent="0.25">
      <c r="B1471" s="85"/>
      <c r="C1471" s="85"/>
      <c r="D1471" s="85"/>
      <c r="E1471" s="85"/>
      <c r="F1471" s="91"/>
      <c r="G1471" s="90"/>
      <c r="H1471" s="90"/>
    </row>
    <row r="1472" spans="2:8" ht="18" x14ac:dyDescent="0.25">
      <c r="B1472" s="85"/>
      <c r="C1472" s="85"/>
      <c r="D1472" s="85"/>
      <c r="E1472" s="85"/>
      <c r="F1472" s="92"/>
      <c r="G1472" s="85"/>
      <c r="H1472" s="90"/>
    </row>
    <row r="1473" spans="2:8" ht="18" x14ac:dyDescent="0.25">
      <c r="B1473" s="85"/>
      <c r="C1473" s="85"/>
      <c r="D1473" s="85"/>
      <c r="E1473" s="85"/>
      <c r="F1473" s="92"/>
      <c r="G1473" s="85"/>
      <c r="H1473" s="90"/>
    </row>
    <row r="1474" spans="2:8" ht="18" x14ac:dyDescent="0.25">
      <c r="B1474" s="85" t="e">
        <f>+B1459</f>
        <v>#REF!</v>
      </c>
      <c r="C1474" s="344"/>
      <c r="D1474" s="344"/>
      <c r="E1474" s="85" t="e">
        <f>+B1474</f>
        <v>#REF!</v>
      </c>
      <c r="F1474" s="92"/>
      <c r="G1474" s="85"/>
      <c r="H1474" s="90"/>
    </row>
    <row r="1475" spans="2:8" ht="18" x14ac:dyDescent="0.25">
      <c r="C1475" s="85"/>
      <c r="D1475" s="85"/>
      <c r="F1475" s="344"/>
      <c r="G1475" s="344"/>
      <c r="H1475" s="344"/>
    </row>
    <row r="1476" spans="2:8" ht="18" x14ac:dyDescent="0.25">
      <c r="B1476" s="85" t="str">
        <f>+$E$1</f>
        <v>Lima 461 C:A:B:A:</v>
      </c>
      <c r="C1476" s="85"/>
      <c r="D1476" s="93" t="str">
        <f>+H1460</f>
        <v>Unid. 39</v>
      </c>
      <c r="E1476" s="85" t="str">
        <f>+$E$1</f>
        <v>Lima 461 C:A:B:A:</v>
      </c>
      <c r="F1476" s="85"/>
      <c r="G1476" s="85"/>
      <c r="H1476" s="90" t="str">
        <f>+D1476</f>
        <v>Unid. 39</v>
      </c>
    </row>
    <row r="1477" spans="2:8" ht="18" x14ac:dyDescent="0.25">
      <c r="H1477" s="94"/>
    </row>
    <row r="1478" spans="2:8" ht="18" x14ac:dyDescent="0.25">
      <c r="B1478" s="86"/>
      <c r="C1478" s="86"/>
      <c r="D1478" s="86"/>
      <c r="E1478" s="86"/>
      <c r="F1478" s="85"/>
      <c r="G1478" s="85"/>
    </row>
    <row r="1479" spans="2:8" ht="18" x14ac:dyDescent="0.25">
      <c r="B1479" s="85">
        <f>+$E$2</f>
        <v>0</v>
      </c>
      <c r="C1479" s="85"/>
      <c r="D1479" s="85"/>
      <c r="E1479" s="85"/>
      <c r="F1479" s="85"/>
      <c r="G1479" s="86"/>
      <c r="H1479" s="94"/>
    </row>
    <row r="1480" spans="2:8" ht="18" x14ac:dyDescent="0.25">
      <c r="B1480" s="85">
        <f>+$E$3</f>
        <v>0</v>
      </c>
      <c r="C1480" s="85"/>
      <c r="D1480" s="85"/>
      <c r="E1480" s="96"/>
      <c r="F1480" s="85"/>
      <c r="G1480" s="94"/>
      <c r="H1480" s="90"/>
    </row>
    <row r="1481" spans="2:8" ht="18" x14ac:dyDescent="0.25">
      <c r="C1481" s="85"/>
      <c r="D1481" s="85"/>
      <c r="E1481" s="85" t="s">
        <v>200</v>
      </c>
      <c r="F1481" s="106" t="e">
        <f>+F1464</f>
        <v>#REF!</v>
      </c>
      <c r="H1481" s="99">
        <f>+B1486</f>
        <v>46037</v>
      </c>
    </row>
    <row r="1482" spans="2:8" ht="18" x14ac:dyDescent="0.25">
      <c r="B1482" s="86"/>
      <c r="C1482" s="85"/>
      <c r="D1482" s="85"/>
      <c r="E1482" s="85" t="s">
        <v>201</v>
      </c>
      <c r="F1482" s="106" t="e">
        <f>+F1465</f>
        <v>#REF!</v>
      </c>
    </row>
    <row r="1483" spans="2:8" ht="18" x14ac:dyDescent="0.25">
      <c r="B1483" s="86"/>
      <c r="C1483" s="85"/>
      <c r="D1483" s="85"/>
      <c r="E1483" s="85" t="s">
        <v>81</v>
      </c>
      <c r="F1483" s="106" t="e">
        <f>+F1466</f>
        <v>#REF!</v>
      </c>
      <c r="G1483" s="85"/>
      <c r="H1483" s="90"/>
    </row>
    <row r="1484" spans="2:8" ht="18" x14ac:dyDescent="0.25">
      <c r="B1484" s="85"/>
      <c r="C1484" s="85"/>
      <c r="D1484" s="85"/>
      <c r="E1484" s="85" t="s">
        <v>82</v>
      </c>
      <c r="F1484" s="106" t="e">
        <f>+F1467</f>
        <v>#REF!</v>
      </c>
      <c r="G1484" s="85"/>
      <c r="H1484" s="90"/>
    </row>
    <row r="1485" spans="2:8" ht="18" x14ac:dyDescent="0.25">
      <c r="B1485" s="96"/>
      <c r="C1485" s="96"/>
      <c r="D1485" s="96"/>
      <c r="E1485" s="85" t="s">
        <v>188</v>
      </c>
      <c r="F1485" s="106">
        <v>0</v>
      </c>
      <c r="G1485" s="85"/>
      <c r="H1485" s="90"/>
    </row>
    <row r="1486" spans="2:8" ht="18" x14ac:dyDescent="0.25">
      <c r="B1486" s="99">
        <f>+$G$30</f>
        <v>46037</v>
      </c>
      <c r="C1486" s="105" t="e">
        <f>+F1468</f>
        <v>#REF!</v>
      </c>
      <c r="D1486" s="85"/>
      <c r="E1486" s="85" t="s">
        <v>83</v>
      </c>
      <c r="F1486" s="106" t="e">
        <f>+F1468</f>
        <v>#REF!</v>
      </c>
      <c r="G1486" s="85"/>
      <c r="H1486" s="90"/>
    </row>
    <row r="1487" spans="2:8" ht="18" x14ac:dyDescent="0.25">
      <c r="B1487" s="85"/>
      <c r="C1487" s="85"/>
      <c r="D1487" s="85"/>
      <c r="E1487" s="85"/>
      <c r="F1487" s="85"/>
      <c r="G1487" s="85"/>
      <c r="H1487" s="90"/>
    </row>
    <row r="1488" spans="2:8" ht="18" x14ac:dyDescent="0.25">
      <c r="B1488" s="85"/>
      <c r="C1488" s="85"/>
      <c r="D1488" s="85"/>
      <c r="E1488" s="85"/>
      <c r="F1488" s="85"/>
      <c r="G1488" s="345"/>
      <c r="H1488" s="345"/>
    </row>
    <row r="1489" spans="2:8" ht="18" x14ac:dyDescent="0.25">
      <c r="B1489" s="85"/>
      <c r="C1489" s="85"/>
      <c r="D1489" s="85"/>
      <c r="E1489" s="85"/>
      <c r="F1489" s="85"/>
      <c r="G1489" s="85"/>
      <c r="H1489" s="90"/>
    </row>
    <row r="1490" spans="2:8" ht="18" x14ac:dyDescent="0.25">
      <c r="B1490" s="85"/>
      <c r="C1490" s="85"/>
      <c r="D1490" s="85"/>
      <c r="E1490" s="85"/>
      <c r="F1490" s="85"/>
      <c r="G1490" s="85"/>
      <c r="H1490" s="90"/>
    </row>
    <row r="1491" spans="2:8" ht="18" x14ac:dyDescent="0.25">
      <c r="B1491" s="85"/>
      <c r="C1491" s="85"/>
      <c r="D1491" s="85"/>
      <c r="E1491" s="85"/>
      <c r="F1491" s="85"/>
      <c r="G1491" s="85"/>
      <c r="H1491" s="90"/>
    </row>
    <row r="1492" spans="2:8" ht="18" x14ac:dyDescent="0.25">
      <c r="B1492" s="85"/>
      <c r="C1492" s="85"/>
      <c r="D1492" s="85"/>
      <c r="E1492" s="85"/>
      <c r="F1492" s="85"/>
      <c r="H1492" s="90"/>
    </row>
    <row r="1493" spans="2:8" ht="18" x14ac:dyDescent="0.25">
      <c r="B1493" s="85"/>
      <c r="C1493" s="85"/>
      <c r="D1493" s="85"/>
      <c r="E1493" s="85"/>
      <c r="F1493" s="85"/>
      <c r="H1493" s="90"/>
    </row>
    <row r="1494" spans="2:8" ht="18" x14ac:dyDescent="0.25">
      <c r="B1494" s="343"/>
      <c r="C1494" s="343"/>
      <c r="D1494" s="343"/>
      <c r="E1494" s="85"/>
      <c r="F1494" s="85"/>
      <c r="H1494" s="90"/>
    </row>
    <row r="1495" spans="2:8" ht="18" x14ac:dyDescent="0.25">
      <c r="B1495" s="343"/>
      <c r="C1495" s="343"/>
      <c r="D1495" s="343"/>
      <c r="E1495" s="98">
        <f>+$B$1</f>
        <v>46143</v>
      </c>
      <c r="F1495" s="85"/>
      <c r="G1495" s="99">
        <f>+$D$1</f>
        <v>46037</v>
      </c>
      <c r="H1495" s="160"/>
    </row>
    <row r="1496" spans="2:8" ht="18" x14ac:dyDescent="0.25">
      <c r="B1496" s="84"/>
      <c r="C1496" s="84"/>
      <c r="D1496" s="100"/>
      <c r="E1496" s="98"/>
      <c r="F1496" s="85"/>
    </row>
    <row r="1497" spans="2:8" ht="18" x14ac:dyDescent="0.25">
      <c r="B1497" s="85" t="e">
        <f>+#REF!</f>
        <v>#REF!</v>
      </c>
      <c r="C1497" s="85"/>
      <c r="D1497" s="85"/>
      <c r="F1497" s="85"/>
    </row>
    <row r="1498" spans="2:8" ht="18" x14ac:dyDescent="0.25">
      <c r="C1498" s="85"/>
      <c r="D1498" s="85"/>
      <c r="E1498" s="85" t="str">
        <f>+$E$1</f>
        <v>Lima 461 C:A:B:A:</v>
      </c>
      <c r="F1498" s="85"/>
      <c r="H1498" s="90" t="s">
        <v>123</v>
      </c>
    </row>
    <row r="1499" spans="2:8" ht="18" x14ac:dyDescent="0.25">
      <c r="B1499" s="86"/>
      <c r="C1499" s="85"/>
      <c r="D1499" s="85"/>
      <c r="F1499" s="85"/>
      <c r="G1499" s="86"/>
    </row>
    <row r="1500" spans="2:8" ht="18" x14ac:dyDescent="0.25">
      <c r="B1500" s="85"/>
      <c r="C1500" s="85"/>
      <c r="D1500" s="85"/>
      <c r="E1500" s="86"/>
      <c r="F1500" s="86"/>
      <c r="G1500" s="85"/>
      <c r="H1500" s="94"/>
    </row>
    <row r="1501" spans="2:8" ht="18" x14ac:dyDescent="0.25">
      <c r="B1501" s="94"/>
      <c r="C1501" s="85"/>
      <c r="D1501" s="94"/>
      <c r="E1501" s="85"/>
      <c r="F1501" s="85"/>
      <c r="G1501" s="85"/>
      <c r="H1501" s="90"/>
    </row>
    <row r="1502" spans="2:8" ht="18" x14ac:dyDescent="0.25">
      <c r="B1502" s="85" t="s">
        <v>198</v>
      </c>
      <c r="C1502" s="85"/>
      <c r="D1502" s="107">
        <f>+'RES CUENTA'!$L$25</f>
        <v>10859801.41</v>
      </c>
      <c r="E1502" s="108" t="e">
        <f>+'RES CUENTA'!#REF!</f>
        <v>#REF!</v>
      </c>
      <c r="F1502" s="103" t="e">
        <f>+D1502*E1502/100</f>
        <v>#REF!</v>
      </c>
      <c r="G1502" s="85"/>
      <c r="H1502" s="94"/>
    </row>
    <row r="1503" spans="2:8" ht="18" x14ac:dyDescent="0.25">
      <c r="B1503" s="85" t="s">
        <v>199</v>
      </c>
      <c r="C1503" s="85"/>
      <c r="D1503" s="107" t="e">
        <f>+'RES CUENTA'!#REF!</f>
        <v>#REF!</v>
      </c>
      <c r="E1503" s="108" t="e">
        <f>+'RES CUENTA'!#REF!</f>
        <v>#REF!</v>
      </c>
      <c r="F1503" s="103" t="e">
        <f>+D1503*E1503/100</f>
        <v>#REF!</v>
      </c>
      <c r="G1503" s="94"/>
      <c r="H1503" s="89"/>
    </row>
    <row r="1504" spans="2:8" ht="18" x14ac:dyDescent="0.25">
      <c r="B1504" s="85" t="s">
        <v>79</v>
      </c>
      <c r="C1504" s="85"/>
      <c r="D1504" s="107" t="e">
        <f>+'RES CUENTA'!#REF!</f>
        <v>#REF!</v>
      </c>
      <c r="E1504" s="108">
        <f>+'RES CUENTA'!P599</f>
        <v>0</v>
      </c>
      <c r="F1504" s="103" t="e">
        <f>+D1504</f>
        <v>#REF!</v>
      </c>
      <c r="G1504" s="89"/>
      <c r="H1504" s="89"/>
    </row>
    <row r="1505" spans="2:8" ht="18" x14ac:dyDescent="0.25">
      <c r="B1505" s="85" t="s">
        <v>80</v>
      </c>
      <c r="C1505" s="85"/>
      <c r="D1505" s="107" t="e">
        <f>+'RES CUENTA'!#REF!</f>
        <v>#REF!</v>
      </c>
      <c r="E1505" s="108">
        <f>+'RES CUENTA'!R594</f>
        <v>0</v>
      </c>
      <c r="F1505" s="103" t="e">
        <f>+D1505</f>
        <v>#REF!</v>
      </c>
      <c r="G1505" s="89"/>
      <c r="H1505" s="89"/>
    </row>
    <row r="1506" spans="2:8" ht="18" x14ac:dyDescent="0.25">
      <c r="B1506" s="86"/>
      <c r="C1506" s="85"/>
      <c r="D1506" s="85"/>
      <c r="F1506" s="104" t="e">
        <f>SUM(F1502:F1505)</f>
        <v>#REF!</v>
      </c>
      <c r="G1506" s="89"/>
      <c r="H1506" s="89"/>
    </row>
    <row r="1507" spans="2:8" ht="18" x14ac:dyDescent="0.25">
      <c r="B1507" s="86"/>
      <c r="C1507" s="85"/>
      <c r="D1507" s="85"/>
      <c r="F1507" s="91"/>
      <c r="G1507" s="89"/>
      <c r="H1507" s="90"/>
    </row>
    <row r="1508" spans="2:8" ht="18" x14ac:dyDescent="0.25">
      <c r="B1508" s="86"/>
      <c r="C1508" s="85"/>
      <c r="D1508" s="85"/>
      <c r="F1508" s="91"/>
      <c r="G1508" s="89"/>
      <c r="H1508" s="90"/>
    </row>
    <row r="1509" spans="2:8" ht="18" x14ac:dyDescent="0.25">
      <c r="B1509" s="85"/>
      <c r="C1509" s="85"/>
      <c r="D1509" s="85"/>
      <c r="E1509" s="85"/>
      <c r="F1509" s="92"/>
      <c r="G1509" s="90"/>
      <c r="H1509" s="90"/>
    </row>
    <row r="1510" spans="2:8" ht="18" x14ac:dyDescent="0.25">
      <c r="B1510" s="85"/>
      <c r="C1510" s="85"/>
      <c r="D1510" s="85"/>
      <c r="E1510" s="85"/>
      <c r="F1510" s="92"/>
      <c r="G1510" s="90"/>
      <c r="H1510" s="90"/>
    </row>
    <row r="1511" spans="2:8" ht="18" x14ac:dyDescent="0.25">
      <c r="B1511" s="85"/>
      <c r="C1511" s="85"/>
      <c r="D1511" s="85"/>
      <c r="E1511" s="85"/>
      <c r="F1511" s="92"/>
      <c r="G1511" s="90"/>
      <c r="H1511" s="90"/>
    </row>
    <row r="1512" spans="2:8" ht="18" x14ac:dyDescent="0.25">
      <c r="B1512" s="85" t="e">
        <f>+B1497</f>
        <v>#REF!</v>
      </c>
      <c r="C1512" s="85"/>
      <c r="D1512" s="85"/>
      <c r="E1512" s="85" t="e">
        <f>+B1497</f>
        <v>#REF!</v>
      </c>
      <c r="F1512" s="85"/>
      <c r="G1512" s="85"/>
      <c r="H1512" s="94"/>
    </row>
    <row r="1513" spans="2:8" ht="18" x14ac:dyDescent="0.25">
      <c r="B1513" s="86"/>
      <c r="C1513" s="85"/>
      <c r="D1513" s="85"/>
      <c r="F1513" s="85"/>
      <c r="G1513" s="101"/>
      <c r="H1513" s="90" t="str">
        <f>+H1498</f>
        <v>Unid. 40</v>
      </c>
    </row>
    <row r="1514" spans="2:8" ht="18" x14ac:dyDescent="0.25">
      <c r="B1514" s="85" t="str">
        <f>+$E$1</f>
        <v>Lima 461 C:A:B:A:</v>
      </c>
      <c r="C1514" s="85"/>
      <c r="D1514" s="93" t="str">
        <f>+H1513</f>
        <v>Unid. 40</v>
      </c>
      <c r="E1514" s="85" t="str">
        <f>+$E$1</f>
        <v>Lima 461 C:A:B:A:</v>
      </c>
      <c r="F1514" s="85"/>
      <c r="G1514" s="85"/>
      <c r="H1514" s="94"/>
    </row>
    <row r="1515" spans="2:8" ht="18" x14ac:dyDescent="0.25">
      <c r="B1515" s="86"/>
      <c r="C1515" s="86"/>
      <c r="D1515" s="86"/>
      <c r="F1515" s="85"/>
      <c r="G1515" s="85"/>
    </row>
    <row r="1516" spans="2:8" ht="18" x14ac:dyDescent="0.25">
      <c r="B1516" s="85"/>
      <c r="C1516" s="85"/>
      <c r="D1516" s="85"/>
      <c r="E1516" s="86"/>
      <c r="F1516" s="85"/>
      <c r="G1516" s="85"/>
      <c r="H1516" s="94"/>
    </row>
    <row r="1517" spans="2:8" ht="18" x14ac:dyDescent="0.25">
      <c r="B1517" s="85">
        <f>+$E$2</f>
        <v>0</v>
      </c>
      <c r="C1517" s="85"/>
      <c r="D1517" s="85"/>
      <c r="E1517" s="85"/>
      <c r="F1517" s="96"/>
      <c r="G1517" s="86"/>
      <c r="H1517" s="90"/>
    </row>
    <row r="1518" spans="2:8" ht="18" x14ac:dyDescent="0.25">
      <c r="B1518" s="85">
        <f>+$E$3</f>
        <v>0</v>
      </c>
      <c r="C1518" s="85"/>
      <c r="D1518" s="85"/>
      <c r="E1518" s="96"/>
      <c r="G1518" s="94"/>
      <c r="H1518" s="96"/>
    </row>
    <row r="1519" spans="2:8" ht="18" x14ac:dyDescent="0.25">
      <c r="B1519" s="86"/>
      <c r="C1519" s="85"/>
      <c r="D1519" s="85"/>
      <c r="E1519" s="85" t="s">
        <v>200</v>
      </c>
      <c r="F1519" s="106" t="e">
        <f>+F1502</f>
        <v>#REF!</v>
      </c>
      <c r="G1519" s="95"/>
      <c r="H1519" s="99">
        <f>+B1523</f>
        <v>46037</v>
      </c>
    </row>
    <row r="1520" spans="2:8" ht="18" x14ac:dyDescent="0.25">
      <c r="B1520" s="86"/>
      <c r="C1520" s="85"/>
      <c r="D1520" s="85"/>
      <c r="E1520" s="85" t="s">
        <v>201</v>
      </c>
      <c r="F1520" s="106" t="e">
        <f>+F1503</f>
        <v>#REF!</v>
      </c>
      <c r="H1520" s="90"/>
    </row>
    <row r="1521" spans="2:8" ht="18" x14ac:dyDescent="0.25">
      <c r="B1521" s="85"/>
      <c r="C1521" s="85"/>
      <c r="D1521" s="85"/>
      <c r="E1521" s="85" t="s">
        <v>81</v>
      </c>
      <c r="F1521" s="106" t="e">
        <f>+F1504</f>
        <v>#REF!</v>
      </c>
      <c r="G1521" s="85"/>
      <c r="H1521" s="90"/>
    </row>
    <row r="1522" spans="2:8" ht="18" x14ac:dyDescent="0.25">
      <c r="B1522" s="96"/>
      <c r="C1522" s="96"/>
      <c r="D1522" s="96"/>
      <c r="E1522" s="85" t="s">
        <v>82</v>
      </c>
      <c r="F1522" s="106" t="e">
        <f>+F1505</f>
        <v>#REF!</v>
      </c>
      <c r="G1522" s="85"/>
      <c r="H1522" s="90"/>
    </row>
    <row r="1523" spans="2:8" ht="18" x14ac:dyDescent="0.25">
      <c r="B1523" s="99">
        <f>+$G$30</f>
        <v>46037</v>
      </c>
      <c r="C1523" s="105" t="e">
        <f>+F1506</f>
        <v>#REF!</v>
      </c>
      <c r="D1523" s="85"/>
      <c r="E1523" s="85" t="s">
        <v>188</v>
      </c>
      <c r="F1523" s="106">
        <v>0</v>
      </c>
      <c r="G1523" s="85"/>
      <c r="H1523" s="90"/>
    </row>
    <row r="1524" spans="2:8" ht="18" x14ac:dyDescent="0.25">
      <c r="B1524" s="85"/>
      <c r="C1524" s="85"/>
      <c r="D1524" s="85"/>
      <c r="E1524" s="85" t="s">
        <v>83</v>
      </c>
      <c r="F1524" s="106" t="e">
        <f>+F1506</f>
        <v>#REF!</v>
      </c>
      <c r="G1524" s="85"/>
      <c r="H1524" s="90"/>
    </row>
    <row r="1525" spans="2:8" ht="18" x14ac:dyDescent="0.25">
      <c r="B1525" s="85"/>
      <c r="C1525" s="85"/>
      <c r="D1525" s="85"/>
      <c r="E1525" s="85"/>
      <c r="F1525" s="85"/>
      <c r="G1525" s="85"/>
      <c r="H1525" s="90"/>
    </row>
    <row r="1526" spans="2:8" ht="18" x14ac:dyDescent="0.25">
      <c r="B1526" s="85"/>
      <c r="C1526" s="85"/>
      <c r="D1526" s="85"/>
      <c r="E1526" s="102"/>
      <c r="F1526" s="85"/>
      <c r="G1526" s="85"/>
      <c r="H1526" s="90"/>
    </row>
    <row r="1527" spans="2:8" ht="18" x14ac:dyDescent="0.25">
      <c r="B1527" s="85"/>
      <c r="C1527" s="85"/>
      <c r="D1527" s="85"/>
      <c r="E1527" s="85"/>
      <c r="F1527" s="85"/>
      <c r="G1527" s="85"/>
      <c r="H1527" s="94"/>
    </row>
    <row r="1528" spans="2:8" ht="18" x14ac:dyDescent="0.25">
      <c r="E1528" s="85"/>
      <c r="G1528" s="94"/>
      <c r="H1528" s="90"/>
    </row>
    <row r="1530" spans="2:8" ht="18" x14ac:dyDescent="0.25">
      <c r="B1530" s="343"/>
      <c r="C1530" s="343"/>
      <c r="D1530" s="343"/>
      <c r="E1530" s="342">
        <f>+$B$1</f>
        <v>46143</v>
      </c>
      <c r="F1530" s="85"/>
      <c r="G1530" s="337">
        <f>+$D$1</f>
        <v>46037</v>
      </c>
      <c r="H1530" s="90"/>
    </row>
    <row r="1531" spans="2:8" ht="18" x14ac:dyDescent="0.25">
      <c r="B1531" s="84"/>
      <c r="C1531" s="84"/>
      <c r="D1531" s="100"/>
      <c r="E1531" s="342"/>
      <c r="F1531" s="85"/>
      <c r="G1531" s="337"/>
      <c r="H1531" s="90"/>
    </row>
    <row r="1532" spans="2:8" ht="18" x14ac:dyDescent="0.25">
      <c r="B1532" s="85"/>
      <c r="C1532" s="85"/>
      <c r="D1532" s="85"/>
      <c r="E1532" s="86"/>
      <c r="F1532" s="85"/>
      <c r="G1532" s="86"/>
      <c r="H1532" s="90"/>
    </row>
    <row r="1533" spans="2:8" ht="18" x14ac:dyDescent="0.25">
      <c r="B1533" s="85" t="e">
        <f>+#REF!</f>
        <v>#REF!</v>
      </c>
      <c r="C1533" s="85"/>
      <c r="D1533" s="85"/>
      <c r="E1533" s="86"/>
      <c r="F1533" s="85"/>
      <c r="G1533" s="86"/>
      <c r="H1533" s="90"/>
    </row>
    <row r="1534" spans="2:8" ht="18" x14ac:dyDescent="0.25">
      <c r="B1534" s="86"/>
      <c r="C1534" s="85"/>
      <c r="D1534" s="85"/>
      <c r="E1534" s="85" t="s">
        <v>78</v>
      </c>
      <c r="F1534" s="85"/>
      <c r="G1534" s="85"/>
      <c r="H1534" s="90" t="s">
        <v>124</v>
      </c>
    </row>
    <row r="1535" spans="2:8" ht="18" x14ac:dyDescent="0.25">
      <c r="B1535" s="85"/>
      <c r="C1535" s="85"/>
      <c r="D1535" s="85"/>
      <c r="E1535" s="86"/>
      <c r="F1535" s="86"/>
      <c r="G1535" s="85"/>
      <c r="H1535" s="94"/>
    </row>
    <row r="1536" spans="2:8" ht="18" x14ac:dyDescent="0.25">
      <c r="B1536" s="94"/>
      <c r="C1536" s="85"/>
      <c r="D1536" s="94"/>
      <c r="E1536" s="85"/>
      <c r="F1536" s="85"/>
      <c r="G1536" s="85"/>
      <c r="H1536" s="90"/>
    </row>
    <row r="1537" spans="2:8" ht="18" x14ac:dyDescent="0.25">
      <c r="B1537" s="94"/>
      <c r="C1537" s="85"/>
      <c r="D1537" s="94"/>
      <c r="E1537" s="85"/>
      <c r="F1537" s="85"/>
      <c r="G1537" s="85"/>
      <c r="H1537" s="90"/>
    </row>
    <row r="1538" spans="2:8" ht="18" x14ac:dyDescent="0.25">
      <c r="B1538" s="85" t="s">
        <v>198</v>
      </c>
      <c r="C1538" s="85"/>
      <c r="D1538" s="107">
        <f>+'RES CUENTA'!$L$25</f>
        <v>10859801.41</v>
      </c>
      <c r="E1538" s="108" t="e">
        <f>+'RES CUENTA'!#REF!</f>
        <v>#REF!</v>
      </c>
      <c r="F1538" s="103" t="e">
        <f>+D1538*E1538/100</f>
        <v>#REF!</v>
      </c>
      <c r="G1538" s="345"/>
      <c r="H1538" s="345"/>
    </row>
    <row r="1539" spans="2:8" ht="18" x14ac:dyDescent="0.25">
      <c r="B1539" s="85" t="s">
        <v>199</v>
      </c>
      <c r="C1539" s="85"/>
      <c r="D1539" s="107" t="e">
        <f>+'RES CUENTA'!#REF!</f>
        <v>#REF!</v>
      </c>
      <c r="E1539" s="108" t="e">
        <f>+'RES CUENTA'!#REF!</f>
        <v>#REF!</v>
      </c>
      <c r="F1539" s="103" t="e">
        <f>+D1539*E1539/100</f>
        <v>#REF!</v>
      </c>
      <c r="G1539" s="341"/>
      <c r="H1539" s="341"/>
    </row>
    <row r="1540" spans="2:8" ht="18" x14ac:dyDescent="0.25">
      <c r="B1540" s="85" t="s">
        <v>79</v>
      </c>
      <c r="C1540" s="85"/>
      <c r="D1540" s="107" t="e">
        <f>+'RES CUENTA'!#REF!</f>
        <v>#REF!</v>
      </c>
      <c r="E1540" s="108">
        <v>0</v>
      </c>
      <c r="F1540" s="103" t="e">
        <f>+D1540</f>
        <v>#REF!</v>
      </c>
      <c r="G1540" s="341"/>
      <c r="H1540" s="341"/>
    </row>
    <row r="1541" spans="2:8" ht="18" x14ac:dyDescent="0.25">
      <c r="B1541" s="85" t="s">
        <v>80</v>
      </c>
      <c r="C1541" s="85"/>
      <c r="D1541" s="107" t="e">
        <f>+'RES CUENTA'!#REF!</f>
        <v>#REF!</v>
      </c>
      <c r="E1541" s="108">
        <v>0</v>
      </c>
      <c r="F1541" s="103" t="e">
        <f>+D1541</f>
        <v>#REF!</v>
      </c>
      <c r="G1541" s="341"/>
      <c r="H1541" s="341"/>
    </row>
    <row r="1542" spans="2:8" ht="18" x14ac:dyDescent="0.25">
      <c r="B1542" s="86"/>
      <c r="C1542" s="85"/>
      <c r="D1542" s="85"/>
      <c r="E1542" s="92"/>
      <c r="F1542" s="104" t="e">
        <f>SUM(F1538:F1541)</f>
        <v>#REF!</v>
      </c>
      <c r="G1542" s="341"/>
      <c r="H1542" s="341"/>
    </row>
    <row r="1543" spans="2:8" ht="18" x14ac:dyDescent="0.25">
      <c r="B1543" s="86"/>
      <c r="C1543" s="85"/>
      <c r="D1543" s="85"/>
      <c r="E1543" s="92"/>
      <c r="F1543" s="104"/>
      <c r="G1543" s="89"/>
      <c r="H1543" s="89"/>
    </row>
    <row r="1544" spans="2:8" ht="18" x14ac:dyDescent="0.25">
      <c r="B1544" s="86"/>
      <c r="C1544" s="85"/>
      <c r="D1544" s="85"/>
      <c r="E1544" s="85"/>
      <c r="G1544" s="338"/>
      <c r="H1544" s="338"/>
    </row>
    <row r="1545" spans="2:8" ht="18" x14ac:dyDescent="0.25">
      <c r="B1545" s="85"/>
      <c r="C1545" s="85"/>
      <c r="D1545" s="85"/>
      <c r="E1545" s="85"/>
      <c r="F1545" s="91"/>
      <c r="G1545" s="90"/>
      <c r="H1545" s="90"/>
    </row>
    <row r="1546" spans="2:8" ht="18" x14ac:dyDescent="0.25">
      <c r="B1546" s="85"/>
      <c r="C1546" s="85"/>
      <c r="D1546" s="85"/>
      <c r="E1546" s="85"/>
      <c r="F1546" s="92"/>
      <c r="G1546" s="85"/>
      <c r="H1546" s="90"/>
    </row>
    <row r="1547" spans="2:8" ht="18" x14ac:dyDescent="0.25">
      <c r="B1547" s="85"/>
      <c r="C1547" s="85"/>
      <c r="D1547" s="85"/>
      <c r="E1547" s="85"/>
      <c r="F1547" s="92"/>
      <c r="G1547" s="85"/>
      <c r="H1547" s="90"/>
    </row>
    <row r="1548" spans="2:8" ht="18" x14ac:dyDescent="0.25">
      <c r="B1548" s="85" t="e">
        <f>+B1533</f>
        <v>#REF!</v>
      </c>
      <c r="C1548" s="344"/>
      <c r="D1548" s="344"/>
      <c r="E1548" s="85" t="e">
        <f>+B1548</f>
        <v>#REF!</v>
      </c>
      <c r="F1548" s="92"/>
      <c r="G1548" s="85"/>
      <c r="H1548" s="90"/>
    </row>
    <row r="1549" spans="2:8" ht="18" x14ac:dyDescent="0.25">
      <c r="C1549" s="85"/>
      <c r="D1549" s="85"/>
      <c r="F1549" s="344"/>
      <c r="G1549" s="344"/>
      <c r="H1549" s="344"/>
    </row>
    <row r="1550" spans="2:8" ht="18" x14ac:dyDescent="0.25">
      <c r="B1550" s="85" t="str">
        <f>+$E$1</f>
        <v>Lima 461 C:A:B:A:</v>
      </c>
      <c r="C1550" s="85"/>
      <c r="D1550" s="93" t="str">
        <f>+H1534</f>
        <v>Unid. 41</v>
      </c>
      <c r="E1550" s="85" t="str">
        <f>+$E$1</f>
        <v>Lima 461 C:A:B:A:</v>
      </c>
      <c r="F1550" s="85"/>
      <c r="G1550" s="85"/>
      <c r="H1550" s="90" t="str">
        <f>+D1550</f>
        <v>Unid. 41</v>
      </c>
    </row>
    <row r="1551" spans="2:8" ht="18" x14ac:dyDescent="0.25">
      <c r="H1551" s="94"/>
    </row>
    <row r="1552" spans="2:8" ht="18" x14ac:dyDescent="0.25">
      <c r="B1552" s="86"/>
      <c r="C1552" s="86"/>
      <c r="D1552" s="86"/>
      <c r="E1552" s="86"/>
      <c r="F1552" s="85"/>
      <c r="G1552" s="85"/>
    </row>
    <row r="1553" spans="2:8" ht="18" x14ac:dyDescent="0.25">
      <c r="B1553" s="85">
        <f>+$E$2</f>
        <v>0</v>
      </c>
      <c r="C1553" s="85"/>
      <c r="D1553" s="85"/>
      <c r="E1553" s="85"/>
      <c r="F1553" s="85"/>
      <c r="G1553" s="86"/>
      <c r="H1553" s="94"/>
    </row>
    <row r="1554" spans="2:8" ht="18" x14ac:dyDescent="0.25">
      <c r="B1554" s="85">
        <f>+$E$3</f>
        <v>0</v>
      </c>
      <c r="C1554" s="85"/>
      <c r="D1554" s="85"/>
      <c r="E1554" s="96"/>
      <c r="F1554" s="85"/>
      <c r="G1554" s="94"/>
      <c r="H1554" s="90"/>
    </row>
    <row r="1555" spans="2:8" ht="18" x14ac:dyDescent="0.25">
      <c r="C1555" s="85"/>
      <c r="D1555" s="85"/>
      <c r="E1555" s="85" t="s">
        <v>200</v>
      </c>
      <c r="F1555" s="106" t="e">
        <f>+F1538</f>
        <v>#REF!</v>
      </c>
      <c r="H1555" s="99">
        <f>+B1560</f>
        <v>46037</v>
      </c>
    </row>
    <row r="1556" spans="2:8" ht="18" x14ac:dyDescent="0.25">
      <c r="B1556" s="86"/>
      <c r="C1556" s="85"/>
      <c r="D1556" s="85"/>
      <c r="E1556" s="85" t="s">
        <v>201</v>
      </c>
      <c r="F1556" s="106" t="e">
        <f>+F1539</f>
        <v>#REF!</v>
      </c>
    </row>
    <row r="1557" spans="2:8" ht="18" x14ac:dyDescent="0.25">
      <c r="B1557" s="86"/>
      <c r="C1557" s="85"/>
      <c r="D1557" s="85"/>
      <c r="E1557" s="85" t="s">
        <v>81</v>
      </c>
      <c r="F1557" s="106" t="e">
        <f>+F1540</f>
        <v>#REF!</v>
      </c>
      <c r="G1557" s="85"/>
      <c r="H1557" s="90"/>
    </row>
    <row r="1558" spans="2:8" ht="18" x14ac:dyDescent="0.25">
      <c r="B1558" s="85"/>
      <c r="C1558" s="85"/>
      <c r="D1558" s="85"/>
      <c r="E1558" s="85" t="s">
        <v>82</v>
      </c>
      <c r="F1558" s="106" t="e">
        <f>+F1541</f>
        <v>#REF!</v>
      </c>
      <c r="G1558" s="85"/>
      <c r="H1558" s="90"/>
    </row>
    <row r="1559" spans="2:8" ht="18" x14ac:dyDescent="0.25">
      <c r="B1559" s="96"/>
      <c r="C1559" s="96"/>
      <c r="D1559" s="96"/>
      <c r="E1559" s="85" t="s">
        <v>188</v>
      </c>
      <c r="F1559" s="106">
        <v>0</v>
      </c>
      <c r="G1559" s="85"/>
      <c r="H1559" s="90"/>
    </row>
    <row r="1560" spans="2:8" ht="18" x14ac:dyDescent="0.25">
      <c r="B1560" s="99">
        <f>+$G$30</f>
        <v>46037</v>
      </c>
      <c r="C1560" s="105" t="e">
        <f>+F1542</f>
        <v>#REF!</v>
      </c>
      <c r="D1560" s="85"/>
      <c r="E1560" s="85" t="s">
        <v>83</v>
      </c>
      <c r="F1560" s="106" t="e">
        <f>+F1542</f>
        <v>#REF!</v>
      </c>
      <c r="G1560" s="85"/>
      <c r="H1560" s="90"/>
    </row>
    <row r="1561" spans="2:8" ht="18" x14ac:dyDescent="0.25">
      <c r="B1561" s="85"/>
      <c r="C1561" s="85"/>
      <c r="D1561" s="85"/>
      <c r="E1561" s="85"/>
      <c r="F1561" s="85"/>
      <c r="G1561" s="85"/>
      <c r="H1561" s="90"/>
    </row>
    <row r="1562" spans="2:8" ht="18" x14ac:dyDescent="0.25">
      <c r="B1562" s="85"/>
      <c r="C1562" s="85"/>
      <c r="D1562" s="85"/>
      <c r="E1562" s="85"/>
      <c r="F1562" s="85"/>
      <c r="G1562" s="345"/>
      <c r="H1562" s="345"/>
    </row>
    <row r="1563" spans="2:8" ht="18" x14ac:dyDescent="0.25">
      <c r="B1563" s="85"/>
      <c r="C1563" s="85"/>
      <c r="D1563" s="85"/>
      <c r="E1563" s="85"/>
      <c r="F1563" s="85"/>
      <c r="G1563" s="85"/>
      <c r="H1563" s="90"/>
    </row>
    <row r="1564" spans="2:8" ht="18" x14ac:dyDescent="0.25">
      <c r="B1564" s="85"/>
      <c r="C1564" s="85"/>
      <c r="D1564" s="85"/>
      <c r="E1564" s="85"/>
      <c r="F1564" s="85"/>
      <c r="G1564" s="85"/>
      <c r="H1564" s="90"/>
    </row>
    <row r="1565" spans="2:8" ht="18" x14ac:dyDescent="0.25">
      <c r="B1565" s="85"/>
      <c r="C1565" s="85"/>
      <c r="D1565" s="85"/>
      <c r="E1565" s="85"/>
      <c r="F1565" s="85"/>
      <c r="G1565" s="85"/>
      <c r="H1565" s="90"/>
    </row>
    <row r="1566" spans="2:8" ht="18" x14ac:dyDescent="0.25">
      <c r="B1566" s="85"/>
      <c r="C1566" s="85"/>
      <c r="D1566" s="85"/>
      <c r="E1566" s="85"/>
      <c r="F1566" s="85"/>
      <c r="H1566" s="90"/>
    </row>
    <row r="1567" spans="2:8" ht="18" x14ac:dyDescent="0.25">
      <c r="B1567" s="85"/>
      <c r="C1567" s="85"/>
      <c r="D1567" s="85"/>
      <c r="E1567" s="85"/>
      <c r="F1567" s="85"/>
      <c r="H1567" s="90"/>
    </row>
    <row r="1568" spans="2:8" ht="18" x14ac:dyDescent="0.25">
      <c r="B1568" s="343"/>
      <c r="C1568" s="343"/>
      <c r="D1568" s="343"/>
      <c r="E1568" s="85"/>
      <c r="F1568" s="85"/>
      <c r="H1568" s="90"/>
    </row>
    <row r="1569" spans="2:8" ht="18" x14ac:dyDescent="0.25">
      <c r="B1569" s="343"/>
      <c r="C1569" s="343"/>
      <c r="D1569" s="343"/>
      <c r="E1569" s="98">
        <f>+$B$1</f>
        <v>46143</v>
      </c>
      <c r="F1569" s="85"/>
      <c r="G1569" s="99">
        <f>+$D$1</f>
        <v>46037</v>
      </c>
      <c r="H1569" s="160"/>
    </row>
    <row r="1570" spans="2:8" ht="18" x14ac:dyDescent="0.25">
      <c r="B1570" s="84"/>
      <c r="C1570" s="84"/>
      <c r="D1570" s="100"/>
      <c r="E1570" s="98"/>
      <c r="F1570" s="85"/>
    </row>
    <row r="1571" spans="2:8" ht="18" x14ac:dyDescent="0.25">
      <c r="B1571" s="85" t="e">
        <f>+#REF!</f>
        <v>#REF!</v>
      </c>
      <c r="C1571" s="85"/>
      <c r="D1571" s="85"/>
      <c r="F1571" s="85"/>
    </row>
    <row r="1572" spans="2:8" ht="18" x14ac:dyDescent="0.25">
      <c r="C1572" s="85"/>
      <c r="D1572" s="85"/>
      <c r="E1572" s="85" t="str">
        <f>+$E$1</f>
        <v>Lima 461 C:A:B:A:</v>
      </c>
      <c r="F1572" s="85"/>
      <c r="H1572" s="90" t="s">
        <v>125</v>
      </c>
    </row>
    <row r="1573" spans="2:8" ht="18" x14ac:dyDescent="0.25">
      <c r="B1573" s="86"/>
      <c r="C1573" s="85"/>
      <c r="D1573" s="85"/>
      <c r="F1573" s="85"/>
      <c r="G1573" s="86"/>
    </row>
    <row r="1574" spans="2:8" ht="18" x14ac:dyDescent="0.25">
      <c r="B1574" s="85"/>
      <c r="C1574" s="85"/>
      <c r="D1574" s="85"/>
      <c r="E1574" s="86"/>
      <c r="F1574" s="86"/>
      <c r="G1574" s="85"/>
      <c r="H1574" s="94"/>
    </row>
    <row r="1575" spans="2:8" ht="18" x14ac:dyDescent="0.25">
      <c r="B1575" s="94"/>
      <c r="C1575" s="85"/>
      <c r="D1575" s="94"/>
      <c r="E1575" s="85"/>
      <c r="F1575" s="85"/>
      <c r="G1575" s="85"/>
      <c r="H1575" s="90"/>
    </row>
    <row r="1576" spans="2:8" ht="18" x14ac:dyDescent="0.25">
      <c r="B1576" s="85" t="s">
        <v>198</v>
      </c>
      <c r="C1576" s="85"/>
      <c r="D1576" s="107">
        <f>+'RES CUENTA'!$L$25</f>
        <v>10859801.41</v>
      </c>
      <c r="E1576" s="108" t="e">
        <f>+'RES CUENTA'!#REF!</f>
        <v>#REF!</v>
      </c>
      <c r="F1576" s="103" t="e">
        <f>+D1576*E1576/100</f>
        <v>#REF!</v>
      </c>
      <c r="G1576" s="85"/>
      <c r="H1576" s="94"/>
    </row>
    <row r="1577" spans="2:8" ht="18" x14ac:dyDescent="0.25">
      <c r="B1577" s="85" t="s">
        <v>199</v>
      </c>
      <c r="C1577" s="85"/>
      <c r="D1577" s="107" t="e">
        <f>+'RES CUENTA'!#REF!</f>
        <v>#REF!</v>
      </c>
      <c r="E1577" s="108" t="e">
        <f>+'RES CUENTA'!#REF!</f>
        <v>#REF!</v>
      </c>
      <c r="F1577" s="103" t="e">
        <f>+D1577*E1577/100</f>
        <v>#REF!</v>
      </c>
      <c r="G1577" s="94"/>
      <c r="H1577" s="89"/>
    </row>
    <row r="1578" spans="2:8" ht="18" x14ac:dyDescent="0.25">
      <c r="B1578" s="85" t="s">
        <v>79</v>
      </c>
      <c r="C1578" s="85"/>
      <c r="D1578" s="107" t="e">
        <f>+'RES CUENTA'!#REF!</f>
        <v>#REF!</v>
      </c>
      <c r="E1578" s="108">
        <f>+'RES CUENTA'!P675</f>
        <v>0</v>
      </c>
      <c r="F1578" s="103" t="e">
        <f>+D1578</f>
        <v>#REF!</v>
      </c>
      <c r="G1578" s="89"/>
      <c r="H1578" s="89"/>
    </row>
    <row r="1579" spans="2:8" ht="18" x14ac:dyDescent="0.25">
      <c r="B1579" s="85" t="s">
        <v>80</v>
      </c>
      <c r="C1579" s="85"/>
      <c r="D1579" s="107" t="e">
        <f>+'RES CUENTA'!#REF!</f>
        <v>#REF!</v>
      </c>
      <c r="E1579" s="108">
        <f>+'RES CUENTA'!R670</f>
        <v>0</v>
      </c>
      <c r="F1579" s="103" t="e">
        <f>+D1579</f>
        <v>#REF!</v>
      </c>
      <c r="G1579" s="89"/>
      <c r="H1579" s="89"/>
    </row>
    <row r="1580" spans="2:8" ht="18" x14ac:dyDescent="0.25">
      <c r="B1580" s="86"/>
      <c r="C1580" s="85"/>
      <c r="D1580" s="85"/>
      <c r="F1580" s="104" t="e">
        <f>SUM(F1576:F1579)</f>
        <v>#REF!</v>
      </c>
      <c r="G1580" s="89"/>
      <c r="H1580" s="90"/>
    </row>
    <row r="1581" spans="2:8" ht="18" x14ac:dyDescent="0.25">
      <c r="B1581" s="86"/>
      <c r="C1581" s="85"/>
      <c r="D1581" s="85"/>
      <c r="F1581" s="104"/>
      <c r="G1581" s="89"/>
      <c r="H1581" s="90"/>
    </row>
    <row r="1582" spans="2:8" ht="18" x14ac:dyDescent="0.25">
      <c r="B1582" s="85"/>
      <c r="C1582" s="85"/>
      <c r="D1582" s="85"/>
      <c r="E1582" s="85"/>
      <c r="F1582" s="92"/>
      <c r="G1582" s="90"/>
      <c r="H1582" s="90"/>
    </row>
    <row r="1583" spans="2:8" ht="18" x14ac:dyDescent="0.25">
      <c r="B1583" s="85"/>
      <c r="C1583" s="85"/>
      <c r="D1583" s="85"/>
      <c r="E1583" s="85"/>
      <c r="F1583" s="92"/>
      <c r="G1583" s="90"/>
      <c r="H1583" s="90"/>
    </row>
    <row r="1584" spans="2:8" ht="18" x14ac:dyDescent="0.25">
      <c r="B1584" s="85"/>
      <c r="C1584" s="85"/>
      <c r="D1584" s="85"/>
      <c r="E1584" s="85"/>
      <c r="F1584" s="92"/>
      <c r="G1584" s="90"/>
      <c r="H1584" s="90"/>
    </row>
    <row r="1585" spans="2:8" ht="18" x14ac:dyDescent="0.25">
      <c r="B1585" s="85"/>
      <c r="C1585" s="85"/>
      <c r="D1585" s="85"/>
      <c r="E1585" s="85"/>
      <c r="F1585" s="92"/>
      <c r="G1585" s="90"/>
      <c r="H1585" s="90"/>
    </row>
    <row r="1586" spans="2:8" ht="18" x14ac:dyDescent="0.25">
      <c r="B1586" s="85" t="e">
        <f>+B1571</f>
        <v>#REF!</v>
      </c>
      <c r="C1586" s="85"/>
      <c r="D1586" s="85"/>
      <c r="E1586" s="85" t="e">
        <f>+B1571</f>
        <v>#REF!</v>
      </c>
      <c r="F1586" s="85"/>
      <c r="G1586" s="85"/>
      <c r="H1586" s="94"/>
    </row>
    <row r="1587" spans="2:8" ht="18" x14ac:dyDescent="0.25">
      <c r="B1587" s="86"/>
      <c r="C1587" s="85"/>
      <c r="D1587" s="85"/>
      <c r="F1587" s="85"/>
      <c r="G1587" s="101"/>
      <c r="H1587" s="90" t="str">
        <f>+H1572</f>
        <v>Unid. 42</v>
      </c>
    </row>
    <row r="1588" spans="2:8" ht="18" x14ac:dyDescent="0.25">
      <c r="B1588" s="85" t="str">
        <f>+$E$1</f>
        <v>Lima 461 C:A:B:A:</v>
      </c>
      <c r="C1588" s="85"/>
      <c r="D1588" s="93" t="str">
        <f>+H1587</f>
        <v>Unid. 42</v>
      </c>
      <c r="E1588" s="85" t="str">
        <f>+$E$1</f>
        <v>Lima 461 C:A:B:A:</v>
      </c>
      <c r="F1588" s="85"/>
      <c r="G1588" s="85"/>
      <c r="H1588" s="94"/>
    </row>
    <row r="1589" spans="2:8" ht="18" x14ac:dyDescent="0.25">
      <c r="B1589" s="86"/>
      <c r="C1589" s="86"/>
      <c r="D1589" s="86"/>
      <c r="F1589" s="85"/>
      <c r="G1589" s="85"/>
    </row>
    <row r="1590" spans="2:8" ht="18" x14ac:dyDescent="0.25">
      <c r="B1590" s="85"/>
      <c r="C1590" s="85"/>
      <c r="D1590" s="85"/>
      <c r="E1590" s="86"/>
      <c r="F1590" s="85"/>
      <c r="G1590" s="85"/>
      <c r="H1590" s="94"/>
    </row>
    <row r="1591" spans="2:8" ht="18" x14ac:dyDescent="0.25">
      <c r="B1591" s="85">
        <f>+$E$2</f>
        <v>0</v>
      </c>
      <c r="C1591" s="85"/>
      <c r="D1591" s="85"/>
      <c r="E1591" s="85"/>
      <c r="F1591" s="96"/>
      <c r="G1591" s="86"/>
      <c r="H1591" s="90"/>
    </row>
    <row r="1592" spans="2:8" ht="18" x14ac:dyDescent="0.25">
      <c r="B1592" s="85">
        <f>+$E$3</f>
        <v>0</v>
      </c>
      <c r="C1592" s="85"/>
      <c r="D1592" s="85"/>
      <c r="E1592" s="96"/>
      <c r="G1592" s="94"/>
      <c r="H1592" s="96"/>
    </row>
    <row r="1593" spans="2:8" ht="18" x14ac:dyDescent="0.25">
      <c r="B1593" s="86"/>
      <c r="C1593" s="85"/>
      <c r="D1593" s="85"/>
      <c r="E1593" s="85" t="s">
        <v>200</v>
      </c>
      <c r="F1593" s="106" t="e">
        <f>+F1576</f>
        <v>#REF!</v>
      </c>
      <c r="G1593" s="95"/>
      <c r="H1593" s="99">
        <f>+B1597</f>
        <v>46037</v>
      </c>
    </row>
    <row r="1594" spans="2:8" ht="18" x14ac:dyDescent="0.25">
      <c r="B1594" s="86"/>
      <c r="C1594" s="85"/>
      <c r="D1594" s="85"/>
      <c r="E1594" s="85" t="s">
        <v>201</v>
      </c>
      <c r="F1594" s="106" t="e">
        <f>+F1577</f>
        <v>#REF!</v>
      </c>
      <c r="H1594" s="90"/>
    </row>
    <row r="1595" spans="2:8" ht="18" x14ac:dyDescent="0.25">
      <c r="B1595" s="85"/>
      <c r="C1595" s="85"/>
      <c r="D1595" s="85"/>
      <c r="E1595" s="85" t="s">
        <v>81</v>
      </c>
      <c r="F1595" s="106" t="e">
        <f>+F1578</f>
        <v>#REF!</v>
      </c>
      <c r="G1595" s="85"/>
      <c r="H1595" s="90"/>
    </row>
    <row r="1596" spans="2:8" ht="18" x14ac:dyDescent="0.25">
      <c r="B1596" s="96"/>
      <c r="C1596" s="96"/>
      <c r="D1596" s="96"/>
      <c r="E1596" s="85" t="s">
        <v>82</v>
      </c>
      <c r="F1596" s="106" t="e">
        <f>+F1579</f>
        <v>#REF!</v>
      </c>
      <c r="G1596" s="85"/>
      <c r="H1596" s="90"/>
    </row>
    <row r="1597" spans="2:8" ht="18" x14ac:dyDescent="0.25">
      <c r="B1597" s="99">
        <f>+$G$30</f>
        <v>46037</v>
      </c>
      <c r="C1597" s="105" t="e">
        <f>+F1580</f>
        <v>#REF!</v>
      </c>
      <c r="D1597" s="85"/>
      <c r="E1597" s="85" t="s">
        <v>188</v>
      </c>
      <c r="F1597" s="106">
        <v>0</v>
      </c>
      <c r="G1597" s="85"/>
      <c r="H1597" s="90"/>
    </row>
    <row r="1598" spans="2:8" ht="18" x14ac:dyDescent="0.25">
      <c r="B1598" s="85"/>
      <c r="C1598" s="85"/>
      <c r="D1598" s="85"/>
      <c r="E1598" s="85" t="s">
        <v>83</v>
      </c>
      <c r="F1598" s="106" t="e">
        <f>+F1580</f>
        <v>#REF!</v>
      </c>
      <c r="G1598" s="85"/>
      <c r="H1598" s="90"/>
    </row>
    <row r="1599" spans="2:8" ht="18" x14ac:dyDescent="0.25">
      <c r="B1599" s="85"/>
      <c r="C1599" s="85"/>
      <c r="D1599" s="85"/>
      <c r="E1599" s="85"/>
      <c r="F1599" s="85"/>
      <c r="G1599" s="85"/>
      <c r="H1599" s="90"/>
    </row>
    <row r="1600" spans="2:8" ht="18" x14ac:dyDescent="0.25">
      <c r="B1600" s="85"/>
      <c r="C1600" s="85"/>
      <c r="D1600" s="85"/>
      <c r="E1600" s="102"/>
      <c r="F1600" s="85"/>
      <c r="G1600" s="85"/>
      <c r="H1600" s="90"/>
    </row>
    <row r="1601" spans="2:8" ht="18" x14ac:dyDescent="0.25">
      <c r="B1601" s="85"/>
      <c r="C1601" s="85"/>
      <c r="D1601" s="85"/>
      <c r="E1601" s="85"/>
      <c r="F1601" s="85"/>
      <c r="G1601" s="85"/>
      <c r="H1601" s="94"/>
    </row>
    <row r="1602" spans="2:8" ht="18" x14ac:dyDescent="0.25">
      <c r="E1602" s="85"/>
      <c r="G1602" s="94"/>
      <c r="H1602" s="90"/>
    </row>
    <row r="1605" spans="2:8" ht="18" x14ac:dyDescent="0.25">
      <c r="B1605" s="343"/>
      <c r="C1605" s="343"/>
      <c r="D1605" s="343"/>
      <c r="E1605" s="342">
        <f>+$B$1</f>
        <v>46143</v>
      </c>
      <c r="F1605" s="85"/>
      <c r="G1605" s="337">
        <f>+$D$1</f>
        <v>46037</v>
      </c>
      <c r="H1605" s="90"/>
    </row>
    <row r="1606" spans="2:8" ht="18" x14ac:dyDescent="0.25">
      <c r="B1606" s="84"/>
      <c r="C1606" s="84"/>
      <c r="D1606" s="100"/>
      <c r="E1606" s="342"/>
      <c r="F1606" s="85"/>
      <c r="G1606" s="337"/>
      <c r="H1606" s="90"/>
    </row>
    <row r="1607" spans="2:8" ht="18" x14ac:dyDescent="0.25">
      <c r="B1607" s="85"/>
      <c r="C1607" s="85"/>
      <c r="D1607" s="85"/>
      <c r="E1607" s="86"/>
      <c r="F1607" s="85"/>
      <c r="G1607" s="86"/>
      <c r="H1607" s="90"/>
    </row>
    <row r="1608" spans="2:8" ht="18" x14ac:dyDescent="0.25">
      <c r="B1608" s="85" t="e">
        <f>+#REF!</f>
        <v>#REF!</v>
      </c>
      <c r="C1608" s="85"/>
      <c r="D1608" s="85"/>
      <c r="E1608" s="86"/>
      <c r="F1608" s="85"/>
      <c r="G1608" s="86"/>
      <c r="H1608" s="90"/>
    </row>
    <row r="1609" spans="2:8" ht="18" x14ac:dyDescent="0.25">
      <c r="B1609" s="86"/>
      <c r="C1609" s="85"/>
      <c r="D1609" s="85"/>
      <c r="E1609" s="85" t="s">
        <v>78</v>
      </c>
      <c r="F1609" s="85"/>
      <c r="G1609" s="85"/>
      <c r="H1609" s="90" t="s">
        <v>126</v>
      </c>
    </row>
    <row r="1610" spans="2:8" ht="18" x14ac:dyDescent="0.25">
      <c r="B1610" s="85"/>
      <c r="C1610" s="85"/>
      <c r="D1610" s="85"/>
      <c r="E1610" s="86"/>
      <c r="F1610" s="86"/>
      <c r="G1610" s="85"/>
      <c r="H1610" s="94"/>
    </row>
    <row r="1611" spans="2:8" ht="18" x14ac:dyDescent="0.25">
      <c r="B1611" s="94"/>
      <c r="C1611" s="85"/>
      <c r="D1611" s="94"/>
      <c r="E1611" s="85"/>
      <c r="F1611" s="85"/>
      <c r="G1611" s="85"/>
      <c r="H1611" s="90"/>
    </row>
    <row r="1612" spans="2:8" ht="18" x14ac:dyDescent="0.25">
      <c r="B1612" s="94"/>
      <c r="C1612" s="85"/>
      <c r="D1612" s="94"/>
      <c r="E1612" s="85"/>
      <c r="F1612" s="85"/>
      <c r="G1612" s="85"/>
      <c r="H1612" s="90"/>
    </row>
    <row r="1613" spans="2:8" ht="18" x14ac:dyDescent="0.25">
      <c r="B1613" s="85" t="s">
        <v>198</v>
      </c>
      <c r="C1613" s="85"/>
      <c r="D1613" s="107">
        <f>+'RES CUENTA'!$L$25</f>
        <v>10859801.41</v>
      </c>
      <c r="E1613" s="108" t="e">
        <f>+'RES CUENTA'!#REF!</f>
        <v>#REF!</v>
      </c>
      <c r="F1613" s="103" t="e">
        <f>+D1613*E1613/100</f>
        <v>#REF!</v>
      </c>
      <c r="G1613" s="345"/>
      <c r="H1613" s="345"/>
    </row>
    <row r="1614" spans="2:8" ht="18" x14ac:dyDescent="0.25">
      <c r="B1614" s="85" t="s">
        <v>199</v>
      </c>
      <c r="C1614" s="85"/>
      <c r="D1614" s="107" t="e">
        <f>+'RES CUENTA'!#REF!</f>
        <v>#REF!</v>
      </c>
      <c r="E1614" s="108" t="e">
        <f>+'RES CUENTA'!#REF!</f>
        <v>#REF!</v>
      </c>
      <c r="F1614" s="103" t="e">
        <f>+D1614*E1614/100</f>
        <v>#REF!</v>
      </c>
      <c r="G1614" s="341"/>
      <c r="H1614" s="341"/>
    </row>
    <row r="1615" spans="2:8" ht="18" x14ac:dyDescent="0.25">
      <c r="B1615" s="85" t="s">
        <v>79</v>
      </c>
      <c r="C1615" s="85"/>
      <c r="D1615" s="107" t="e">
        <f>+'RES CUENTA'!#REF!</f>
        <v>#REF!</v>
      </c>
      <c r="E1615" s="108">
        <v>0</v>
      </c>
      <c r="F1615" s="103" t="e">
        <f>+D1615</f>
        <v>#REF!</v>
      </c>
      <c r="G1615" s="341"/>
      <c r="H1615" s="341"/>
    </row>
    <row r="1616" spans="2:8" ht="18" x14ac:dyDescent="0.25">
      <c r="B1616" s="85" t="s">
        <v>80</v>
      </c>
      <c r="C1616" s="85"/>
      <c r="D1616" s="107" t="e">
        <f>+'RES CUENTA'!#REF!</f>
        <v>#REF!</v>
      </c>
      <c r="E1616" s="108">
        <v>0</v>
      </c>
      <c r="F1616" s="103" t="e">
        <f>+D1616</f>
        <v>#REF!</v>
      </c>
      <c r="G1616" s="341"/>
      <c r="H1616" s="341"/>
    </row>
    <row r="1617" spans="2:8" ht="18" x14ac:dyDescent="0.25">
      <c r="B1617" s="86"/>
      <c r="C1617" s="85"/>
      <c r="D1617" s="85"/>
      <c r="E1617" s="92"/>
      <c r="F1617" s="104" t="e">
        <f>SUM(F1613:F1616)</f>
        <v>#REF!</v>
      </c>
      <c r="G1617" s="341"/>
      <c r="H1617" s="341"/>
    </row>
    <row r="1618" spans="2:8" ht="18" x14ac:dyDescent="0.25">
      <c r="B1618" s="86"/>
      <c r="C1618" s="85"/>
      <c r="D1618" s="85"/>
      <c r="E1618" s="85"/>
      <c r="G1618" s="338"/>
      <c r="H1618" s="338"/>
    </row>
    <row r="1619" spans="2:8" ht="18" x14ac:dyDescent="0.25">
      <c r="B1619" s="86"/>
      <c r="C1619" s="85"/>
      <c r="D1619" s="85"/>
      <c r="E1619" s="85"/>
      <c r="G1619" s="90"/>
      <c r="H1619" s="90"/>
    </row>
    <row r="1620" spans="2:8" ht="18" x14ac:dyDescent="0.25">
      <c r="B1620" s="85"/>
      <c r="C1620" s="85"/>
      <c r="D1620" s="85"/>
      <c r="E1620" s="85"/>
      <c r="F1620" s="91"/>
      <c r="G1620" s="90"/>
      <c r="H1620" s="90"/>
    </row>
    <row r="1621" spans="2:8" ht="18" x14ac:dyDescent="0.25">
      <c r="B1621" s="85"/>
      <c r="C1621" s="85"/>
      <c r="D1621" s="85"/>
      <c r="E1621" s="85"/>
      <c r="F1621" s="92"/>
      <c r="G1621" s="85"/>
      <c r="H1621" s="90"/>
    </row>
    <row r="1622" spans="2:8" ht="18" x14ac:dyDescent="0.25">
      <c r="B1622" s="85"/>
      <c r="C1622" s="85"/>
      <c r="D1622" s="85"/>
      <c r="E1622" s="85"/>
      <c r="F1622" s="92"/>
      <c r="G1622" s="85"/>
      <c r="H1622" s="90"/>
    </row>
    <row r="1623" spans="2:8" ht="18" x14ac:dyDescent="0.25">
      <c r="B1623" s="85" t="e">
        <f>+B1608</f>
        <v>#REF!</v>
      </c>
      <c r="C1623" s="344"/>
      <c r="D1623" s="344"/>
      <c r="E1623" s="85" t="e">
        <f>+B1623</f>
        <v>#REF!</v>
      </c>
      <c r="F1623" s="92"/>
      <c r="G1623" s="85"/>
      <c r="H1623" s="90"/>
    </row>
    <row r="1624" spans="2:8" ht="18" x14ac:dyDescent="0.25">
      <c r="C1624" s="85"/>
      <c r="D1624" s="85"/>
      <c r="F1624" s="344"/>
      <c r="G1624" s="344"/>
      <c r="H1624" s="344"/>
    </row>
    <row r="1625" spans="2:8" ht="18" x14ac:dyDescent="0.25">
      <c r="B1625" s="85" t="str">
        <f>+$E$1</f>
        <v>Lima 461 C:A:B:A:</v>
      </c>
      <c r="C1625" s="85"/>
      <c r="D1625" s="93" t="str">
        <f>+H1609</f>
        <v>Unid. 43</v>
      </c>
      <c r="E1625" s="85" t="str">
        <f>+$E$1</f>
        <v>Lima 461 C:A:B:A:</v>
      </c>
      <c r="F1625" s="85"/>
      <c r="G1625" s="85"/>
      <c r="H1625" s="90" t="str">
        <f>+D1625</f>
        <v>Unid. 43</v>
      </c>
    </row>
    <row r="1626" spans="2:8" ht="18" x14ac:dyDescent="0.25">
      <c r="H1626" s="94"/>
    </row>
    <row r="1627" spans="2:8" ht="18" x14ac:dyDescent="0.25">
      <c r="B1627" s="86"/>
      <c r="C1627" s="86"/>
      <c r="D1627" s="86"/>
      <c r="E1627" s="86"/>
      <c r="F1627" s="85"/>
      <c r="G1627" s="85"/>
    </row>
    <row r="1628" spans="2:8" ht="18" x14ac:dyDescent="0.25">
      <c r="B1628" s="85">
        <f>+$E$2</f>
        <v>0</v>
      </c>
      <c r="C1628" s="85"/>
      <c r="D1628" s="85"/>
      <c r="E1628" s="85"/>
      <c r="F1628" s="85"/>
      <c r="G1628" s="86"/>
      <c r="H1628" s="94"/>
    </row>
    <row r="1629" spans="2:8" ht="18" x14ac:dyDescent="0.25">
      <c r="B1629" s="85">
        <f>+$E$3</f>
        <v>0</v>
      </c>
      <c r="C1629" s="85"/>
      <c r="D1629" s="85"/>
      <c r="E1629" s="96"/>
      <c r="F1629" s="85"/>
      <c r="G1629" s="94"/>
      <c r="H1629" s="90"/>
    </row>
    <row r="1630" spans="2:8" ht="18" x14ac:dyDescent="0.25">
      <c r="C1630" s="85"/>
      <c r="D1630" s="85"/>
      <c r="E1630" s="85" t="s">
        <v>200</v>
      </c>
      <c r="F1630" s="106" t="e">
        <f>+F1613</f>
        <v>#REF!</v>
      </c>
      <c r="H1630" s="99">
        <f>+B1635</f>
        <v>46037</v>
      </c>
    </row>
    <row r="1631" spans="2:8" ht="18" x14ac:dyDescent="0.25">
      <c r="B1631" s="86"/>
      <c r="C1631" s="85"/>
      <c r="D1631" s="85"/>
      <c r="E1631" s="85" t="s">
        <v>201</v>
      </c>
      <c r="F1631" s="106" t="e">
        <f>+F1614</f>
        <v>#REF!</v>
      </c>
    </row>
    <row r="1632" spans="2:8" ht="18" x14ac:dyDescent="0.25">
      <c r="B1632" s="86"/>
      <c r="C1632" s="85"/>
      <c r="D1632" s="85"/>
      <c r="E1632" s="85" t="s">
        <v>81</v>
      </c>
      <c r="F1632" s="106" t="e">
        <f>+F1615</f>
        <v>#REF!</v>
      </c>
      <c r="G1632" s="85"/>
      <c r="H1632" s="90"/>
    </row>
    <row r="1633" spans="2:8" ht="18" x14ac:dyDescent="0.25">
      <c r="B1633" s="85"/>
      <c r="C1633" s="85"/>
      <c r="D1633" s="85"/>
      <c r="E1633" s="85" t="s">
        <v>82</v>
      </c>
      <c r="F1633" s="106" t="e">
        <f>+F1616</f>
        <v>#REF!</v>
      </c>
      <c r="G1633" s="85"/>
      <c r="H1633" s="90"/>
    </row>
    <row r="1634" spans="2:8" ht="18" x14ac:dyDescent="0.25">
      <c r="B1634" s="96"/>
      <c r="C1634" s="96"/>
      <c r="D1634" s="96"/>
      <c r="E1634" s="85" t="s">
        <v>188</v>
      </c>
      <c r="F1634" s="106">
        <v>0</v>
      </c>
      <c r="G1634" s="85"/>
      <c r="H1634" s="90"/>
    </row>
    <row r="1635" spans="2:8" ht="18" x14ac:dyDescent="0.25">
      <c r="B1635" s="99">
        <f>+$G$30</f>
        <v>46037</v>
      </c>
      <c r="C1635" s="105" t="e">
        <f>+F1617</f>
        <v>#REF!</v>
      </c>
      <c r="D1635" s="85"/>
      <c r="E1635" s="85" t="s">
        <v>83</v>
      </c>
      <c r="F1635" s="106" t="e">
        <f>+F1617</f>
        <v>#REF!</v>
      </c>
      <c r="G1635" s="85"/>
      <c r="H1635" s="90"/>
    </row>
    <row r="1636" spans="2:8" ht="18" x14ac:dyDescent="0.25">
      <c r="B1636" s="85"/>
      <c r="C1636" s="85"/>
      <c r="D1636" s="85"/>
      <c r="E1636" s="85"/>
      <c r="F1636" s="85"/>
      <c r="G1636" s="85"/>
      <c r="H1636" s="90"/>
    </row>
    <row r="1637" spans="2:8" ht="18" x14ac:dyDescent="0.25">
      <c r="B1637" s="85"/>
      <c r="C1637" s="85"/>
      <c r="D1637" s="85"/>
      <c r="E1637" s="85"/>
      <c r="F1637" s="85"/>
      <c r="G1637" s="345"/>
      <c r="H1637" s="345"/>
    </row>
    <row r="1638" spans="2:8" ht="18" x14ac:dyDescent="0.25">
      <c r="B1638" s="85"/>
      <c r="C1638" s="85"/>
      <c r="D1638" s="85"/>
      <c r="E1638" s="85"/>
      <c r="F1638" s="85"/>
      <c r="G1638" s="85"/>
      <c r="H1638" s="90"/>
    </row>
    <row r="1639" spans="2:8" ht="18" x14ac:dyDescent="0.25">
      <c r="B1639" s="85"/>
      <c r="C1639" s="85"/>
      <c r="D1639" s="85"/>
      <c r="E1639" s="85"/>
      <c r="F1639" s="85"/>
      <c r="G1639" s="85"/>
      <c r="H1639" s="90"/>
    </row>
    <row r="1640" spans="2:8" ht="18" x14ac:dyDescent="0.25">
      <c r="B1640" s="85"/>
      <c r="C1640" s="85"/>
      <c r="D1640" s="85"/>
      <c r="E1640" s="85"/>
      <c r="F1640" s="85"/>
      <c r="G1640" s="85"/>
      <c r="H1640" s="90"/>
    </row>
    <row r="1641" spans="2:8" ht="18" x14ac:dyDescent="0.25">
      <c r="B1641" s="85"/>
      <c r="C1641" s="85"/>
      <c r="D1641" s="85"/>
      <c r="E1641" s="85"/>
      <c r="F1641" s="85"/>
      <c r="H1641" s="90"/>
    </row>
    <row r="1642" spans="2:8" ht="18" x14ac:dyDescent="0.25">
      <c r="B1642" s="85"/>
      <c r="C1642" s="85"/>
      <c r="D1642" s="85"/>
      <c r="E1642" s="85"/>
      <c r="F1642" s="85"/>
      <c r="H1642" s="90"/>
    </row>
    <row r="1643" spans="2:8" ht="18" x14ac:dyDescent="0.25">
      <c r="B1643" s="343"/>
      <c r="C1643" s="343"/>
      <c r="D1643" s="343"/>
      <c r="E1643" s="85"/>
      <c r="F1643" s="85"/>
      <c r="H1643" s="90"/>
    </row>
    <row r="1644" spans="2:8" ht="18" x14ac:dyDescent="0.25">
      <c r="B1644" s="343"/>
      <c r="C1644" s="343"/>
      <c r="D1644" s="343"/>
      <c r="E1644" s="98">
        <f>+$B$1</f>
        <v>46143</v>
      </c>
      <c r="F1644" s="85"/>
      <c r="G1644" s="99">
        <f>+$D$1</f>
        <v>46037</v>
      </c>
      <c r="H1644" s="160"/>
    </row>
    <row r="1645" spans="2:8" ht="18" x14ac:dyDescent="0.25">
      <c r="B1645" s="84"/>
      <c r="C1645" s="84"/>
      <c r="D1645" s="100"/>
      <c r="E1645" s="98"/>
      <c r="F1645" s="85"/>
    </row>
    <row r="1646" spans="2:8" ht="18" x14ac:dyDescent="0.25">
      <c r="B1646" s="85" t="e">
        <f>+#REF!</f>
        <v>#REF!</v>
      </c>
      <c r="C1646" s="85"/>
      <c r="D1646" s="85"/>
      <c r="F1646" s="85"/>
    </row>
    <row r="1647" spans="2:8" ht="18" x14ac:dyDescent="0.25">
      <c r="C1647" s="85"/>
      <c r="D1647" s="85"/>
      <c r="E1647" s="85" t="str">
        <f>+$E$1</f>
        <v>Lima 461 C:A:B:A:</v>
      </c>
      <c r="F1647" s="85"/>
      <c r="H1647" s="90" t="s">
        <v>127</v>
      </c>
    </row>
    <row r="1648" spans="2:8" ht="18" x14ac:dyDescent="0.25">
      <c r="B1648" s="86"/>
      <c r="C1648" s="85"/>
      <c r="D1648" s="85"/>
      <c r="F1648" s="85"/>
      <c r="G1648" s="86"/>
    </row>
    <row r="1649" spans="2:8" ht="18" x14ac:dyDescent="0.25">
      <c r="B1649" s="85"/>
      <c r="C1649" s="85"/>
      <c r="D1649" s="85"/>
      <c r="E1649" s="86"/>
      <c r="F1649" s="86"/>
      <c r="G1649" s="85"/>
      <c r="H1649" s="94"/>
    </row>
    <row r="1650" spans="2:8" ht="18" x14ac:dyDescent="0.25">
      <c r="B1650" s="94"/>
      <c r="C1650" s="85"/>
      <c r="D1650" s="94"/>
      <c r="E1650" s="85"/>
      <c r="F1650" s="85"/>
      <c r="G1650" s="85"/>
      <c r="H1650" s="90"/>
    </row>
    <row r="1651" spans="2:8" ht="18" x14ac:dyDescent="0.25">
      <c r="B1651" s="85" t="s">
        <v>198</v>
      </c>
      <c r="C1651" s="85"/>
      <c r="D1651" s="107">
        <f>+'RES CUENTA'!$L$25</f>
        <v>10859801.41</v>
      </c>
      <c r="E1651" s="108" t="e">
        <f>+'RES CUENTA'!#REF!</f>
        <v>#REF!</v>
      </c>
      <c r="F1651" s="103" t="e">
        <f>+D1651*E1651/100</f>
        <v>#REF!</v>
      </c>
      <c r="G1651" s="85"/>
      <c r="H1651" s="94"/>
    </row>
    <row r="1652" spans="2:8" ht="18" x14ac:dyDescent="0.25">
      <c r="B1652" s="85" t="s">
        <v>199</v>
      </c>
      <c r="C1652" s="85"/>
      <c r="D1652" s="107" t="e">
        <f>+'RES CUENTA'!#REF!</f>
        <v>#REF!</v>
      </c>
      <c r="E1652" s="108" t="e">
        <f>+'RES CUENTA'!#REF!</f>
        <v>#REF!</v>
      </c>
      <c r="F1652" s="103" t="e">
        <f>+D1652*E1652/100</f>
        <v>#REF!</v>
      </c>
      <c r="G1652" s="94"/>
      <c r="H1652" s="89"/>
    </row>
    <row r="1653" spans="2:8" ht="18" x14ac:dyDescent="0.25">
      <c r="B1653" s="85" t="s">
        <v>79</v>
      </c>
      <c r="C1653" s="85"/>
      <c r="D1653" s="107" t="e">
        <f>+'RES CUENTA'!#REF!</f>
        <v>#REF!</v>
      </c>
      <c r="E1653" s="108">
        <f>+'RES CUENTA'!P752</f>
        <v>0</v>
      </c>
      <c r="F1653" s="103" t="e">
        <f>+D1653</f>
        <v>#REF!</v>
      </c>
      <c r="G1653" s="89"/>
      <c r="H1653" s="89"/>
    </row>
    <row r="1654" spans="2:8" ht="18" x14ac:dyDescent="0.25">
      <c r="B1654" s="85" t="s">
        <v>80</v>
      </c>
      <c r="C1654" s="85"/>
      <c r="D1654" s="107" t="e">
        <f>+'RES CUENTA'!#REF!</f>
        <v>#REF!</v>
      </c>
      <c r="E1654" s="108">
        <f>+'RES CUENTA'!R747</f>
        <v>0</v>
      </c>
      <c r="F1654" s="103" t="e">
        <f>+D1654</f>
        <v>#REF!</v>
      </c>
      <c r="G1654" s="89"/>
      <c r="H1654" s="89"/>
    </row>
    <row r="1655" spans="2:8" ht="18" x14ac:dyDescent="0.25">
      <c r="B1655" s="86"/>
      <c r="C1655" s="85"/>
      <c r="D1655" s="85"/>
      <c r="F1655" s="104" t="e">
        <f>SUM(F1651:F1654)</f>
        <v>#REF!</v>
      </c>
      <c r="G1655" s="89"/>
      <c r="H1655" s="89"/>
    </row>
    <row r="1656" spans="2:8" ht="18" x14ac:dyDescent="0.25">
      <c r="B1656" s="86"/>
      <c r="C1656" s="85"/>
      <c r="D1656" s="85"/>
      <c r="F1656" s="91"/>
      <c r="G1656" s="89"/>
      <c r="H1656" s="90"/>
    </row>
    <row r="1657" spans="2:8" ht="18" x14ac:dyDescent="0.25">
      <c r="B1657" s="86"/>
      <c r="C1657" s="85"/>
      <c r="D1657" s="85"/>
      <c r="F1657" s="91"/>
      <c r="G1657" s="89"/>
      <c r="H1657" s="90"/>
    </row>
    <row r="1658" spans="2:8" ht="18" x14ac:dyDescent="0.25">
      <c r="B1658" s="85"/>
      <c r="C1658" s="85"/>
      <c r="D1658" s="85"/>
      <c r="E1658" s="85"/>
      <c r="F1658" s="92"/>
      <c r="G1658" s="90"/>
      <c r="H1658" s="90"/>
    </row>
    <row r="1659" spans="2:8" ht="18" x14ac:dyDescent="0.25">
      <c r="B1659" s="85"/>
      <c r="C1659" s="85"/>
      <c r="D1659" s="85"/>
      <c r="E1659" s="85"/>
      <c r="F1659" s="92"/>
      <c r="G1659" s="90"/>
      <c r="H1659" s="90"/>
    </row>
    <row r="1660" spans="2:8" ht="18" x14ac:dyDescent="0.25">
      <c r="B1660" s="85"/>
      <c r="C1660" s="85"/>
      <c r="D1660" s="85"/>
      <c r="E1660" s="85"/>
      <c r="F1660" s="92"/>
      <c r="G1660" s="90"/>
      <c r="H1660" s="90"/>
    </row>
    <row r="1661" spans="2:8" ht="18" x14ac:dyDescent="0.25">
      <c r="B1661" s="85" t="e">
        <f>+B1646</f>
        <v>#REF!</v>
      </c>
      <c r="C1661" s="85"/>
      <c r="D1661" s="85"/>
      <c r="E1661" s="85" t="e">
        <f>+B1646</f>
        <v>#REF!</v>
      </c>
      <c r="F1661" s="85"/>
      <c r="G1661" s="85"/>
      <c r="H1661" s="94"/>
    </row>
    <row r="1662" spans="2:8" ht="18" x14ac:dyDescent="0.25">
      <c r="B1662" s="86"/>
      <c r="C1662" s="85"/>
      <c r="D1662" s="85"/>
      <c r="F1662" s="85"/>
      <c r="G1662" s="101"/>
      <c r="H1662" s="90" t="str">
        <f>+H1647</f>
        <v>Unid. 44</v>
      </c>
    </row>
    <row r="1663" spans="2:8" ht="18" x14ac:dyDescent="0.25">
      <c r="B1663" s="85" t="str">
        <f>+$E$1</f>
        <v>Lima 461 C:A:B:A:</v>
      </c>
      <c r="C1663" s="85"/>
      <c r="D1663" s="93" t="str">
        <f>+H1662</f>
        <v>Unid. 44</v>
      </c>
      <c r="E1663" s="85" t="str">
        <f>+$E$1</f>
        <v>Lima 461 C:A:B:A:</v>
      </c>
      <c r="F1663" s="85"/>
      <c r="G1663" s="85"/>
      <c r="H1663" s="94"/>
    </row>
    <row r="1664" spans="2:8" ht="18" x14ac:dyDescent="0.25">
      <c r="B1664" s="86"/>
      <c r="C1664" s="86"/>
      <c r="D1664" s="86"/>
      <c r="F1664" s="85"/>
      <c r="G1664" s="85"/>
    </row>
    <row r="1665" spans="2:8" ht="18" x14ac:dyDescent="0.25">
      <c r="B1665" s="85"/>
      <c r="C1665" s="85"/>
      <c r="D1665" s="85"/>
      <c r="E1665" s="86"/>
      <c r="F1665" s="85"/>
      <c r="G1665" s="85"/>
      <c r="H1665" s="94"/>
    </row>
    <row r="1666" spans="2:8" ht="18" x14ac:dyDescent="0.25">
      <c r="B1666" s="85">
        <f>+$E$2</f>
        <v>0</v>
      </c>
      <c r="C1666" s="85"/>
      <c r="D1666" s="85"/>
      <c r="E1666" s="85"/>
      <c r="F1666" s="96"/>
      <c r="G1666" s="86"/>
      <c r="H1666" s="90"/>
    </row>
    <row r="1667" spans="2:8" ht="18" x14ac:dyDescent="0.25">
      <c r="B1667" s="85">
        <f>+$E$3</f>
        <v>0</v>
      </c>
      <c r="C1667" s="85"/>
      <c r="D1667" s="85"/>
      <c r="E1667" s="96"/>
      <c r="G1667" s="94"/>
      <c r="H1667" s="96"/>
    </row>
    <row r="1668" spans="2:8" ht="18" x14ac:dyDescent="0.25">
      <c r="B1668" s="86"/>
      <c r="C1668" s="85"/>
      <c r="D1668" s="85"/>
      <c r="E1668" s="85" t="s">
        <v>200</v>
      </c>
      <c r="F1668" s="106" t="e">
        <f>+F1651</f>
        <v>#REF!</v>
      </c>
      <c r="G1668" s="95"/>
      <c r="H1668" s="99">
        <f>+B1672</f>
        <v>46037</v>
      </c>
    </row>
    <row r="1669" spans="2:8" ht="18" x14ac:dyDescent="0.25">
      <c r="B1669" s="86"/>
      <c r="C1669" s="85"/>
      <c r="D1669" s="85"/>
      <c r="E1669" s="85" t="s">
        <v>201</v>
      </c>
      <c r="F1669" s="106" t="e">
        <f>+F1652</f>
        <v>#REF!</v>
      </c>
      <c r="H1669" s="90"/>
    </row>
    <row r="1670" spans="2:8" ht="18" x14ac:dyDescent="0.25">
      <c r="B1670" s="85"/>
      <c r="C1670" s="85"/>
      <c r="D1670" s="85"/>
      <c r="E1670" s="85" t="s">
        <v>81</v>
      </c>
      <c r="F1670" s="106" t="e">
        <f>+F1653</f>
        <v>#REF!</v>
      </c>
      <c r="G1670" s="85"/>
      <c r="H1670" s="90"/>
    </row>
    <row r="1671" spans="2:8" ht="18" x14ac:dyDescent="0.25">
      <c r="B1671" s="96"/>
      <c r="C1671" s="96"/>
      <c r="D1671" s="96"/>
      <c r="E1671" s="85" t="s">
        <v>82</v>
      </c>
      <c r="F1671" s="106" t="e">
        <f>+F1654</f>
        <v>#REF!</v>
      </c>
      <c r="G1671" s="85"/>
      <c r="H1671" s="90"/>
    </row>
    <row r="1672" spans="2:8" ht="18" x14ac:dyDescent="0.25">
      <c r="B1672" s="99">
        <f>+$G$30</f>
        <v>46037</v>
      </c>
      <c r="C1672" s="105" t="e">
        <f>+F1655</f>
        <v>#REF!</v>
      </c>
      <c r="D1672" s="85"/>
      <c r="E1672" s="85" t="s">
        <v>188</v>
      </c>
      <c r="F1672" s="106">
        <v>0</v>
      </c>
      <c r="G1672" s="85"/>
      <c r="H1672" s="90"/>
    </row>
    <row r="1673" spans="2:8" ht="18" x14ac:dyDescent="0.25">
      <c r="B1673" s="85"/>
      <c r="C1673" s="85"/>
      <c r="D1673" s="85"/>
      <c r="E1673" s="85" t="s">
        <v>83</v>
      </c>
      <c r="F1673" s="106" t="e">
        <f>+F1655</f>
        <v>#REF!</v>
      </c>
      <c r="H1673" s="90"/>
    </row>
    <row r="1674" spans="2:8" ht="18" x14ac:dyDescent="0.25">
      <c r="B1674" s="85"/>
      <c r="C1674" s="85"/>
      <c r="D1674" s="85"/>
      <c r="E1674" s="85"/>
      <c r="F1674" s="85"/>
      <c r="G1674" s="85"/>
      <c r="H1674" s="90"/>
    </row>
    <row r="1675" spans="2:8" ht="18" x14ac:dyDescent="0.25">
      <c r="B1675" s="85"/>
      <c r="C1675" s="85"/>
      <c r="D1675" s="85"/>
      <c r="E1675" s="102"/>
      <c r="F1675" s="85"/>
      <c r="G1675" s="85"/>
      <c r="H1675" s="90"/>
    </row>
    <row r="1676" spans="2:8" ht="18" x14ac:dyDescent="0.25">
      <c r="B1676" s="85"/>
      <c r="C1676" s="85"/>
      <c r="D1676" s="85"/>
      <c r="E1676" s="85"/>
      <c r="F1676" s="85"/>
      <c r="G1676" s="85"/>
      <c r="H1676" s="94"/>
    </row>
    <row r="1677" spans="2:8" ht="18" x14ac:dyDescent="0.25">
      <c r="E1677" s="85"/>
      <c r="G1677" s="94"/>
      <c r="H1677" s="90"/>
    </row>
    <row r="1679" spans="2:8" ht="18" x14ac:dyDescent="0.25">
      <c r="B1679" s="343"/>
      <c r="C1679" s="343"/>
      <c r="D1679" s="343"/>
      <c r="E1679" s="342">
        <f>+$B$1</f>
        <v>46143</v>
      </c>
      <c r="F1679" s="85"/>
      <c r="G1679" s="337">
        <f>+$D$1</f>
        <v>46037</v>
      </c>
      <c r="H1679" s="90"/>
    </row>
    <row r="1680" spans="2:8" ht="18" x14ac:dyDescent="0.25">
      <c r="B1680" s="84"/>
      <c r="C1680" s="84"/>
      <c r="D1680" s="100"/>
      <c r="E1680" s="342"/>
      <c r="F1680" s="85"/>
      <c r="G1680" s="337"/>
      <c r="H1680" s="90"/>
    </row>
    <row r="1681" spans="2:8" ht="18" x14ac:dyDescent="0.25">
      <c r="B1681" s="85"/>
      <c r="C1681" s="85"/>
      <c r="D1681" s="85"/>
      <c r="E1681" s="86"/>
      <c r="F1681" s="85"/>
      <c r="G1681" s="86"/>
      <c r="H1681" s="90"/>
    </row>
    <row r="1682" spans="2:8" ht="18" x14ac:dyDescent="0.25">
      <c r="B1682" s="85" t="e">
        <f>+#REF!</f>
        <v>#REF!</v>
      </c>
      <c r="C1682" s="85"/>
      <c r="D1682" s="85"/>
      <c r="E1682" s="86"/>
      <c r="F1682" s="85"/>
      <c r="G1682" s="86"/>
      <c r="H1682" s="90"/>
    </row>
    <row r="1683" spans="2:8" ht="18" x14ac:dyDescent="0.25">
      <c r="B1683" s="86"/>
      <c r="C1683" s="85"/>
      <c r="D1683" s="85"/>
      <c r="E1683" s="85" t="s">
        <v>78</v>
      </c>
      <c r="F1683" s="85"/>
      <c r="G1683" s="85"/>
      <c r="H1683" s="90" t="s">
        <v>128</v>
      </c>
    </row>
    <row r="1684" spans="2:8" ht="18" x14ac:dyDescent="0.25">
      <c r="B1684" s="85"/>
      <c r="C1684" s="85"/>
      <c r="D1684" s="85"/>
      <c r="E1684" s="86"/>
      <c r="F1684" s="86"/>
      <c r="G1684" s="85"/>
      <c r="H1684" s="94"/>
    </row>
    <row r="1685" spans="2:8" ht="18" x14ac:dyDescent="0.25">
      <c r="B1685" s="94"/>
      <c r="C1685" s="85"/>
      <c r="D1685" s="94"/>
      <c r="E1685" s="85"/>
      <c r="F1685" s="85"/>
      <c r="G1685" s="85"/>
      <c r="H1685" s="90"/>
    </row>
    <row r="1686" spans="2:8" ht="18" x14ac:dyDescent="0.25">
      <c r="B1686" s="94"/>
      <c r="C1686" s="85"/>
      <c r="D1686" s="94"/>
      <c r="E1686" s="85"/>
      <c r="F1686" s="85"/>
      <c r="G1686" s="85"/>
      <c r="H1686" s="90"/>
    </row>
    <row r="1687" spans="2:8" ht="18" x14ac:dyDescent="0.25">
      <c r="B1687" s="85" t="s">
        <v>198</v>
      </c>
      <c r="C1687" s="85"/>
      <c r="D1687" s="107">
        <f>+'RES CUENTA'!$L$25</f>
        <v>10859801.41</v>
      </c>
      <c r="E1687" s="108" t="e">
        <f>+'RES CUENTA'!#REF!</f>
        <v>#REF!</v>
      </c>
      <c r="F1687" s="103" t="e">
        <f>+D1687*E1687/100</f>
        <v>#REF!</v>
      </c>
      <c r="G1687" s="345"/>
      <c r="H1687" s="345"/>
    </row>
    <row r="1688" spans="2:8" ht="18" x14ac:dyDescent="0.25">
      <c r="B1688" s="85" t="s">
        <v>199</v>
      </c>
      <c r="C1688" s="85"/>
      <c r="D1688" s="107" t="e">
        <f>+'RES CUENTA'!#REF!</f>
        <v>#REF!</v>
      </c>
      <c r="E1688" s="108" t="e">
        <f>+'RES CUENTA'!#REF!</f>
        <v>#REF!</v>
      </c>
      <c r="F1688" s="103" t="e">
        <f>+D1688*E1688/100</f>
        <v>#REF!</v>
      </c>
      <c r="G1688" s="341"/>
      <c r="H1688" s="341"/>
    </row>
    <row r="1689" spans="2:8" ht="18" x14ac:dyDescent="0.25">
      <c r="B1689" s="85" t="s">
        <v>79</v>
      </c>
      <c r="C1689" s="85"/>
      <c r="D1689" s="107" t="e">
        <f>+'RES CUENTA'!#REF!</f>
        <v>#REF!</v>
      </c>
      <c r="E1689" s="108">
        <v>0</v>
      </c>
      <c r="F1689" s="103" t="e">
        <f>+D1689</f>
        <v>#REF!</v>
      </c>
      <c r="G1689" s="341"/>
      <c r="H1689" s="341"/>
    </row>
    <row r="1690" spans="2:8" ht="18" x14ac:dyDescent="0.25">
      <c r="B1690" s="85" t="s">
        <v>80</v>
      </c>
      <c r="C1690" s="85"/>
      <c r="D1690" s="107" t="e">
        <f>+'RES CUENTA'!#REF!</f>
        <v>#REF!</v>
      </c>
      <c r="E1690" s="108">
        <v>0</v>
      </c>
      <c r="F1690" s="103" t="e">
        <f>+D1690</f>
        <v>#REF!</v>
      </c>
      <c r="G1690" s="341"/>
      <c r="H1690" s="341"/>
    </row>
    <row r="1691" spans="2:8" ht="18" x14ac:dyDescent="0.25">
      <c r="B1691" s="86"/>
      <c r="C1691" s="85"/>
      <c r="D1691" s="85"/>
      <c r="E1691" s="92"/>
      <c r="F1691" s="104" t="e">
        <f>SUM(F1687:F1690)</f>
        <v>#REF!</v>
      </c>
      <c r="G1691" s="341"/>
      <c r="H1691" s="341"/>
    </row>
    <row r="1692" spans="2:8" ht="18" x14ac:dyDescent="0.25">
      <c r="B1692" s="86"/>
      <c r="C1692" s="85"/>
      <c r="D1692" s="85"/>
      <c r="E1692" s="92"/>
      <c r="F1692" s="104"/>
      <c r="G1692" s="89"/>
      <c r="H1692" s="89"/>
    </row>
    <row r="1693" spans="2:8" ht="18" x14ac:dyDescent="0.25">
      <c r="B1693" s="86"/>
      <c r="C1693" s="85"/>
      <c r="D1693" s="85"/>
      <c r="E1693" s="85"/>
      <c r="G1693" s="338"/>
      <c r="H1693" s="338"/>
    </row>
    <row r="1694" spans="2:8" ht="18" x14ac:dyDescent="0.25">
      <c r="B1694" s="85"/>
      <c r="C1694" s="85"/>
      <c r="D1694" s="85"/>
      <c r="E1694" s="85"/>
      <c r="F1694" s="91"/>
      <c r="G1694" s="90"/>
      <c r="H1694" s="90"/>
    </row>
    <row r="1695" spans="2:8" ht="18" x14ac:dyDescent="0.25">
      <c r="B1695" s="85"/>
      <c r="C1695" s="85"/>
      <c r="D1695" s="85"/>
      <c r="E1695" s="85"/>
      <c r="F1695" s="92"/>
      <c r="G1695" s="85"/>
      <c r="H1695" s="90"/>
    </row>
    <row r="1696" spans="2:8" ht="18" x14ac:dyDescent="0.25">
      <c r="B1696" s="85"/>
      <c r="C1696" s="85"/>
      <c r="D1696" s="85"/>
      <c r="E1696" s="85"/>
      <c r="F1696" s="92"/>
      <c r="G1696" s="85"/>
      <c r="H1696" s="90"/>
    </row>
    <row r="1697" spans="2:8" ht="18" x14ac:dyDescent="0.25">
      <c r="B1697" s="85" t="e">
        <f>+B1682</f>
        <v>#REF!</v>
      </c>
      <c r="C1697" s="344"/>
      <c r="D1697" s="344"/>
      <c r="E1697" s="85" t="e">
        <f>+B1697</f>
        <v>#REF!</v>
      </c>
      <c r="F1697" s="92"/>
      <c r="G1697" s="85"/>
      <c r="H1697" s="90"/>
    </row>
    <row r="1698" spans="2:8" ht="18" x14ac:dyDescent="0.25">
      <c r="C1698" s="85"/>
      <c r="D1698" s="85"/>
      <c r="F1698" s="344"/>
      <c r="G1698" s="344"/>
      <c r="H1698" s="344"/>
    </row>
    <row r="1699" spans="2:8" ht="18" x14ac:dyDescent="0.25">
      <c r="B1699" s="85" t="str">
        <f>+$E$1</f>
        <v>Lima 461 C:A:B:A:</v>
      </c>
      <c r="C1699" s="85"/>
      <c r="D1699" s="93" t="str">
        <f>+H1683</f>
        <v>Unid. 45</v>
      </c>
      <c r="E1699" s="85" t="str">
        <f>+$E$1</f>
        <v>Lima 461 C:A:B:A:</v>
      </c>
      <c r="F1699" s="85"/>
      <c r="G1699" s="85"/>
      <c r="H1699" s="90" t="str">
        <f>+D1699</f>
        <v>Unid. 45</v>
      </c>
    </row>
    <row r="1700" spans="2:8" ht="18" x14ac:dyDescent="0.25">
      <c r="H1700" s="94"/>
    </row>
    <row r="1701" spans="2:8" ht="18" x14ac:dyDescent="0.25">
      <c r="B1701" s="86"/>
      <c r="C1701" s="86"/>
      <c r="D1701" s="86"/>
      <c r="E1701" s="86"/>
      <c r="F1701" s="85"/>
      <c r="G1701" s="85"/>
    </row>
    <row r="1702" spans="2:8" ht="18" x14ac:dyDescent="0.25">
      <c r="B1702" s="85">
        <f>+$E$2</f>
        <v>0</v>
      </c>
      <c r="C1702" s="85"/>
      <c r="D1702" s="85"/>
      <c r="E1702" s="85"/>
      <c r="F1702" s="85"/>
      <c r="G1702" s="86"/>
      <c r="H1702" s="94"/>
    </row>
    <row r="1703" spans="2:8" ht="18" x14ac:dyDescent="0.25">
      <c r="B1703" s="85">
        <f>+$E$3</f>
        <v>0</v>
      </c>
      <c r="C1703" s="85"/>
      <c r="D1703" s="85"/>
      <c r="E1703" s="96"/>
      <c r="F1703" s="85"/>
      <c r="G1703" s="94"/>
      <c r="H1703" s="90"/>
    </row>
    <row r="1704" spans="2:8" ht="18" x14ac:dyDescent="0.25">
      <c r="C1704" s="85"/>
      <c r="D1704" s="85"/>
      <c r="E1704" s="85" t="s">
        <v>200</v>
      </c>
      <c r="F1704" s="106" t="e">
        <f>+F1687</f>
        <v>#REF!</v>
      </c>
      <c r="H1704" s="99">
        <f>+B1709</f>
        <v>46037</v>
      </c>
    </row>
    <row r="1705" spans="2:8" ht="18" x14ac:dyDescent="0.25">
      <c r="B1705" s="86"/>
      <c r="C1705" s="85"/>
      <c r="D1705" s="85"/>
      <c r="E1705" s="85" t="s">
        <v>201</v>
      </c>
      <c r="F1705" s="106" t="e">
        <f>+F1688</f>
        <v>#REF!</v>
      </c>
    </row>
    <row r="1706" spans="2:8" ht="18" x14ac:dyDescent="0.25">
      <c r="B1706" s="86"/>
      <c r="C1706" s="85"/>
      <c r="D1706" s="85"/>
      <c r="E1706" s="85" t="s">
        <v>81</v>
      </c>
      <c r="F1706" s="106" t="e">
        <f>+F1689</f>
        <v>#REF!</v>
      </c>
      <c r="G1706" s="85"/>
      <c r="H1706" s="90"/>
    </row>
    <row r="1707" spans="2:8" ht="18" x14ac:dyDescent="0.25">
      <c r="B1707" s="85"/>
      <c r="C1707" s="85"/>
      <c r="D1707" s="85"/>
      <c r="E1707" s="85" t="s">
        <v>82</v>
      </c>
      <c r="F1707" s="106" t="e">
        <f>+F1690</f>
        <v>#REF!</v>
      </c>
      <c r="G1707" s="85"/>
      <c r="H1707" s="90"/>
    </row>
    <row r="1708" spans="2:8" ht="18" x14ac:dyDescent="0.25">
      <c r="B1708" s="96"/>
      <c r="C1708" s="96"/>
      <c r="D1708" s="96"/>
      <c r="E1708" s="85" t="s">
        <v>188</v>
      </c>
      <c r="F1708" s="106">
        <v>0</v>
      </c>
      <c r="G1708" s="85"/>
      <c r="H1708" s="90"/>
    </row>
    <row r="1709" spans="2:8" ht="18" x14ac:dyDescent="0.25">
      <c r="B1709" s="99">
        <f>+$G$30</f>
        <v>46037</v>
      </c>
      <c r="C1709" s="105" t="e">
        <f>+F1691</f>
        <v>#REF!</v>
      </c>
      <c r="D1709" s="85"/>
      <c r="E1709" s="85" t="s">
        <v>83</v>
      </c>
      <c r="F1709" s="106" t="e">
        <f>+F1691</f>
        <v>#REF!</v>
      </c>
      <c r="G1709" s="85"/>
      <c r="H1709" s="90"/>
    </row>
    <row r="1710" spans="2:8" ht="18" x14ac:dyDescent="0.25">
      <c r="B1710" s="85"/>
      <c r="C1710" s="85"/>
      <c r="D1710" s="85"/>
      <c r="E1710" s="85"/>
      <c r="F1710" s="85"/>
      <c r="G1710" s="85"/>
      <c r="H1710" s="90"/>
    </row>
    <row r="1711" spans="2:8" ht="18" x14ac:dyDescent="0.25">
      <c r="B1711" s="85"/>
      <c r="C1711" s="85"/>
      <c r="D1711" s="85"/>
      <c r="E1711" s="85"/>
      <c r="F1711" s="85"/>
      <c r="G1711" s="345"/>
      <c r="H1711" s="345"/>
    </row>
    <row r="1712" spans="2:8" ht="18" x14ac:dyDescent="0.25">
      <c r="B1712" s="85"/>
      <c r="C1712" s="85"/>
      <c r="D1712" s="85"/>
      <c r="E1712" s="85"/>
      <c r="F1712" s="85"/>
      <c r="G1712" s="85"/>
      <c r="H1712" s="90"/>
    </row>
    <row r="1713" spans="2:8" ht="18" x14ac:dyDescent="0.25">
      <c r="B1713" s="85"/>
      <c r="C1713" s="85"/>
      <c r="D1713" s="85"/>
      <c r="E1713" s="85"/>
      <c r="F1713" s="85"/>
      <c r="G1713" s="85"/>
      <c r="H1713" s="90"/>
    </row>
    <row r="1714" spans="2:8" ht="18" x14ac:dyDescent="0.25">
      <c r="B1714" s="85"/>
      <c r="C1714" s="85"/>
      <c r="D1714" s="85"/>
      <c r="E1714" s="85"/>
      <c r="F1714" s="85"/>
      <c r="G1714" s="85"/>
      <c r="H1714" s="90"/>
    </row>
    <row r="1715" spans="2:8" ht="18" x14ac:dyDescent="0.25">
      <c r="B1715" s="85"/>
      <c r="C1715" s="85"/>
      <c r="D1715" s="85"/>
      <c r="E1715" s="85"/>
      <c r="F1715" s="85"/>
      <c r="G1715" s="85"/>
      <c r="H1715" s="90"/>
    </row>
    <row r="1716" spans="2:8" ht="18" x14ac:dyDescent="0.25">
      <c r="B1716" s="85"/>
      <c r="C1716" s="85"/>
      <c r="D1716" s="85"/>
      <c r="E1716" s="85"/>
      <c r="F1716" s="85"/>
      <c r="H1716" s="90"/>
    </row>
    <row r="1717" spans="2:8" ht="18" x14ac:dyDescent="0.25">
      <c r="B1717" s="343"/>
      <c r="C1717" s="343"/>
      <c r="D1717" s="343"/>
      <c r="E1717" s="85"/>
      <c r="F1717" s="85"/>
      <c r="H1717" s="90"/>
    </row>
    <row r="1718" spans="2:8" ht="18" x14ac:dyDescent="0.25">
      <c r="B1718" s="343"/>
      <c r="C1718" s="343"/>
      <c r="D1718" s="343"/>
      <c r="E1718" s="98">
        <f>+$B$1</f>
        <v>46143</v>
      </c>
      <c r="F1718" s="85"/>
      <c r="G1718" s="99">
        <f>+$D$1</f>
        <v>46037</v>
      </c>
      <c r="H1718" s="160"/>
    </row>
    <row r="1719" spans="2:8" ht="18" x14ac:dyDescent="0.25">
      <c r="B1719" s="84"/>
      <c r="C1719" s="84"/>
      <c r="D1719" s="100"/>
      <c r="E1719" s="98"/>
      <c r="F1719" s="85"/>
    </row>
    <row r="1720" spans="2:8" ht="18" x14ac:dyDescent="0.25">
      <c r="B1720" s="85" t="e">
        <f>+#REF!</f>
        <v>#REF!</v>
      </c>
      <c r="C1720" s="85"/>
      <c r="D1720" s="85"/>
      <c r="F1720" s="85"/>
    </row>
    <row r="1721" spans="2:8" ht="18" x14ac:dyDescent="0.25">
      <c r="C1721" s="85"/>
      <c r="D1721" s="85"/>
      <c r="E1721" s="85" t="str">
        <f>+$E$1</f>
        <v>Lima 461 C:A:B:A:</v>
      </c>
      <c r="F1721" s="85"/>
      <c r="H1721" s="90" t="s">
        <v>129</v>
      </c>
    </row>
    <row r="1722" spans="2:8" ht="18" x14ac:dyDescent="0.25">
      <c r="B1722" s="86"/>
      <c r="C1722" s="85"/>
      <c r="D1722" s="85"/>
      <c r="F1722" s="85"/>
      <c r="G1722" s="86"/>
    </row>
    <row r="1723" spans="2:8" ht="18" x14ac:dyDescent="0.25">
      <c r="B1723" s="85"/>
      <c r="C1723" s="85"/>
      <c r="D1723" s="85"/>
      <c r="E1723" s="86"/>
      <c r="F1723" s="86"/>
      <c r="G1723" s="85"/>
      <c r="H1723" s="94"/>
    </row>
    <row r="1724" spans="2:8" ht="18" x14ac:dyDescent="0.25">
      <c r="B1724" s="94"/>
      <c r="C1724" s="85"/>
      <c r="D1724" s="94"/>
      <c r="E1724" s="85"/>
      <c r="F1724" s="85"/>
      <c r="G1724" s="85"/>
      <c r="H1724" s="90"/>
    </row>
    <row r="1725" spans="2:8" ht="18" x14ac:dyDescent="0.25">
      <c r="B1725" s="85" t="s">
        <v>198</v>
      </c>
      <c r="C1725" s="85"/>
      <c r="D1725" s="107">
        <f>+'RES CUENTA'!$L$25</f>
        <v>10859801.41</v>
      </c>
      <c r="E1725" s="108" t="e">
        <f>+'RES CUENTA'!#REF!</f>
        <v>#REF!</v>
      </c>
      <c r="F1725" s="103" t="e">
        <f>+D1725*E1725/100</f>
        <v>#REF!</v>
      </c>
      <c r="G1725" s="85"/>
      <c r="H1725" s="94"/>
    </row>
    <row r="1726" spans="2:8" ht="18" x14ac:dyDescent="0.25">
      <c r="B1726" s="85" t="s">
        <v>199</v>
      </c>
      <c r="C1726" s="85"/>
      <c r="D1726" s="107" t="e">
        <f>+'RES CUENTA'!#REF!</f>
        <v>#REF!</v>
      </c>
      <c r="E1726" s="108" t="e">
        <f>+'RES CUENTA'!#REF!</f>
        <v>#REF!</v>
      </c>
      <c r="F1726" s="103" t="e">
        <f>+D1726*E1726/100</f>
        <v>#REF!</v>
      </c>
      <c r="G1726" s="94"/>
      <c r="H1726" s="89"/>
    </row>
    <row r="1727" spans="2:8" ht="18" x14ac:dyDescent="0.25">
      <c r="B1727" s="85" t="s">
        <v>79</v>
      </c>
      <c r="C1727" s="85"/>
      <c r="D1727" s="107" t="e">
        <f>+'RES CUENTA'!#REF!</f>
        <v>#REF!</v>
      </c>
      <c r="E1727" s="108">
        <f>+'RES CUENTA'!P828</f>
        <v>0</v>
      </c>
      <c r="F1727" s="103" t="e">
        <f>+D1727</f>
        <v>#REF!</v>
      </c>
      <c r="G1727" s="89"/>
      <c r="H1727" s="89"/>
    </row>
    <row r="1728" spans="2:8" ht="18" x14ac:dyDescent="0.25">
      <c r="B1728" s="85" t="s">
        <v>80</v>
      </c>
      <c r="C1728" s="85"/>
      <c r="D1728" s="107" t="e">
        <f>+'RES CUENTA'!#REF!</f>
        <v>#REF!</v>
      </c>
      <c r="E1728" s="108">
        <f>+'RES CUENTA'!R823</f>
        <v>0</v>
      </c>
      <c r="F1728" s="103" t="e">
        <f>+D1728</f>
        <v>#REF!</v>
      </c>
      <c r="G1728" s="89"/>
      <c r="H1728" s="89"/>
    </row>
    <row r="1729" spans="2:8" ht="18" x14ac:dyDescent="0.25">
      <c r="B1729" s="86"/>
      <c r="C1729" s="85"/>
      <c r="D1729" s="85"/>
      <c r="F1729" s="104" t="e">
        <f>SUM(F1725:F1728)</f>
        <v>#REF!</v>
      </c>
      <c r="G1729" s="89"/>
      <c r="H1729" s="89"/>
    </row>
    <row r="1730" spans="2:8" ht="18" x14ac:dyDescent="0.25">
      <c r="B1730" s="86"/>
      <c r="C1730" s="85"/>
      <c r="D1730" s="85"/>
      <c r="F1730" s="104"/>
      <c r="G1730" s="89"/>
      <c r="H1730" s="89"/>
    </row>
    <row r="1731" spans="2:8" ht="18" x14ac:dyDescent="0.25">
      <c r="B1731" s="85"/>
      <c r="C1731" s="85"/>
      <c r="D1731" s="85"/>
      <c r="E1731" s="85"/>
      <c r="F1731" s="92"/>
      <c r="G1731" s="90"/>
      <c r="H1731" s="90"/>
    </row>
    <row r="1732" spans="2:8" ht="18" x14ac:dyDescent="0.25">
      <c r="B1732" s="85"/>
      <c r="C1732" s="85"/>
      <c r="D1732" s="85"/>
      <c r="E1732" s="85"/>
      <c r="F1732" s="92"/>
      <c r="G1732" s="90"/>
      <c r="H1732" s="90"/>
    </row>
    <row r="1733" spans="2:8" ht="18" x14ac:dyDescent="0.25">
      <c r="B1733" s="85"/>
      <c r="C1733" s="85"/>
      <c r="D1733" s="85"/>
      <c r="E1733" s="85"/>
      <c r="F1733" s="92"/>
      <c r="G1733" s="90"/>
      <c r="H1733" s="90"/>
    </row>
    <row r="1734" spans="2:8" ht="18" x14ac:dyDescent="0.25">
      <c r="B1734" s="85"/>
      <c r="C1734" s="85"/>
      <c r="D1734" s="85"/>
      <c r="E1734" s="85"/>
      <c r="F1734" s="92"/>
      <c r="G1734" s="90"/>
      <c r="H1734" s="90"/>
    </row>
    <row r="1735" spans="2:8" ht="18" x14ac:dyDescent="0.25">
      <c r="B1735" s="85" t="e">
        <f>+B1720</f>
        <v>#REF!</v>
      </c>
      <c r="C1735" s="85"/>
      <c r="D1735" s="85"/>
      <c r="E1735" s="85" t="e">
        <f>+B1720</f>
        <v>#REF!</v>
      </c>
      <c r="F1735" s="85"/>
      <c r="G1735" s="85"/>
      <c r="H1735" s="94"/>
    </row>
    <row r="1736" spans="2:8" ht="18" x14ac:dyDescent="0.25">
      <c r="B1736" s="86"/>
      <c r="C1736" s="85"/>
      <c r="D1736" s="85"/>
      <c r="F1736" s="85"/>
      <c r="G1736" s="101"/>
      <c r="H1736" s="90" t="str">
        <f>+H1721</f>
        <v>Unid. 46</v>
      </c>
    </row>
    <row r="1737" spans="2:8" ht="18" x14ac:dyDescent="0.25">
      <c r="B1737" s="85" t="str">
        <f>+$E$1</f>
        <v>Lima 461 C:A:B:A:</v>
      </c>
      <c r="C1737" s="85"/>
      <c r="D1737" s="93" t="str">
        <f>+H1736</f>
        <v>Unid. 46</v>
      </c>
      <c r="E1737" s="85" t="str">
        <f>+$E$1</f>
        <v>Lima 461 C:A:B:A:</v>
      </c>
      <c r="F1737" s="85"/>
      <c r="G1737" s="85"/>
      <c r="H1737" s="94"/>
    </row>
    <row r="1738" spans="2:8" ht="18" x14ac:dyDescent="0.25">
      <c r="B1738" s="86"/>
      <c r="C1738" s="86"/>
      <c r="D1738" s="86"/>
      <c r="F1738" s="85"/>
      <c r="G1738" s="85"/>
    </row>
    <row r="1739" spans="2:8" ht="18" x14ac:dyDescent="0.25">
      <c r="B1739" s="85"/>
      <c r="C1739" s="85"/>
      <c r="D1739" s="85"/>
      <c r="E1739" s="86"/>
      <c r="F1739" s="85"/>
      <c r="G1739" s="85"/>
      <c r="H1739" s="94"/>
    </row>
    <row r="1740" spans="2:8" ht="18" x14ac:dyDescent="0.25">
      <c r="B1740" s="85">
        <f>+$E$2</f>
        <v>0</v>
      </c>
      <c r="C1740" s="85"/>
      <c r="D1740" s="85"/>
      <c r="E1740" s="85"/>
      <c r="F1740" s="96"/>
      <c r="G1740" s="86"/>
      <c r="H1740" s="90"/>
    </row>
    <row r="1741" spans="2:8" ht="18" x14ac:dyDescent="0.25">
      <c r="B1741" s="85">
        <f>+$E$3</f>
        <v>0</v>
      </c>
      <c r="C1741" s="85"/>
      <c r="D1741" s="85"/>
      <c r="E1741" s="96"/>
      <c r="G1741" s="94"/>
      <c r="H1741" s="96"/>
    </row>
    <row r="1742" spans="2:8" ht="18" x14ac:dyDescent="0.25">
      <c r="B1742" s="86"/>
      <c r="C1742" s="85"/>
      <c r="D1742" s="85"/>
      <c r="E1742" s="85" t="s">
        <v>200</v>
      </c>
      <c r="F1742" s="106" t="e">
        <f>+F1725</f>
        <v>#REF!</v>
      </c>
      <c r="G1742" s="95"/>
      <c r="H1742" s="99">
        <f>+B1746</f>
        <v>46037</v>
      </c>
    </row>
    <row r="1743" spans="2:8" ht="18" x14ac:dyDescent="0.25">
      <c r="B1743" s="86"/>
      <c r="C1743" s="85"/>
      <c r="D1743" s="85"/>
      <c r="E1743" s="85" t="s">
        <v>201</v>
      </c>
      <c r="F1743" s="106" t="e">
        <f>+F1726</f>
        <v>#REF!</v>
      </c>
      <c r="H1743" s="90"/>
    </row>
    <row r="1744" spans="2:8" ht="18" x14ac:dyDescent="0.25">
      <c r="B1744" s="85"/>
      <c r="C1744" s="85"/>
      <c r="D1744" s="85"/>
      <c r="E1744" s="85" t="s">
        <v>81</v>
      </c>
      <c r="F1744" s="106" t="e">
        <f>+F1727</f>
        <v>#REF!</v>
      </c>
      <c r="G1744" s="85"/>
      <c r="H1744" s="90"/>
    </row>
    <row r="1745" spans="2:8" ht="18" x14ac:dyDescent="0.25">
      <c r="B1745" s="96"/>
      <c r="C1745" s="96"/>
      <c r="D1745" s="96"/>
      <c r="E1745" s="85" t="s">
        <v>82</v>
      </c>
      <c r="F1745" s="106" t="e">
        <f>+F1728</f>
        <v>#REF!</v>
      </c>
      <c r="G1745" s="85"/>
      <c r="H1745" s="90"/>
    </row>
    <row r="1746" spans="2:8" ht="18" x14ac:dyDescent="0.25">
      <c r="B1746" s="99">
        <f>+$G$30</f>
        <v>46037</v>
      </c>
      <c r="C1746" s="105" t="e">
        <f>+F1729</f>
        <v>#REF!</v>
      </c>
      <c r="D1746" s="85"/>
      <c r="E1746" s="85" t="s">
        <v>188</v>
      </c>
      <c r="F1746" s="106">
        <v>0</v>
      </c>
      <c r="G1746" s="85"/>
      <c r="H1746" s="90"/>
    </row>
    <row r="1747" spans="2:8" ht="18" x14ac:dyDescent="0.25">
      <c r="B1747" s="85"/>
      <c r="C1747" s="85"/>
      <c r="D1747" s="85"/>
      <c r="E1747" s="85" t="s">
        <v>83</v>
      </c>
      <c r="F1747" s="106" t="e">
        <f>+F1729</f>
        <v>#REF!</v>
      </c>
      <c r="G1747" s="85"/>
      <c r="H1747" s="90"/>
    </row>
    <row r="1748" spans="2:8" ht="18" x14ac:dyDescent="0.25">
      <c r="B1748" s="85"/>
      <c r="C1748" s="85"/>
      <c r="D1748" s="85"/>
      <c r="E1748" s="85"/>
      <c r="F1748" s="85"/>
      <c r="G1748" s="85"/>
      <c r="H1748" s="90"/>
    </row>
    <row r="1749" spans="2:8" ht="18" x14ac:dyDescent="0.25">
      <c r="B1749" s="85"/>
      <c r="C1749" s="85"/>
      <c r="D1749" s="85"/>
      <c r="E1749" s="102"/>
      <c r="F1749" s="85"/>
      <c r="G1749" s="85"/>
      <c r="H1749" s="90"/>
    </row>
    <row r="1750" spans="2:8" ht="18" x14ac:dyDescent="0.25">
      <c r="B1750" s="85"/>
      <c r="C1750" s="85"/>
      <c r="D1750" s="85"/>
      <c r="E1750" s="85"/>
      <c r="F1750" s="85"/>
      <c r="G1750" s="85"/>
      <c r="H1750" s="94"/>
    </row>
    <row r="1751" spans="2:8" ht="18" x14ac:dyDescent="0.25">
      <c r="E1751" s="85"/>
      <c r="G1751" s="94"/>
      <c r="H1751" s="90"/>
    </row>
    <row r="1753" spans="2:8" ht="18" x14ac:dyDescent="0.25">
      <c r="B1753" s="343"/>
      <c r="C1753" s="343"/>
      <c r="D1753" s="343"/>
      <c r="E1753" s="342">
        <f>+$B$1</f>
        <v>46143</v>
      </c>
      <c r="F1753" s="85"/>
      <c r="G1753" s="337">
        <f>+$D$1</f>
        <v>46037</v>
      </c>
      <c r="H1753" s="90"/>
    </row>
    <row r="1754" spans="2:8" ht="18" x14ac:dyDescent="0.25">
      <c r="B1754" s="84"/>
      <c r="C1754" s="84"/>
      <c r="D1754" s="100"/>
      <c r="E1754" s="342"/>
      <c r="F1754" s="85"/>
      <c r="G1754" s="337"/>
      <c r="H1754" s="90"/>
    </row>
    <row r="1755" spans="2:8" ht="18" x14ac:dyDescent="0.25">
      <c r="B1755" s="85"/>
      <c r="C1755" s="85"/>
      <c r="D1755" s="85"/>
      <c r="E1755" s="86"/>
      <c r="F1755" s="85"/>
      <c r="G1755" s="86"/>
      <c r="H1755" s="90"/>
    </row>
    <row r="1756" spans="2:8" ht="18" x14ac:dyDescent="0.25">
      <c r="B1756" s="85" t="e">
        <f>+#REF!</f>
        <v>#REF!</v>
      </c>
      <c r="C1756" s="85"/>
      <c r="D1756" s="85"/>
      <c r="E1756" s="86"/>
      <c r="F1756" s="85"/>
      <c r="G1756" s="86"/>
      <c r="H1756" s="90"/>
    </row>
    <row r="1757" spans="2:8" ht="18" x14ac:dyDescent="0.25">
      <c r="B1757" s="86"/>
      <c r="C1757" s="85"/>
      <c r="D1757" s="85"/>
      <c r="E1757" s="85" t="s">
        <v>78</v>
      </c>
      <c r="F1757" s="85"/>
      <c r="G1757" s="85"/>
      <c r="H1757" s="90" t="s">
        <v>130</v>
      </c>
    </row>
    <row r="1758" spans="2:8" ht="18" x14ac:dyDescent="0.25">
      <c r="B1758" s="85"/>
      <c r="C1758" s="85"/>
      <c r="D1758" s="85"/>
      <c r="E1758" s="86"/>
      <c r="F1758" s="86"/>
      <c r="G1758" s="85"/>
      <c r="H1758" s="94"/>
    </row>
    <row r="1759" spans="2:8" ht="18" x14ac:dyDescent="0.25">
      <c r="B1759" s="94"/>
      <c r="C1759" s="85"/>
      <c r="D1759" s="94"/>
      <c r="E1759" s="85"/>
      <c r="F1759" s="85"/>
      <c r="G1759" s="85"/>
      <c r="H1759" s="90"/>
    </row>
    <row r="1760" spans="2:8" ht="18" x14ac:dyDescent="0.25">
      <c r="B1760" s="94"/>
      <c r="C1760" s="85"/>
      <c r="D1760" s="94"/>
      <c r="E1760" s="85"/>
      <c r="F1760" s="85"/>
      <c r="G1760" s="85"/>
      <c r="H1760" s="90"/>
    </row>
    <row r="1761" spans="2:8" ht="18" x14ac:dyDescent="0.25">
      <c r="B1761" s="85" t="s">
        <v>198</v>
      </c>
      <c r="C1761" s="85"/>
      <c r="D1761" s="107">
        <f>+'RES CUENTA'!$L$25</f>
        <v>10859801.41</v>
      </c>
      <c r="E1761" s="108" t="e">
        <f>+'RES CUENTA'!#REF!</f>
        <v>#REF!</v>
      </c>
      <c r="F1761" s="103" t="e">
        <f>+D1761*E1761/100</f>
        <v>#REF!</v>
      </c>
      <c r="G1761" s="345"/>
      <c r="H1761" s="345"/>
    </row>
    <row r="1762" spans="2:8" ht="18" x14ac:dyDescent="0.25">
      <c r="B1762" s="85" t="s">
        <v>199</v>
      </c>
      <c r="C1762" s="85"/>
      <c r="D1762" s="107" t="e">
        <f>+'RES CUENTA'!#REF!</f>
        <v>#REF!</v>
      </c>
      <c r="E1762" s="108" t="e">
        <f>+'RES CUENTA'!#REF!</f>
        <v>#REF!</v>
      </c>
      <c r="F1762" s="103" t="e">
        <f>+D1762*E1762/100</f>
        <v>#REF!</v>
      </c>
      <c r="G1762" s="341"/>
      <c r="H1762" s="341"/>
    </row>
    <row r="1763" spans="2:8" ht="18" x14ac:dyDescent="0.25">
      <c r="B1763" s="85" t="s">
        <v>79</v>
      </c>
      <c r="C1763" s="85"/>
      <c r="D1763" s="107" t="e">
        <f>+'RES CUENTA'!#REF!</f>
        <v>#REF!</v>
      </c>
      <c r="E1763" s="108">
        <v>0</v>
      </c>
      <c r="F1763" s="103" t="e">
        <f>+D1763</f>
        <v>#REF!</v>
      </c>
      <c r="G1763" s="341"/>
      <c r="H1763" s="341"/>
    </row>
    <row r="1764" spans="2:8" ht="18" x14ac:dyDescent="0.25">
      <c r="B1764" s="85" t="s">
        <v>80</v>
      </c>
      <c r="C1764" s="85"/>
      <c r="D1764" s="107" t="e">
        <f>+'RES CUENTA'!#REF!</f>
        <v>#REF!</v>
      </c>
      <c r="E1764" s="108">
        <v>0</v>
      </c>
      <c r="F1764" s="103" t="e">
        <f>+D1764</f>
        <v>#REF!</v>
      </c>
      <c r="G1764" s="341"/>
      <c r="H1764" s="341"/>
    </row>
    <row r="1765" spans="2:8" ht="18" x14ac:dyDescent="0.25">
      <c r="B1765" s="86"/>
      <c r="C1765" s="85"/>
      <c r="D1765" s="85"/>
      <c r="E1765" s="92"/>
      <c r="F1765" s="104" t="e">
        <f>SUM(F1761:F1764)</f>
        <v>#REF!</v>
      </c>
      <c r="G1765" s="341"/>
      <c r="H1765" s="341"/>
    </row>
    <row r="1766" spans="2:8" ht="18" x14ac:dyDescent="0.25">
      <c r="B1766" s="86"/>
      <c r="C1766" s="85"/>
      <c r="D1766" s="85"/>
      <c r="E1766" s="92"/>
      <c r="F1766" s="104"/>
      <c r="G1766" s="89"/>
      <c r="H1766" s="89"/>
    </row>
    <row r="1767" spans="2:8" ht="18" x14ac:dyDescent="0.25">
      <c r="B1767" s="86"/>
      <c r="C1767" s="85"/>
      <c r="D1767" s="85"/>
      <c r="E1767" s="85"/>
      <c r="G1767" s="338"/>
      <c r="H1767" s="338"/>
    </row>
    <row r="1768" spans="2:8" ht="18" x14ac:dyDescent="0.25">
      <c r="B1768" s="85"/>
      <c r="C1768" s="85"/>
      <c r="D1768" s="85"/>
      <c r="E1768" s="85"/>
      <c r="F1768" s="91"/>
      <c r="G1768" s="90"/>
      <c r="H1768" s="90"/>
    </row>
    <row r="1769" spans="2:8" ht="18" x14ac:dyDescent="0.25">
      <c r="B1769" s="85"/>
      <c r="C1769" s="85"/>
      <c r="D1769" s="85"/>
      <c r="E1769" s="85"/>
      <c r="F1769" s="92"/>
      <c r="G1769" s="85"/>
      <c r="H1769" s="90"/>
    </row>
    <row r="1770" spans="2:8" ht="18" x14ac:dyDescent="0.25">
      <c r="B1770" s="85"/>
      <c r="C1770" s="85"/>
      <c r="D1770" s="85"/>
      <c r="E1770" s="85"/>
      <c r="F1770" s="92"/>
      <c r="G1770" s="85"/>
      <c r="H1770" s="90"/>
    </row>
    <row r="1771" spans="2:8" ht="18" x14ac:dyDescent="0.25">
      <c r="B1771" s="85" t="e">
        <f>+B1756</f>
        <v>#REF!</v>
      </c>
      <c r="C1771" s="344"/>
      <c r="D1771" s="344"/>
      <c r="E1771" s="85" t="e">
        <f>+B1771</f>
        <v>#REF!</v>
      </c>
      <c r="F1771" s="92"/>
      <c r="G1771" s="85"/>
      <c r="H1771" s="90"/>
    </row>
    <row r="1772" spans="2:8" ht="18" x14ac:dyDescent="0.25">
      <c r="C1772" s="85"/>
      <c r="D1772" s="85"/>
      <c r="F1772" s="344"/>
      <c r="G1772" s="344"/>
      <c r="H1772" s="344"/>
    </row>
    <row r="1773" spans="2:8" ht="18" x14ac:dyDescent="0.25">
      <c r="B1773" s="85" t="str">
        <f>+$E$1</f>
        <v>Lima 461 C:A:B:A:</v>
      </c>
      <c r="C1773" s="85"/>
      <c r="D1773" s="93" t="str">
        <f>+H1757</f>
        <v>Unid. 47</v>
      </c>
      <c r="E1773" s="85" t="str">
        <f>+$E$1</f>
        <v>Lima 461 C:A:B:A:</v>
      </c>
      <c r="F1773" s="85"/>
      <c r="G1773" s="85"/>
      <c r="H1773" s="90" t="str">
        <f>+D1773</f>
        <v>Unid. 47</v>
      </c>
    </row>
    <row r="1774" spans="2:8" ht="18" x14ac:dyDescent="0.25">
      <c r="H1774" s="94"/>
    </row>
    <row r="1775" spans="2:8" ht="18" x14ac:dyDescent="0.25">
      <c r="B1775" s="86"/>
      <c r="C1775" s="86"/>
      <c r="D1775" s="86"/>
      <c r="E1775" s="86"/>
      <c r="F1775" s="85"/>
      <c r="G1775" s="85"/>
    </row>
    <row r="1776" spans="2:8" ht="18" x14ac:dyDescent="0.25">
      <c r="B1776" s="85">
        <f>+$E$2</f>
        <v>0</v>
      </c>
      <c r="C1776" s="85"/>
      <c r="D1776" s="85"/>
      <c r="E1776" s="85"/>
      <c r="F1776" s="85"/>
      <c r="G1776" s="86"/>
      <c r="H1776" s="94"/>
    </row>
    <row r="1777" spans="2:8" ht="18" x14ac:dyDescent="0.25">
      <c r="B1777" s="85">
        <f>+$E$3</f>
        <v>0</v>
      </c>
      <c r="C1777" s="85"/>
      <c r="D1777" s="85"/>
      <c r="E1777" s="96"/>
      <c r="F1777" s="85"/>
      <c r="G1777" s="94"/>
      <c r="H1777" s="90"/>
    </row>
    <row r="1778" spans="2:8" ht="18" x14ac:dyDescent="0.25">
      <c r="C1778" s="85"/>
      <c r="D1778" s="85"/>
      <c r="E1778" s="85" t="s">
        <v>200</v>
      </c>
      <c r="F1778" s="106" t="e">
        <f>+F1761</f>
        <v>#REF!</v>
      </c>
      <c r="H1778" s="99">
        <f>+B1783</f>
        <v>46037</v>
      </c>
    </row>
    <row r="1779" spans="2:8" ht="18" x14ac:dyDescent="0.25">
      <c r="B1779" s="86"/>
      <c r="C1779" s="85"/>
      <c r="D1779" s="85"/>
      <c r="E1779" s="85" t="s">
        <v>201</v>
      </c>
      <c r="F1779" s="106" t="e">
        <f>+F1762</f>
        <v>#REF!</v>
      </c>
    </row>
    <row r="1780" spans="2:8" ht="18" x14ac:dyDescent="0.25">
      <c r="B1780" s="86"/>
      <c r="C1780" s="85"/>
      <c r="D1780" s="85"/>
      <c r="E1780" s="85" t="s">
        <v>81</v>
      </c>
      <c r="F1780" s="106" t="e">
        <f>+F1763</f>
        <v>#REF!</v>
      </c>
      <c r="G1780" s="85"/>
      <c r="H1780" s="90"/>
    </row>
    <row r="1781" spans="2:8" ht="18" x14ac:dyDescent="0.25">
      <c r="B1781" s="85"/>
      <c r="C1781" s="85"/>
      <c r="D1781" s="85"/>
      <c r="E1781" s="85" t="s">
        <v>82</v>
      </c>
      <c r="F1781" s="106" t="e">
        <f>+F1764</f>
        <v>#REF!</v>
      </c>
      <c r="G1781" s="85"/>
      <c r="H1781" s="90"/>
    </row>
    <row r="1782" spans="2:8" ht="18" x14ac:dyDescent="0.25">
      <c r="B1782" s="96"/>
      <c r="C1782" s="96"/>
      <c r="D1782" s="96"/>
      <c r="E1782" s="85" t="s">
        <v>188</v>
      </c>
      <c r="F1782" s="106">
        <v>0</v>
      </c>
      <c r="G1782" s="85"/>
      <c r="H1782" s="90"/>
    </row>
    <row r="1783" spans="2:8" ht="18" x14ac:dyDescent="0.25">
      <c r="B1783" s="99">
        <f>+$G$30</f>
        <v>46037</v>
      </c>
      <c r="C1783" s="105" t="e">
        <f>+F1765</f>
        <v>#REF!</v>
      </c>
      <c r="D1783" s="85"/>
      <c r="E1783" s="85" t="s">
        <v>83</v>
      </c>
      <c r="F1783" s="106" t="e">
        <f>+F1765</f>
        <v>#REF!</v>
      </c>
      <c r="G1783" s="85"/>
      <c r="H1783" s="90"/>
    </row>
    <row r="1784" spans="2:8" ht="18" x14ac:dyDescent="0.25">
      <c r="B1784" s="85"/>
      <c r="C1784" s="85"/>
      <c r="D1784" s="85"/>
      <c r="E1784" s="85"/>
      <c r="F1784" s="85"/>
      <c r="G1784" s="85"/>
      <c r="H1784" s="90"/>
    </row>
    <row r="1785" spans="2:8" ht="18" x14ac:dyDescent="0.25">
      <c r="B1785" s="85"/>
      <c r="C1785" s="85"/>
      <c r="D1785" s="85"/>
      <c r="E1785" s="85"/>
      <c r="F1785" s="85"/>
      <c r="G1785" s="345"/>
      <c r="H1785" s="345"/>
    </row>
    <row r="1786" spans="2:8" ht="18" x14ac:dyDescent="0.25">
      <c r="B1786" s="85"/>
      <c r="C1786" s="85"/>
      <c r="D1786" s="85"/>
      <c r="E1786" s="85"/>
      <c r="F1786" s="85"/>
      <c r="G1786" s="85"/>
      <c r="H1786" s="90"/>
    </row>
    <row r="1787" spans="2:8" ht="18" x14ac:dyDescent="0.25">
      <c r="B1787" s="85"/>
      <c r="C1787" s="85"/>
      <c r="D1787" s="85"/>
      <c r="E1787" s="85"/>
      <c r="F1787" s="85"/>
      <c r="G1787" s="85"/>
      <c r="H1787" s="90"/>
    </row>
    <row r="1788" spans="2:8" ht="18" x14ac:dyDescent="0.25">
      <c r="B1788" s="85"/>
      <c r="C1788" s="85"/>
      <c r="D1788" s="85"/>
      <c r="E1788" s="85"/>
      <c r="F1788" s="85"/>
      <c r="G1788" s="85"/>
      <c r="H1788" s="90"/>
    </row>
    <row r="1789" spans="2:8" ht="18" x14ac:dyDescent="0.25">
      <c r="B1789" s="85"/>
      <c r="C1789" s="85"/>
      <c r="D1789" s="85"/>
      <c r="E1789" s="85"/>
      <c r="F1789" s="85"/>
      <c r="H1789" s="90"/>
    </row>
    <row r="1790" spans="2:8" ht="18" x14ac:dyDescent="0.25">
      <c r="B1790" s="85"/>
      <c r="C1790" s="85"/>
      <c r="D1790" s="85"/>
      <c r="E1790" s="85"/>
      <c r="F1790" s="85"/>
      <c r="H1790" s="90"/>
    </row>
    <row r="1791" spans="2:8" ht="18" x14ac:dyDescent="0.25">
      <c r="B1791" s="343"/>
      <c r="C1791" s="343"/>
      <c r="D1791" s="343"/>
      <c r="E1791" s="85"/>
      <c r="F1791" s="85"/>
      <c r="H1791" s="90"/>
    </row>
    <row r="1792" spans="2:8" ht="18" x14ac:dyDescent="0.25">
      <c r="B1792" s="343"/>
      <c r="C1792" s="343"/>
      <c r="D1792" s="343"/>
      <c r="E1792" s="98">
        <f>+$B$1</f>
        <v>46143</v>
      </c>
      <c r="F1792" s="85"/>
      <c r="G1792" s="99">
        <f>+$D$1</f>
        <v>46037</v>
      </c>
      <c r="H1792" s="160"/>
    </row>
    <row r="1793" spans="2:8" ht="18" x14ac:dyDescent="0.25">
      <c r="B1793" s="84"/>
      <c r="C1793" s="84"/>
      <c r="D1793" s="100"/>
      <c r="E1793" s="98"/>
      <c r="F1793" s="85"/>
    </row>
    <row r="1794" spans="2:8" ht="18" x14ac:dyDescent="0.25">
      <c r="B1794" s="85" t="e">
        <f>+#REF!</f>
        <v>#REF!</v>
      </c>
      <c r="C1794" s="85"/>
      <c r="D1794" s="85"/>
      <c r="F1794" s="85"/>
    </row>
    <row r="1795" spans="2:8" ht="18" x14ac:dyDescent="0.25">
      <c r="C1795" s="85"/>
      <c r="D1795" s="85"/>
      <c r="E1795" s="85" t="str">
        <f>+$E$1</f>
        <v>Lima 461 C:A:B:A:</v>
      </c>
      <c r="F1795" s="85"/>
      <c r="H1795" s="90" t="s">
        <v>131</v>
      </c>
    </row>
    <row r="1796" spans="2:8" ht="18" x14ac:dyDescent="0.25">
      <c r="B1796" s="86"/>
      <c r="C1796" s="85"/>
      <c r="D1796" s="85"/>
      <c r="F1796" s="85"/>
      <c r="G1796" s="86"/>
    </row>
    <row r="1797" spans="2:8" ht="18" x14ac:dyDescent="0.25">
      <c r="B1797" s="85"/>
      <c r="C1797" s="85"/>
      <c r="D1797" s="85"/>
      <c r="E1797" s="86"/>
      <c r="F1797" s="86"/>
      <c r="G1797" s="85"/>
      <c r="H1797" s="94"/>
    </row>
    <row r="1798" spans="2:8" ht="18" x14ac:dyDescent="0.25">
      <c r="B1798" s="94"/>
      <c r="C1798" s="85"/>
      <c r="D1798" s="94"/>
      <c r="E1798" s="85"/>
      <c r="F1798" s="85"/>
      <c r="G1798" s="85"/>
      <c r="H1798" s="90"/>
    </row>
    <row r="1799" spans="2:8" ht="18" x14ac:dyDescent="0.25">
      <c r="B1799" s="85" t="s">
        <v>198</v>
      </c>
      <c r="C1799" s="85"/>
      <c r="D1799" s="107">
        <f>+'RES CUENTA'!$L$25</f>
        <v>10859801.41</v>
      </c>
      <c r="E1799" s="108" t="e">
        <f>+'RES CUENTA'!#REF!</f>
        <v>#REF!</v>
      </c>
      <c r="F1799" s="103" t="e">
        <f>+D1799*E1799/100</f>
        <v>#REF!</v>
      </c>
      <c r="G1799" s="85"/>
      <c r="H1799" s="94"/>
    </row>
    <row r="1800" spans="2:8" ht="18" x14ac:dyDescent="0.25">
      <c r="B1800" s="85" t="s">
        <v>199</v>
      </c>
      <c r="C1800" s="85"/>
      <c r="D1800" s="107" t="e">
        <f>+'RES CUENTA'!#REF!</f>
        <v>#REF!</v>
      </c>
      <c r="E1800" s="108" t="e">
        <f>+'RES CUENTA'!#REF!</f>
        <v>#REF!</v>
      </c>
      <c r="F1800" s="103" t="e">
        <f>+D1800*E1800/100</f>
        <v>#REF!</v>
      </c>
      <c r="G1800" s="94"/>
      <c r="H1800" s="89"/>
    </row>
    <row r="1801" spans="2:8" ht="18" x14ac:dyDescent="0.25">
      <c r="B1801" s="85" t="s">
        <v>79</v>
      </c>
      <c r="C1801" s="85"/>
      <c r="D1801" s="107" t="e">
        <f>+'RES CUENTA'!#REF!</f>
        <v>#REF!</v>
      </c>
      <c r="E1801" s="108">
        <f>+'RES CUENTA'!P904</f>
        <v>0</v>
      </c>
      <c r="F1801" s="103" t="e">
        <f>+D1801</f>
        <v>#REF!</v>
      </c>
      <c r="G1801" s="89"/>
      <c r="H1801" s="89"/>
    </row>
    <row r="1802" spans="2:8" ht="18" x14ac:dyDescent="0.25">
      <c r="B1802" s="85" t="s">
        <v>80</v>
      </c>
      <c r="C1802" s="85"/>
      <c r="D1802" s="107" t="e">
        <f>+'RES CUENTA'!#REF!</f>
        <v>#REF!</v>
      </c>
      <c r="E1802" s="108">
        <f>+'RES CUENTA'!R899</f>
        <v>0</v>
      </c>
      <c r="F1802" s="103" t="e">
        <f>+D1802</f>
        <v>#REF!</v>
      </c>
      <c r="G1802" s="89"/>
      <c r="H1802" s="89"/>
    </row>
    <row r="1803" spans="2:8" ht="18" x14ac:dyDescent="0.25">
      <c r="B1803" s="86"/>
      <c r="C1803" s="85"/>
      <c r="D1803" s="85"/>
      <c r="F1803" s="104" t="e">
        <f>SUM(F1799:F1802)</f>
        <v>#REF!</v>
      </c>
      <c r="G1803" s="89"/>
      <c r="H1803" s="89"/>
    </row>
    <row r="1804" spans="2:8" ht="18" x14ac:dyDescent="0.25">
      <c r="B1804" s="86"/>
      <c r="C1804" s="85"/>
      <c r="D1804" s="85"/>
      <c r="F1804" s="104"/>
      <c r="G1804" s="89"/>
      <c r="H1804" s="89"/>
    </row>
    <row r="1805" spans="2:8" ht="18" x14ac:dyDescent="0.25">
      <c r="B1805" s="86"/>
      <c r="C1805" s="85"/>
      <c r="D1805" s="85"/>
      <c r="F1805" s="91"/>
      <c r="G1805" s="89"/>
      <c r="H1805" s="90"/>
    </row>
    <row r="1806" spans="2:8" ht="18" x14ac:dyDescent="0.25">
      <c r="B1806" s="85"/>
      <c r="C1806" s="85"/>
      <c r="D1806" s="85"/>
      <c r="E1806" s="85"/>
      <c r="F1806" s="92"/>
      <c r="G1806" s="90"/>
      <c r="H1806" s="90"/>
    </row>
    <row r="1807" spans="2:8" ht="18" x14ac:dyDescent="0.25">
      <c r="B1807" s="85"/>
      <c r="C1807" s="85"/>
      <c r="D1807" s="85"/>
      <c r="E1807" s="85"/>
      <c r="F1807" s="92"/>
      <c r="G1807" s="90"/>
      <c r="H1807" s="90"/>
    </row>
    <row r="1808" spans="2:8" ht="18" x14ac:dyDescent="0.25">
      <c r="B1808" s="85"/>
      <c r="C1808" s="85"/>
      <c r="D1808" s="85"/>
      <c r="E1808" s="85"/>
      <c r="F1808" s="92"/>
      <c r="G1808" s="90"/>
      <c r="H1808" s="90"/>
    </row>
    <row r="1809" spans="2:8" ht="18" x14ac:dyDescent="0.25">
      <c r="B1809" s="85" t="e">
        <f>+B1794</f>
        <v>#REF!</v>
      </c>
      <c r="C1809" s="85"/>
      <c r="D1809" s="85"/>
      <c r="E1809" s="85" t="e">
        <f>+B1794</f>
        <v>#REF!</v>
      </c>
      <c r="F1809" s="85"/>
      <c r="G1809" s="85"/>
      <c r="H1809" s="94"/>
    </row>
    <row r="1810" spans="2:8" ht="18" x14ac:dyDescent="0.25">
      <c r="B1810" s="86"/>
      <c r="C1810" s="85"/>
      <c r="D1810" s="85"/>
      <c r="F1810" s="85"/>
      <c r="G1810" s="101"/>
      <c r="H1810" s="90" t="str">
        <f>+H1795</f>
        <v>Unid. 48</v>
      </c>
    </row>
    <row r="1811" spans="2:8" ht="18" x14ac:dyDescent="0.25">
      <c r="B1811" s="85" t="str">
        <f>+$E$1</f>
        <v>Lima 461 C:A:B:A:</v>
      </c>
      <c r="C1811" s="85"/>
      <c r="D1811" s="93" t="str">
        <f>+H1810</f>
        <v>Unid. 48</v>
      </c>
      <c r="E1811" s="85" t="str">
        <f>+$E$1</f>
        <v>Lima 461 C:A:B:A:</v>
      </c>
      <c r="F1811" s="85"/>
      <c r="G1811" s="85"/>
      <c r="H1811" s="94"/>
    </row>
    <row r="1812" spans="2:8" ht="18" x14ac:dyDescent="0.25">
      <c r="B1812" s="86"/>
      <c r="C1812" s="86"/>
      <c r="D1812" s="86"/>
      <c r="F1812" s="85"/>
      <c r="G1812" s="85"/>
    </row>
    <row r="1813" spans="2:8" ht="18" x14ac:dyDescent="0.25">
      <c r="B1813" s="85"/>
      <c r="C1813" s="85"/>
      <c r="D1813" s="85"/>
      <c r="E1813" s="86"/>
      <c r="F1813" s="85"/>
      <c r="G1813" s="85"/>
      <c r="H1813" s="94"/>
    </row>
    <row r="1814" spans="2:8" ht="18" x14ac:dyDescent="0.25">
      <c r="B1814" s="85">
        <f>+$E$2</f>
        <v>0</v>
      </c>
      <c r="C1814" s="85"/>
      <c r="D1814" s="85"/>
      <c r="E1814" s="85"/>
      <c r="F1814" s="96"/>
      <c r="G1814" s="86"/>
      <c r="H1814" s="90"/>
    </row>
    <row r="1815" spans="2:8" ht="18" x14ac:dyDescent="0.25">
      <c r="B1815" s="85">
        <f>+$E$3</f>
        <v>0</v>
      </c>
      <c r="C1815" s="85"/>
      <c r="D1815" s="85"/>
      <c r="E1815" s="96"/>
      <c r="G1815" s="94"/>
      <c r="H1815" s="96"/>
    </row>
    <row r="1816" spans="2:8" ht="18" x14ac:dyDescent="0.25">
      <c r="B1816" s="86"/>
      <c r="C1816" s="85"/>
      <c r="D1816" s="85"/>
      <c r="E1816" s="85" t="s">
        <v>200</v>
      </c>
      <c r="F1816" s="106" t="e">
        <f>+F1799</f>
        <v>#REF!</v>
      </c>
      <c r="G1816" s="95"/>
      <c r="H1816" s="99">
        <f>+B1820</f>
        <v>46037</v>
      </c>
    </row>
    <row r="1817" spans="2:8" ht="18" x14ac:dyDescent="0.25">
      <c r="B1817" s="86"/>
      <c r="C1817" s="85"/>
      <c r="D1817" s="85"/>
      <c r="E1817" s="85" t="s">
        <v>201</v>
      </c>
      <c r="F1817" s="106" t="e">
        <f>+F1800</f>
        <v>#REF!</v>
      </c>
      <c r="H1817" s="90"/>
    </row>
    <row r="1818" spans="2:8" ht="18" x14ac:dyDescent="0.25">
      <c r="B1818" s="85"/>
      <c r="C1818" s="85"/>
      <c r="D1818" s="85"/>
      <c r="E1818" s="85" t="s">
        <v>81</v>
      </c>
      <c r="F1818" s="106" t="e">
        <f>+F1801</f>
        <v>#REF!</v>
      </c>
      <c r="G1818" s="85"/>
      <c r="H1818" s="90"/>
    </row>
    <row r="1819" spans="2:8" ht="18" x14ac:dyDescent="0.25">
      <c r="B1819" s="96"/>
      <c r="C1819" s="96"/>
      <c r="D1819" s="96"/>
      <c r="E1819" s="85" t="s">
        <v>82</v>
      </c>
      <c r="F1819" s="106" t="e">
        <f>+F1802</f>
        <v>#REF!</v>
      </c>
      <c r="G1819" s="85"/>
      <c r="H1819" s="90"/>
    </row>
    <row r="1820" spans="2:8" ht="18" x14ac:dyDescent="0.25">
      <c r="B1820" s="99">
        <f>+$G$30</f>
        <v>46037</v>
      </c>
      <c r="C1820" s="105" t="e">
        <f>+F1803</f>
        <v>#REF!</v>
      </c>
      <c r="D1820" s="85"/>
      <c r="E1820" s="85" t="s">
        <v>188</v>
      </c>
      <c r="F1820" s="106">
        <v>0</v>
      </c>
      <c r="G1820" s="85"/>
      <c r="H1820" s="90"/>
    </row>
    <row r="1821" spans="2:8" ht="18" x14ac:dyDescent="0.25">
      <c r="B1821" s="85"/>
      <c r="C1821" s="85"/>
      <c r="D1821" s="85"/>
      <c r="E1821" s="85" t="s">
        <v>83</v>
      </c>
      <c r="F1821" s="106" t="e">
        <f>+F1803</f>
        <v>#REF!</v>
      </c>
      <c r="G1821" s="85"/>
      <c r="H1821" s="90"/>
    </row>
    <row r="1822" spans="2:8" ht="18" x14ac:dyDescent="0.25">
      <c r="B1822" s="85"/>
      <c r="C1822" s="85"/>
      <c r="D1822" s="85"/>
      <c r="E1822" s="85"/>
      <c r="F1822" s="85"/>
      <c r="G1822" s="85"/>
      <c r="H1822" s="90"/>
    </row>
    <row r="1823" spans="2:8" ht="18" x14ac:dyDescent="0.25">
      <c r="B1823" s="85"/>
      <c r="C1823" s="85"/>
      <c r="D1823" s="85"/>
      <c r="E1823" s="102"/>
      <c r="F1823" s="85"/>
      <c r="G1823" s="85"/>
      <c r="H1823" s="90"/>
    </row>
    <row r="1824" spans="2:8" ht="18" x14ac:dyDescent="0.25">
      <c r="B1824" s="85"/>
      <c r="C1824" s="85"/>
      <c r="D1824" s="85"/>
      <c r="E1824" s="85"/>
      <c r="F1824" s="85"/>
      <c r="G1824" s="85"/>
      <c r="H1824" s="94"/>
    </row>
    <row r="1825" spans="2:8" ht="18" x14ac:dyDescent="0.25">
      <c r="E1825" s="85"/>
      <c r="G1825" s="94"/>
      <c r="H1825" s="90"/>
    </row>
    <row r="1827" spans="2:8" ht="18" x14ac:dyDescent="0.25">
      <c r="B1827" s="343"/>
      <c r="C1827" s="343"/>
      <c r="D1827" s="343"/>
      <c r="E1827" s="342">
        <f>+$B$1</f>
        <v>46143</v>
      </c>
      <c r="F1827" s="85"/>
      <c r="G1827" s="337">
        <f>+$D$1</f>
        <v>46037</v>
      </c>
      <c r="H1827" s="90"/>
    </row>
    <row r="1828" spans="2:8" ht="18" x14ac:dyDescent="0.25">
      <c r="B1828" s="84"/>
      <c r="C1828" s="84"/>
      <c r="D1828" s="100"/>
      <c r="E1828" s="342"/>
      <c r="F1828" s="85"/>
      <c r="G1828" s="337"/>
      <c r="H1828" s="90"/>
    </row>
    <row r="1829" spans="2:8" ht="18" x14ac:dyDescent="0.25">
      <c r="B1829" s="85"/>
      <c r="C1829" s="85"/>
      <c r="D1829" s="85"/>
      <c r="E1829" s="86"/>
      <c r="F1829" s="85"/>
      <c r="G1829" s="86"/>
      <c r="H1829" s="90"/>
    </row>
    <row r="1830" spans="2:8" ht="18" x14ac:dyDescent="0.25">
      <c r="B1830" s="85" t="e">
        <f>+#REF!</f>
        <v>#REF!</v>
      </c>
      <c r="C1830" s="85"/>
      <c r="D1830" s="85"/>
      <c r="E1830" s="86"/>
      <c r="F1830" s="85"/>
      <c r="G1830" s="86"/>
      <c r="H1830" s="90"/>
    </row>
    <row r="1831" spans="2:8" ht="18" x14ac:dyDescent="0.25">
      <c r="B1831" s="86"/>
      <c r="C1831" s="85"/>
      <c r="D1831" s="85"/>
      <c r="E1831" s="85" t="s">
        <v>78</v>
      </c>
      <c r="F1831" s="85"/>
      <c r="G1831" s="85"/>
      <c r="H1831" s="90" t="s">
        <v>132</v>
      </c>
    </row>
    <row r="1832" spans="2:8" ht="18" x14ac:dyDescent="0.25">
      <c r="B1832" s="85"/>
      <c r="C1832" s="85"/>
      <c r="D1832" s="85"/>
      <c r="E1832" s="86"/>
      <c r="F1832" s="86"/>
      <c r="G1832" s="85"/>
      <c r="H1832" s="94"/>
    </row>
    <row r="1833" spans="2:8" ht="18" x14ac:dyDescent="0.25">
      <c r="B1833" s="94"/>
      <c r="C1833" s="85"/>
      <c r="D1833" s="94"/>
      <c r="E1833" s="85"/>
      <c r="F1833" s="85"/>
      <c r="G1833" s="85"/>
      <c r="H1833" s="90"/>
    </row>
    <row r="1834" spans="2:8" ht="18" x14ac:dyDescent="0.25">
      <c r="B1834" s="94"/>
      <c r="C1834" s="85"/>
      <c r="D1834" s="94"/>
      <c r="E1834" s="85"/>
      <c r="F1834" s="85"/>
      <c r="G1834" s="85"/>
      <c r="H1834" s="90"/>
    </row>
    <row r="1835" spans="2:8" ht="18" x14ac:dyDescent="0.25">
      <c r="B1835" s="85" t="s">
        <v>198</v>
      </c>
      <c r="C1835" s="85"/>
      <c r="D1835" s="107">
        <f>+'RES CUENTA'!$L$25</f>
        <v>10859801.41</v>
      </c>
      <c r="E1835" s="108" t="e">
        <f>+'RES CUENTA'!#REF!</f>
        <v>#REF!</v>
      </c>
      <c r="F1835" s="103" t="e">
        <f>+D1835*E1835/100</f>
        <v>#REF!</v>
      </c>
      <c r="G1835" s="345"/>
      <c r="H1835" s="345"/>
    </row>
    <row r="1836" spans="2:8" ht="18" x14ac:dyDescent="0.25">
      <c r="B1836" s="85" t="s">
        <v>199</v>
      </c>
      <c r="C1836" s="85"/>
      <c r="D1836" s="107" t="e">
        <f>+'RES CUENTA'!#REF!</f>
        <v>#REF!</v>
      </c>
      <c r="E1836" s="108" t="e">
        <f>+'RES CUENTA'!#REF!</f>
        <v>#REF!</v>
      </c>
      <c r="F1836" s="103" t="e">
        <f>+D1836*E1836/100</f>
        <v>#REF!</v>
      </c>
      <c r="G1836" s="341"/>
      <c r="H1836" s="341"/>
    </row>
    <row r="1837" spans="2:8" ht="18" x14ac:dyDescent="0.25">
      <c r="B1837" s="85" t="s">
        <v>79</v>
      </c>
      <c r="C1837" s="85"/>
      <c r="D1837" s="107" t="e">
        <f>+'RES CUENTA'!#REF!</f>
        <v>#REF!</v>
      </c>
      <c r="E1837" s="108">
        <v>0</v>
      </c>
      <c r="F1837" s="103" t="e">
        <f>+D1837</f>
        <v>#REF!</v>
      </c>
      <c r="G1837" s="341"/>
      <c r="H1837" s="341"/>
    </row>
    <row r="1838" spans="2:8" ht="18" x14ac:dyDescent="0.25">
      <c r="B1838" s="85" t="s">
        <v>80</v>
      </c>
      <c r="C1838" s="85"/>
      <c r="D1838" s="107" t="e">
        <f>+'RES CUENTA'!#REF!</f>
        <v>#REF!</v>
      </c>
      <c r="E1838" s="108">
        <v>0</v>
      </c>
      <c r="F1838" s="103" t="e">
        <f>+D1838</f>
        <v>#REF!</v>
      </c>
      <c r="G1838" s="341"/>
      <c r="H1838" s="341"/>
    </row>
    <row r="1839" spans="2:8" ht="18" x14ac:dyDescent="0.25">
      <c r="B1839" s="86"/>
      <c r="C1839" s="85"/>
      <c r="D1839" s="85"/>
      <c r="E1839" s="92"/>
      <c r="F1839" s="104" t="e">
        <f>SUM(F1835:F1838)</f>
        <v>#REF!</v>
      </c>
      <c r="G1839" s="341"/>
      <c r="H1839" s="341"/>
    </row>
    <row r="1840" spans="2:8" ht="18" x14ac:dyDescent="0.25">
      <c r="B1840" s="86"/>
      <c r="C1840" s="85"/>
      <c r="D1840" s="85"/>
      <c r="E1840" s="92"/>
      <c r="F1840" s="104"/>
      <c r="G1840" s="89"/>
      <c r="H1840" s="89"/>
    </row>
    <row r="1841" spans="2:8" ht="18" x14ac:dyDescent="0.25">
      <c r="B1841" s="86"/>
      <c r="C1841" s="85"/>
      <c r="D1841" s="85"/>
      <c r="E1841" s="85"/>
      <c r="G1841" s="338"/>
      <c r="H1841" s="338"/>
    </row>
    <row r="1842" spans="2:8" ht="18" x14ac:dyDescent="0.25">
      <c r="B1842" s="85"/>
      <c r="C1842" s="85"/>
      <c r="D1842" s="85"/>
      <c r="E1842" s="85"/>
      <c r="F1842" s="91"/>
      <c r="G1842" s="90"/>
      <c r="H1842" s="90"/>
    </row>
    <row r="1843" spans="2:8" ht="18" x14ac:dyDescent="0.25">
      <c r="B1843" s="85"/>
      <c r="C1843" s="85"/>
      <c r="D1843" s="85"/>
      <c r="E1843" s="85"/>
      <c r="F1843" s="92"/>
      <c r="G1843" s="85"/>
      <c r="H1843" s="90"/>
    </row>
    <row r="1844" spans="2:8" ht="18" x14ac:dyDescent="0.25">
      <c r="B1844" s="85"/>
      <c r="C1844" s="85"/>
      <c r="D1844" s="85"/>
      <c r="E1844" s="85"/>
      <c r="F1844" s="92"/>
      <c r="G1844" s="85"/>
      <c r="H1844" s="90"/>
    </row>
    <row r="1845" spans="2:8" ht="18" x14ac:dyDescent="0.25">
      <c r="B1845" s="85" t="e">
        <f>+B1830</f>
        <v>#REF!</v>
      </c>
      <c r="C1845" s="344"/>
      <c r="D1845" s="344"/>
      <c r="E1845" s="85" t="e">
        <f>+B1845</f>
        <v>#REF!</v>
      </c>
      <c r="F1845" s="92"/>
      <c r="G1845" s="85"/>
      <c r="H1845" s="90"/>
    </row>
    <row r="1846" spans="2:8" ht="18" x14ac:dyDescent="0.25">
      <c r="C1846" s="85"/>
      <c r="D1846" s="85"/>
      <c r="F1846" s="344"/>
      <c r="G1846" s="344"/>
      <c r="H1846" s="344"/>
    </row>
    <row r="1847" spans="2:8" ht="18" x14ac:dyDescent="0.25">
      <c r="B1847" s="85" t="str">
        <f>+$E$1</f>
        <v>Lima 461 C:A:B:A:</v>
      </c>
      <c r="C1847" s="85"/>
      <c r="D1847" s="93" t="str">
        <f>+H1831</f>
        <v>Unid. 49</v>
      </c>
      <c r="E1847" s="85" t="str">
        <f>+$E$1</f>
        <v>Lima 461 C:A:B:A:</v>
      </c>
      <c r="F1847" s="85"/>
      <c r="G1847" s="85"/>
      <c r="H1847" s="90" t="str">
        <f>+D1847</f>
        <v>Unid. 49</v>
      </c>
    </row>
    <row r="1848" spans="2:8" ht="18" x14ac:dyDescent="0.25">
      <c r="H1848" s="94"/>
    </row>
    <row r="1849" spans="2:8" ht="18" x14ac:dyDescent="0.25">
      <c r="B1849" s="86"/>
      <c r="C1849" s="86"/>
      <c r="D1849" s="86"/>
      <c r="E1849" s="86"/>
      <c r="F1849" s="85"/>
      <c r="G1849" s="85"/>
    </row>
    <row r="1850" spans="2:8" ht="18" x14ac:dyDescent="0.25">
      <c r="B1850" s="85">
        <f>+$E$2</f>
        <v>0</v>
      </c>
      <c r="C1850" s="85"/>
      <c r="D1850" s="85"/>
      <c r="E1850" s="85"/>
      <c r="F1850" s="85"/>
      <c r="G1850" s="86"/>
      <c r="H1850" s="94"/>
    </row>
    <row r="1851" spans="2:8" ht="18" x14ac:dyDescent="0.25">
      <c r="B1851" s="85">
        <f>+$E$3</f>
        <v>0</v>
      </c>
      <c r="C1851" s="85"/>
      <c r="D1851" s="85"/>
      <c r="E1851" s="96"/>
      <c r="F1851" s="85"/>
      <c r="G1851" s="94"/>
      <c r="H1851" s="90"/>
    </row>
    <row r="1852" spans="2:8" ht="18" x14ac:dyDescent="0.25">
      <c r="C1852" s="85"/>
      <c r="D1852" s="85"/>
      <c r="E1852" s="85" t="s">
        <v>200</v>
      </c>
      <c r="F1852" s="106" t="e">
        <f>+F1835</f>
        <v>#REF!</v>
      </c>
      <c r="H1852" s="99">
        <f>+B1857</f>
        <v>46037</v>
      </c>
    </row>
    <row r="1853" spans="2:8" ht="18" x14ac:dyDescent="0.25">
      <c r="B1853" s="86"/>
      <c r="C1853" s="85"/>
      <c r="D1853" s="85"/>
      <c r="E1853" s="85" t="s">
        <v>201</v>
      </c>
      <c r="F1853" s="106" t="e">
        <f>+F1836</f>
        <v>#REF!</v>
      </c>
    </row>
    <row r="1854" spans="2:8" ht="18" x14ac:dyDescent="0.25">
      <c r="B1854" s="86"/>
      <c r="C1854" s="85"/>
      <c r="D1854" s="85"/>
      <c r="E1854" s="85" t="s">
        <v>81</v>
      </c>
      <c r="F1854" s="106" t="e">
        <f>+F1837</f>
        <v>#REF!</v>
      </c>
      <c r="G1854" s="85"/>
      <c r="H1854" s="90"/>
    </row>
    <row r="1855" spans="2:8" ht="18" x14ac:dyDescent="0.25">
      <c r="B1855" s="85"/>
      <c r="C1855" s="85"/>
      <c r="D1855" s="85"/>
      <c r="E1855" s="85" t="s">
        <v>82</v>
      </c>
      <c r="F1855" s="106" t="e">
        <f>+F1838</f>
        <v>#REF!</v>
      </c>
      <c r="G1855" s="85"/>
      <c r="H1855" s="90"/>
    </row>
    <row r="1856" spans="2:8" ht="18" x14ac:dyDescent="0.25">
      <c r="B1856" s="96"/>
      <c r="C1856" s="96"/>
      <c r="D1856" s="96"/>
      <c r="E1856" s="85" t="s">
        <v>188</v>
      </c>
      <c r="F1856" s="106" t="e">
        <f>+F1876</f>
        <v>#REF!</v>
      </c>
      <c r="G1856" s="85"/>
      <c r="H1856" s="90"/>
    </row>
    <row r="1857" spans="2:8" ht="18" x14ac:dyDescent="0.25">
      <c r="B1857" s="99">
        <f>+$G$30</f>
        <v>46037</v>
      </c>
      <c r="C1857" s="105" t="e">
        <f>+F1839</f>
        <v>#REF!</v>
      </c>
      <c r="D1857" s="85"/>
      <c r="E1857" s="85" t="s">
        <v>83</v>
      </c>
      <c r="F1857" s="106" t="e">
        <f>+F1839</f>
        <v>#REF!</v>
      </c>
      <c r="G1857" s="85"/>
      <c r="H1857" s="90"/>
    </row>
    <row r="1858" spans="2:8" ht="18" x14ac:dyDescent="0.25">
      <c r="B1858" s="85"/>
      <c r="C1858" s="85"/>
      <c r="D1858" s="85"/>
      <c r="F1858" s="85"/>
      <c r="G1858" s="85"/>
      <c r="H1858" s="90"/>
    </row>
    <row r="1859" spans="2:8" ht="18" x14ac:dyDescent="0.25">
      <c r="B1859" s="85"/>
      <c r="C1859" s="85"/>
      <c r="D1859" s="85"/>
      <c r="F1859" s="85"/>
      <c r="G1859" s="85"/>
      <c r="H1859" s="90"/>
    </row>
    <row r="1860" spans="2:8" ht="18" x14ac:dyDescent="0.25">
      <c r="B1860" s="85"/>
      <c r="C1860" s="85"/>
      <c r="D1860" s="85"/>
      <c r="E1860" s="85"/>
      <c r="F1860" s="85"/>
      <c r="G1860" s="85"/>
      <c r="H1860" s="90"/>
    </row>
    <row r="1861" spans="2:8" ht="18" x14ac:dyDescent="0.25">
      <c r="B1861" s="85"/>
      <c r="C1861" s="85"/>
      <c r="D1861" s="85"/>
      <c r="E1861" s="85"/>
      <c r="F1861" s="85"/>
      <c r="G1861" s="345"/>
      <c r="H1861" s="345"/>
    </row>
    <row r="1862" spans="2:8" ht="18" x14ac:dyDescent="0.25">
      <c r="B1862" s="85"/>
      <c r="C1862" s="85"/>
      <c r="D1862" s="85"/>
      <c r="E1862" s="85"/>
      <c r="F1862" s="85"/>
      <c r="G1862" s="94"/>
      <c r="H1862" s="94"/>
    </row>
    <row r="1863" spans="2:8" ht="18" x14ac:dyDescent="0.25">
      <c r="B1863" s="85"/>
      <c r="C1863" s="85"/>
      <c r="D1863" s="85"/>
      <c r="E1863" s="85"/>
      <c r="F1863" s="85"/>
      <c r="G1863" s="85"/>
      <c r="H1863" s="90"/>
    </row>
    <row r="1864" spans="2:8" ht="18" x14ac:dyDescent="0.25">
      <c r="B1864" s="85"/>
      <c r="C1864" s="85"/>
      <c r="D1864" s="85"/>
      <c r="E1864" s="85"/>
      <c r="F1864" s="85"/>
      <c r="G1864" s="85"/>
      <c r="H1864" s="90"/>
    </row>
    <row r="1865" spans="2:8" ht="18" x14ac:dyDescent="0.25">
      <c r="B1865" s="85"/>
      <c r="C1865" s="85"/>
      <c r="D1865" s="85"/>
      <c r="E1865" s="85"/>
      <c r="F1865" s="85"/>
      <c r="H1865" s="90"/>
    </row>
    <row r="1866" spans="2:8" ht="18" x14ac:dyDescent="0.25">
      <c r="B1866" s="343"/>
      <c r="C1866" s="343"/>
      <c r="D1866" s="343"/>
      <c r="E1866" s="98">
        <f>+$B$1</f>
        <v>46143</v>
      </c>
      <c r="F1866" s="85"/>
      <c r="G1866" s="99">
        <f>+$D$1</f>
        <v>46037</v>
      </c>
      <c r="H1866" s="160"/>
    </row>
    <row r="1867" spans="2:8" ht="18" x14ac:dyDescent="0.25">
      <c r="B1867" s="84"/>
      <c r="C1867" s="84"/>
      <c r="D1867" s="100"/>
      <c r="E1867" s="98"/>
      <c r="F1867" s="85"/>
    </row>
    <row r="1868" spans="2:8" ht="18" x14ac:dyDescent="0.25">
      <c r="B1868" s="85" t="e">
        <f>+#REF!</f>
        <v>#REF!</v>
      </c>
      <c r="C1868" s="85"/>
      <c r="D1868" s="85"/>
      <c r="F1868" s="85"/>
    </row>
    <row r="1869" spans="2:8" ht="18" x14ac:dyDescent="0.25">
      <c r="C1869" s="85"/>
      <c r="D1869" s="85"/>
      <c r="E1869" s="85" t="str">
        <f>+$E$1</f>
        <v>Lima 461 C:A:B:A:</v>
      </c>
      <c r="F1869" s="85"/>
      <c r="H1869" s="90" t="s">
        <v>133</v>
      </c>
    </row>
    <row r="1870" spans="2:8" ht="18" x14ac:dyDescent="0.25">
      <c r="B1870" s="86"/>
      <c r="C1870" s="85"/>
      <c r="D1870" s="85"/>
      <c r="F1870" s="85"/>
      <c r="G1870" s="86"/>
    </row>
    <row r="1871" spans="2:8" ht="18" x14ac:dyDescent="0.25">
      <c r="B1871" s="85"/>
      <c r="C1871" s="85"/>
      <c r="D1871" s="85"/>
      <c r="E1871" s="86"/>
      <c r="F1871" s="86"/>
      <c r="G1871" s="85"/>
      <c r="H1871" s="94"/>
    </row>
    <row r="1872" spans="2:8" ht="18" x14ac:dyDescent="0.25">
      <c r="B1872" s="94"/>
      <c r="C1872" s="85"/>
      <c r="D1872" s="94"/>
      <c r="E1872" s="85"/>
      <c r="F1872" s="85"/>
      <c r="G1872" s="85"/>
      <c r="H1872" s="90"/>
    </row>
    <row r="1873" spans="2:8" ht="18" x14ac:dyDescent="0.25">
      <c r="B1873" s="85" t="s">
        <v>198</v>
      </c>
      <c r="C1873" s="85"/>
      <c r="D1873" s="107">
        <f>+'RES CUENTA'!$L$25</f>
        <v>10859801.41</v>
      </c>
      <c r="E1873" s="108" t="e">
        <f>+'RES CUENTA'!#REF!</f>
        <v>#REF!</v>
      </c>
      <c r="F1873" s="103" t="e">
        <f>+D1873*E1873/100</f>
        <v>#REF!</v>
      </c>
      <c r="G1873" s="85"/>
      <c r="H1873" s="94"/>
    </row>
    <row r="1874" spans="2:8" ht="18" x14ac:dyDescent="0.25">
      <c r="B1874" s="85" t="s">
        <v>199</v>
      </c>
      <c r="C1874" s="85"/>
      <c r="D1874" s="107" t="e">
        <f>+'RES CUENTA'!#REF!</f>
        <v>#REF!</v>
      </c>
      <c r="E1874" s="108" t="e">
        <f>+'RES CUENTA'!#REF!</f>
        <v>#REF!</v>
      </c>
      <c r="F1874" s="103" t="e">
        <f>+D1874*E1874/100</f>
        <v>#REF!</v>
      </c>
      <c r="G1874" s="94"/>
      <c r="H1874" s="89"/>
    </row>
    <row r="1875" spans="2:8" ht="18" x14ac:dyDescent="0.25">
      <c r="B1875" s="85" t="s">
        <v>79</v>
      </c>
      <c r="C1875" s="85"/>
      <c r="D1875" s="107" t="e">
        <f>-'RES CUENTA'!#REF!</f>
        <v>#REF!</v>
      </c>
      <c r="E1875" s="108">
        <f>+'RES CUENTA'!P980</f>
        <v>0</v>
      </c>
      <c r="F1875" s="103" t="e">
        <f>+D1875</f>
        <v>#REF!</v>
      </c>
      <c r="G1875" s="89"/>
      <c r="H1875" s="89"/>
    </row>
    <row r="1876" spans="2:8" ht="18" x14ac:dyDescent="0.25">
      <c r="B1876" s="85" t="s">
        <v>80</v>
      </c>
      <c r="C1876" s="85"/>
      <c r="D1876" s="107" t="e">
        <f>+'RES CUENTA'!#REF!</f>
        <v>#REF!</v>
      </c>
      <c r="E1876" s="108">
        <f>+'RES CUENTA'!R975</f>
        <v>0</v>
      </c>
      <c r="F1876" s="103" t="e">
        <f>+D1876</f>
        <v>#REF!</v>
      </c>
      <c r="G1876" s="89"/>
      <c r="H1876" s="89"/>
    </row>
    <row r="1877" spans="2:8" ht="18" x14ac:dyDescent="0.25">
      <c r="B1877" s="86"/>
      <c r="C1877" s="85"/>
      <c r="D1877" s="85"/>
      <c r="F1877" s="104" t="e">
        <f>SUM(F1873:F1876)</f>
        <v>#REF!</v>
      </c>
      <c r="G1877" s="89"/>
      <c r="H1877" s="89"/>
    </row>
    <row r="1878" spans="2:8" ht="18" x14ac:dyDescent="0.25">
      <c r="B1878" s="86"/>
      <c r="C1878" s="85"/>
      <c r="D1878" s="85"/>
      <c r="F1878" s="104"/>
      <c r="G1878" s="89"/>
      <c r="H1878" s="89"/>
    </row>
    <row r="1879" spans="2:8" ht="18" x14ac:dyDescent="0.25">
      <c r="B1879" s="86"/>
      <c r="C1879" s="85"/>
      <c r="D1879" s="85"/>
      <c r="F1879" s="91"/>
      <c r="G1879" s="89"/>
      <c r="H1879" s="90"/>
    </row>
    <row r="1880" spans="2:8" ht="18" x14ac:dyDescent="0.25">
      <c r="B1880" s="85"/>
      <c r="C1880" s="85"/>
      <c r="D1880" s="85"/>
      <c r="E1880" s="85"/>
      <c r="F1880" s="92"/>
      <c r="G1880" s="90"/>
      <c r="H1880" s="90"/>
    </row>
    <row r="1881" spans="2:8" ht="18" x14ac:dyDescent="0.25">
      <c r="B1881" s="85"/>
      <c r="C1881" s="85"/>
      <c r="D1881" s="85"/>
      <c r="E1881" s="85"/>
      <c r="F1881" s="92"/>
      <c r="G1881" s="90"/>
      <c r="H1881" s="90"/>
    </row>
    <row r="1882" spans="2:8" ht="18" x14ac:dyDescent="0.25">
      <c r="B1882" s="85"/>
      <c r="C1882" s="85"/>
      <c r="D1882" s="85"/>
      <c r="E1882" s="85"/>
      <c r="F1882" s="92"/>
      <c r="G1882" s="90"/>
      <c r="H1882" s="90"/>
    </row>
    <row r="1883" spans="2:8" ht="18" x14ac:dyDescent="0.25">
      <c r="B1883" s="85" t="e">
        <f>+B1868</f>
        <v>#REF!</v>
      </c>
      <c r="C1883" s="85"/>
      <c r="D1883" s="85"/>
      <c r="E1883" s="85" t="e">
        <f>+B1868</f>
        <v>#REF!</v>
      </c>
      <c r="F1883" s="85"/>
      <c r="G1883" s="85"/>
      <c r="H1883" s="94"/>
    </row>
    <row r="1884" spans="2:8" ht="18" x14ac:dyDescent="0.25">
      <c r="B1884" s="86"/>
      <c r="C1884" s="85"/>
      <c r="D1884" s="85"/>
      <c r="F1884" s="85"/>
      <c r="G1884" s="101"/>
      <c r="H1884" s="90" t="str">
        <f>+H1869</f>
        <v>Unid. 50</v>
      </c>
    </row>
    <row r="1885" spans="2:8" ht="18" x14ac:dyDescent="0.25">
      <c r="B1885" s="85" t="str">
        <f>+$E$1</f>
        <v>Lima 461 C:A:B:A:</v>
      </c>
      <c r="C1885" s="85"/>
      <c r="D1885" s="93" t="str">
        <f>+H1884</f>
        <v>Unid. 50</v>
      </c>
      <c r="E1885" s="85" t="str">
        <f>+$E$1</f>
        <v>Lima 461 C:A:B:A:</v>
      </c>
      <c r="F1885" s="85"/>
      <c r="G1885" s="85"/>
      <c r="H1885" s="94"/>
    </row>
    <row r="1886" spans="2:8" ht="18" x14ac:dyDescent="0.25">
      <c r="B1886" s="86"/>
      <c r="C1886" s="86"/>
      <c r="D1886" s="86"/>
      <c r="F1886" s="85"/>
      <c r="G1886" s="85"/>
    </row>
    <row r="1887" spans="2:8" ht="18" x14ac:dyDescent="0.25">
      <c r="B1887" s="85"/>
      <c r="C1887" s="85"/>
      <c r="D1887" s="85"/>
      <c r="E1887" s="86"/>
      <c r="F1887" s="85"/>
      <c r="G1887" s="85"/>
      <c r="H1887" s="94"/>
    </row>
    <row r="1888" spans="2:8" ht="18" x14ac:dyDescent="0.25">
      <c r="B1888" s="85">
        <f>+$E$2</f>
        <v>0</v>
      </c>
      <c r="C1888" s="85"/>
      <c r="D1888" s="85"/>
      <c r="E1888" s="85"/>
      <c r="F1888" s="96"/>
      <c r="G1888" s="86"/>
      <c r="H1888" s="90"/>
    </row>
    <row r="1889" spans="2:8" ht="18" x14ac:dyDescent="0.25">
      <c r="B1889" s="85">
        <f>+$E$3</f>
        <v>0</v>
      </c>
      <c r="C1889" s="85"/>
      <c r="D1889" s="85"/>
      <c r="E1889" s="96"/>
      <c r="G1889" s="94"/>
      <c r="H1889" s="96"/>
    </row>
    <row r="1890" spans="2:8" ht="18" x14ac:dyDescent="0.25">
      <c r="B1890" s="86"/>
      <c r="C1890" s="85"/>
      <c r="D1890" s="85"/>
      <c r="E1890" s="85" t="s">
        <v>200</v>
      </c>
      <c r="F1890" s="106" t="e">
        <f>+F1873</f>
        <v>#REF!</v>
      </c>
      <c r="G1890" s="95"/>
      <c r="H1890" s="99">
        <f>+B1894</f>
        <v>46037</v>
      </c>
    </row>
    <row r="1891" spans="2:8" ht="18" x14ac:dyDescent="0.25">
      <c r="B1891" s="86"/>
      <c r="C1891" s="85"/>
      <c r="D1891" s="85"/>
      <c r="E1891" s="85" t="s">
        <v>201</v>
      </c>
      <c r="F1891" s="106" t="e">
        <f>+F1874</f>
        <v>#REF!</v>
      </c>
      <c r="H1891" s="90"/>
    </row>
    <row r="1892" spans="2:8" ht="18" x14ac:dyDescent="0.25">
      <c r="B1892" s="85"/>
      <c r="C1892" s="85"/>
      <c r="D1892" s="85"/>
      <c r="E1892" s="85" t="s">
        <v>81</v>
      </c>
      <c r="F1892" s="106" t="e">
        <f>+F1875</f>
        <v>#REF!</v>
      </c>
      <c r="G1892" s="85"/>
      <c r="H1892" s="90"/>
    </row>
    <row r="1893" spans="2:8" ht="18" x14ac:dyDescent="0.25">
      <c r="B1893" s="96"/>
      <c r="C1893" s="96"/>
      <c r="D1893" s="96"/>
      <c r="E1893" s="85" t="s">
        <v>82</v>
      </c>
      <c r="F1893" s="106" t="e">
        <f>+F1876</f>
        <v>#REF!</v>
      </c>
      <c r="G1893" s="85"/>
      <c r="H1893" s="90"/>
    </row>
    <row r="1894" spans="2:8" ht="18" x14ac:dyDescent="0.25">
      <c r="B1894" s="99">
        <f>+$G$30</f>
        <v>46037</v>
      </c>
      <c r="C1894" s="105" t="e">
        <f>+F1877</f>
        <v>#REF!</v>
      </c>
      <c r="D1894" s="85"/>
      <c r="E1894" s="85" t="s">
        <v>188</v>
      </c>
      <c r="F1894" s="106">
        <v>0</v>
      </c>
      <c r="G1894" s="85"/>
      <c r="H1894" s="90"/>
    </row>
    <row r="1895" spans="2:8" ht="18" x14ac:dyDescent="0.25">
      <c r="B1895" s="85"/>
      <c r="C1895" s="85"/>
      <c r="D1895" s="85"/>
      <c r="E1895" s="85" t="s">
        <v>83</v>
      </c>
      <c r="F1895" s="106" t="e">
        <f>+F1877</f>
        <v>#REF!</v>
      </c>
      <c r="G1895" s="85"/>
      <c r="H1895" s="90"/>
    </row>
    <row r="1896" spans="2:8" ht="18" x14ac:dyDescent="0.25">
      <c r="B1896" s="85"/>
      <c r="C1896" s="85"/>
      <c r="D1896" s="85"/>
      <c r="E1896" s="85"/>
      <c r="F1896" s="85"/>
      <c r="G1896" s="85"/>
      <c r="H1896" s="90"/>
    </row>
    <row r="1897" spans="2:8" ht="18" x14ac:dyDescent="0.25">
      <c r="B1897" s="85"/>
      <c r="C1897" s="85"/>
      <c r="D1897" s="85"/>
      <c r="E1897" s="102"/>
      <c r="F1897" s="85"/>
      <c r="G1897" s="85"/>
      <c r="H1897" s="90"/>
    </row>
    <row r="1898" spans="2:8" ht="18" x14ac:dyDescent="0.25">
      <c r="B1898" s="85"/>
      <c r="C1898" s="85"/>
      <c r="D1898" s="85"/>
      <c r="E1898" s="85"/>
      <c r="F1898" s="85"/>
      <c r="G1898" s="85"/>
      <c r="H1898" s="94"/>
    </row>
    <row r="1899" spans="2:8" ht="18" x14ac:dyDescent="0.25">
      <c r="E1899" s="85"/>
      <c r="G1899" s="94"/>
      <c r="H1899" s="90"/>
    </row>
    <row r="1901" spans="2:8" ht="18" x14ac:dyDescent="0.25">
      <c r="B1901" s="343"/>
      <c r="C1901" s="343"/>
      <c r="D1901" s="343"/>
      <c r="E1901" s="342">
        <f>+$B$1</f>
        <v>46143</v>
      </c>
      <c r="F1901" s="85"/>
      <c r="G1901" s="337">
        <f>+$D$1</f>
        <v>46037</v>
      </c>
      <c r="H1901" s="90"/>
    </row>
    <row r="1902" spans="2:8" ht="18" x14ac:dyDescent="0.25">
      <c r="B1902" s="84"/>
      <c r="C1902" s="84"/>
      <c r="D1902" s="100"/>
      <c r="E1902" s="342"/>
      <c r="F1902" s="85"/>
      <c r="G1902" s="337"/>
      <c r="H1902" s="90"/>
    </row>
    <row r="1903" spans="2:8" ht="18" x14ac:dyDescent="0.25">
      <c r="B1903" s="85"/>
      <c r="C1903" s="85"/>
      <c r="D1903" s="85"/>
      <c r="E1903" s="86"/>
      <c r="F1903" s="85"/>
      <c r="G1903" s="86"/>
      <c r="H1903" s="90"/>
    </row>
    <row r="1904" spans="2:8" ht="18" x14ac:dyDescent="0.25">
      <c r="B1904" s="85" t="e">
        <f>+#REF!</f>
        <v>#REF!</v>
      </c>
      <c r="C1904" s="85"/>
      <c r="D1904" s="85"/>
      <c r="E1904" s="86"/>
      <c r="F1904" s="85"/>
      <c r="G1904" s="86"/>
      <c r="H1904" s="90"/>
    </row>
    <row r="1905" spans="2:8" ht="18" x14ac:dyDescent="0.25">
      <c r="B1905" s="86"/>
      <c r="C1905" s="85"/>
      <c r="D1905" s="85"/>
      <c r="E1905" s="85" t="s">
        <v>78</v>
      </c>
      <c r="F1905" s="85"/>
      <c r="G1905" s="85"/>
      <c r="H1905" s="90" t="s">
        <v>134</v>
      </c>
    </row>
    <row r="1906" spans="2:8" ht="18" x14ac:dyDescent="0.25">
      <c r="B1906" s="85"/>
      <c r="C1906" s="85"/>
      <c r="D1906" s="85"/>
      <c r="E1906" s="86"/>
      <c r="F1906" s="86"/>
      <c r="G1906" s="85"/>
      <c r="H1906" s="94"/>
    </row>
    <row r="1907" spans="2:8" ht="18" x14ac:dyDescent="0.25">
      <c r="B1907" s="94"/>
      <c r="C1907" s="85"/>
      <c r="D1907" s="94"/>
      <c r="E1907" s="85"/>
      <c r="F1907" s="85"/>
      <c r="G1907" s="85"/>
      <c r="H1907" s="90"/>
    </row>
    <row r="1908" spans="2:8" ht="18" x14ac:dyDescent="0.25">
      <c r="B1908" s="94"/>
      <c r="C1908" s="85"/>
      <c r="D1908" s="94"/>
      <c r="E1908" s="85"/>
      <c r="F1908" s="85"/>
      <c r="G1908" s="85"/>
      <c r="H1908" s="90"/>
    </row>
    <row r="1909" spans="2:8" ht="18" x14ac:dyDescent="0.25">
      <c r="B1909" s="85" t="s">
        <v>198</v>
      </c>
      <c r="C1909" s="85"/>
      <c r="D1909" s="107">
        <f>+'RES CUENTA'!$L$25</f>
        <v>10859801.41</v>
      </c>
      <c r="E1909" s="108" t="e">
        <f>+'RES CUENTA'!#REF!</f>
        <v>#REF!</v>
      </c>
      <c r="F1909" s="103" t="e">
        <f>+D1909*E1909/100</f>
        <v>#REF!</v>
      </c>
      <c r="G1909" s="345"/>
      <c r="H1909" s="345"/>
    </row>
    <row r="1910" spans="2:8" ht="18" x14ac:dyDescent="0.25">
      <c r="B1910" s="85" t="s">
        <v>199</v>
      </c>
      <c r="C1910" s="85"/>
      <c r="D1910" s="107" t="e">
        <f>+'RES CUENTA'!#REF!</f>
        <v>#REF!</v>
      </c>
      <c r="E1910" s="108" t="e">
        <f>+'RES CUENTA'!#REF!</f>
        <v>#REF!</v>
      </c>
      <c r="F1910" s="103" t="e">
        <f>+D1910*E1910/100</f>
        <v>#REF!</v>
      </c>
      <c r="G1910" s="341"/>
      <c r="H1910" s="341"/>
    </row>
    <row r="1911" spans="2:8" ht="18" x14ac:dyDescent="0.25">
      <c r="B1911" s="85" t="s">
        <v>79</v>
      </c>
      <c r="C1911" s="85"/>
      <c r="D1911" s="107" t="e">
        <f>+'RES CUENTA'!#REF!</f>
        <v>#REF!</v>
      </c>
      <c r="E1911" s="108">
        <v>0</v>
      </c>
      <c r="F1911" s="103" t="e">
        <f>+D1911</f>
        <v>#REF!</v>
      </c>
      <c r="G1911" s="341"/>
      <c r="H1911" s="341"/>
    </row>
    <row r="1912" spans="2:8" ht="18" x14ac:dyDescent="0.25">
      <c r="B1912" s="85" t="s">
        <v>80</v>
      </c>
      <c r="C1912" s="85"/>
      <c r="D1912" s="107" t="e">
        <f>+'RES CUENTA'!#REF!</f>
        <v>#REF!</v>
      </c>
      <c r="E1912" s="108">
        <v>0</v>
      </c>
      <c r="F1912" s="103" t="e">
        <f>+D1912</f>
        <v>#REF!</v>
      </c>
      <c r="G1912" s="341"/>
      <c r="H1912" s="341"/>
    </row>
    <row r="1913" spans="2:8" ht="18" x14ac:dyDescent="0.25">
      <c r="B1913" s="86"/>
      <c r="C1913" s="85"/>
      <c r="D1913" s="85"/>
      <c r="E1913" s="92"/>
      <c r="F1913" s="104" t="e">
        <f>SUM(F1909:F1912)</f>
        <v>#REF!</v>
      </c>
      <c r="G1913" s="341"/>
      <c r="H1913" s="341"/>
    </row>
    <row r="1914" spans="2:8" ht="18" x14ac:dyDescent="0.25">
      <c r="B1914" s="86"/>
      <c r="C1914" s="85"/>
      <c r="D1914" s="85"/>
      <c r="E1914" s="92"/>
      <c r="F1914" s="104"/>
      <c r="G1914" s="89"/>
      <c r="H1914" s="89"/>
    </row>
    <row r="1915" spans="2:8" ht="18" x14ac:dyDescent="0.25">
      <c r="B1915" s="86"/>
      <c r="C1915" s="85"/>
      <c r="D1915" s="85"/>
      <c r="E1915" s="85"/>
      <c r="G1915" s="338"/>
      <c r="H1915" s="338"/>
    </row>
    <row r="1916" spans="2:8" ht="18" x14ac:dyDescent="0.25">
      <c r="B1916" s="85"/>
      <c r="C1916" s="85"/>
      <c r="D1916" s="85"/>
      <c r="E1916" s="85"/>
      <c r="F1916" s="91"/>
      <c r="G1916" s="90"/>
      <c r="H1916" s="90"/>
    </row>
    <row r="1917" spans="2:8" ht="18" x14ac:dyDescent="0.25">
      <c r="B1917" s="85"/>
      <c r="C1917" s="85"/>
      <c r="D1917" s="85"/>
      <c r="E1917" s="85"/>
      <c r="F1917" s="92"/>
      <c r="G1917" s="85"/>
      <c r="H1917" s="90"/>
    </row>
    <row r="1918" spans="2:8" ht="18" x14ac:dyDescent="0.25">
      <c r="B1918" s="85"/>
      <c r="C1918" s="85"/>
      <c r="D1918" s="85"/>
      <c r="E1918" s="85"/>
      <c r="F1918" s="92"/>
      <c r="G1918" s="85"/>
      <c r="H1918" s="90"/>
    </row>
    <row r="1919" spans="2:8" ht="18" x14ac:dyDescent="0.25">
      <c r="B1919" s="85" t="e">
        <f>+B1904</f>
        <v>#REF!</v>
      </c>
      <c r="C1919" s="344"/>
      <c r="D1919" s="344"/>
      <c r="E1919" s="85" t="e">
        <f>+B1919</f>
        <v>#REF!</v>
      </c>
      <c r="F1919" s="92"/>
      <c r="G1919" s="85"/>
      <c r="H1919" s="90"/>
    </row>
    <row r="1920" spans="2:8" ht="18" x14ac:dyDescent="0.25">
      <c r="C1920" s="85"/>
      <c r="D1920" s="85"/>
      <c r="F1920" s="344"/>
      <c r="G1920" s="344"/>
      <c r="H1920" s="344"/>
    </row>
    <row r="1921" spans="2:8" ht="18" x14ac:dyDescent="0.25">
      <c r="B1921" s="85" t="str">
        <f>+$E$1</f>
        <v>Lima 461 C:A:B:A:</v>
      </c>
      <c r="C1921" s="85"/>
      <c r="D1921" s="93" t="str">
        <f>+H1905</f>
        <v>Unid. 51</v>
      </c>
      <c r="E1921" s="85" t="str">
        <f>+$E$1</f>
        <v>Lima 461 C:A:B:A:</v>
      </c>
      <c r="F1921" s="85"/>
      <c r="G1921" s="85"/>
      <c r="H1921" s="90" t="str">
        <f>+D1921</f>
        <v>Unid. 51</v>
      </c>
    </row>
    <row r="1922" spans="2:8" ht="18" x14ac:dyDescent="0.25">
      <c r="H1922" s="94"/>
    </row>
    <row r="1923" spans="2:8" ht="18" x14ac:dyDescent="0.25">
      <c r="B1923" s="86"/>
      <c r="C1923" s="86"/>
      <c r="D1923" s="86"/>
      <c r="E1923" s="86"/>
      <c r="F1923" s="85"/>
      <c r="G1923" s="85"/>
    </row>
    <row r="1924" spans="2:8" ht="18" x14ac:dyDescent="0.25">
      <c r="B1924" s="85">
        <f>+$E$2</f>
        <v>0</v>
      </c>
      <c r="C1924" s="85"/>
      <c r="D1924" s="85"/>
      <c r="E1924" s="85"/>
      <c r="F1924" s="85"/>
      <c r="G1924" s="86"/>
      <c r="H1924" s="94"/>
    </row>
    <row r="1925" spans="2:8" ht="18" x14ac:dyDescent="0.25">
      <c r="B1925" s="85">
        <f>+$E$3</f>
        <v>0</v>
      </c>
      <c r="C1925" s="85"/>
      <c r="D1925" s="85"/>
      <c r="E1925" s="96"/>
      <c r="F1925" s="85"/>
      <c r="G1925" s="94"/>
      <c r="H1925" s="90"/>
    </row>
    <row r="1926" spans="2:8" ht="18" x14ac:dyDescent="0.25">
      <c r="C1926" s="85"/>
      <c r="D1926" s="85"/>
      <c r="E1926" s="85" t="s">
        <v>200</v>
      </c>
      <c r="F1926" s="106" t="e">
        <f>+F1909</f>
        <v>#REF!</v>
      </c>
      <c r="H1926" s="99">
        <f>+B1931</f>
        <v>46037</v>
      </c>
    </row>
    <row r="1927" spans="2:8" ht="18" x14ac:dyDescent="0.25">
      <c r="B1927" s="86"/>
      <c r="C1927" s="85"/>
      <c r="D1927" s="85"/>
      <c r="E1927" s="85" t="s">
        <v>201</v>
      </c>
      <c r="F1927" s="106" t="e">
        <f>+F1910</f>
        <v>#REF!</v>
      </c>
    </row>
    <row r="1928" spans="2:8" ht="18" x14ac:dyDescent="0.25">
      <c r="B1928" s="86"/>
      <c r="C1928" s="85"/>
      <c r="D1928" s="85"/>
      <c r="E1928" s="85" t="s">
        <v>81</v>
      </c>
      <c r="F1928" s="106" t="e">
        <f>+F1911</f>
        <v>#REF!</v>
      </c>
      <c r="G1928" s="85"/>
      <c r="H1928" s="90"/>
    </row>
    <row r="1929" spans="2:8" ht="18" x14ac:dyDescent="0.25">
      <c r="B1929" s="85"/>
      <c r="C1929" s="85"/>
      <c r="D1929" s="85"/>
      <c r="E1929" s="85" t="s">
        <v>82</v>
      </c>
      <c r="F1929" s="106" t="e">
        <f>+F1912</f>
        <v>#REF!</v>
      </c>
      <c r="G1929" s="85"/>
      <c r="H1929" s="90"/>
    </row>
    <row r="1930" spans="2:8" ht="18" x14ac:dyDescent="0.25">
      <c r="B1930" s="96"/>
      <c r="C1930" s="96"/>
      <c r="D1930" s="96"/>
      <c r="E1930" s="85" t="s">
        <v>188</v>
      </c>
      <c r="F1930" s="106">
        <v>0</v>
      </c>
      <c r="G1930" s="85"/>
      <c r="H1930" s="90"/>
    </row>
    <row r="1931" spans="2:8" ht="18" x14ac:dyDescent="0.25">
      <c r="B1931" s="99">
        <f>+$G$30</f>
        <v>46037</v>
      </c>
      <c r="C1931" s="105" t="e">
        <f>+F1913</f>
        <v>#REF!</v>
      </c>
      <c r="D1931" s="85"/>
      <c r="E1931" s="85" t="s">
        <v>83</v>
      </c>
      <c r="F1931" s="106" t="e">
        <f>+F1913</f>
        <v>#REF!</v>
      </c>
      <c r="G1931" s="85"/>
      <c r="H1931" s="90"/>
    </row>
    <row r="1932" spans="2:8" ht="18" x14ac:dyDescent="0.25">
      <c r="B1932" s="85"/>
      <c r="C1932" s="85"/>
      <c r="D1932" s="85"/>
      <c r="E1932" s="85"/>
      <c r="F1932" s="85"/>
      <c r="G1932" s="85"/>
      <c r="H1932" s="90"/>
    </row>
    <row r="1933" spans="2:8" ht="18" x14ac:dyDescent="0.25">
      <c r="B1933" s="85"/>
      <c r="C1933" s="85"/>
      <c r="D1933" s="85"/>
      <c r="E1933" s="85"/>
      <c r="F1933" s="85"/>
      <c r="G1933" s="345"/>
      <c r="H1933" s="345"/>
    </row>
    <row r="1934" spans="2:8" ht="18" x14ac:dyDescent="0.25">
      <c r="B1934" s="85"/>
      <c r="C1934" s="85"/>
      <c r="D1934" s="85"/>
      <c r="E1934" s="85"/>
      <c r="F1934" s="85"/>
      <c r="G1934" s="85"/>
      <c r="H1934" s="90"/>
    </row>
    <row r="1935" spans="2:8" ht="18" x14ac:dyDescent="0.25">
      <c r="B1935" s="85"/>
      <c r="C1935" s="85"/>
      <c r="D1935" s="85"/>
      <c r="E1935" s="85"/>
      <c r="F1935" s="85"/>
      <c r="G1935" s="85"/>
      <c r="H1935" s="90"/>
    </row>
    <row r="1936" spans="2:8" ht="18" x14ac:dyDescent="0.25">
      <c r="B1936" s="85"/>
      <c r="C1936" s="85"/>
      <c r="D1936" s="85"/>
      <c r="E1936" s="85"/>
      <c r="F1936" s="85"/>
      <c r="G1936" s="85"/>
      <c r="H1936" s="90"/>
    </row>
    <row r="1937" spans="2:8" ht="18" x14ac:dyDescent="0.25">
      <c r="B1937" s="85"/>
      <c r="C1937" s="85"/>
      <c r="D1937" s="85"/>
      <c r="E1937" s="85"/>
      <c r="F1937" s="85"/>
      <c r="G1937" s="85"/>
      <c r="H1937" s="90"/>
    </row>
    <row r="1938" spans="2:8" ht="18" x14ac:dyDescent="0.25">
      <c r="B1938" s="85"/>
      <c r="C1938" s="85"/>
      <c r="D1938" s="85"/>
      <c r="E1938" s="85"/>
      <c r="F1938" s="85"/>
      <c r="H1938" s="90"/>
    </row>
    <row r="1939" spans="2:8" ht="18" x14ac:dyDescent="0.25">
      <c r="B1939" s="343"/>
      <c r="C1939" s="343"/>
      <c r="D1939" s="343"/>
      <c r="E1939" s="85"/>
      <c r="F1939" s="85"/>
      <c r="H1939" s="90"/>
    </row>
    <row r="1940" spans="2:8" ht="18" x14ac:dyDescent="0.25">
      <c r="B1940" s="343"/>
      <c r="C1940" s="343"/>
      <c r="D1940" s="343"/>
      <c r="E1940" s="98">
        <f>+$B$1</f>
        <v>46143</v>
      </c>
      <c r="F1940" s="85"/>
      <c r="G1940" s="99">
        <f>+$D$1</f>
        <v>46037</v>
      </c>
      <c r="H1940" s="160"/>
    </row>
    <row r="1941" spans="2:8" ht="18" x14ac:dyDescent="0.25">
      <c r="B1941" s="84"/>
      <c r="C1941" s="84"/>
      <c r="D1941" s="100"/>
      <c r="E1941" s="98"/>
      <c r="F1941" s="85"/>
    </row>
    <row r="1942" spans="2:8" ht="18" x14ac:dyDescent="0.25">
      <c r="B1942" s="85" t="e">
        <f>+#REF!</f>
        <v>#REF!</v>
      </c>
      <c r="C1942" s="85"/>
      <c r="D1942" s="85"/>
      <c r="F1942" s="85"/>
    </row>
    <row r="1943" spans="2:8" ht="18" x14ac:dyDescent="0.25">
      <c r="C1943" s="85"/>
      <c r="D1943" s="85"/>
      <c r="E1943" s="85" t="str">
        <f>+$E$1</f>
        <v>Lima 461 C:A:B:A:</v>
      </c>
      <c r="F1943" s="85"/>
      <c r="H1943" s="90" t="s">
        <v>135</v>
      </c>
    </row>
    <row r="1944" spans="2:8" ht="18" x14ac:dyDescent="0.25">
      <c r="B1944" s="86"/>
      <c r="C1944" s="85"/>
      <c r="D1944" s="85"/>
      <c r="F1944" s="85"/>
      <c r="G1944" s="86"/>
    </row>
    <row r="1945" spans="2:8" ht="18" x14ac:dyDescent="0.25">
      <c r="B1945" s="85"/>
      <c r="C1945" s="85"/>
      <c r="D1945" s="85"/>
      <c r="E1945" s="86"/>
      <c r="F1945" s="86"/>
      <c r="G1945" s="85"/>
      <c r="H1945" s="94"/>
    </row>
    <row r="1946" spans="2:8" ht="18" x14ac:dyDescent="0.25">
      <c r="B1946" s="94"/>
      <c r="C1946" s="85"/>
      <c r="D1946" s="94"/>
      <c r="E1946" s="85"/>
      <c r="F1946" s="85"/>
      <c r="G1946" s="85"/>
      <c r="H1946" s="90"/>
    </row>
    <row r="1947" spans="2:8" ht="18" x14ac:dyDescent="0.25">
      <c r="B1947" s="85" t="s">
        <v>198</v>
      </c>
      <c r="C1947" s="85"/>
      <c r="D1947" s="107">
        <f>+'RES CUENTA'!$L$25</f>
        <v>10859801.41</v>
      </c>
      <c r="E1947" s="108" t="e">
        <f>+'RES CUENTA'!#REF!</f>
        <v>#REF!</v>
      </c>
      <c r="F1947" s="103" t="e">
        <f>+D1947*E1947/100</f>
        <v>#REF!</v>
      </c>
      <c r="G1947" s="85"/>
      <c r="H1947" s="94"/>
    </row>
    <row r="1948" spans="2:8" ht="18" x14ac:dyDescent="0.25">
      <c r="B1948" s="85" t="s">
        <v>199</v>
      </c>
      <c r="C1948" s="85"/>
      <c r="D1948" s="107" t="e">
        <f>+'RES CUENTA'!#REF!</f>
        <v>#REF!</v>
      </c>
      <c r="E1948" s="108" t="e">
        <f>+'RES CUENTA'!#REF!</f>
        <v>#REF!</v>
      </c>
      <c r="F1948" s="103" t="e">
        <f>+D1948*E1948/100</f>
        <v>#REF!</v>
      </c>
      <c r="G1948" s="94"/>
      <c r="H1948" s="89"/>
    </row>
    <row r="1949" spans="2:8" ht="18" x14ac:dyDescent="0.25">
      <c r="B1949" s="85" t="s">
        <v>79</v>
      </c>
      <c r="C1949" s="85"/>
      <c r="D1949" s="107" t="e">
        <f>+'RES CUENTA'!#REF!</f>
        <v>#REF!</v>
      </c>
      <c r="E1949" s="108">
        <f>+'RES CUENTA'!P1056</f>
        <v>0</v>
      </c>
      <c r="F1949" s="103" t="e">
        <f>+D1949</f>
        <v>#REF!</v>
      </c>
      <c r="G1949" s="89"/>
      <c r="H1949" s="89"/>
    </row>
    <row r="1950" spans="2:8" ht="18" x14ac:dyDescent="0.25">
      <c r="B1950" s="85" t="s">
        <v>80</v>
      </c>
      <c r="C1950" s="85"/>
      <c r="D1950" s="107" t="e">
        <f>+'RES CUENTA'!#REF!</f>
        <v>#REF!</v>
      </c>
      <c r="E1950" s="108">
        <f>+'RES CUENTA'!R1051</f>
        <v>0</v>
      </c>
      <c r="F1950" s="103" t="e">
        <f>+D1950</f>
        <v>#REF!</v>
      </c>
      <c r="G1950" s="89"/>
      <c r="H1950" s="89"/>
    </row>
    <row r="1951" spans="2:8" ht="18" x14ac:dyDescent="0.25">
      <c r="B1951" s="86"/>
      <c r="C1951" s="85"/>
      <c r="D1951" s="85"/>
      <c r="F1951" s="104" t="e">
        <f>SUM(F1947:F1950)</f>
        <v>#REF!</v>
      </c>
      <c r="G1951" s="89"/>
      <c r="H1951" s="89"/>
    </row>
    <row r="1952" spans="2:8" ht="18" x14ac:dyDescent="0.25">
      <c r="B1952" s="86"/>
      <c r="C1952" s="85"/>
      <c r="D1952" s="85"/>
      <c r="F1952" s="104"/>
      <c r="G1952" s="89"/>
      <c r="H1952" s="89"/>
    </row>
    <row r="1953" spans="2:8" ht="18" x14ac:dyDescent="0.25">
      <c r="B1953" s="86"/>
      <c r="C1953" s="85"/>
      <c r="D1953" s="85"/>
      <c r="F1953" s="91"/>
      <c r="G1953" s="89"/>
      <c r="H1953" s="90"/>
    </row>
    <row r="1954" spans="2:8" ht="18" x14ac:dyDescent="0.25">
      <c r="B1954" s="85"/>
      <c r="C1954" s="85"/>
      <c r="D1954" s="85"/>
      <c r="E1954" s="85"/>
      <c r="F1954" s="92"/>
      <c r="G1954" s="90"/>
      <c r="H1954" s="90"/>
    </row>
    <row r="1955" spans="2:8" ht="18" x14ac:dyDescent="0.25">
      <c r="B1955" s="85"/>
      <c r="C1955" s="85"/>
      <c r="D1955" s="85"/>
      <c r="E1955" s="85"/>
      <c r="F1955" s="92"/>
      <c r="G1955" s="90"/>
      <c r="H1955" s="90"/>
    </row>
    <row r="1956" spans="2:8" ht="18" x14ac:dyDescent="0.25">
      <c r="B1956" s="85"/>
      <c r="C1956" s="85"/>
      <c r="D1956" s="85"/>
      <c r="E1956" s="85"/>
      <c r="F1956" s="92"/>
      <c r="G1956" s="90"/>
      <c r="H1956" s="90"/>
    </row>
    <row r="1957" spans="2:8" ht="18" x14ac:dyDescent="0.25">
      <c r="B1957" s="85" t="e">
        <f>+B1942</f>
        <v>#REF!</v>
      </c>
      <c r="C1957" s="85"/>
      <c r="D1957" s="85"/>
      <c r="E1957" s="85" t="e">
        <f>+B1942</f>
        <v>#REF!</v>
      </c>
      <c r="F1957" s="85"/>
      <c r="G1957" s="85"/>
      <c r="H1957" s="94"/>
    </row>
    <row r="1958" spans="2:8" ht="18" x14ac:dyDescent="0.25">
      <c r="B1958" s="86"/>
      <c r="C1958" s="85"/>
      <c r="D1958" s="85"/>
      <c r="F1958" s="85"/>
      <c r="G1958" s="101"/>
      <c r="H1958" s="90" t="str">
        <f>+H1943</f>
        <v>Unid. 52</v>
      </c>
    </row>
    <row r="1959" spans="2:8" ht="18" x14ac:dyDescent="0.25">
      <c r="B1959" s="85" t="str">
        <f>+$E$1</f>
        <v>Lima 461 C:A:B:A:</v>
      </c>
      <c r="C1959" s="85"/>
      <c r="D1959" s="93" t="str">
        <f>+H1958</f>
        <v>Unid. 52</v>
      </c>
      <c r="E1959" s="85" t="str">
        <f>+$E$1</f>
        <v>Lima 461 C:A:B:A:</v>
      </c>
      <c r="F1959" s="85"/>
      <c r="G1959" s="85"/>
      <c r="H1959" s="94"/>
    </row>
    <row r="1960" spans="2:8" ht="18" x14ac:dyDescent="0.25">
      <c r="B1960" s="86"/>
      <c r="C1960" s="86"/>
      <c r="D1960" s="86"/>
      <c r="F1960" s="85"/>
      <c r="G1960" s="85"/>
    </row>
    <row r="1961" spans="2:8" ht="18" x14ac:dyDescent="0.25">
      <c r="B1961" s="85"/>
      <c r="C1961" s="85"/>
      <c r="D1961" s="85"/>
      <c r="E1961" s="86"/>
      <c r="F1961" s="85"/>
      <c r="G1961" s="85"/>
      <c r="H1961" s="94"/>
    </row>
    <row r="1962" spans="2:8" ht="18" x14ac:dyDescent="0.25">
      <c r="B1962" s="85">
        <f>+$E$2</f>
        <v>0</v>
      </c>
      <c r="C1962" s="85"/>
      <c r="D1962" s="85"/>
      <c r="E1962" s="85"/>
      <c r="F1962" s="96"/>
      <c r="G1962" s="86"/>
      <c r="H1962" s="90"/>
    </row>
    <row r="1963" spans="2:8" ht="18" x14ac:dyDescent="0.25">
      <c r="B1963" s="85">
        <f>+$E$3</f>
        <v>0</v>
      </c>
      <c r="C1963" s="85"/>
      <c r="D1963" s="85"/>
      <c r="E1963" s="96"/>
      <c r="G1963" s="94"/>
      <c r="H1963" s="96"/>
    </row>
    <row r="1964" spans="2:8" ht="18" x14ac:dyDescent="0.25">
      <c r="B1964" s="86"/>
      <c r="C1964" s="85"/>
      <c r="D1964" s="85"/>
      <c r="E1964" s="85" t="s">
        <v>200</v>
      </c>
      <c r="F1964" s="106" t="e">
        <f>+F1947</f>
        <v>#REF!</v>
      </c>
      <c r="G1964" s="95"/>
      <c r="H1964" s="99">
        <f>+B1968</f>
        <v>46037</v>
      </c>
    </row>
    <row r="1965" spans="2:8" ht="18" x14ac:dyDescent="0.25">
      <c r="B1965" s="86"/>
      <c r="C1965" s="85"/>
      <c r="D1965" s="85"/>
      <c r="E1965" s="85" t="s">
        <v>201</v>
      </c>
      <c r="F1965" s="106" t="e">
        <f>+F1948</f>
        <v>#REF!</v>
      </c>
      <c r="H1965" s="90"/>
    </row>
    <row r="1966" spans="2:8" ht="18" x14ac:dyDescent="0.25">
      <c r="B1966" s="85"/>
      <c r="C1966" s="85"/>
      <c r="D1966" s="85"/>
      <c r="E1966" s="85" t="s">
        <v>81</v>
      </c>
      <c r="F1966" s="106" t="e">
        <f>+F1949</f>
        <v>#REF!</v>
      </c>
      <c r="G1966" s="85"/>
      <c r="H1966" s="90"/>
    </row>
    <row r="1967" spans="2:8" ht="18" x14ac:dyDescent="0.25">
      <c r="B1967" s="96"/>
      <c r="C1967" s="96"/>
      <c r="D1967" s="96"/>
      <c r="E1967" s="85" t="s">
        <v>82</v>
      </c>
      <c r="F1967" s="106" t="e">
        <f>+F1950</f>
        <v>#REF!</v>
      </c>
      <c r="G1967" s="85"/>
      <c r="H1967" s="90"/>
    </row>
    <row r="1968" spans="2:8" ht="18" x14ac:dyDescent="0.25">
      <c r="B1968" s="99">
        <f>+$G$30</f>
        <v>46037</v>
      </c>
      <c r="C1968" s="105" t="e">
        <f>+F1951</f>
        <v>#REF!</v>
      </c>
      <c r="D1968" s="85"/>
      <c r="E1968" s="85" t="s">
        <v>188</v>
      </c>
      <c r="F1968" s="106">
        <v>0</v>
      </c>
      <c r="G1968" s="85"/>
      <c r="H1968" s="90"/>
    </row>
    <row r="1969" spans="2:8" ht="18" x14ac:dyDescent="0.25">
      <c r="B1969" s="85"/>
      <c r="C1969" s="85"/>
      <c r="D1969" s="85"/>
      <c r="E1969" s="85" t="s">
        <v>83</v>
      </c>
      <c r="F1969" s="106" t="e">
        <f>+F1951</f>
        <v>#REF!</v>
      </c>
      <c r="G1969" s="85"/>
      <c r="H1969" s="90"/>
    </row>
    <row r="1970" spans="2:8" ht="18" x14ac:dyDescent="0.25">
      <c r="B1970" s="85"/>
      <c r="C1970" s="85"/>
      <c r="D1970" s="85"/>
      <c r="E1970" s="85"/>
      <c r="F1970" s="85"/>
      <c r="G1970" s="85"/>
      <c r="H1970" s="90"/>
    </row>
    <row r="1971" spans="2:8" ht="18" x14ac:dyDescent="0.25">
      <c r="B1971" s="85"/>
      <c r="C1971" s="85"/>
      <c r="D1971" s="85"/>
      <c r="E1971" s="102"/>
      <c r="F1971" s="85"/>
      <c r="G1971" s="85"/>
      <c r="H1971" s="90"/>
    </row>
    <row r="1972" spans="2:8" ht="18" x14ac:dyDescent="0.25">
      <c r="B1972" s="85"/>
      <c r="C1972" s="85"/>
      <c r="D1972" s="85"/>
      <c r="E1972" s="85"/>
      <c r="F1972" s="85"/>
      <c r="G1972" s="85"/>
      <c r="H1972" s="94"/>
    </row>
    <row r="1973" spans="2:8" ht="18" x14ac:dyDescent="0.25">
      <c r="E1973" s="85"/>
      <c r="G1973" s="94"/>
      <c r="H1973" s="90"/>
    </row>
    <row r="1975" spans="2:8" ht="18" x14ac:dyDescent="0.25">
      <c r="B1975" s="343"/>
      <c r="C1975" s="343"/>
      <c r="D1975" s="343"/>
      <c r="E1975" s="342">
        <f>+$B$1</f>
        <v>46143</v>
      </c>
      <c r="F1975" s="85"/>
      <c r="G1975" s="337">
        <f>+$D$1</f>
        <v>46037</v>
      </c>
      <c r="H1975" s="90"/>
    </row>
    <row r="1976" spans="2:8" ht="18" x14ac:dyDescent="0.25">
      <c r="B1976" s="84"/>
      <c r="C1976" s="84"/>
      <c r="D1976" s="100"/>
      <c r="E1976" s="342"/>
      <c r="F1976" s="85"/>
      <c r="G1976" s="337"/>
      <c r="H1976" s="90"/>
    </row>
    <row r="1977" spans="2:8" ht="18" x14ac:dyDescent="0.25">
      <c r="B1977" s="85"/>
      <c r="C1977" s="85"/>
      <c r="D1977" s="85"/>
      <c r="E1977" s="86"/>
      <c r="F1977" s="85"/>
      <c r="G1977" s="86"/>
      <c r="H1977" s="90"/>
    </row>
    <row r="1978" spans="2:8" ht="18" x14ac:dyDescent="0.25">
      <c r="B1978" s="85" t="e">
        <f>+#REF!</f>
        <v>#REF!</v>
      </c>
      <c r="C1978" s="85"/>
      <c r="D1978" s="85"/>
      <c r="E1978" s="86"/>
      <c r="F1978" s="85"/>
      <c r="G1978" s="86"/>
      <c r="H1978" s="90"/>
    </row>
    <row r="1979" spans="2:8" ht="18" x14ac:dyDescent="0.25">
      <c r="B1979" s="86"/>
      <c r="C1979" s="85"/>
      <c r="D1979" s="85"/>
      <c r="E1979" s="85" t="s">
        <v>78</v>
      </c>
      <c r="F1979" s="85"/>
      <c r="G1979" s="85"/>
      <c r="H1979" s="90" t="s">
        <v>136</v>
      </c>
    </row>
    <row r="1980" spans="2:8" ht="18" x14ac:dyDescent="0.25">
      <c r="B1980" s="85"/>
      <c r="C1980" s="85"/>
      <c r="D1980" s="85"/>
      <c r="E1980" s="86"/>
      <c r="F1980" s="86"/>
      <c r="G1980" s="85"/>
      <c r="H1980" s="94"/>
    </row>
    <row r="1981" spans="2:8" ht="18" x14ac:dyDescent="0.25">
      <c r="B1981" s="94"/>
      <c r="C1981" s="85"/>
      <c r="D1981" s="94"/>
      <c r="E1981" s="85"/>
      <c r="F1981" s="85"/>
      <c r="G1981" s="85"/>
      <c r="H1981" s="90"/>
    </row>
    <row r="1982" spans="2:8" ht="18" x14ac:dyDescent="0.25">
      <c r="B1982" s="94"/>
      <c r="C1982" s="85"/>
      <c r="D1982" s="94"/>
      <c r="E1982" s="85"/>
      <c r="F1982" s="85"/>
      <c r="G1982" s="85"/>
      <c r="H1982" s="90"/>
    </row>
    <row r="1983" spans="2:8" ht="18" x14ac:dyDescent="0.25">
      <c r="B1983" s="85" t="s">
        <v>198</v>
      </c>
      <c r="C1983" s="85"/>
      <c r="D1983" s="107">
        <f>+'RES CUENTA'!$L$25</f>
        <v>10859801.41</v>
      </c>
      <c r="E1983" s="108" t="e">
        <f>+'RES CUENTA'!#REF!</f>
        <v>#REF!</v>
      </c>
      <c r="F1983" s="103" t="e">
        <f>+D1983*E1983/100</f>
        <v>#REF!</v>
      </c>
      <c r="G1983" s="345"/>
      <c r="H1983" s="345"/>
    </row>
    <row r="1984" spans="2:8" ht="18" x14ac:dyDescent="0.25">
      <c r="B1984" s="85" t="s">
        <v>199</v>
      </c>
      <c r="C1984" s="85"/>
      <c r="D1984" s="107" t="e">
        <f>+'RES CUENTA'!#REF!</f>
        <v>#REF!</v>
      </c>
      <c r="E1984" s="108" t="e">
        <f>+'RES CUENTA'!#REF!</f>
        <v>#REF!</v>
      </c>
      <c r="F1984" s="103" t="e">
        <f>+D1984*E1984/100</f>
        <v>#REF!</v>
      </c>
      <c r="G1984" s="341"/>
      <c r="H1984" s="341"/>
    </row>
    <row r="1985" spans="2:8" ht="18" x14ac:dyDescent="0.25">
      <c r="B1985" s="85" t="s">
        <v>79</v>
      </c>
      <c r="C1985" s="85"/>
      <c r="D1985" s="107" t="e">
        <f>+'RES CUENTA'!#REF!</f>
        <v>#REF!</v>
      </c>
      <c r="E1985" s="108">
        <v>0</v>
      </c>
      <c r="F1985" s="103" t="e">
        <f>+D1985</f>
        <v>#REF!</v>
      </c>
      <c r="G1985" s="341"/>
      <c r="H1985" s="341"/>
    </row>
    <row r="1986" spans="2:8" ht="18" x14ac:dyDescent="0.25">
      <c r="B1986" s="85" t="s">
        <v>80</v>
      </c>
      <c r="C1986" s="85"/>
      <c r="D1986" s="107" t="e">
        <f>+'RES CUENTA'!#REF!</f>
        <v>#REF!</v>
      </c>
      <c r="E1986" s="108">
        <v>0</v>
      </c>
      <c r="F1986" s="103" t="e">
        <f>+D1986</f>
        <v>#REF!</v>
      </c>
      <c r="G1986" s="341"/>
      <c r="H1986" s="341"/>
    </row>
    <row r="1987" spans="2:8" ht="18" x14ac:dyDescent="0.25">
      <c r="B1987" s="86"/>
      <c r="C1987" s="85"/>
      <c r="D1987" s="85"/>
      <c r="E1987" s="92"/>
      <c r="F1987" s="104" t="e">
        <f>SUM(F1983:F1986)</f>
        <v>#REF!</v>
      </c>
      <c r="G1987" s="341"/>
      <c r="H1987" s="341"/>
    </row>
    <row r="1988" spans="2:8" ht="18" x14ac:dyDescent="0.25">
      <c r="B1988" s="86"/>
      <c r="C1988" s="85"/>
      <c r="D1988" s="85"/>
      <c r="E1988" s="92"/>
      <c r="F1988" s="104"/>
      <c r="G1988" s="89"/>
      <c r="H1988" s="89"/>
    </row>
    <row r="1989" spans="2:8" ht="18" x14ac:dyDescent="0.25">
      <c r="B1989" s="86"/>
      <c r="C1989" s="85"/>
      <c r="D1989" s="85"/>
      <c r="E1989" s="85"/>
      <c r="G1989" s="338"/>
      <c r="H1989" s="338"/>
    </row>
    <row r="1990" spans="2:8" ht="18" x14ac:dyDescent="0.25">
      <c r="B1990" s="85"/>
      <c r="C1990" s="85"/>
      <c r="D1990" s="85"/>
      <c r="E1990" s="85"/>
      <c r="F1990" s="91"/>
      <c r="G1990" s="90"/>
      <c r="H1990" s="90"/>
    </row>
    <row r="1991" spans="2:8" ht="18" x14ac:dyDescent="0.25">
      <c r="B1991" s="85"/>
      <c r="C1991" s="85"/>
      <c r="D1991" s="85"/>
      <c r="E1991" s="85"/>
      <c r="F1991" s="92"/>
      <c r="G1991" s="85"/>
      <c r="H1991" s="90"/>
    </row>
    <row r="1992" spans="2:8" ht="18" x14ac:dyDescent="0.25">
      <c r="B1992" s="85"/>
      <c r="C1992" s="85"/>
      <c r="D1992" s="85"/>
      <c r="E1992" s="85"/>
      <c r="F1992" s="92"/>
      <c r="G1992" s="85"/>
      <c r="H1992" s="90"/>
    </row>
    <row r="1993" spans="2:8" ht="18" x14ac:dyDescent="0.25">
      <c r="B1993" s="85" t="e">
        <f>+B1978</f>
        <v>#REF!</v>
      </c>
      <c r="C1993" s="344"/>
      <c r="D1993" s="344"/>
      <c r="E1993" s="85" t="e">
        <f>+B1993</f>
        <v>#REF!</v>
      </c>
      <c r="F1993" s="92"/>
      <c r="G1993" s="85"/>
      <c r="H1993" s="90"/>
    </row>
    <row r="1994" spans="2:8" ht="18" x14ac:dyDescent="0.25">
      <c r="C1994" s="85"/>
      <c r="D1994" s="85"/>
      <c r="F1994" s="344"/>
      <c r="G1994" s="344"/>
      <c r="H1994" s="344"/>
    </row>
    <row r="1995" spans="2:8" ht="18" x14ac:dyDescent="0.25">
      <c r="B1995" s="85" t="str">
        <f>+$E$1</f>
        <v>Lima 461 C:A:B:A:</v>
      </c>
      <c r="C1995" s="85"/>
      <c r="D1995" s="93" t="str">
        <f>+H1979</f>
        <v>Unid. 53</v>
      </c>
      <c r="E1995" s="85" t="str">
        <f>+$E$1</f>
        <v>Lima 461 C:A:B:A:</v>
      </c>
      <c r="F1995" s="85"/>
      <c r="G1995" s="85"/>
      <c r="H1995" s="90" t="str">
        <f>+D1995</f>
        <v>Unid. 53</v>
      </c>
    </row>
    <row r="1996" spans="2:8" ht="18" x14ac:dyDescent="0.25">
      <c r="H1996" s="94"/>
    </row>
    <row r="1997" spans="2:8" ht="18" x14ac:dyDescent="0.25">
      <c r="B1997" s="86"/>
      <c r="C1997" s="86"/>
      <c r="D1997" s="86"/>
      <c r="E1997" s="86"/>
      <c r="F1997" s="85"/>
      <c r="G1997" s="85"/>
    </row>
    <row r="1998" spans="2:8" ht="18" x14ac:dyDescent="0.25">
      <c r="B1998" s="85">
        <f>+$E$2</f>
        <v>0</v>
      </c>
      <c r="C1998" s="85"/>
      <c r="D1998" s="85"/>
      <c r="E1998" s="85"/>
      <c r="F1998" s="85"/>
      <c r="G1998" s="86"/>
      <c r="H1998" s="94"/>
    </row>
    <row r="1999" spans="2:8" ht="18" x14ac:dyDescent="0.25">
      <c r="B1999" s="85">
        <f>+$E$3</f>
        <v>0</v>
      </c>
      <c r="C1999" s="85"/>
      <c r="D1999" s="85"/>
      <c r="E1999" s="96"/>
      <c r="F1999" s="85"/>
      <c r="G1999" s="94"/>
      <c r="H1999" s="90"/>
    </row>
    <row r="2000" spans="2:8" ht="18" x14ac:dyDescent="0.25">
      <c r="C2000" s="85"/>
      <c r="D2000" s="85"/>
      <c r="E2000" s="85" t="s">
        <v>200</v>
      </c>
      <c r="F2000" s="106" t="e">
        <f>+F1983</f>
        <v>#REF!</v>
      </c>
      <c r="H2000" s="99">
        <f>+B2005</f>
        <v>46037</v>
      </c>
    </row>
    <row r="2001" spans="2:8" ht="18" x14ac:dyDescent="0.25">
      <c r="B2001" s="86"/>
      <c r="C2001" s="85"/>
      <c r="D2001" s="85"/>
      <c r="E2001" s="85" t="s">
        <v>201</v>
      </c>
      <c r="F2001" s="106" t="e">
        <f>+F1984</f>
        <v>#REF!</v>
      </c>
    </row>
    <row r="2002" spans="2:8" ht="18" x14ac:dyDescent="0.25">
      <c r="B2002" s="86"/>
      <c r="C2002" s="85"/>
      <c r="D2002" s="85"/>
      <c r="E2002" s="85" t="s">
        <v>81</v>
      </c>
      <c r="F2002" s="106" t="e">
        <f>+F1985</f>
        <v>#REF!</v>
      </c>
      <c r="G2002" s="85"/>
      <c r="H2002" s="90"/>
    </row>
    <row r="2003" spans="2:8" ht="18" x14ac:dyDescent="0.25">
      <c r="B2003" s="85"/>
      <c r="C2003" s="85"/>
      <c r="D2003" s="85"/>
      <c r="E2003" s="85" t="s">
        <v>82</v>
      </c>
      <c r="F2003" s="106" t="e">
        <f>+F1986</f>
        <v>#REF!</v>
      </c>
      <c r="G2003" s="85"/>
      <c r="H2003" s="90"/>
    </row>
    <row r="2004" spans="2:8" ht="18" x14ac:dyDescent="0.25">
      <c r="B2004" s="96"/>
      <c r="C2004" s="96"/>
      <c r="D2004" s="96"/>
      <c r="E2004" s="85" t="s">
        <v>188</v>
      </c>
      <c r="F2004" s="106">
        <v>0</v>
      </c>
      <c r="G2004" s="85"/>
      <c r="H2004" s="90"/>
    </row>
    <row r="2005" spans="2:8" ht="18" x14ac:dyDescent="0.25">
      <c r="B2005" s="99">
        <f>+$G$30</f>
        <v>46037</v>
      </c>
      <c r="C2005" s="105" t="e">
        <f>+F1987</f>
        <v>#REF!</v>
      </c>
      <c r="D2005" s="85"/>
      <c r="E2005" s="85" t="s">
        <v>83</v>
      </c>
      <c r="F2005" s="106" t="e">
        <f>+F1987</f>
        <v>#REF!</v>
      </c>
      <c r="G2005" s="85"/>
      <c r="H2005" s="90"/>
    </row>
    <row r="2006" spans="2:8" ht="18" x14ac:dyDescent="0.25">
      <c r="B2006" s="85"/>
      <c r="C2006" s="85"/>
      <c r="D2006" s="85"/>
      <c r="E2006" s="85"/>
      <c r="F2006" s="85"/>
      <c r="G2006" s="85"/>
      <c r="H2006" s="90"/>
    </row>
    <row r="2007" spans="2:8" ht="18" x14ac:dyDescent="0.25">
      <c r="B2007" s="85"/>
      <c r="C2007" s="85"/>
      <c r="D2007" s="85"/>
      <c r="E2007" s="85"/>
      <c r="F2007" s="85"/>
      <c r="G2007" s="345"/>
      <c r="H2007" s="345"/>
    </row>
    <row r="2008" spans="2:8" ht="18" x14ac:dyDescent="0.25">
      <c r="B2008" s="85"/>
      <c r="C2008" s="85"/>
      <c r="D2008" s="85"/>
      <c r="E2008" s="85"/>
      <c r="F2008" s="85"/>
      <c r="G2008" s="85"/>
      <c r="H2008" s="90"/>
    </row>
    <row r="2009" spans="2:8" ht="18" x14ac:dyDescent="0.25">
      <c r="B2009" s="85"/>
      <c r="C2009" s="85"/>
      <c r="D2009" s="85"/>
      <c r="E2009" s="85"/>
      <c r="F2009" s="85"/>
      <c r="G2009" s="85"/>
      <c r="H2009" s="90"/>
    </row>
    <row r="2010" spans="2:8" ht="18" x14ac:dyDescent="0.25">
      <c r="B2010" s="85"/>
      <c r="C2010" s="85"/>
      <c r="D2010" s="85"/>
      <c r="E2010" s="85"/>
      <c r="F2010" s="85"/>
      <c r="G2010" s="85"/>
      <c r="H2010" s="90"/>
    </row>
    <row r="2011" spans="2:8" ht="18" x14ac:dyDescent="0.25">
      <c r="B2011" s="85"/>
      <c r="C2011" s="85"/>
      <c r="D2011" s="85"/>
      <c r="E2011" s="85"/>
      <c r="F2011" s="85"/>
      <c r="G2011" s="85"/>
      <c r="H2011" s="90"/>
    </row>
    <row r="2012" spans="2:8" ht="18" x14ac:dyDescent="0.25">
      <c r="B2012" s="85"/>
      <c r="C2012" s="85"/>
      <c r="D2012" s="85"/>
      <c r="E2012" s="85"/>
      <c r="F2012" s="85"/>
      <c r="H2012" s="90"/>
    </row>
    <row r="2013" spans="2:8" ht="18" x14ac:dyDescent="0.25">
      <c r="B2013" s="343"/>
      <c r="C2013" s="343"/>
      <c r="D2013" s="343"/>
      <c r="E2013" s="85"/>
      <c r="F2013" s="85"/>
      <c r="H2013" s="90"/>
    </row>
    <row r="2014" spans="2:8" ht="18" x14ac:dyDescent="0.25">
      <c r="B2014" s="343"/>
      <c r="C2014" s="343"/>
      <c r="D2014" s="343"/>
      <c r="E2014" s="98">
        <f>+$B$1</f>
        <v>46143</v>
      </c>
      <c r="F2014" s="85"/>
      <c r="G2014" s="99">
        <f>+$D$1</f>
        <v>46037</v>
      </c>
      <c r="H2014" s="160"/>
    </row>
    <row r="2015" spans="2:8" ht="18" x14ac:dyDescent="0.25">
      <c r="B2015" s="84"/>
      <c r="C2015" s="84"/>
      <c r="D2015" s="100"/>
      <c r="E2015" s="98"/>
      <c r="F2015" s="85"/>
    </row>
    <row r="2016" spans="2:8" ht="18" x14ac:dyDescent="0.25">
      <c r="B2016" s="85" t="e">
        <f>+#REF!</f>
        <v>#REF!</v>
      </c>
      <c r="C2016" s="85"/>
      <c r="D2016" s="85"/>
      <c r="F2016" s="85"/>
    </row>
    <row r="2017" spans="2:8" ht="18" x14ac:dyDescent="0.25">
      <c r="C2017" s="85"/>
      <c r="D2017" s="85"/>
      <c r="E2017" s="85" t="str">
        <f>+$E$1</f>
        <v>Lima 461 C:A:B:A:</v>
      </c>
      <c r="F2017" s="85"/>
      <c r="H2017" s="90" t="s">
        <v>137</v>
      </c>
    </row>
    <row r="2018" spans="2:8" ht="18" x14ac:dyDescent="0.25">
      <c r="B2018" s="86"/>
      <c r="C2018" s="85"/>
      <c r="D2018" s="85"/>
      <c r="F2018" s="85"/>
      <c r="G2018" s="86"/>
    </row>
    <row r="2019" spans="2:8" ht="18" x14ac:dyDescent="0.25">
      <c r="B2019" s="85"/>
      <c r="C2019" s="85"/>
      <c r="D2019" s="85"/>
      <c r="E2019" s="86"/>
      <c r="F2019" s="86"/>
      <c r="G2019" s="85"/>
      <c r="H2019" s="94"/>
    </row>
    <row r="2020" spans="2:8" ht="18" x14ac:dyDescent="0.25">
      <c r="B2020" s="94"/>
      <c r="C2020" s="85"/>
      <c r="D2020" s="94"/>
      <c r="E2020" s="85"/>
      <c r="F2020" s="85"/>
      <c r="G2020" s="85"/>
      <c r="H2020" s="90"/>
    </row>
    <row r="2021" spans="2:8" ht="18" x14ac:dyDescent="0.25">
      <c r="B2021" s="85" t="s">
        <v>198</v>
      </c>
      <c r="C2021" s="85"/>
      <c r="D2021" s="107">
        <f>+'RES CUENTA'!$L$25</f>
        <v>10859801.41</v>
      </c>
      <c r="E2021" s="108" t="e">
        <f>+'RES CUENTA'!#REF!</f>
        <v>#REF!</v>
      </c>
      <c r="F2021" s="103" t="e">
        <f>+D2021*E2021/100</f>
        <v>#REF!</v>
      </c>
      <c r="G2021" s="85"/>
      <c r="H2021" s="94"/>
    </row>
    <row r="2022" spans="2:8" ht="18" x14ac:dyDescent="0.25">
      <c r="B2022" s="85" t="s">
        <v>199</v>
      </c>
      <c r="C2022" s="85"/>
      <c r="D2022" s="107" t="e">
        <f>+'RES CUENTA'!#REF!</f>
        <v>#REF!</v>
      </c>
      <c r="E2022" s="108" t="e">
        <f>+'RES CUENTA'!#REF!</f>
        <v>#REF!</v>
      </c>
      <c r="F2022" s="103" t="e">
        <f>+D2022*E2022/100</f>
        <v>#REF!</v>
      </c>
      <c r="G2022" s="94"/>
      <c r="H2022" s="89"/>
    </row>
    <row r="2023" spans="2:8" ht="18" x14ac:dyDescent="0.25">
      <c r="B2023" s="85" t="s">
        <v>79</v>
      </c>
      <c r="C2023" s="85"/>
      <c r="D2023" s="107" t="e">
        <f>+'RES CUENTA'!#REF!</f>
        <v>#REF!</v>
      </c>
      <c r="E2023" s="108">
        <f>+'RES CUENTA'!P1132</f>
        <v>0</v>
      </c>
      <c r="F2023" s="103" t="e">
        <f>+D2023</f>
        <v>#REF!</v>
      </c>
      <c r="G2023" s="89"/>
      <c r="H2023" s="89"/>
    </row>
    <row r="2024" spans="2:8" ht="18" x14ac:dyDescent="0.25">
      <c r="B2024" s="85" t="s">
        <v>80</v>
      </c>
      <c r="C2024" s="85"/>
      <c r="D2024" s="107" t="e">
        <f>+'RES CUENTA'!#REF!</f>
        <v>#REF!</v>
      </c>
      <c r="E2024" s="108">
        <f>+'RES CUENTA'!R1127</f>
        <v>0</v>
      </c>
      <c r="F2024" s="103" t="e">
        <f>+D2024</f>
        <v>#REF!</v>
      </c>
      <c r="G2024" s="89"/>
      <c r="H2024" s="89"/>
    </row>
    <row r="2025" spans="2:8" ht="18" x14ac:dyDescent="0.25">
      <c r="B2025" s="86"/>
      <c r="C2025" s="85"/>
      <c r="D2025" s="85"/>
      <c r="F2025" s="104" t="e">
        <f>SUM(F2021:F2024)</f>
        <v>#REF!</v>
      </c>
      <c r="G2025" s="89"/>
      <c r="H2025" s="89"/>
    </row>
    <row r="2026" spans="2:8" ht="18" x14ac:dyDescent="0.25">
      <c r="B2026" s="86"/>
      <c r="C2026" s="85"/>
      <c r="D2026" s="85"/>
      <c r="F2026" s="104"/>
      <c r="G2026" s="89"/>
      <c r="H2026" s="89"/>
    </row>
    <row r="2027" spans="2:8" ht="18" x14ac:dyDescent="0.25">
      <c r="B2027" s="86"/>
      <c r="C2027" s="85"/>
      <c r="D2027" s="85"/>
      <c r="F2027" s="91"/>
      <c r="G2027" s="89"/>
      <c r="H2027" s="90"/>
    </row>
    <row r="2028" spans="2:8" ht="18" x14ac:dyDescent="0.25">
      <c r="B2028" s="85"/>
      <c r="C2028" s="85"/>
      <c r="D2028" s="85"/>
      <c r="E2028" s="85"/>
      <c r="F2028" s="92"/>
      <c r="G2028" s="90"/>
      <c r="H2028" s="90"/>
    </row>
    <row r="2029" spans="2:8" ht="18" x14ac:dyDescent="0.25">
      <c r="B2029" s="85"/>
      <c r="C2029" s="85"/>
      <c r="D2029" s="85"/>
      <c r="E2029" s="85"/>
      <c r="F2029" s="92"/>
      <c r="G2029" s="90"/>
      <c r="H2029" s="90"/>
    </row>
    <row r="2030" spans="2:8" ht="18" x14ac:dyDescent="0.25">
      <c r="B2030" s="85"/>
      <c r="C2030" s="85"/>
      <c r="D2030" s="85"/>
      <c r="E2030" s="85"/>
      <c r="F2030" s="92"/>
      <c r="G2030" s="90"/>
      <c r="H2030" s="90"/>
    </row>
    <row r="2031" spans="2:8" ht="18" x14ac:dyDescent="0.25">
      <c r="B2031" s="85" t="e">
        <f>+B2016</f>
        <v>#REF!</v>
      </c>
      <c r="C2031" s="85"/>
      <c r="D2031" s="85"/>
      <c r="E2031" s="85" t="e">
        <f>+B2016</f>
        <v>#REF!</v>
      </c>
      <c r="F2031" s="85"/>
      <c r="G2031" s="85"/>
      <c r="H2031" s="94"/>
    </row>
    <row r="2032" spans="2:8" ht="18" x14ac:dyDescent="0.25">
      <c r="B2032" s="86"/>
      <c r="C2032" s="85"/>
      <c r="D2032" s="85"/>
      <c r="F2032" s="85"/>
      <c r="G2032" s="101"/>
      <c r="H2032" s="90" t="str">
        <f>+H2017</f>
        <v>Unid. 54</v>
      </c>
    </row>
    <row r="2033" spans="2:8" ht="18" x14ac:dyDescent="0.25">
      <c r="B2033" s="85" t="str">
        <f>+$E$1</f>
        <v>Lima 461 C:A:B:A:</v>
      </c>
      <c r="C2033" s="85"/>
      <c r="D2033" s="93" t="str">
        <f>+H2032</f>
        <v>Unid. 54</v>
      </c>
      <c r="E2033" s="85" t="str">
        <f>+$E$1</f>
        <v>Lima 461 C:A:B:A:</v>
      </c>
      <c r="F2033" s="85"/>
      <c r="G2033" s="85"/>
      <c r="H2033" s="94"/>
    </row>
    <row r="2034" spans="2:8" ht="18" x14ac:dyDescent="0.25">
      <c r="B2034" s="86"/>
      <c r="C2034" s="86"/>
      <c r="D2034" s="86"/>
      <c r="F2034" s="85"/>
      <c r="G2034" s="85"/>
    </row>
    <row r="2035" spans="2:8" ht="18" x14ac:dyDescent="0.25">
      <c r="B2035" s="85"/>
      <c r="C2035" s="85"/>
      <c r="D2035" s="85"/>
      <c r="E2035" s="86"/>
      <c r="F2035" s="85"/>
      <c r="G2035" s="85"/>
      <c r="H2035" s="94"/>
    </row>
    <row r="2036" spans="2:8" ht="18" x14ac:dyDescent="0.25">
      <c r="B2036" s="85">
        <f>+$E$2</f>
        <v>0</v>
      </c>
      <c r="C2036" s="85"/>
      <c r="D2036" s="85"/>
      <c r="E2036" s="85"/>
      <c r="F2036" s="96"/>
      <c r="G2036" s="86"/>
      <c r="H2036" s="90"/>
    </row>
    <row r="2037" spans="2:8" ht="18" x14ac:dyDescent="0.25">
      <c r="B2037" s="85">
        <f>+$E$3</f>
        <v>0</v>
      </c>
      <c r="C2037" s="85"/>
      <c r="D2037" s="85"/>
      <c r="E2037" s="96"/>
      <c r="G2037" s="94"/>
      <c r="H2037" s="96"/>
    </row>
    <row r="2038" spans="2:8" ht="18" x14ac:dyDescent="0.25">
      <c r="B2038" s="86"/>
      <c r="C2038" s="85"/>
      <c r="D2038" s="85"/>
      <c r="E2038" s="85" t="s">
        <v>200</v>
      </c>
      <c r="F2038" s="106" t="e">
        <f>+F2021</f>
        <v>#REF!</v>
      </c>
      <c r="G2038" s="95"/>
      <c r="H2038" s="99">
        <f>+B2042</f>
        <v>46037</v>
      </c>
    </row>
    <row r="2039" spans="2:8" ht="18" x14ac:dyDescent="0.25">
      <c r="B2039" s="86"/>
      <c r="C2039" s="85"/>
      <c r="D2039" s="85"/>
      <c r="E2039" s="85" t="s">
        <v>201</v>
      </c>
      <c r="F2039" s="106" t="e">
        <f>+F2022</f>
        <v>#REF!</v>
      </c>
      <c r="H2039" s="90"/>
    </row>
    <row r="2040" spans="2:8" ht="18" x14ac:dyDescent="0.25">
      <c r="B2040" s="85"/>
      <c r="C2040" s="85"/>
      <c r="D2040" s="85"/>
      <c r="E2040" s="85" t="s">
        <v>81</v>
      </c>
      <c r="F2040" s="106" t="e">
        <f>+F2023</f>
        <v>#REF!</v>
      </c>
      <c r="G2040" s="85"/>
      <c r="H2040" s="90"/>
    </row>
    <row r="2041" spans="2:8" ht="18" x14ac:dyDescent="0.25">
      <c r="B2041" s="96"/>
      <c r="C2041" s="96"/>
      <c r="D2041" s="96"/>
      <c r="E2041" s="85" t="s">
        <v>82</v>
      </c>
      <c r="F2041" s="106" t="e">
        <f>+F2024</f>
        <v>#REF!</v>
      </c>
      <c r="G2041" s="85"/>
      <c r="H2041" s="90"/>
    </row>
    <row r="2042" spans="2:8" ht="18" x14ac:dyDescent="0.25">
      <c r="B2042" s="99">
        <f>+$G$30</f>
        <v>46037</v>
      </c>
      <c r="C2042" s="105" t="e">
        <f>+F2025</f>
        <v>#REF!</v>
      </c>
      <c r="D2042" s="85"/>
      <c r="E2042" s="85" t="s">
        <v>188</v>
      </c>
      <c r="F2042" s="106">
        <v>0</v>
      </c>
      <c r="G2042" s="85"/>
      <c r="H2042" s="90"/>
    </row>
    <row r="2043" spans="2:8" ht="18" x14ac:dyDescent="0.25">
      <c r="B2043" s="85"/>
      <c r="C2043" s="85"/>
      <c r="D2043" s="85"/>
      <c r="E2043" s="85" t="s">
        <v>83</v>
      </c>
      <c r="F2043" s="106" t="e">
        <f>+F2025</f>
        <v>#REF!</v>
      </c>
      <c r="G2043" s="85"/>
      <c r="H2043" s="90"/>
    </row>
    <row r="2044" spans="2:8" ht="18" x14ac:dyDescent="0.25">
      <c r="B2044" s="85"/>
      <c r="C2044" s="85"/>
      <c r="D2044" s="85"/>
      <c r="E2044" s="85"/>
      <c r="F2044" s="85"/>
      <c r="G2044" s="85"/>
      <c r="H2044" s="90"/>
    </row>
    <row r="2045" spans="2:8" ht="18" x14ac:dyDescent="0.25">
      <c r="B2045" s="85"/>
      <c r="C2045" s="85"/>
      <c r="D2045" s="85"/>
      <c r="E2045" s="102"/>
      <c r="F2045" s="85"/>
      <c r="G2045" s="85"/>
      <c r="H2045" s="90"/>
    </row>
    <row r="2046" spans="2:8" ht="18" x14ac:dyDescent="0.25">
      <c r="B2046" s="85"/>
      <c r="C2046" s="85"/>
      <c r="D2046" s="85"/>
      <c r="E2046" s="85"/>
      <c r="F2046" s="85"/>
      <c r="G2046" s="85"/>
      <c r="H2046" s="94"/>
    </row>
    <row r="2047" spans="2:8" ht="18" x14ac:dyDescent="0.25">
      <c r="E2047" s="85"/>
      <c r="G2047" s="94"/>
      <c r="H2047" s="90"/>
    </row>
    <row r="2049" spans="2:8" ht="18" x14ac:dyDescent="0.25">
      <c r="B2049" s="343"/>
      <c r="C2049" s="343"/>
      <c r="D2049" s="343"/>
      <c r="E2049" s="342">
        <f>+$B$1</f>
        <v>46143</v>
      </c>
      <c r="F2049" s="85"/>
      <c r="G2049" s="337">
        <f>+$D$1</f>
        <v>46037</v>
      </c>
      <c r="H2049" s="90"/>
    </row>
    <row r="2050" spans="2:8" ht="18" x14ac:dyDescent="0.25">
      <c r="B2050" s="84"/>
      <c r="C2050" s="84"/>
      <c r="D2050" s="100"/>
      <c r="E2050" s="342"/>
      <c r="F2050" s="85"/>
      <c r="G2050" s="337"/>
      <c r="H2050" s="90"/>
    </row>
    <row r="2051" spans="2:8" ht="18" x14ac:dyDescent="0.25">
      <c r="B2051" s="85"/>
      <c r="C2051" s="85"/>
      <c r="D2051" s="85"/>
      <c r="E2051" s="86"/>
      <c r="F2051" s="85"/>
      <c r="G2051" s="86"/>
      <c r="H2051" s="90"/>
    </row>
    <row r="2052" spans="2:8" ht="18" x14ac:dyDescent="0.25">
      <c r="B2052" s="85" t="e">
        <f>+#REF!</f>
        <v>#REF!</v>
      </c>
      <c r="C2052" s="85"/>
      <c r="D2052" s="85"/>
      <c r="E2052" s="86"/>
      <c r="F2052" s="85"/>
      <c r="G2052" s="86"/>
      <c r="H2052" s="90"/>
    </row>
    <row r="2053" spans="2:8" ht="18" x14ac:dyDescent="0.25">
      <c r="B2053" s="86"/>
      <c r="C2053" s="85"/>
      <c r="D2053" s="85"/>
      <c r="E2053" s="85" t="s">
        <v>78</v>
      </c>
      <c r="F2053" s="85"/>
      <c r="G2053" s="85"/>
      <c r="H2053" s="90" t="s">
        <v>138</v>
      </c>
    </row>
    <row r="2054" spans="2:8" ht="18" x14ac:dyDescent="0.25">
      <c r="B2054" s="85"/>
      <c r="C2054" s="85"/>
      <c r="D2054" s="85"/>
      <c r="E2054" s="86"/>
      <c r="F2054" s="86"/>
      <c r="G2054" s="85"/>
      <c r="H2054" s="94"/>
    </row>
    <row r="2055" spans="2:8" ht="18" x14ac:dyDescent="0.25">
      <c r="B2055" s="94"/>
      <c r="C2055" s="85"/>
      <c r="D2055" s="94"/>
      <c r="E2055" s="85"/>
      <c r="F2055" s="85"/>
      <c r="G2055" s="85"/>
      <c r="H2055" s="90"/>
    </row>
    <row r="2056" spans="2:8" ht="18" x14ac:dyDescent="0.25">
      <c r="B2056" s="94"/>
      <c r="C2056" s="85"/>
      <c r="D2056" s="94"/>
      <c r="E2056" s="85"/>
      <c r="F2056" s="85"/>
      <c r="G2056" s="85"/>
      <c r="H2056" s="90"/>
    </row>
    <row r="2057" spans="2:8" ht="18" x14ac:dyDescent="0.25">
      <c r="B2057" s="85" t="s">
        <v>198</v>
      </c>
      <c r="C2057" s="85"/>
      <c r="D2057" s="107">
        <f>+'RES CUENTA'!$L$25</f>
        <v>10859801.41</v>
      </c>
      <c r="E2057" s="108" t="e">
        <f>+'RES CUENTA'!#REF!</f>
        <v>#REF!</v>
      </c>
      <c r="F2057" s="103" t="e">
        <f>+D2057*E2057/100</f>
        <v>#REF!</v>
      </c>
      <c r="G2057" s="345"/>
      <c r="H2057" s="345"/>
    </row>
    <row r="2058" spans="2:8" ht="18" x14ac:dyDescent="0.25">
      <c r="B2058" s="85" t="s">
        <v>199</v>
      </c>
      <c r="C2058" s="85"/>
      <c r="D2058" s="107" t="e">
        <f>+'RES CUENTA'!#REF!</f>
        <v>#REF!</v>
      </c>
      <c r="E2058" s="108" t="e">
        <f>+'RES CUENTA'!#REF!</f>
        <v>#REF!</v>
      </c>
      <c r="F2058" s="103" t="e">
        <f>+D2058*E2058/100</f>
        <v>#REF!</v>
      </c>
      <c r="G2058" s="341"/>
      <c r="H2058" s="341"/>
    </row>
    <row r="2059" spans="2:8" ht="18" x14ac:dyDescent="0.25">
      <c r="B2059" s="85" t="s">
        <v>79</v>
      </c>
      <c r="C2059" s="85"/>
      <c r="D2059" s="107" t="e">
        <f>+'RES CUENTA'!#REF!</f>
        <v>#REF!</v>
      </c>
      <c r="E2059" s="108">
        <v>0</v>
      </c>
      <c r="F2059" s="103" t="e">
        <f>+D2059</f>
        <v>#REF!</v>
      </c>
      <c r="G2059" s="341"/>
      <c r="H2059" s="341"/>
    </row>
    <row r="2060" spans="2:8" ht="18" x14ac:dyDescent="0.25">
      <c r="B2060" s="85" t="s">
        <v>80</v>
      </c>
      <c r="C2060" s="85"/>
      <c r="D2060" s="107" t="e">
        <f>+'RES CUENTA'!#REF!</f>
        <v>#REF!</v>
      </c>
      <c r="E2060" s="108">
        <v>0</v>
      </c>
      <c r="F2060" s="103" t="e">
        <f>+D2060</f>
        <v>#REF!</v>
      </c>
      <c r="G2060" s="341"/>
      <c r="H2060" s="341"/>
    </row>
    <row r="2061" spans="2:8" ht="18" x14ac:dyDescent="0.25">
      <c r="B2061" s="86"/>
      <c r="C2061" s="85"/>
      <c r="D2061" s="85"/>
      <c r="E2061" s="92"/>
      <c r="F2061" s="104" t="e">
        <f>SUM(F2057:F2060)</f>
        <v>#REF!</v>
      </c>
      <c r="G2061" s="341"/>
      <c r="H2061" s="341"/>
    </row>
    <row r="2062" spans="2:8" ht="18" x14ac:dyDescent="0.25">
      <c r="B2062" s="86"/>
      <c r="C2062" s="85"/>
      <c r="D2062" s="85"/>
      <c r="E2062" s="92"/>
      <c r="F2062" s="104"/>
      <c r="G2062" s="89"/>
      <c r="H2062" s="89"/>
    </row>
    <row r="2063" spans="2:8" ht="18" x14ac:dyDescent="0.25">
      <c r="B2063" s="86"/>
      <c r="C2063" s="85"/>
      <c r="D2063" s="85"/>
      <c r="E2063" s="85"/>
      <c r="G2063" s="338"/>
      <c r="H2063" s="338"/>
    </row>
    <row r="2064" spans="2:8" ht="18" x14ac:dyDescent="0.25">
      <c r="B2064" s="85"/>
      <c r="C2064" s="85"/>
      <c r="D2064" s="85"/>
      <c r="E2064" s="85"/>
      <c r="F2064" s="91"/>
      <c r="G2064" s="90"/>
      <c r="H2064" s="90"/>
    </row>
    <row r="2065" spans="2:8" ht="18" x14ac:dyDescent="0.25">
      <c r="B2065" s="85"/>
      <c r="C2065" s="85"/>
      <c r="D2065" s="85"/>
      <c r="E2065" s="85"/>
      <c r="F2065" s="92"/>
      <c r="G2065" s="85"/>
      <c r="H2065" s="90"/>
    </row>
    <row r="2066" spans="2:8" ht="18" x14ac:dyDescent="0.25">
      <c r="B2066" s="85"/>
      <c r="C2066" s="85"/>
      <c r="D2066" s="85"/>
      <c r="E2066" s="85"/>
      <c r="F2066" s="92"/>
      <c r="G2066" s="85"/>
      <c r="H2066" s="90"/>
    </row>
    <row r="2067" spans="2:8" ht="18" x14ac:dyDescent="0.25">
      <c r="B2067" s="85" t="e">
        <f>+B2052</f>
        <v>#REF!</v>
      </c>
      <c r="C2067" s="344"/>
      <c r="D2067" s="344"/>
      <c r="E2067" s="85" t="e">
        <f>+B2067</f>
        <v>#REF!</v>
      </c>
      <c r="F2067" s="92"/>
      <c r="G2067" s="85"/>
      <c r="H2067" s="90"/>
    </row>
    <row r="2068" spans="2:8" ht="18" x14ac:dyDescent="0.25">
      <c r="C2068" s="85"/>
      <c r="D2068" s="85"/>
      <c r="F2068" s="344"/>
      <c r="G2068" s="344"/>
      <c r="H2068" s="344"/>
    </row>
    <row r="2069" spans="2:8" ht="18" x14ac:dyDescent="0.25">
      <c r="B2069" s="85" t="str">
        <f>+$E$1</f>
        <v>Lima 461 C:A:B:A:</v>
      </c>
      <c r="C2069" s="85"/>
      <c r="D2069" s="93" t="str">
        <f>+H2053</f>
        <v>Unid. 55</v>
      </c>
      <c r="E2069" s="85" t="str">
        <f>+$E$1</f>
        <v>Lima 461 C:A:B:A:</v>
      </c>
      <c r="F2069" s="85"/>
      <c r="G2069" s="85"/>
      <c r="H2069" s="90" t="str">
        <f>+D2069</f>
        <v>Unid. 55</v>
      </c>
    </row>
    <row r="2070" spans="2:8" ht="18" x14ac:dyDescent="0.25">
      <c r="H2070" s="94"/>
    </row>
    <row r="2071" spans="2:8" ht="18" x14ac:dyDescent="0.25">
      <c r="B2071" s="86"/>
      <c r="C2071" s="86"/>
      <c r="D2071" s="86"/>
      <c r="E2071" s="86"/>
      <c r="F2071" s="85"/>
      <c r="G2071" s="85"/>
    </row>
    <row r="2072" spans="2:8" ht="18" x14ac:dyDescent="0.25">
      <c r="B2072" s="85">
        <f>+$E$2</f>
        <v>0</v>
      </c>
      <c r="C2072" s="85"/>
      <c r="D2072" s="85"/>
      <c r="E2072" s="85"/>
      <c r="F2072" s="85"/>
      <c r="G2072" s="86"/>
      <c r="H2072" s="94"/>
    </row>
    <row r="2073" spans="2:8" ht="18" x14ac:dyDescent="0.25">
      <c r="B2073" s="85">
        <f>+$E$3</f>
        <v>0</v>
      </c>
      <c r="C2073" s="85"/>
      <c r="D2073" s="85"/>
      <c r="E2073" s="96"/>
      <c r="F2073" s="85"/>
      <c r="G2073" s="94"/>
      <c r="H2073" s="90"/>
    </row>
    <row r="2074" spans="2:8" ht="18" x14ac:dyDescent="0.25">
      <c r="C2074" s="85"/>
      <c r="D2074" s="85"/>
      <c r="E2074" s="85" t="s">
        <v>200</v>
      </c>
      <c r="F2074" s="106" t="e">
        <f>+F2057</f>
        <v>#REF!</v>
      </c>
      <c r="H2074" s="99">
        <f>+B2079</f>
        <v>46037</v>
      </c>
    </row>
    <row r="2075" spans="2:8" ht="18" x14ac:dyDescent="0.25">
      <c r="B2075" s="86"/>
      <c r="C2075" s="85"/>
      <c r="D2075" s="85"/>
      <c r="E2075" s="85" t="s">
        <v>201</v>
      </c>
      <c r="F2075" s="106" t="e">
        <f>+F2058</f>
        <v>#REF!</v>
      </c>
    </row>
    <row r="2076" spans="2:8" ht="18" x14ac:dyDescent="0.25">
      <c r="B2076" s="86"/>
      <c r="C2076" s="85"/>
      <c r="D2076" s="85"/>
      <c r="E2076" s="85" t="s">
        <v>81</v>
      </c>
      <c r="F2076" s="106" t="e">
        <f>+F2059</f>
        <v>#REF!</v>
      </c>
      <c r="G2076" s="85"/>
      <c r="H2076" s="90"/>
    </row>
    <row r="2077" spans="2:8" ht="18" x14ac:dyDescent="0.25">
      <c r="B2077" s="85"/>
      <c r="C2077" s="85"/>
      <c r="D2077" s="85"/>
      <c r="E2077" s="85" t="s">
        <v>82</v>
      </c>
      <c r="F2077" s="106" t="e">
        <f>+F2060</f>
        <v>#REF!</v>
      </c>
      <c r="G2077" s="85"/>
      <c r="H2077" s="90"/>
    </row>
    <row r="2078" spans="2:8" ht="18" x14ac:dyDescent="0.25">
      <c r="B2078" s="96"/>
      <c r="C2078" s="96"/>
      <c r="D2078" s="96"/>
      <c r="E2078" s="85" t="s">
        <v>188</v>
      </c>
      <c r="F2078" s="106">
        <v>0</v>
      </c>
      <c r="G2078" s="85"/>
      <c r="H2078" s="90"/>
    </row>
    <row r="2079" spans="2:8" ht="18" x14ac:dyDescent="0.25">
      <c r="B2079" s="99">
        <f>+$G$30</f>
        <v>46037</v>
      </c>
      <c r="C2079" s="105" t="e">
        <f>+F2061</f>
        <v>#REF!</v>
      </c>
      <c r="D2079" s="85"/>
      <c r="E2079" s="85" t="s">
        <v>83</v>
      </c>
      <c r="F2079" s="106" t="e">
        <f>+F2061</f>
        <v>#REF!</v>
      </c>
      <c r="G2079" s="85"/>
      <c r="H2079" s="90"/>
    </row>
    <row r="2080" spans="2:8" ht="18" x14ac:dyDescent="0.25">
      <c r="B2080" s="85"/>
      <c r="C2080" s="85"/>
      <c r="D2080" s="85"/>
      <c r="E2080" s="85"/>
      <c r="F2080" s="85"/>
      <c r="G2080" s="85"/>
      <c r="H2080" s="90"/>
    </row>
    <row r="2081" spans="2:8" ht="18" x14ac:dyDescent="0.25">
      <c r="B2081" s="85"/>
      <c r="C2081" s="85"/>
      <c r="D2081" s="85"/>
      <c r="E2081" s="85"/>
      <c r="F2081" s="85"/>
      <c r="G2081" s="345"/>
      <c r="H2081" s="345"/>
    </row>
    <row r="2082" spans="2:8" ht="18" x14ac:dyDescent="0.25">
      <c r="B2082" s="85"/>
      <c r="C2082" s="85"/>
      <c r="D2082" s="85"/>
      <c r="E2082" s="85"/>
      <c r="F2082" s="85"/>
      <c r="G2082" s="85"/>
      <c r="H2082" s="90"/>
    </row>
    <row r="2083" spans="2:8" ht="18" x14ac:dyDescent="0.25">
      <c r="B2083" s="85"/>
      <c r="C2083" s="85"/>
      <c r="D2083" s="85"/>
      <c r="E2083" s="85"/>
      <c r="F2083" s="85"/>
      <c r="G2083" s="85"/>
      <c r="H2083" s="90"/>
    </row>
    <row r="2084" spans="2:8" ht="18" x14ac:dyDescent="0.25">
      <c r="B2084" s="85"/>
      <c r="C2084" s="85"/>
      <c r="D2084" s="85"/>
      <c r="E2084" s="85"/>
      <c r="F2084" s="85"/>
      <c r="G2084" s="85"/>
      <c r="H2084" s="90"/>
    </row>
    <row r="2085" spans="2:8" ht="18" x14ac:dyDescent="0.25">
      <c r="B2085" s="85"/>
      <c r="C2085" s="85"/>
      <c r="D2085" s="85"/>
      <c r="E2085" s="85"/>
      <c r="F2085" s="85"/>
      <c r="G2085" s="85"/>
      <c r="H2085" s="90"/>
    </row>
    <row r="2086" spans="2:8" ht="18" x14ac:dyDescent="0.25">
      <c r="B2086" s="85"/>
      <c r="C2086" s="85"/>
      <c r="D2086" s="85"/>
      <c r="E2086" s="85"/>
      <c r="F2086" s="85"/>
      <c r="H2086" s="90"/>
    </row>
    <row r="2087" spans="2:8" ht="18" x14ac:dyDescent="0.25">
      <c r="B2087" s="343"/>
      <c r="C2087" s="343"/>
      <c r="D2087" s="343"/>
      <c r="E2087" s="85"/>
      <c r="F2087" s="85"/>
      <c r="H2087" s="90"/>
    </row>
    <row r="2088" spans="2:8" ht="18" x14ac:dyDescent="0.25">
      <c r="B2088" s="343"/>
      <c r="C2088" s="343"/>
      <c r="D2088" s="343"/>
      <c r="E2088" s="98">
        <f>+$B$1</f>
        <v>46143</v>
      </c>
      <c r="F2088" s="85"/>
      <c r="G2088" s="99">
        <f>+$D$1</f>
        <v>46037</v>
      </c>
      <c r="H2088" s="160"/>
    </row>
    <row r="2089" spans="2:8" ht="18" x14ac:dyDescent="0.25">
      <c r="B2089" s="84"/>
      <c r="C2089" s="84"/>
      <c r="D2089" s="100"/>
      <c r="E2089" s="98"/>
      <c r="F2089" s="85"/>
    </row>
    <row r="2090" spans="2:8" ht="18" x14ac:dyDescent="0.25">
      <c r="B2090" s="85" t="e">
        <f>+#REF!</f>
        <v>#REF!</v>
      </c>
      <c r="C2090" s="85"/>
      <c r="D2090" s="85"/>
      <c r="F2090" s="85"/>
    </row>
    <row r="2091" spans="2:8" ht="18" x14ac:dyDescent="0.25">
      <c r="C2091" s="85"/>
      <c r="D2091" s="85"/>
      <c r="E2091" s="85" t="str">
        <f>+$E$1</f>
        <v>Lima 461 C:A:B:A:</v>
      </c>
      <c r="F2091" s="85"/>
      <c r="H2091" s="90" t="s">
        <v>139</v>
      </c>
    </row>
    <row r="2092" spans="2:8" ht="18" x14ac:dyDescent="0.25">
      <c r="B2092" s="86"/>
      <c r="C2092" s="85"/>
      <c r="D2092" s="85"/>
      <c r="F2092" s="85"/>
      <c r="G2092" s="86"/>
    </row>
    <row r="2093" spans="2:8" ht="18" x14ac:dyDescent="0.25">
      <c r="B2093" s="85"/>
      <c r="C2093" s="85"/>
      <c r="D2093" s="85"/>
      <c r="E2093" s="86"/>
      <c r="F2093" s="86"/>
      <c r="G2093" s="85"/>
      <c r="H2093" s="94"/>
    </row>
    <row r="2094" spans="2:8" ht="18" x14ac:dyDescent="0.25">
      <c r="B2094" s="94"/>
      <c r="C2094" s="85"/>
      <c r="D2094" s="94"/>
      <c r="E2094" s="85"/>
      <c r="F2094" s="85"/>
      <c r="G2094" s="85"/>
      <c r="H2094" s="90"/>
    </row>
    <row r="2095" spans="2:8" ht="18" x14ac:dyDescent="0.25">
      <c r="B2095" s="85" t="s">
        <v>198</v>
      </c>
      <c r="C2095" s="85"/>
      <c r="D2095" s="107">
        <f>+'RES CUENTA'!$L$25</f>
        <v>10859801.41</v>
      </c>
      <c r="E2095" s="108" t="e">
        <f>+'RES CUENTA'!#REF!</f>
        <v>#REF!</v>
      </c>
      <c r="F2095" s="103" t="e">
        <f>+D2095*E2095/100</f>
        <v>#REF!</v>
      </c>
      <c r="G2095" s="85"/>
      <c r="H2095" s="94"/>
    </row>
    <row r="2096" spans="2:8" ht="18" x14ac:dyDescent="0.25">
      <c r="B2096" s="85" t="s">
        <v>199</v>
      </c>
      <c r="C2096" s="85"/>
      <c r="D2096" s="107" t="e">
        <f>+'RES CUENTA'!#REF!</f>
        <v>#REF!</v>
      </c>
      <c r="E2096" s="108" t="e">
        <f>+'RES CUENTA'!#REF!</f>
        <v>#REF!</v>
      </c>
      <c r="F2096" s="103" t="e">
        <f>+D2096*E2096/100</f>
        <v>#REF!</v>
      </c>
      <c r="G2096" s="94"/>
      <c r="H2096" s="89"/>
    </row>
    <row r="2097" spans="2:8" ht="18" x14ac:dyDescent="0.25">
      <c r="B2097" s="85" t="s">
        <v>79</v>
      </c>
      <c r="C2097" s="85"/>
      <c r="D2097" s="107" t="e">
        <f>+'RES CUENTA'!#REF!</f>
        <v>#REF!</v>
      </c>
      <c r="E2097" s="108">
        <f>+'RES CUENTA'!P1208</f>
        <v>0</v>
      </c>
      <c r="F2097" s="103" t="e">
        <f>+D2097</f>
        <v>#REF!</v>
      </c>
      <c r="G2097" s="89"/>
      <c r="H2097" s="89"/>
    </row>
    <row r="2098" spans="2:8" ht="18" x14ac:dyDescent="0.25">
      <c r="B2098" s="85" t="s">
        <v>80</v>
      </c>
      <c r="C2098" s="85"/>
      <c r="D2098" s="107" t="e">
        <f>+'RES CUENTA'!#REF!</f>
        <v>#REF!</v>
      </c>
      <c r="E2098" s="108">
        <f>+'RES CUENTA'!R1203</f>
        <v>0</v>
      </c>
      <c r="F2098" s="103" t="e">
        <f>+D2098</f>
        <v>#REF!</v>
      </c>
      <c r="G2098" s="89"/>
      <c r="H2098" s="89"/>
    </row>
    <row r="2099" spans="2:8" ht="18" x14ac:dyDescent="0.25">
      <c r="B2099" s="86"/>
      <c r="C2099" s="85"/>
      <c r="D2099" s="85"/>
      <c r="F2099" s="104" t="e">
        <f>SUM(F2095:F2098)</f>
        <v>#REF!</v>
      </c>
      <c r="G2099" s="89"/>
      <c r="H2099" s="89"/>
    </row>
    <row r="2100" spans="2:8" ht="18" x14ac:dyDescent="0.25">
      <c r="B2100" s="86"/>
      <c r="C2100" s="85"/>
      <c r="D2100" s="85"/>
      <c r="F2100" s="91"/>
      <c r="G2100" s="89"/>
      <c r="H2100" s="90"/>
    </row>
    <row r="2101" spans="2:8" ht="18" x14ac:dyDescent="0.25">
      <c r="B2101" s="86"/>
      <c r="C2101" s="85"/>
      <c r="D2101" s="85"/>
      <c r="F2101" s="91"/>
      <c r="G2101" s="89"/>
      <c r="H2101" s="90"/>
    </row>
    <row r="2102" spans="2:8" ht="18" x14ac:dyDescent="0.25">
      <c r="B2102" s="85"/>
      <c r="C2102" s="85"/>
      <c r="D2102" s="85"/>
      <c r="E2102" s="85"/>
      <c r="F2102" s="92"/>
      <c r="G2102" s="90"/>
      <c r="H2102" s="90"/>
    </row>
    <row r="2103" spans="2:8" ht="18" x14ac:dyDescent="0.25">
      <c r="B2103" s="85"/>
      <c r="C2103" s="85"/>
      <c r="D2103" s="85"/>
      <c r="E2103" s="85"/>
      <c r="F2103" s="92"/>
      <c r="G2103" s="90"/>
      <c r="H2103" s="90"/>
    </row>
    <row r="2104" spans="2:8" ht="18" x14ac:dyDescent="0.25">
      <c r="B2104" s="85"/>
      <c r="C2104" s="85"/>
      <c r="D2104" s="85"/>
      <c r="E2104" s="85"/>
      <c r="F2104" s="92"/>
      <c r="G2104" s="90"/>
      <c r="H2104" s="90"/>
    </row>
    <row r="2105" spans="2:8" ht="18" x14ac:dyDescent="0.25">
      <c r="B2105" s="85" t="e">
        <f>+B2090</f>
        <v>#REF!</v>
      </c>
      <c r="C2105" s="85"/>
      <c r="D2105" s="85"/>
      <c r="E2105" s="85" t="e">
        <f>+B2090</f>
        <v>#REF!</v>
      </c>
      <c r="F2105" s="85"/>
      <c r="G2105" s="85"/>
      <c r="H2105" s="94"/>
    </row>
    <row r="2106" spans="2:8" ht="18" x14ac:dyDescent="0.25">
      <c r="B2106" s="86"/>
      <c r="C2106" s="85"/>
      <c r="D2106" s="85"/>
      <c r="F2106" s="85"/>
      <c r="G2106" s="101"/>
      <c r="H2106" s="90" t="str">
        <f>+H2091</f>
        <v>Unid. 56</v>
      </c>
    </row>
    <row r="2107" spans="2:8" ht="18" x14ac:dyDescent="0.25">
      <c r="B2107" s="85" t="str">
        <f>+$E$1</f>
        <v>Lima 461 C:A:B:A:</v>
      </c>
      <c r="C2107" s="85"/>
      <c r="D2107" s="93" t="str">
        <f>+H2106</f>
        <v>Unid. 56</v>
      </c>
      <c r="E2107" s="85" t="str">
        <f>+$E$1</f>
        <v>Lima 461 C:A:B:A:</v>
      </c>
      <c r="F2107" s="85"/>
      <c r="G2107" s="85"/>
      <c r="H2107" s="94"/>
    </row>
    <row r="2108" spans="2:8" ht="18" x14ac:dyDescent="0.25">
      <c r="B2108" s="86"/>
      <c r="C2108" s="86"/>
      <c r="D2108" s="86"/>
      <c r="F2108" s="85"/>
      <c r="G2108" s="85"/>
    </row>
    <row r="2109" spans="2:8" ht="18" x14ac:dyDescent="0.25">
      <c r="B2109" s="85"/>
      <c r="C2109" s="85"/>
      <c r="D2109" s="85"/>
      <c r="E2109" s="86"/>
      <c r="F2109" s="85"/>
      <c r="G2109" s="85"/>
      <c r="H2109" s="94"/>
    </row>
    <row r="2110" spans="2:8" ht="18" x14ac:dyDescent="0.25">
      <c r="B2110" s="85">
        <f>+$E$2</f>
        <v>0</v>
      </c>
      <c r="C2110" s="85"/>
      <c r="D2110" s="85"/>
      <c r="E2110" s="85"/>
      <c r="F2110" s="96"/>
      <c r="G2110" s="86"/>
      <c r="H2110" s="90"/>
    </row>
    <row r="2111" spans="2:8" ht="18" x14ac:dyDescent="0.25">
      <c r="B2111" s="85">
        <f>+$E$3</f>
        <v>0</v>
      </c>
      <c r="C2111" s="85"/>
      <c r="D2111" s="85"/>
      <c r="E2111" s="96"/>
      <c r="G2111" s="94"/>
      <c r="H2111" s="96"/>
    </row>
    <row r="2112" spans="2:8" ht="18" x14ac:dyDescent="0.25">
      <c r="B2112" s="86"/>
      <c r="C2112" s="85"/>
      <c r="D2112" s="85"/>
      <c r="E2112" s="85" t="s">
        <v>200</v>
      </c>
      <c r="F2112" s="106" t="e">
        <f>+F2095</f>
        <v>#REF!</v>
      </c>
      <c r="G2112" s="95"/>
      <c r="H2112" s="99">
        <f>+B2116</f>
        <v>46037</v>
      </c>
    </row>
    <row r="2113" spans="2:8" ht="18" x14ac:dyDescent="0.25">
      <c r="B2113" s="86"/>
      <c r="C2113" s="85"/>
      <c r="D2113" s="85"/>
      <c r="E2113" s="85" t="s">
        <v>201</v>
      </c>
      <c r="F2113" s="106" t="e">
        <f>+F2096</f>
        <v>#REF!</v>
      </c>
      <c r="H2113" s="90"/>
    </row>
    <row r="2114" spans="2:8" ht="18" x14ac:dyDescent="0.25">
      <c r="B2114" s="85"/>
      <c r="C2114" s="85"/>
      <c r="D2114" s="85"/>
      <c r="E2114" s="85" t="s">
        <v>81</v>
      </c>
      <c r="F2114" s="106" t="e">
        <f>+F2097</f>
        <v>#REF!</v>
      </c>
      <c r="G2114" s="85"/>
      <c r="H2114" s="90"/>
    </row>
    <row r="2115" spans="2:8" ht="18" x14ac:dyDescent="0.25">
      <c r="B2115" s="96"/>
      <c r="C2115" s="96"/>
      <c r="D2115" s="96"/>
      <c r="E2115" s="85" t="s">
        <v>82</v>
      </c>
      <c r="F2115" s="106" t="e">
        <f>+F2098</f>
        <v>#REF!</v>
      </c>
      <c r="G2115" s="85"/>
      <c r="H2115" s="90"/>
    </row>
    <row r="2116" spans="2:8" ht="18" x14ac:dyDescent="0.25">
      <c r="B2116" s="99">
        <f>+$G$30</f>
        <v>46037</v>
      </c>
      <c r="C2116" s="105" t="e">
        <f>+F2099</f>
        <v>#REF!</v>
      </c>
      <c r="D2116" s="85"/>
      <c r="E2116" s="85" t="s">
        <v>188</v>
      </c>
      <c r="F2116" s="106">
        <v>0</v>
      </c>
      <c r="G2116" s="85"/>
      <c r="H2116" s="90"/>
    </row>
    <row r="2117" spans="2:8" ht="18" x14ac:dyDescent="0.25">
      <c r="B2117" s="85"/>
      <c r="C2117" s="85"/>
      <c r="D2117" s="85"/>
      <c r="E2117" s="85" t="s">
        <v>83</v>
      </c>
      <c r="F2117" s="106" t="e">
        <f>+F2099</f>
        <v>#REF!</v>
      </c>
      <c r="G2117" s="85"/>
      <c r="H2117" s="90"/>
    </row>
    <row r="2118" spans="2:8" ht="18" x14ac:dyDescent="0.25">
      <c r="B2118" s="85"/>
      <c r="C2118" s="85"/>
      <c r="D2118" s="85"/>
      <c r="E2118" s="85"/>
      <c r="F2118" s="85"/>
      <c r="G2118" s="85"/>
      <c r="H2118" s="90"/>
    </row>
    <row r="2119" spans="2:8" ht="18" x14ac:dyDescent="0.25">
      <c r="B2119" s="85"/>
      <c r="C2119" s="85"/>
      <c r="D2119" s="85"/>
      <c r="E2119" s="102"/>
      <c r="F2119" s="85"/>
      <c r="G2119" s="85"/>
      <c r="H2119" s="90"/>
    </row>
    <row r="2120" spans="2:8" ht="18" x14ac:dyDescent="0.25">
      <c r="B2120" s="85"/>
      <c r="C2120" s="85"/>
      <c r="D2120" s="85"/>
      <c r="E2120" s="85"/>
      <c r="F2120" s="85"/>
      <c r="G2120" s="85"/>
      <c r="H2120" s="94"/>
    </row>
    <row r="2121" spans="2:8" ht="18" x14ac:dyDescent="0.25">
      <c r="E2121" s="85"/>
      <c r="G2121" s="94"/>
      <c r="H2121" s="90"/>
    </row>
    <row r="2123" spans="2:8" ht="18" x14ac:dyDescent="0.25">
      <c r="B2123" s="343"/>
      <c r="C2123" s="343"/>
      <c r="D2123" s="343"/>
      <c r="E2123" s="342">
        <f>+$B$1</f>
        <v>46143</v>
      </c>
      <c r="F2123" s="85"/>
      <c r="G2123" s="337">
        <f>+$D$1</f>
        <v>46037</v>
      </c>
      <c r="H2123" s="90"/>
    </row>
    <row r="2124" spans="2:8" ht="18" x14ac:dyDescent="0.25">
      <c r="B2124" s="84"/>
      <c r="C2124" s="84"/>
      <c r="D2124" s="100"/>
      <c r="E2124" s="342"/>
      <c r="F2124" s="85"/>
      <c r="G2124" s="337"/>
      <c r="H2124" s="90"/>
    </row>
    <row r="2125" spans="2:8" ht="18" x14ac:dyDescent="0.25">
      <c r="B2125" s="85"/>
      <c r="C2125" s="85"/>
      <c r="D2125" s="85"/>
      <c r="E2125" s="86"/>
      <c r="F2125" s="85"/>
      <c r="G2125" s="86"/>
      <c r="H2125" s="90"/>
    </row>
    <row r="2126" spans="2:8" ht="18" x14ac:dyDescent="0.25">
      <c r="B2126" s="85" t="e">
        <f>+#REF!</f>
        <v>#REF!</v>
      </c>
      <c r="C2126" s="85"/>
      <c r="D2126" s="85"/>
      <c r="E2126" s="86"/>
      <c r="F2126" s="85"/>
      <c r="G2126" s="86"/>
      <c r="H2126" s="90"/>
    </row>
    <row r="2127" spans="2:8" ht="18" x14ac:dyDescent="0.25">
      <c r="B2127" s="86"/>
      <c r="C2127" s="85"/>
      <c r="D2127" s="85"/>
      <c r="E2127" s="85" t="s">
        <v>78</v>
      </c>
      <c r="F2127" s="85"/>
      <c r="G2127" s="85"/>
      <c r="H2127" s="90" t="s">
        <v>140</v>
      </c>
    </row>
    <row r="2128" spans="2:8" ht="18" x14ac:dyDescent="0.25">
      <c r="B2128" s="85"/>
      <c r="C2128" s="85"/>
      <c r="D2128" s="85"/>
      <c r="E2128" s="86"/>
      <c r="F2128" s="86"/>
      <c r="G2128" s="85"/>
      <c r="H2128" s="94"/>
    </row>
    <row r="2129" spans="2:8" ht="18" x14ac:dyDescent="0.25">
      <c r="B2129" s="94"/>
      <c r="C2129" s="85"/>
      <c r="D2129" s="94"/>
      <c r="E2129" s="85"/>
      <c r="F2129" s="85"/>
      <c r="G2129" s="85"/>
      <c r="H2129" s="90"/>
    </row>
    <row r="2130" spans="2:8" ht="18" x14ac:dyDescent="0.25">
      <c r="B2130" s="94"/>
      <c r="C2130" s="85"/>
      <c r="D2130" s="94"/>
      <c r="E2130" s="85"/>
      <c r="F2130" s="85"/>
      <c r="G2130" s="85"/>
      <c r="H2130" s="90"/>
    </row>
    <row r="2131" spans="2:8" ht="18" x14ac:dyDescent="0.25">
      <c r="B2131" s="85" t="s">
        <v>198</v>
      </c>
      <c r="C2131" s="85"/>
      <c r="D2131" s="107">
        <f>+'RES CUENTA'!$L$25</f>
        <v>10859801.41</v>
      </c>
      <c r="E2131" s="108" t="e">
        <f>+'RES CUENTA'!#REF!</f>
        <v>#REF!</v>
      </c>
      <c r="F2131" s="103" t="e">
        <f>+D2131*E2131/100</f>
        <v>#REF!</v>
      </c>
      <c r="G2131" s="345"/>
      <c r="H2131" s="345"/>
    </row>
    <row r="2132" spans="2:8" ht="18" x14ac:dyDescent="0.25">
      <c r="B2132" s="85" t="s">
        <v>199</v>
      </c>
      <c r="C2132" s="85"/>
      <c r="D2132" s="107" t="e">
        <f>+'RES CUENTA'!#REF!</f>
        <v>#REF!</v>
      </c>
      <c r="E2132" s="108" t="e">
        <f>+'RES CUENTA'!#REF!</f>
        <v>#REF!</v>
      </c>
      <c r="F2132" s="103" t="e">
        <f>+D2132*E2132/100</f>
        <v>#REF!</v>
      </c>
      <c r="G2132" s="341"/>
      <c r="H2132" s="341"/>
    </row>
    <row r="2133" spans="2:8" ht="18" x14ac:dyDescent="0.25">
      <c r="B2133" s="85" t="s">
        <v>79</v>
      </c>
      <c r="C2133" s="85"/>
      <c r="D2133" s="107" t="e">
        <f>+'RES CUENTA'!#REF!</f>
        <v>#REF!</v>
      </c>
      <c r="E2133" s="108">
        <v>0</v>
      </c>
      <c r="F2133" s="103" t="e">
        <f>+D2133</f>
        <v>#REF!</v>
      </c>
      <c r="G2133" s="341"/>
      <c r="H2133" s="341"/>
    </row>
    <row r="2134" spans="2:8" ht="18" x14ac:dyDescent="0.25">
      <c r="B2134" s="85" t="s">
        <v>80</v>
      </c>
      <c r="C2134" s="85"/>
      <c r="D2134" s="107" t="e">
        <f>+'RES CUENTA'!#REF!</f>
        <v>#REF!</v>
      </c>
      <c r="E2134" s="108">
        <v>0</v>
      </c>
      <c r="F2134" s="103" t="e">
        <f>+D2134</f>
        <v>#REF!</v>
      </c>
      <c r="G2134" s="341"/>
      <c r="H2134" s="341"/>
    </row>
    <row r="2135" spans="2:8" ht="18" x14ac:dyDescent="0.25">
      <c r="B2135" s="86"/>
      <c r="C2135" s="85"/>
      <c r="D2135" s="85"/>
      <c r="E2135" s="92"/>
      <c r="F2135" s="104" t="e">
        <f>SUM(F2131:F2134)</f>
        <v>#REF!</v>
      </c>
      <c r="G2135" s="341"/>
      <c r="H2135" s="341"/>
    </row>
    <row r="2136" spans="2:8" ht="18" x14ac:dyDescent="0.25">
      <c r="B2136" s="86"/>
      <c r="C2136" s="85"/>
      <c r="D2136" s="85"/>
      <c r="E2136" s="92"/>
      <c r="F2136" s="104"/>
      <c r="G2136" s="89"/>
      <c r="H2136" s="89"/>
    </row>
    <row r="2137" spans="2:8" ht="18" x14ac:dyDescent="0.25">
      <c r="B2137" s="86"/>
      <c r="C2137" s="85"/>
      <c r="D2137" s="85"/>
      <c r="E2137" s="85"/>
      <c r="G2137" s="338"/>
      <c r="H2137" s="338"/>
    </row>
    <row r="2138" spans="2:8" ht="18" x14ac:dyDescent="0.25">
      <c r="B2138" s="85"/>
      <c r="C2138" s="85"/>
      <c r="D2138" s="85"/>
      <c r="E2138" s="85"/>
      <c r="F2138" s="91"/>
      <c r="G2138" s="90"/>
      <c r="H2138" s="90"/>
    </row>
    <row r="2139" spans="2:8" ht="18" x14ac:dyDescent="0.25">
      <c r="B2139" s="85"/>
      <c r="C2139" s="85"/>
      <c r="D2139" s="85"/>
      <c r="E2139" s="85"/>
      <c r="F2139" s="92"/>
      <c r="G2139" s="85"/>
      <c r="H2139" s="90"/>
    </row>
    <row r="2140" spans="2:8" ht="18" x14ac:dyDescent="0.25">
      <c r="B2140" s="85"/>
      <c r="C2140" s="85"/>
      <c r="D2140" s="85"/>
      <c r="E2140" s="85"/>
      <c r="F2140" s="92"/>
      <c r="G2140" s="85"/>
      <c r="H2140" s="90"/>
    </row>
    <row r="2141" spans="2:8" ht="18" x14ac:dyDescent="0.25">
      <c r="B2141" s="85" t="e">
        <f>+B2126</f>
        <v>#REF!</v>
      </c>
      <c r="C2141" s="344"/>
      <c r="D2141" s="344"/>
      <c r="E2141" s="85" t="e">
        <f>+B2141</f>
        <v>#REF!</v>
      </c>
      <c r="F2141" s="92"/>
      <c r="G2141" s="85"/>
      <c r="H2141" s="90"/>
    </row>
    <row r="2142" spans="2:8" ht="18" x14ac:dyDescent="0.25">
      <c r="C2142" s="85"/>
      <c r="D2142" s="85"/>
      <c r="F2142" s="344"/>
      <c r="G2142" s="344"/>
      <c r="H2142" s="344"/>
    </row>
    <row r="2143" spans="2:8" ht="18" x14ac:dyDescent="0.25">
      <c r="B2143" s="85" t="str">
        <f>+$E$1</f>
        <v>Lima 461 C:A:B:A:</v>
      </c>
      <c r="C2143" s="85"/>
      <c r="D2143" s="93" t="str">
        <f>+H2127</f>
        <v>Unid. 57</v>
      </c>
      <c r="E2143" s="85" t="str">
        <f>+$E$1</f>
        <v>Lima 461 C:A:B:A:</v>
      </c>
      <c r="F2143" s="85"/>
      <c r="G2143" s="85"/>
      <c r="H2143" s="90" t="str">
        <f>+D2143</f>
        <v>Unid. 57</v>
      </c>
    </row>
    <row r="2144" spans="2:8" ht="18" x14ac:dyDescent="0.25">
      <c r="H2144" s="94"/>
    </row>
    <row r="2145" spans="2:8" ht="18" x14ac:dyDescent="0.25">
      <c r="B2145" s="86"/>
      <c r="C2145" s="86"/>
      <c r="D2145" s="86"/>
      <c r="E2145" s="86"/>
      <c r="F2145" s="85"/>
      <c r="G2145" s="85"/>
    </row>
    <row r="2146" spans="2:8" ht="18" x14ac:dyDescent="0.25">
      <c r="B2146" s="85">
        <f>+$E$2</f>
        <v>0</v>
      </c>
      <c r="C2146" s="85"/>
      <c r="D2146" s="85"/>
      <c r="E2146" s="85"/>
      <c r="F2146" s="85"/>
      <c r="G2146" s="86"/>
      <c r="H2146" s="94"/>
    </row>
    <row r="2147" spans="2:8" ht="18" x14ac:dyDescent="0.25">
      <c r="B2147" s="85">
        <f>+$E$3</f>
        <v>0</v>
      </c>
      <c r="C2147" s="85"/>
      <c r="D2147" s="85"/>
      <c r="E2147" s="96"/>
      <c r="F2147" s="85"/>
      <c r="G2147" s="94"/>
      <c r="H2147" s="90"/>
    </row>
    <row r="2148" spans="2:8" ht="18" x14ac:dyDescent="0.25">
      <c r="C2148" s="85"/>
      <c r="D2148" s="85"/>
      <c r="E2148" s="85" t="s">
        <v>200</v>
      </c>
      <c r="F2148" s="106" t="e">
        <f>+F2131</f>
        <v>#REF!</v>
      </c>
      <c r="H2148" s="99">
        <f>+B2153</f>
        <v>46037</v>
      </c>
    </row>
    <row r="2149" spans="2:8" ht="18" x14ac:dyDescent="0.25">
      <c r="B2149" s="86"/>
      <c r="C2149" s="85"/>
      <c r="D2149" s="85"/>
      <c r="E2149" s="85" t="s">
        <v>201</v>
      </c>
      <c r="F2149" s="106" t="e">
        <f>+F2132</f>
        <v>#REF!</v>
      </c>
    </row>
    <row r="2150" spans="2:8" ht="18" x14ac:dyDescent="0.25">
      <c r="B2150" s="86"/>
      <c r="C2150" s="85"/>
      <c r="D2150" s="85"/>
      <c r="E2150" s="85" t="s">
        <v>81</v>
      </c>
      <c r="F2150" s="106" t="e">
        <f>+F2133</f>
        <v>#REF!</v>
      </c>
      <c r="G2150" s="85"/>
      <c r="H2150" s="90"/>
    </row>
    <row r="2151" spans="2:8" ht="18" x14ac:dyDescent="0.25">
      <c r="B2151" s="85"/>
      <c r="C2151" s="85"/>
      <c r="D2151" s="85"/>
      <c r="E2151" s="85" t="s">
        <v>82</v>
      </c>
      <c r="F2151" s="106" t="e">
        <f>+F2134</f>
        <v>#REF!</v>
      </c>
      <c r="G2151" s="85"/>
      <c r="H2151" s="90"/>
    </row>
    <row r="2152" spans="2:8" ht="18" x14ac:dyDescent="0.25">
      <c r="B2152" s="96"/>
      <c r="C2152" s="96"/>
      <c r="D2152" s="96"/>
      <c r="E2152" s="85" t="s">
        <v>188</v>
      </c>
      <c r="F2152" s="106">
        <v>0</v>
      </c>
      <c r="G2152" s="85"/>
      <c r="H2152" s="90"/>
    </row>
    <row r="2153" spans="2:8" ht="18" x14ac:dyDescent="0.25">
      <c r="B2153" s="99">
        <f>+$G$30</f>
        <v>46037</v>
      </c>
      <c r="C2153" s="105" t="e">
        <f>+F2135</f>
        <v>#REF!</v>
      </c>
      <c r="D2153" s="85"/>
      <c r="E2153" s="85" t="s">
        <v>83</v>
      </c>
      <c r="F2153" s="106" t="e">
        <f>+F2135</f>
        <v>#REF!</v>
      </c>
      <c r="G2153" s="85"/>
      <c r="H2153" s="90"/>
    </row>
    <row r="2154" spans="2:8" ht="18" x14ac:dyDescent="0.25">
      <c r="B2154" s="85"/>
      <c r="C2154" s="85"/>
      <c r="D2154" s="85"/>
      <c r="E2154" s="85"/>
      <c r="F2154" s="85"/>
      <c r="G2154" s="85"/>
      <c r="H2154" s="90"/>
    </row>
    <row r="2155" spans="2:8" ht="18" x14ac:dyDescent="0.25">
      <c r="B2155" s="85"/>
      <c r="C2155" s="85"/>
      <c r="D2155" s="85"/>
      <c r="E2155" s="85"/>
      <c r="F2155" s="85"/>
      <c r="G2155" s="345"/>
      <c r="H2155" s="345"/>
    </row>
    <row r="2156" spans="2:8" ht="18" x14ac:dyDescent="0.25">
      <c r="B2156" s="85"/>
      <c r="C2156" s="85"/>
      <c r="D2156" s="85"/>
      <c r="E2156" s="85"/>
      <c r="F2156" s="85"/>
      <c r="G2156" s="85"/>
      <c r="H2156" s="90"/>
    </row>
    <row r="2157" spans="2:8" ht="18" x14ac:dyDescent="0.25">
      <c r="B2157" s="85"/>
      <c r="C2157" s="85"/>
      <c r="D2157" s="85"/>
      <c r="E2157" s="85"/>
      <c r="F2157" s="85"/>
      <c r="G2157" s="85"/>
      <c r="H2157" s="90"/>
    </row>
    <row r="2158" spans="2:8" ht="18" x14ac:dyDescent="0.25">
      <c r="B2158" s="85"/>
      <c r="C2158" s="85"/>
      <c r="D2158" s="85"/>
      <c r="E2158" s="85"/>
      <c r="F2158" s="85"/>
      <c r="G2158" s="85"/>
      <c r="H2158" s="90"/>
    </row>
    <row r="2159" spans="2:8" ht="18" x14ac:dyDescent="0.25">
      <c r="B2159" s="85"/>
      <c r="C2159" s="85"/>
      <c r="D2159" s="85"/>
      <c r="E2159" s="85"/>
      <c r="F2159" s="85"/>
      <c r="G2159" s="85"/>
      <c r="H2159" s="90"/>
    </row>
    <row r="2160" spans="2:8" ht="18" x14ac:dyDescent="0.25">
      <c r="B2160" s="85"/>
      <c r="C2160" s="85"/>
      <c r="D2160" s="85"/>
      <c r="E2160" s="85"/>
      <c r="F2160" s="85"/>
      <c r="H2160" s="90"/>
    </row>
    <row r="2161" spans="2:8" ht="18" x14ac:dyDescent="0.25">
      <c r="B2161" s="343"/>
      <c r="C2161" s="343"/>
      <c r="D2161" s="343"/>
      <c r="E2161" s="85"/>
      <c r="F2161" s="85"/>
      <c r="H2161" s="90"/>
    </row>
    <row r="2162" spans="2:8" ht="18" x14ac:dyDescent="0.25">
      <c r="B2162" s="343"/>
      <c r="C2162" s="343"/>
      <c r="D2162" s="343"/>
      <c r="E2162" s="98">
        <f>+$B$1</f>
        <v>46143</v>
      </c>
      <c r="F2162" s="85"/>
      <c r="G2162" s="99">
        <f>+$D$1</f>
        <v>46037</v>
      </c>
      <c r="H2162" s="160"/>
    </row>
    <row r="2163" spans="2:8" ht="18" x14ac:dyDescent="0.25">
      <c r="B2163" s="84"/>
      <c r="C2163" s="84"/>
      <c r="D2163" s="100"/>
      <c r="E2163" s="98"/>
      <c r="F2163" s="85"/>
    </row>
    <row r="2164" spans="2:8" ht="18" x14ac:dyDescent="0.25">
      <c r="B2164" s="85" t="e">
        <f>+#REF!</f>
        <v>#REF!</v>
      </c>
      <c r="C2164" s="85"/>
      <c r="D2164" s="85"/>
      <c r="F2164" s="85"/>
    </row>
    <row r="2165" spans="2:8" ht="18" x14ac:dyDescent="0.25">
      <c r="C2165" s="85"/>
      <c r="D2165" s="85"/>
      <c r="E2165" s="85" t="str">
        <f>+$E$1</f>
        <v>Lima 461 C:A:B:A:</v>
      </c>
      <c r="F2165" s="85"/>
      <c r="H2165" s="90" t="s">
        <v>141</v>
      </c>
    </row>
    <row r="2166" spans="2:8" ht="18" x14ac:dyDescent="0.25">
      <c r="B2166" s="86"/>
      <c r="C2166" s="85"/>
      <c r="D2166" s="85"/>
      <c r="F2166" s="85"/>
      <c r="G2166" s="86"/>
    </row>
    <row r="2167" spans="2:8" ht="18" x14ac:dyDescent="0.25">
      <c r="B2167" s="85"/>
      <c r="C2167" s="85"/>
      <c r="D2167" s="85"/>
      <c r="E2167" s="86"/>
      <c r="F2167" s="86"/>
      <c r="G2167" s="85"/>
      <c r="H2167" s="94"/>
    </row>
    <row r="2168" spans="2:8" ht="18" x14ac:dyDescent="0.25">
      <c r="B2168" s="94"/>
      <c r="C2168" s="85"/>
      <c r="D2168" s="94"/>
      <c r="E2168" s="85"/>
      <c r="F2168" s="85"/>
      <c r="G2168" s="85"/>
      <c r="H2168" s="90"/>
    </row>
    <row r="2169" spans="2:8" ht="18" x14ac:dyDescent="0.25">
      <c r="B2169" s="85" t="s">
        <v>198</v>
      </c>
      <c r="C2169" s="85"/>
      <c r="D2169" s="107">
        <f>+'RES CUENTA'!$L$25</f>
        <v>10859801.41</v>
      </c>
      <c r="E2169" s="108" t="e">
        <f>+'RES CUENTA'!#REF!</f>
        <v>#REF!</v>
      </c>
      <c r="F2169" s="103" t="e">
        <f>+D2169*E2169/100</f>
        <v>#REF!</v>
      </c>
      <c r="G2169" s="85"/>
      <c r="H2169" s="94"/>
    </row>
    <row r="2170" spans="2:8" ht="18" x14ac:dyDescent="0.25">
      <c r="B2170" s="85" t="s">
        <v>199</v>
      </c>
      <c r="C2170" s="85"/>
      <c r="D2170" s="107" t="e">
        <f>+'RES CUENTA'!#REF!</f>
        <v>#REF!</v>
      </c>
      <c r="E2170" s="108" t="e">
        <f>+'RES CUENTA'!#REF!</f>
        <v>#REF!</v>
      </c>
      <c r="F2170" s="103" t="e">
        <f>+D2170*E2170/100</f>
        <v>#REF!</v>
      </c>
      <c r="G2170" s="94"/>
      <c r="H2170" s="89"/>
    </row>
    <row r="2171" spans="2:8" ht="18" x14ac:dyDescent="0.25">
      <c r="B2171" s="85" t="s">
        <v>79</v>
      </c>
      <c r="C2171" s="85"/>
      <c r="D2171" s="107" t="e">
        <f>+'RES CUENTA'!#REF!</f>
        <v>#REF!</v>
      </c>
      <c r="E2171" s="108">
        <f>+'RES CUENTA'!P1284</f>
        <v>0</v>
      </c>
      <c r="F2171" s="103" t="e">
        <f>+D2171</f>
        <v>#REF!</v>
      </c>
      <c r="G2171" s="89"/>
      <c r="H2171" s="89"/>
    </row>
    <row r="2172" spans="2:8" ht="18" x14ac:dyDescent="0.25">
      <c r="B2172" s="85" t="s">
        <v>80</v>
      </c>
      <c r="C2172" s="85"/>
      <c r="D2172" s="107" t="e">
        <f>+'RES CUENTA'!#REF!</f>
        <v>#REF!</v>
      </c>
      <c r="E2172" s="108">
        <f>+'RES CUENTA'!R1279</f>
        <v>0</v>
      </c>
      <c r="F2172" s="103" t="e">
        <f>+D2172</f>
        <v>#REF!</v>
      </c>
      <c r="G2172" s="89"/>
      <c r="H2172" s="89"/>
    </row>
    <row r="2173" spans="2:8" ht="18" x14ac:dyDescent="0.25">
      <c r="B2173" s="86"/>
      <c r="C2173" s="85"/>
      <c r="D2173" s="85"/>
      <c r="F2173" s="104" t="e">
        <f>SUM(F2169:F2172)</f>
        <v>#REF!</v>
      </c>
      <c r="G2173" s="89"/>
      <c r="H2173" s="89"/>
    </row>
    <row r="2174" spans="2:8" ht="18" x14ac:dyDescent="0.25">
      <c r="B2174" s="86"/>
      <c r="C2174" s="85"/>
      <c r="D2174" s="85"/>
      <c r="F2174" s="91"/>
      <c r="G2174" s="89"/>
      <c r="H2174" s="90"/>
    </row>
    <row r="2175" spans="2:8" ht="18" x14ac:dyDescent="0.25">
      <c r="B2175" s="85"/>
      <c r="C2175" s="85"/>
      <c r="D2175" s="85"/>
      <c r="E2175" s="85"/>
      <c r="F2175" s="92"/>
      <c r="G2175" s="90"/>
      <c r="H2175" s="90"/>
    </row>
    <row r="2176" spans="2:8" ht="18" x14ac:dyDescent="0.25">
      <c r="B2176" s="85"/>
      <c r="C2176" s="85"/>
      <c r="D2176" s="85"/>
      <c r="E2176" s="85"/>
      <c r="F2176" s="92"/>
      <c r="G2176" s="90"/>
      <c r="H2176" s="90"/>
    </row>
    <row r="2177" spans="2:8" ht="18" x14ac:dyDescent="0.25">
      <c r="B2177" s="85"/>
      <c r="C2177" s="85"/>
      <c r="D2177" s="85"/>
      <c r="E2177" s="85"/>
      <c r="F2177" s="92"/>
      <c r="G2177" s="90"/>
      <c r="H2177" s="90"/>
    </row>
    <row r="2178" spans="2:8" ht="18" x14ac:dyDescent="0.25">
      <c r="B2178" s="85"/>
      <c r="C2178" s="85"/>
      <c r="D2178" s="85"/>
      <c r="E2178" s="85"/>
      <c r="F2178" s="92"/>
      <c r="G2178" s="90"/>
      <c r="H2178" s="90"/>
    </row>
    <row r="2179" spans="2:8" ht="18" x14ac:dyDescent="0.25">
      <c r="B2179" s="85" t="e">
        <f>+B2164</f>
        <v>#REF!</v>
      </c>
      <c r="C2179" s="85"/>
      <c r="D2179" s="85"/>
      <c r="E2179" s="85" t="e">
        <f>+B2164</f>
        <v>#REF!</v>
      </c>
      <c r="F2179" s="85"/>
      <c r="G2179" s="85"/>
      <c r="H2179" s="94"/>
    </row>
    <row r="2180" spans="2:8" ht="18" x14ac:dyDescent="0.25">
      <c r="B2180" s="86"/>
      <c r="C2180" s="85"/>
      <c r="D2180" s="85"/>
      <c r="F2180" s="85"/>
      <c r="G2180" s="101"/>
      <c r="H2180" s="90" t="str">
        <f>+H2165</f>
        <v>Unid. 58</v>
      </c>
    </row>
    <row r="2181" spans="2:8" ht="18" x14ac:dyDescent="0.25">
      <c r="B2181" s="85" t="str">
        <f>+$E$1</f>
        <v>Lima 461 C:A:B:A:</v>
      </c>
      <c r="C2181" s="85"/>
      <c r="D2181" s="93" t="str">
        <f>+H2180</f>
        <v>Unid. 58</v>
      </c>
      <c r="E2181" s="85" t="str">
        <f>+$E$1</f>
        <v>Lima 461 C:A:B:A:</v>
      </c>
      <c r="F2181" s="85"/>
      <c r="G2181" s="85"/>
      <c r="H2181" s="94"/>
    </row>
    <row r="2182" spans="2:8" ht="18" x14ac:dyDescent="0.25">
      <c r="B2182" s="86"/>
      <c r="C2182" s="86"/>
      <c r="D2182" s="86"/>
      <c r="F2182" s="85"/>
      <c r="G2182" s="85"/>
    </row>
    <row r="2183" spans="2:8" ht="18" x14ac:dyDescent="0.25">
      <c r="B2183" s="85"/>
      <c r="C2183" s="85"/>
      <c r="D2183" s="85"/>
      <c r="E2183" s="86"/>
      <c r="F2183" s="85"/>
      <c r="G2183" s="85"/>
      <c r="H2183" s="94"/>
    </row>
    <row r="2184" spans="2:8" ht="18" x14ac:dyDescent="0.25">
      <c r="B2184" s="85">
        <f>+$E$2</f>
        <v>0</v>
      </c>
      <c r="C2184" s="85"/>
      <c r="D2184" s="85"/>
      <c r="E2184" s="85"/>
      <c r="F2184" s="96"/>
      <c r="G2184" s="86"/>
      <c r="H2184" s="90"/>
    </row>
    <row r="2185" spans="2:8" ht="18" x14ac:dyDescent="0.25">
      <c r="B2185" s="85">
        <f>+$E$3</f>
        <v>0</v>
      </c>
      <c r="C2185" s="85"/>
      <c r="D2185" s="85"/>
      <c r="E2185" s="96"/>
      <c r="G2185" s="94"/>
      <c r="H2185" s="96"/>
    </row>
    <row r="2186" spans="2:8" ht="18" x14ac:dyDescent="0.25">
      <c r="B2186" s="86"/>
      <c r="C2186" s="85"/>
      <c r="D2186" s="85"/>
      <c r="E2186" s="85" t="s">
        <v>200</v>
      </c>
      <c r="F2186" s="106" t="e">
        <f>+F2169</f>
        <v>#REF!</v>
      </c>
      <c r="G2186" s="95"/>
      <c r="H2186" s="99">
        <f>+B2190</f>
        <v>46037</v>
      </c>
    </row>
    <row r="2187" spans="2:8" ht="18" x14ac:dyDescent="0.25">
      <c r="B2187" s="86"/>
      <c r="C2187" s="85"/>
      <c r="D2187" s="85"/>
      <c r="E2187" s="85" t="s">
        <v>201</v>
      </c>
      <c r="F2187" s="106" t="e">
        <f>+F2170</f>
        <v>#REF!</v>
      </c>
      <c r="H2187" s="90"/>
    </row>
    <row r="2188" spans="2:8" ht="18" x14ac:dyDescent="0.25">
      <c r="B2188" s="85"/>
      <c r="C2188" s="85"/>
      <c r="D2188" s="85"/>
      <c r="E2188" s="85" t="s">
        <v>81</v>
      </c>
      <c r="F2188" s="106" t="e">
        <f>+F2171</f>
        <v>#REF!</v>
      </c>
      <c r="G2188" s="85"/>
      <c r="H2188" s="90"/>
    </row>
    <row r="2189" spans="2:8" ht="18" x14ac:dyDescent="0.25">
      <c r="B2189" s="96"/>
      <c r="C2189" s="96"/>
      <c r="D2189" s="96"/>
      <c r="E2189" s="85" t="s">
        <v>82</v>
      </c>
      <c r="F2189" s="106" t="e">
        <f>+F2172</f>
        <v>#REF!</v>
      </c>
      <c r="G2189" s="85"/>
      <c r="H2189" s="90"/>
    </row>
    <row r="2190" spans="2:8" ht="18" x14ac:dyDescent="0.25">
      <c r="B2190" s="99">
        <f>+$G$30</f>
        <v>46037</v>
      </c>
      <c r="C2190" s="105" t="e">
        <f>+F2173</f>
        <v>#REF!</v>
      </c>
      <c r="D2190" s="85"/>
      <c r="E2190" s="85" t="s">
        <v>188</v>
      </c>
      <c r="F2190" s="106">
        <v>0</v>
      </c>
      <c r="G2190" s="85"/>
      <c r="H2190" s="90"/>
    </row>
    <row r="2191" spans="2:8" ht="18" x14ac:dyDescent="0.25">
      <c r="B2191" s="85"/>
      <c r="C2191" s="85"/>
      <c r="D2191" s="85"/>
      <c r="E2191" s="85" t="s">
        <v>83</v>
      </c>
      <c r="F2191" s="106" t="e">
        <f>+F2173</f>
        <v>#REF!</v>
      </c>
      <c r="G2191" s="85"/>
      <c r="H2191" s="90"/>
    </row>
    <row r="2192" spans="2:8" ht="18" x14ac:dyDescent="0.25">
      <c r="B2192" s="85"/>
      <c r="C2192" s="85"/>
      <c r="D2192" s="85"/>
      <c r="E2192" s="85"/>
      <c r="F2192" s="85"/>
      <c r="G2192" s="85"/>
      <c r="H2192" s="90"/>
    </row>
    <row r="2193" spans="2:8" ht="18" x14ac:dyDescent="0.25">
      <c r="B2193" s="85"/>
      <c r="C2193" s="85"/>
      <c r="D2193" s="85"/>
      <c r="E2193" s="102"/>
      <c r="F2193" s="85"/>
      <c r="G2193" s="85"/>
      <c r="H2193" s="90"/>
    </row>
    <row r="2194" spans="2:8" ht="18" x14ac:dyDescent="0.25">
      <c r="B2194" s="85"/>
      <c r="C2194" s="85"/>
      <c r="D2194" s="85"/>
      <c r="E2194" s="85"/>
      <c r="F2194" s="85"/>
      <c r="G2194" s="85"/>
      <c r="H2194" s="94"/>
    </row>
    <row r="2195" spans="2:8" ht="18" x14ac:dyDescent="0.25">
      <c r="E2195" s="85"/>
      <c r="G2195" s="94"/>
      <c r="H2195" s="90"/>
    </row>
    <row r="2197" spans="2:8" ht="18" x14ac:dyDescent="0.25">
      <c r="B2197" s="343"/>
      <c r="C2197" s="343"/>
      <c r="D2197" s="343"/>
      <c r="E2197" s="342">
        <f>+$B$1</f>
        <v>46143</v>
      </c>
      <c r="F2197" s="85"/>
      <c r="G2197" s="337">
        <f>+$D$1</f>
        <v>46037</v>
      </c>
      <c r="H2197" s="90"/>
    </row>
    <row r="2198" spans="2:8" ht="18" x14ac:dyDescent="0.25">
      <c r="B2198" s="84"/>
      <c r="C2198" s="84"/>
      <c r="D2198" s="100"/>
      <c r="E2198" s="342"/>
      <c r="F2198" s="85"/>
      <c r="G2198" s="337"/>
      <c r="H2198" s="90"/>
    </row>
    <row r="2199" spans="2:8" ht="18" x14ac:dyDescent="0.25">
      <c r="B2199" s="85"/>
      <c r="C2199" s="85"/>
      <c r="D2199" s="85"/>
      <c r="E2199" s="86"/>
      <c r="F2199" s="85"/>
      <c r="G2199" s="86"/>
      <c r="H2199" s="90"/>
    </row>
    <row r="2200" spans="2:8" ht="18" x14ac:dyDescent="0.25">
      <c r="B2200" s="85" t="e">
        <f>+#REF!</f>
        <v>#REF!</v>
      </c>
      <c r="C2200" s="85"/>
      <c r="D2200" s="85"/>
      <c r="E2200" s="86"/>
      <c r="F2200" s="85"/>
      <c r="G2200" s="86"/>
      <c r="H2200" s="90"/>
    </row>
    <row r="2201" spans="2:8" ht="18" x14ac:dyDescent="0.25">
      <c r="B2201" s="86"/>
      <c r="C2201" s="85"/>
      <c r="D2201" s="85"/>
      <c r="E2201" s="85" t="s">
        <v>78</v>
      </c>
      <c r="F2201" s="85"/>
      <c r="G2201" s="85"/>
      <c r="H2201" s="90" t="s">
        <v>142</v>
      </c>
    </row>
    <row r="2202" spans="2:8" ht="18" x14ac:dyDescent="0.25">
      <c r="B2202" s="85"/>
      <c r="C2202" s="85"/>
      <c r="D2202" s="85"/>
      <c r="E2202" s="86"/>
      <c r="F2202" s="86"/>
      <c r="G2202" s="85"/>
      <c r="H2202" s="94"/>
    </row>
    <row r="2203" spans="2:8" ht="18" x14ac:dyDescent="0.25">
      <c r="B2203" s="94"/>
      <c r="C2203" s="85"/>
      <c r="D2203" s="94"/>
      <c r="E2203" s="85"/>
      <c r="F2203" s="85"/>
      <c r="G2203" s="85"/>
      <c r="H2203" s="90"/>
    </row>
    <row r="2204" spans="2:8" ht="18" x14ac:dyDescent="0.25">
      <c r="B2204" s="94"/>
      <c r="C2204" s="85"/>
      <c r="D2204" s="94"/>
      <c r="E2204" s="85"/>
      <c r="F2204" s="85"/>
      <c r="G2204" s="85"/>
      <c r="H2204" s="90"/>
    </row>
    <row r="2205" spans="2:8" ht="18" x14ac:dyDescent="0.25">
      <c r="B2205" s="85" t="s">
        <v>198</v>
      </c>
      <c r="C2205" s="85"/>
      <c r="D2205" s="107">
        <f>+'RES CUENTA'!$L$25</f>
        <v>10859801.41</v>
      </c>
      <c r="E2205" s="108" t="e">
        <f>+'RES CUENTA'!#REF!</f>
        <v>#REF!</v>
      </c>
      <c r="F2205" s="103" t="e">
        <f>+D2205*E2205/100</f>
        <v>#REF!</v>
      </c>
      <c r="G2205" s="345"/>
      <c r="H2205" s="345"/>
    </row>
    <row r="2206" spans="2:8" ht="18" x14ac:dyDescent="0.25">
      <c r="B2206" s="85" t="s">
        <v>199</v>
      </c>
      <c r="C2206" s="85"/>
      <c r="D2206" s="107" t="e">
        <f>+'RES CUENTA'!#REF!</f>
        <v>#REF!</v>
      </c>
      <c r="E2206" s="108" t="e">
        <f>+'RES CUENTA'!#REF!</f>
        <v>#REF!</v>
      </c>
      <c r="F2206" s="103" t="e">
        <f>+D2206*E2206/100</f>
        <v>#REF!</v>
      </c>
      <c r="G2206" s="341"/>
      <c r="H2206" s="341"/>
    </row>
    <row r="2207" spans="2:8" ht="18" x14ac:dyDescent="0.25">
      <c r="B2207" s="85" t="s">
        <v>79</v>
      </c>
      <c r="C2207" s="85"/>
      <c r="D2207" s="107" t="e">
        <f>+'RES CUENTA'!#REF!</f>
        <v>#REF!</v>
      </c>
      <c r="E2207" s="108">
        <v>0</v>
      </c>
      <c r="F2207" s="103" t="e">
        <f>+D2207</f>
        <v>#REF!</v>
      </c>
      <c r="G2207" s="341"/>
      <c r="H2207" s="341"/>
    </row>
    <row r="2208" spans="2:8" ht="18" x14ac:dyDescent="0.25">
      <c r="B2208" s="85" t="s">
        <v>80</v>
      </c>
      <c r="C2208" s="85"/>
      <c r="D2208" s="107" t="e">
        <f>+'RES CUENTA'!#REF!</f>
        <v>#REF!</v>
      </c>
      <c r="E2208" s="108">
        <v>0</v>
      </c>
      <c r="F2208" s="103" t="e">
        <f>+D2208</f>
        <v>#REF!</v>
      </c>
      <c r="G2208" s="341"/>
      <c r="H2208" s="341"/>
    </row>
    <row r="2209" spans="2:8" ht="18" x14ac:dyDescent="0.25">
      <c r="B2209" s="86"/>
      <c r="C2209" s="85"/>
      <c r="D2209" s="85"/>
      <c r="E2209" s="92"/>
      <c r="F2209" s="104" t="e">
        <f>SUM(F2205:F2208)</f>
        <v>#REF!</v>
      </c>
      <c r="G2209" s="341"/>
      <c r="H2209" s="341"/>
    </row>
    <row r="2210" spans="2:8" ht="18" x14ac:dyDescent="0.25">
      <c r="B2210" s="86"/>
      <c r="C2210" s="85"/>
      <c r="D2210" s="85"/>
      <c r="E2210" s="92"/>
      <c r="F2210" s="104"/>
      <c r="G2210" s="89"/>
      <c r="H2210" s="89"/>
    </row>
    <row r="2211" spans="2:8" ht="18" x14ac:dyDescent="0.25">
      <c r="B2211" s="86"/>
      <c r="C2211" s="85"/>
      <c r="D2211" s="85"/>
      <c r="E2211" s="85"/>
      <c r="G2211" s="338"/>
      <c r="H2211" s="338"/>
    </row>
    <row r="2212" spans="2:8" ht="18" x14ac:dyDescent="0.25">
      <c r="B2212" s="85"/>
      <c r="C2212" s="85"/>
      <c r="D2212" s="85"/>
      <c r="E2212" s="85"/>
      <c r="F2212" s="91"/>
      <c r="G2212" s="90"/>
      <c r="H2212" s="90"/>
    </row>
    <row r="2213" spans="2:8" ht="18" x14ac:dyDescent="0.25">
      <c r="B2213" s="85"/>
      <c r="C2213" s="85"/>
      <c r="D2213" s="85"/>
      <c r="E2213" s="85"/>
      <c r="F2213" s="92"/>
      <c r="G2213" s="85"/>
      <c r="H2213" s="90"/>
    </row>
    <row r="2214" spans="2:8" ht="18" x14ac:dyDescent="0.25">
      <c r="B2214" s="85"/>
      <c r="C2214" s="85"/>
      <c r="D2214" s="85"/>
      <c r="E2214" s="85"/>
      <c r="F2214" s="92"/>
      <c r="G2214" s="85"/>
      <c r="H2214" s="90"/>
    </row>
    <row r="2215" spans="2:8" ht="18" x14ac:dyDescent="0.25">
      <c r="B2215" s="85" t="e">
        <f>+B2200</f>
        <v>#REF!</v>
      </c>
      <c r="C2215" s="344"/>
      <c r="D2215" s="344"/>
      <c r="E2215" s="85" t="e">
        <f>+B2215</f>
        <v>#REF!</v>
      </c>
      <c r="F2215" s="92"/>
      <c r="G2215" s="85"/>
      <c r="H2215" s="90"/>
    </row>
    <row r="2216" spans="2:8" ht="18" x14ac:dyDescent="0.25">
      <c r="C2216" s="85"/>
      <c r="D2216" s="85"/>
      <c r="F2216" s="344"/>
      <c r="G2216" s="344"/>
      <c r="H2216" s="344"/>
    </row>
    <row r="2217" spans="2:8" ht="18" x14ac:dyDescent="0.25">
      <c r="B2217" s="85" t="str">
        <f>+$E$1</f>
        <v>Lima 461 C:A:B:A:</v>
      </c>
      <c r="C2217" s="85"/>
      <c r="D2217" s="93" t="str">
        <f>+H2201</f>
        <v>Unid. 59</v>
      </c>
      <c r="E2217" s="85" t="str">
        <f>+$E$1</f>
        <v>Lima 461 C:A:B:A:</v>
      </c>
      <c r="F2217" s="85"/>
      <c r="G2217" s="85"/>
      <c r="H2217" s="90" t="str">
        <f>+D2217</f>
        <v>Unid. 59</v>
      </c>
    </row>
    <row r="2218" spans="2:8" ht="18" x14ac:dyDescent="0.25">
      <c r="H2218" s="94"/>
    </row>
    <row r="2219" spans="2:8" ht="18" x14ac:dyDescent="0.25">
      <c r="B2219" s="86"/>
      <c r="C2219" s="86"/>
      <c r="D2219" s="86"/>
      <c r="E2219" s="86"/>
      <c r="F2219" s="85"/>
      <c r="G2219" s="85"/>
    </row>
    <row r="2220" spans="2:8" ht="18" x14ac:dyDescent="0.25">
      <c r="B2220" s="85">
        <f>+$E$2</f>
        <v>0</v>
      </c>
      <c r="C2220" s="85"/>
      <c r="D2220" s="85"/>
      <c r="E2220" s="85"/>
      <c r="F2220" s="85"/>
      <c r="G2220" s="86"/>
      <c r="H2220" s="94"/>
    </row>
    <row r="2221" spans="2:8" ht="18" x14ac:dyDescent="0.25">
      <c r="B2221" s="85">
        <f>+$E$3</f>
        <v>0</v>
      </c>
      <c r="C2221" s="85"/>
      <c r="D2221" s="85"/>
      <c r="E2221" s="96"/>
      <c r="F2221" s="85"/>
      <c r="G2221" s="94"/>
      <c r="H2221" s="90"/>
    </row>
    <row r="2222" spans="2:8" ht="18" x14ac:dyDescent="0.25">
      <c r="C2222" s="85"/>
      <c r="D2222" s="85"/>
      <c r="E2222" s="85" t="s">
        <v>200</v>
      </c>
      <c r="F2222" s="106" t="e">
        <f>+F2205</f>
        <v>#REF!</v>
      </c>
      <c r="H2222" s="99">
        <f>+B2227</f>
        <v>46037</v>
      </c>
    </row>
    <row r="2223" spans="2:8" ht="18" x14ac:dyDescent="0.25">
      <c r="B2223" s="86"/>
      <c r="C2223" s="85"/>
      <c r="D2223" s="85"/>
      <c r="E2223" s="85" t="s">
        <v>201</v>
      </c>
      <c r="F2223" s="106" t="e">
        <f>+F2206</f>
        <v>#REF!</v>
      </c>
    </row>
    <row r="2224" spans="2:8" ht="18" x14ac:dyDescent="0.25">
      <c r="B2224" s="86"/>
      <c r="C2224" s="85"/>
      <c r="D2224" s="85"/>
      <c r="E2224" s="85" t="s">
        <v>81</v>
      </c>
      <c r="F2224" s="106" t="e">
        <f>+F2207</f>
        <v>#REF!</v>
      </c>
      <c r="G2224" s="85"/>
      <c r="H2224" s="90"/>
    </row>
    <row r="2225" spans="2:8" ht="18" x14ac:dyDescent="0.25">
      <c r="B2225" s="85"/>
      <c r="C2225" s="85"/>
      <c r="D2225" s="85"/>
      <c r="E2225" s="85" t="s">
        <v>82</v>
      </c>
      <c r="F2225" s="106" t="e">
        <f>+F2208</f>
        <v>#REF!</v>
      </c>
      <c r="G2225" s="85"/>
      <c r="H2225" s="90"/>
    </row>
    <row r="2226" spans="2:8" ht="18" x14ac:dyDescent="0.25">
      <c r="B2226" s="96"/>
      <c r="C2226" s="96"/>
      <c r="D2226" s="96"/>
      <c r="E2226" s="85" t="s">
        <v>188</v>
      </c>
      <c r="F2226" s="106">
        <v>0</v>
      </c>
      <c r="G2226" s="85"/>
      <c r="H2226" s="90"/>
    </row>
    <row r="2227" spans="2:8" ht="18" x14ac:dyDescent="0.25">
      <c r="B2227" s="99">
        <f>+$G$30</f>
        <v>46037</v>
      </c>
      <c r="C2227" s="105" t="e">
        <f>+F2209</f>
        <v>#REF!</v>
      </c>
      <c r="D2227" s="85"/>
      <c r="E2227" s="85" t="s">
        <v>83</v>
      </c>
      <c r="F2227" s="106" t="e">
        <f>+F2209</f>
        <v>#REF!</v>
      </c>
      <c r="G2227" s="85"/>
      <c r="H2227" s="90"/>
    </row>
    <row r="2228" spans="2:8" ht="18" x14ac:dyDescent="0.25">
      <c r="B2228" s="85"/>
      <c r="C2228" s="85"/>
      <c r="D2228" s="85"/>
      <c r="E2228" s="85"/>
      <c r="F2228" s="85"/>
      <c r="G2228" s="85"/>
      <c r="H2228" s="90"/>
    </row>
    <row r="2229" spans="2:8" ht="18" x14ac:dyDescent="0.25">
      <c r="B2229" s="85"/>
      <c r="C2229" s="85"/>
      <c r="D2229" s="85"/>
      <c r="E2229" s="85"/>
      <c r="F2229" s="85"/>
      <c r="G2229" s="345"/>
      <c r="H2229" s="345"/>
    </row>
    <row r="2230" spans="2:8" ht="18" x14ac:dyDescent="0.25">
      <c r="B2230" s="85"/>
      <c r="C2230" s="85"/>
      <c r="D2230" s="85"/>
      <c r="E2230" s="85"/>
      <c r="F2230" s="85"/>
      <c r="G2230" s="85"/>
      <c r="H2230" s="90"/>
    </row>
    <row r="2231" spans="2:8" ht="18" x14ac:dyDescent="0.25">
      <c r="B2231" s="85"/>
      <c r="C2231" s="85"/>
      <c r="D2231" s="85"/>
      <c r="E2231" s="85"/>
      <c r="F2231" s="85"/>
      <c r="G2231" s="85"/>
      <c r="H2231" s="90"/>
    </row>
    <row r="2232" spans="2:8" ht="18" x14ac:dyDescent="0.25">
      <c r="B2232" s="85"/>
      <c r="C2232" s="85"/>
      <c r="D2232" s="85"/>
      <c r="E2232" s="85"/>
      <c r="F2232" s="85"/>
      <c r="G2232" s="85"/>
      <c r="H2232" s="90"/>
    </row>
    <row r="2233" spans="2:8" ht="18" x14ac:dyDescent="0.25">
      <c r="B2233" s="85"/>
      <c r="C2233" s="85"/>
      <c r="D2233" s="85"/>
      <c r="E2233" s="85"/>
      <c r="F2233" s="85"/>
      <c r="G2233" s="85"/>
      <c r="H2233" s="90"/>
    </row>
    <row r="2234" spans="2:8" ht="18" x14ac:dyDescent="0.25">
      <c r="B2234" s="85"/>
      <c r="C2234" s="85"/>
      <c r="D2234" s="85"/>
      <c r="E2234" s="85"/>
      <c r="F2234" s="85"/>
      <c r="H2234" s="90"/>
    </row>
    <row r="2235" spans="2:8" ht="18" x14ac:dyDescent="0.25">
      <c r="B2235" s="343"/>
      <c r="C2235" s="343"/>
      <c r="D2235" s="343"/>
      <c r="E2235" s="85"/>
      <c r="F2235" s="85"/>
      <c r="H2235" s="90"/>
    </row>
    <row r="2236" spans="2:8" ht="18" x14ac:dyDescent="0.25">
      <c r="B2236" s="343"/>
      <c r="C2236" s="343"/>
      <c r="D2236" s="343"/>
      <c r="E2236" s="98">
        <f>+$B$1</f>
        <v>46143</v>
      </c>
      <c r="F2236" s="85"/>
      <c r="G2236" s="99">
        <f>+$D$1</f>
        <v>46037</v>
      </c>
      <c r="H2236" s="160"/>
    </row>
    <row r="2237" spans="2:8" ht="18" x14ac:dyDescent="0.25">
      <c r="B2237" s="84"/>
      <c r="C2237" s="84"/>
      <c r="D2237" s="100"/>
      <c r="E2237" s="98"/>
      <c r="F2237" s="85"/>
    </row>
    <row r="2238" spans="2:8" ht="18" x14ac:dyDescent="0.25">
      <c r="B2238" s="85" t="e">
        <f>+#REF!</f>
        <v>#REF!</v>
      </c>
      <c r="C2238" s="85"/>
      <c r="D2238" s="85"/>
      <c r="F2238" s="85"/>
    </row>
    <row r="2239" spans="2:8" ht="18" x14ac:dyDescent="0.25">
      <c r="C2239" s="85"/>
      <c r="D2239" s="85"/>
      <c r="E2239" s="85" t="str">
        <f>+$E$1</f>
        <v>Lima 461 C:A:B:A:</v>
      </c>
      <c r="F2239" s="85"/>
      <c r="H2239" s="90" t="s">
        <v>143</v>
      </c>
    </row>
    <row r="2240" spans="2:8" ht="18" x14ac:dyDescent="0.25">
      <c r="B2240" s="86"/>
      <c r="C2240" s="85"/>
      <c r="D2240" s="85"/>
      <c r="F2240" s="85"/>
      <c r="G2240" s="86"/>
    </row>
    <row r="2241" spans="2:8" ht="18" x14ac:dyDescent="0.25">
      <c r="B2241" s="85"/>
      <c r="C2241" s="85"/>
      <c r="D2241" s="85"/>
      <c r="E2241" s="86"/>
      <c r="F2241" s="86"/>
      <c r="G2241" s="85"/>
      <c r="H2241" s="94"/>
    </row>
    <row r="2242" spans="2:8" ht="18" x14ac:dyDescent="0.25">
      <c r="B2242" s="94"/>
      <c r="C2242" s="85"/>
      <c r="D2242" s="94"/>
      <c r="E2242" s="85"/>
      <c r="F2242" s="85"/>
      <c r="G2242" s="85"/>
      <c r="H2242" s="90"/>
    </row>
    <row r="2243" spans="2:8" ht="18" x14ac:dyDescent="0.25">
      <c r="B2243" s="85" t="s">
        <v>198</v>
      </c>
      <c r="C2243" s="85"/>
      <c r="D2243" s="107">
        <f>+'RES CUENTA'!$L$25</f>
        <v>10859801.41</v>
      </c>
      <c r="E2243" s="108" t="e">
        <f>+'RES CUENTA'!#REF!</f>
        <v>#REF!</v>
      </c>
      <c r="F2243" s="103" t="e">
        <f>+D2243*E2243/100</f>
        <v>#REF!</v>
      </c>
      <c r="G2243" s="85"/>
      <c r="H2243" s="94"/>
    </row>
    <row r="2244" spans="2:8" ht="18" x14ac:dyDescent="0.25">
      <c r="B2244" s="85" t="s">
        <v>199</v>
      </c>
      <c r="C2244" s="85"/>
      <c r="D2244" s="107" t="e">
        <f>+'RES CUENTA'!#REF!</f>
        <v>#REF!</v>
      </c>
      <c r="E2244" s="108" t="e">
        <f>+'RES CUENTA'!#REF!</f>
        <v>#REF!</v>
      </c>
      <c r="F2244" s="103" t="e">
        <f>+D2244*E2244/100</f>
        <v>#REF!</v>
      </c>
      <c r="G2244" s="94"/>
      <c r="H2244" s="89"/>
    </row>
    <row r="2245" spans="2:8" ht="18" x14ac:dyDescent="0.25">
      <c r="B2245" s="85" t="s">
        <v>79</v>
      </c>
      <c r="C2245" s="85"/>
      <c r="D2245" s="107" t="e">
        <f>+'RES CUENTA'!#REF!</f>
        <v>#REF!</v>
      </c>
      <c r="E2245" s="108">
        <f>+'RES CUENTA'!P1360</f>
        <v>0</v>
      </c>
      <c r="F2245" s="103" t="e">
        <f>+D2245</f>
        <v>#REF!</v>
      </c>
      <c r="G2245" s="89"/>
      <c r="H2245" s="89"/>
    </row>
    <row r="2246" spans="2:8" ht="18" x14ac:dyDescent="0.25">
      <c r="B2246" s="85" t="s">
        <v>80</v>
      </c>
      <c r="C2246" s="85"/>
      <c r="D2246" s="107" t="e">
        <f>+'RES CUENTA'!#REF!</f>
        <v>#REF!</v>
      </c>
      <c r="E2246" s="108">
        <f>+'RES CUENTA'!R1355</f>
        <v>0</v>
      </c>
      <c r="F2246" s="103" t="e">
        <f>+D2246</f>
        <v>#REF!</v>
      </c>
      <c r="G2246" s="89"/>
      <c r="H2246" s="89"/>
    </row>
    <row r="2247" spans="2:8" ht="18" x14ac:dyDescent="0.25">
      <c r="B2247" s="86"/>
      <c r="C2247" s="85"/>
      <c r="D2247" s="85"/>
      <c r="F2247" s="104" t="e">
        <f>SUM(F2243:F2246)</f>
        <v>#REF!</v>
      </c>
      <c r="G2247" s="89"/>
      <c r="H2247" s="89"/>
    </row>
    <row r="2248" spans="2:8" ht="18" x14ac:dyDescent="0.25">
      <c r="B2248" s="86"/>
      <c r="C2248" s="85"/>
      <c r="D2248" s="85"/>
      <c r="F2248" s="104"/>
      <c r="G2248" s="89"/>
      <c r="H2248" s="89"/>
    </row>
    <row r="2249" spans="2:8" ht="18" x14ac:dyDescent="0.25">
      <c r="B2249" s="86"/>
      <c r="C2249" s="85"/>
      <c r="D2249" s="85"/>
      <c r="F2249" s="91"/>
      <c r="G2249" s="89"/>
      <c r="H2249" s="90"/>
    </row>
    <row r="2250" spans="2:8" ht="18" x14ac:dyDescent="0.25">
      <c r="B2250" s="85"/>
      <c r="C2250" s="85"/>
      <c r="D2250" s="85"/>
      <c r="E2250" s="85"/>
      <c r="F2250" s="92"/>
      <c r="G2250" s="90"/>
      <c r="H2250" s="90"/>
    </row>
    <row r="2251" spans="2:8" ht="18" x14ac:dyDescent="0.25">
      <c r="B2251" s="85"/>
      <c r="C2251" s="85"/>
      <c r="D2251" s="85"/>
      <c r="E2251" s="85"/>
      <c r="F2251" s="92"/>
      <c r="G2251" s="90"/>
      <c r="H2251" s="90"/>
    </row>
    <row r="2252" spans="2:8" ht="18" x14ac:dyDescent="0.25">
      <c r="B2252" s="85"/>
      <c r="C2252" s="85"/>
      <c r="D2252" s="85"/>
      <c r="E2252" s="85"/>
      <c r="F2252" s="92"/>
      <c r="G2252" s="90"/>
      <c r="H2252" s="90"/>
    </row>
    <row r="2253" spans="2:8" ht="18" x14ac:dyDescent="0.25">
      <c r="B2253" s="85" t="e">
        <f>+B2238</f>
        <v>#REF!</v>
      </c>
      <c r="C2253" s="85"/>
      <c r="D2253" s="85"/>
      <c r="E2253" s="85" t="e">
        <f>+B2238</f>
        <v>#REF!</v>
      </c>
      <c r="F2253" s="85"/>
      <c r="G2253" s="85"/>
      <c r="H2253" s="94"/>
    </row>
    <row r="2254" spans="2:8" ht="18" x14ac:dyDescent="0.25">
      <c r="B2254" s="86"/>
      <c r="C2254" s="85"/>
      <c r="D2254" s="85"/>
      <c r="F2254" s="85"/>
      <c r="G2254" s="101"/>
      <c r="H2254" s="90" t="str">
        <f>+H2239</f>
        <v>Unid. 60</v>
      </c>
    </row>
    <row r="2255" spans="2:8" ht="18" x14ac:dyDescent="0.25">
      <c r="B2255" s="85" t="str">
        <f>+$E$1</f>
        <v>Lima 461 C:A:B:A:</v>
      </c>
      <c r="C2255" s="85"/>
      <c r="D2255" s="93" t="str">
        <f>+H2254</f>
        <v>Unid. 60</v>
      </c>
      <c r="E2255" s="85" t="str">
        <f>+$E$1</f>
        <v>Lima 461 C:A:B:A:</v>
      </c>
      <c r="F2255" s="85"/>
      <c r="G2255" s="85"/>
      <c r="H2255" s="94"/>
    </row>
    <row r="2256" spans="2:8" ht="18" x14ac:dyDescent="0.25">
      <c r="B2256" s="86"/>
      <c r="C2256" s="86"/>
      <c r="D2256" s="86"/>
      <c r="F2256" s="85"/>
      <c r="G2256" s="85"/>
    </row>
    <row r="2257" spans="2:8" ht="18" x14ac:dyDescent="0.25">
      <c r="B2257" s="85"/>
      <c r="C2257" s="85"/>
      <c r="D2257" s="85"/>
      <c r="E2257" s="86"/>
      <c r="F2257" s="85"/>
      <c r="G2257" s="85"/>
      <c r="H2257" s="94"/>
    </row>
    <row r="2258" spans="2:8" ht="18" x14ac:dyDescent="0.25">
      <c r="B2258" s="85">
        <f>+$E$2</f>
        <v>0</v>
      </c>
      <c r="C2258" s="85"/>
      <c r="D2258" s="85"/>
      <c r="E2258" s="85"/>
      <c r="F2258" s="96"/>
      <c r="G2258" s="86"/>
      <c r="H2258" s="90"/>
    </row>
    <row r="2259" spans="2:8" ht="18" x14ac:dyDescent="0.25">
      <c r="B2259" s="85">
        <f>+$E$3</f>
        <v>0</v>
      </c>
      <c r="C2259" s="85"/>
      <c r="D2259" s="85"/>
      <c r="E2259" s="96"/>
      <c r="G2259" s="94"/>
      <c r="H2259" s="96"/>
    </row>
    <row r="2260" spans="2:8" ht="18" x14ac:dyDescent="0.25">
      <c r="B2260" s="86"/>
      <c r="C2260" s="85"/>
      <c r="D2260" s="85"/>
      <c r="E2260" s="85" t="s">
        <v>200</v>
      </c>
      <c r="F2260" s="106" t="e">
        <f>+F2243</f>
        <v>#REF!</v>
      </c>
      <c r="G2260" s="95"/>
      <c r="H2260" s="99">
        <f>+B2264</f>
        <v>46037</v>
      </c>
    </row>
    <row r="2261" spans="2:8" ht="18" x14ac:dyDescent="0.25">
      <c r="B2261" s="86"/>
      <c r="C2261" s="85"/>
      <c r="D2261" s="85"/>
      <c r="E2261" s="85" t="s">
        <v>201</v>
      </c>
      <c r="F2261" s="106" t="e">
        <f>+F2244</f>
        <v>#REF!</v>
      </c>
      <c r="H2261" s="90"/>
    </row>
    <row r="2262" spans="2:8" ht="18" x14ac:dyDescent="0.25">
      <c r="B2262" s="85"/>
      <c r="C2262" s="85"/>
      <c r="D2262" s="85"/>
      <c r="E2262" s="85" t="s">
        <v>81</v>
      </c>
      <c r="F2262" s="106" t="e">
        <f>+F2245</f>
        <v>#REF!</v>
      </c>
      <c r="G2262" s="85"/>
      <c r="H2262" s="90"/>
    </row>
    <row r="2263" spans="2:8" ht="18" x14ac:dyDescent="0.25">
      <c r="B2263" s="96"/>
      <c r="C2263" s="96"/>
      <c r="D2263" s="96"/>
      <c r="E2263" s="85" t="s">
        <v>82</v>
      </c>
      <c r="F2263" s="106" t="e">
        <f>+F2246</f>
        <v>#REF!</v>
      </c>
      <c r="G2263" s="85"/>
      <c r="H2263" s="90"/>
    </row>
    <row r="2264" spans="2:8" ht="18" x14ac:dyDescent="0.25">
      <c r="B2264" s="99">
        <f>+$G$30</f>
        <v>46037</v>
      </c>
      <c r="C2264" s="105" t="e">
        <f>+F2247</f>
        <v>#REF!</v>
      </c>
      <c r="D2264" s="85"/>
      <c r="E2264" s="85" t="s">
        <v>188</v>
      </c>
      <c r="F2264" s="106">
        <v>0</v>
      </c>
      <c r="G2264" s="85"/>
      <c r="H2264" s="90"/>
    </row>
    <row r="2265" spans="2:8" ht="18" x14ac:dyDescent="0.25">
      <c r="B2265" s="85"/>
      <c r="C2265" s="85"/>
      <c r="D2265" s="85"/>
      <c r="E2265" s="85" t="s">
        <v>83</v>
      </c>
      <c r="F2265" s="106" t="e">
        <f>+F2247</f>
        <v>#REF!</v>
      </c>
      <c r="G2265" s="85"/>
      <c r="H2265" s="90"/>
    </row>
    <row r="2266" spans="2:8" ht="18" x14ac:dyDescent="0.25">
      <c r="B2266" s="85"/>
      <c r="C2266" s="85"/>
      <c r="D2266" s="85"/>
      <c r="E2266" s="85"/>
      <c r="F2266" s="85"/>
      <c r="G2266" s="85"/>
      <c r="H2266" s="90"/>
    </row>
    <row r="2267" spans="2:8" ht="18" x14ac:dyDescent="0.25">
      <c r="B2267" s="85"/>
      <c r="C2267" s="85"/>
      <c r="D2267" s="85"/>
      <c r="E2267" s="102"/>
      <c r="F2267" s="85"/>
      <c r="G2267" s="85"/>
      <c r="H2267" s="90"/>
    </row>
    <row r="2268" spans="2:8" ht="18" x14ac:dyDescent="0.25">
      <c r="B2268" s="85"/>
      <c r="C2268" s="85"/>
      <c r="D2268" s="85"/>
      <c r="E2268" s="85"/>
      <c r="F2268" s="85"/>
      <c r="G2268" s="85"/>
      <c r="H2268" s="94"/>
    </row>
    <row r="2269" spans="2:8" ht="18" x14ac:dyDescent="0.25">
      <c r="E2269" s="85"/>
      <c r="G2269" s="94"/>
      <c r="H2269" s="90"/>
    </row>
    <row r="2271" spans="2:8" ht="18" x14ac:dyDescent="0.25">
      <c r="B2271" s="343"/>
      <c r="C2271" s="343"/>
      <c r="D2271" s="343"/>
      <c r="E2271" s="342">
        <f>+$B$1</f>
        <v>46143</v>
      </c>
      <c r="F2271" s="85"/>
      <c r="G2271" s="337">
        <f>+$D$1</f>
        <v>46037</v>
      </c>
      <c r="H2271" s="90"/>
    </row>
    <row r="2272" spans="2:8" ht="18" x14ac:dyDescent="0.25">
      <c r="B2272" s="84"/>
      <c r="C2272" s="84"/>
      <c r="D2272" s="100"/>
      <c r="E2272" s="342"/>
      <c r="F2272" s="85"/>
      <c r="G2272" s="337"/>
      <c r="H2272" s="90"/>
    </row>
    <row r="2273" spans="2:8" ht="18" x14ac:dyDescent="0.25">
      <c r="B2273" s="85"/>
      <c r="C2273" s="85"/>
      <c r="D2273" s="85"/>
      <c r="E2273" s="86"/>
      <c r="F2273" s="85"/>
      <c r="G2273" s="86"/>
      <c r="H2273" s="90"/>
    </row>
    <row r="2274" spans="2:8" ht="18" x14ac:dyDescent="0.25">
      <c r="B2274" s="85" t="e">
        <f>+#REF!</f>
        <v>#REF!</v>
      </c>
      <c r="C2274" s="85"/>
      <c r="D2274" s="85"/>
      <c r="E2274" s="86"/>
      <c r="F2274" s="85"/>
      <c r="G2274" s="86"/>
      <c r="H2274" s="90"/>
    </row>
    <row r="2275" spans="2:8" ht="18" x14ac:dyDescent="0.25">
      <c r="B2275" s="86"/>
      <c r="C2275" s="85"/>
      <c r="D2275" s="85"/>
      <c r="E2275" s="85" t="s">
        <v>78</v>
      </c>
      <c r="F2275" s="85"/>
      <c r="G2275" s="85"/>
      <c r="H2275" s="90" t="s">
        <v>144</v>
      </c>
    </row>
    <row r="2276" spans="2:8" ht="18" x14ac:dyDescent="0.25">
      <c r="B2276" s="85"/>
      <c r="C2276" s="85"/>
      <c r="D2276" s="85"/>
      <c r="E2276" s="86"/>
      <c r="F2276" s="86"/>
      <c r="G2276" s="85"/>
      <c r="H2276" s="94"/>
    </row>
    <row r="2277" spans="2:8" ht="18" x14ac:dyDescent="0.25">
      <c r="B2277" s="94"/>
      <c r="C2277" s="85"/>
      <c r="D2277" s="94"/>
      <c r="E2277" s="85"/>
      <c r="F2277" s="85"/>
      <c r="G2277" s="85"/>
      <c r="H2277" s="90"/>
    </row>
    <row r="2278" spans="2:8" ht="18" x14ac:dyDescent="0.25">
      <c r="B2278" s="94"/>
      <c r="C2278" s="85"/>
      <c r="D2278" s="94"/>
      <c r="E2278" s="85"/>
      <c r="F2278" s="85"/>
      <c r="G2278" s="85"/>
      <c r="H2278" s="90"/>
    </row>
    <row r="2279" spans="2:8" ht="18" x14ac:dyDescent="0.25">
      <c r="B2279" s="85" t="s">
        <v>198</v>
      </c>
      <c r="C2279" s="85"/>
      <c r="D2279" s="107">
        <f>+'RES CUENTA'!$L$25</f>
        <v>10859801.41</v>
      </c>
      <c r="E2279" s="108" t="e">
        <f>+'RES CUENTA'!#REF!</f>
        <v>#REF!</v>
      </c>
      <c r="F2279" s="103" t="e">
        <f>+D2279*E2279/100</f>
        <v>#REF!</v>
      </c>
      <c r="G2279" s="345"/>
      <c r="H2279" s="345"/>
    </row>
    <row r="2280" spans="2:8" ht="18" x14ac:dyDescent="0.25">
      <c r="B2280" s="85" t="s">
        <v>199</v>
      </c>
      <c r="C2280" s="85"/>
      <c r="D2280" s="107" t="e">
        <f>+'RES CUENTA'!#REF!</f>
        <v>#REF!</v>
      </c>
      <c r="E2280" s="108" t="e">
        <f>+'RES CUENTA'!#REF!</f>
        <v>#REF!</v>
      </c>
      <c r="F2280" s="103" t="e">
        <f>+D2280*E2280/100</f>
        <v>#REF!</v>
      </c>
      <c r="G2280" s="341"/>
      <c r="H2280" s="341"/>
    </row>
    <row r="2281" spans="2:8" ht="18" x14ac:dyDescent="0.25">
      <c r="B2281" s="85" t="s">
        <v>79</v>
      </c>
      <c r="C2281" s="85"/>
      <c r="D2281" s="107" t="e">
        <f>+'RES CUENTA'!#REF!</f>
        <v>#REF!</v>
      </c>
      <c r="E2281" s="108">
        <v>0</v>
      </c>
      <c r="F2281" s="103" t="e">
        <f>+D2281</f>
        <v>#REF!</v>
      </c>
      <c r="G2281" s="341"/>
      <c r="H2281" s="341"/>
    </row>
    <row r="2282" spans="2:8" ht="18" x14ac:dyDescent="0.25">
      <c r="B2282" s="85" t="s">
        <v>80</v>
      </c>
      <c r="C2282" s="85"/>
      <c r="D2282" s="107" t="e">
        <f>+'RES CUENTA'!#REF!</f>
        <v>#REF!</v>
      </c>
      <c r="E2282" s="108">
        <v>0</v>
      </c>
      <c r="F2282" s="103" t="e">
        <f>+D2282</f>
        <v>#REF!</v>
      </c>
      <c r="G2282" s="341"/>
      <c r="H2282" s="341"/>
    </row>
    <row r="2283" spans="2:8" ht="18" x14ac:dyDescent="0.25">
      <c r="B2283" s="86"/>
      <c r="C2283" s="85"/>
      <c r="D2283" s="85"/>
      <c r="E2283" s="92"/>
      <c r="F2283" s="104" t="e">
        <f>SUM(F2279:F2282)</f>
        <v>#REF!</v>
      </c>
      <c r="G2283" s="341"/>
      <c r="H2283" s="341"/>
    </row>
    <row r="2284" spans="2:8" ht="18" x14ac:dyDescent="0.25">
      <c r="B2284" s="86"/>
      <c r="C2284" s="85"/>
      <c r="D2284" s="85"/>
      <c r="E2284" s="92"/>
      <c r="F2284" s="104"/>
      <c r="G2284" s="89"/>
      <c r="H2284" s="89"/>
    </row>
    <row r="2285" spans="2:8" ht="18" x14ac:dyDescent="0.25">
      <c r="B2285" s="86"/>
      <c r="C2285" s="85"/>
      <c r="D2285" s="85"/>
      <c r="E2285" s="85"/>
      <c r="G2285" s="338"/>
      <c r="H2285" s="338"/>
    </row>
    <row r="2286" spans="2:8" ht="18" x14ac:dyDescent="0.25">
      <c r="B2286" s="85"/>
      <c r="C2286" s="85"/>
      <c r="D2286" s="85"/>
      <c r="E2286" s="85"/>
      <c r="F2286" s="91"/>
      <c r="G2286" s="90"/>
      <c r="H2286" s="90"/>
    </row>
    <row r="2287" spans="2:8" ht="18" x14ac:dyDescent="0.25">
      <c r="B2287" s="85"/>
      <c r="C2287" s="85"/>
      <c r="D2287" s="85"/>
      <c r="E2287" s="85"/>
      <c r="F2287" s="92"/>
      <c r="G2287" s="85"/>
      <c r="H2287" s="90"/>
    </row>
    <row r="2288" spans="2:8" ht="18" x14ac:dyDescent="0.25">
      <c r="B2288" s="85"/>
      <c r="C2288" s="85"/>
      <c r="D2288" s="85"/>
      <c r="E2288" s="85"/>
      <c r="F2288" s="92"/>
      <c r="G2288" s="85"/>
      <c r="H2288" s="90"/>
    </row>
    <row r="2289" spans="2:8" ht="18" x14ac:dyDescent="0.25">
      <c r="B2289" s="85" t="e">
        <f>+B2274</f>
        <v>#REF!</v>
      </c>
      <c r="C2289" s="344"/>
      <c r="D2289" s="344"/>
      <c r="E2289" s="85" t="e">
        <f>+B2289</f>
        <v>#REF!</v>
      </c>
      <c r="F2289" s="92"/>
      <c r="G2289" s="85"/>
      <c r="H2289" s="90"/>
    </row>
    <row r="2290" spans="2:8" ht="18" x14ac:dyDescent="0.25">
      <c r="C2290" s="85"/>
      <c r="D2290" s="85"/>
      <c r="F2290" s="344"/>
      <c r="G2290" s="344"/>
      <c r="H2290" s="344"/>
    </row>
    <row r="2291" spans="2:8" ht="18" x14ac:dyDescent="0.25">
      <c r="B2291" s="85" t="str">
        <f>+$E$1</f>
        <v>Lima 461 C:A:B:A:</v>
      </c>
      <c r="C2291" s="85"/>
      <c r="D2291" s="93" t="str">
        <f>+H2275</f>
        <v>Unid. 61</v>
      </c>
      <c r="E2291" s="85" t="str">
        <f>+$E$1</f>
        <v>Lima 461 C:A:B:A:</v>
      </c>
      <c r="F2291" s="85"/>
      <c r="G2291" s="85"/>
      <c r="H2291" s="90" t="str">
        <f>+D2291</f>
        <v>Unid. 61</v>
      </c>
    </row>
    <row r="2292" spans="2:8" ht="18" x14ac:dyDescent="0.25">
      <c r="H2292" s="94"/>
    </row>
    <row r="2293" spans="2:8" ht="18" x14ac:dyDescent="0.25">
      <c r="B2293" s="86"/>
      <c r="C2293" s="86"/>
      <c r="D2293" s="86"/>
      <c r="E2293" s="86"/>
      <c r="F2293" s="85"/>
      <c r="G2293" s="85"/>
    </row>
    <row r="2294" spans="2:8" ht="18" x14ac:dyDescent="0.25">
      <c r="B2294" s="85">
        <f>+$E$2</f>
        <v>0</v>
      </c>
      <c r="C2294" s="85"/>
      <c r="D2294" s="85"/>
      <c r="E2294" s="85"/>
      <c r="F2294" s="85"/>
      <c r="G2294" s="86"/>
      <c r="H2294" s="94"/>
    </row>
    <row r="2295" spans="2:8" ht="18" x14ac:dyDescent="0.25">
      <c r="B2295" s="85">
        <f>+$E$3</f>
        <v>0</v>
      </c>
      <c r="C2295" s="85"/>
      <c r="D2295" s="85"/>
      <c r="E2295" s="96"/>
      <c r="F2295" s="85"/>
      <c r="G2295" s="94"/>
      <c r="H2295" s="90"/>
    </row>
    <row r="2296" spans="2:8" ht="18" x14ac:dyDescent="0.25">
      <c r="C2296" s="85"/>
      <c r="D2296" s="85"/>
      <c r="E2296" s="85" t="s">
        <v>200</v>
      </c>
      <c r="F2296" s="106" t="e">
        <f>+F2279</f>
        <v>#REF!</v>
      </c>
      <c r="H2296" s="99">
        <f>+B2301</f>
        <v>46037</v>
      </c>
    </row>
    <row r="2297" spans="2:8" ht="18" x14ac:dyDescent="0.25">
      <c r="B2297" s="86"/>
      <c r="C2297" s="85"/>
      <c r="D2297" s="85"/>
      <c r="E2297" s="85" t="s">
        <v>201</v>
      </c>
      <c r="F2297" s="106" t="e">
        <f>+F2280</f>
        <v>#REF!</v>
      </c>
    </row>
    <row r="2298" spans="2:8" ht="18" x14ac:dyDescent="0.25">
      <c r="B2298" s="86"/>
      <c r="C2298" s="85"/>
      <c r="D2298" s="85"/>
      <c r="E2298" s="85" t="s">
        <v>81</v>
      </c>
      <c r="F2298" s="106" t="e">
        <f>+F2281</f>
        <v>#REF!</v>
      </c>
      <c r="G2298" s="85"/>
      <c r="H2298" s="90"/>
    </row>
    <row r="2299" spans="2:8" ht="18" x14ac:dyDescent="0.25">
      <c r="B2299" s="85"/>
      <c r="C2299" s="85"/>
      <c r="D2299" s="85"/>
      <c r="E2299" s="85" t="s">
        <v>82</v>
      </c>
      <c r="F2299" s="106" t="e">
        <f>+F2282</f>
        <v>#REF!</v>
      </c>
      <c r="G2299" s="85"/>
      <c r="H2299" s="90"/>
    </row>
    <row r="2300" spans="2:8" ht="18" x14ac:dyDescent="0.25">
      <c r="B2300" s="96"/>
      <c r="C2300" s="96"/>
      <c r="D2300" s="96"/>
      <c r="E2300" s="85" t="s">
        <v>188</v>
      </c>
      <c r="F2300" s="106">
        <v>0</v>
      </c>
      <c r="G2300" s="85"/>
      <c r="H2300" s="90"/>
    </row>
    <row r="2301" spans="2:8" ht="18" x14ac:dyDescent="0.25">
      <c r="B2301" s="99">
        <f>+$G$30</f>
        <v>46037</v>
      </c>
      <c r="C2301" s="105" t="e">
        <f>+F2283</f>
        <v>#REF!</v>
      </c>
      <c r="D2301" s="85"/>
      <c r="E2301" s="85" t="s">
        <v>83</v>
      </c>
      <c r="F2301" s="106" t="e">
        <f>+F2283</f>
        <v>#REF!</v>
      </c>
      <c r="G2301" s="85"/>
      <c r="H2301" s="90"/>
    </row>
    <row r="2302" spans="2:8" ht="18" x14ac:dyDescent="0.25">
      <c r="B2302" s="85"/>
      <c r="C2302" s="85"/>
      <c r="D2302" s="85"/>
      <c r="E2302" s="85"/>
      <c r="F2302" s="85"/>
      <c r="G2302" s="85"/>
      <c r="H2302" s="90"/>
    </row>
    <row r="2303" spans="2:8" ht="18" x14ac:dyDescent="0.25">
      <c r="B2303" s="85"/>
      <c r="C2303" s="85"/>
      <c r="D2303" s="85"/>
      <c r="E2303" s="85"/>
      <c r="F2303" s="85"/>
      <c r="G2303" s="345"/>
      <c r="H2303" s="345"/>
    </row>
    <row r="2304" spans="2:8" ht="18" x14ac:dyDescent="0.25">
      <c r="B2304" s="85"/>
      <c r="C2304" s="85"/>
      <c r="D2304" s="85"/>
      <c r="E2304" s="85"/>
      <c r="F2304" s="85"/>
      <c r="G2304" s="85"/>
      <c r="H2304" s="90"/>
    </row>
    <row r="2305" spans="2:8" ht="18" x14ac:dyDescent="0.25">
      <c r="B2305" s="85"/>
      <c r="C2305" s="85"/>
      <c r="D2305" s="85"/>
      <c r="E2305" s="85"/>
      <c r="F2305" s="85"/>
      <c r="G2305" s="85"/>
      <c r="H2305" s="90"/>
    </row>
    <row r="2306" spans="2:8" ht="18" x14ac:dyDescent="0.25">
      <c r="B2306" s="85"/>
      <c r="C2306" s="85"/>
      <c r="D2306" s="85"/>
      <c r="E2306" s="85"/>
      <c r="F2306" s="85"/>
      <c r="G2306" s="85"/>
      <c r="H2306" s="90"/>
    </row>
    <row r="2307" spans="2:8" ht="18" x14ac:dyDescent="0.25">
      <c r="B2307" s="85"/>
      <c r="C2307" s="85"/>
      <c r="D2307" s="85"/>
      <c r="E2307" s="85"/>
      <c r="F2307" s="85"/>
      <c r="G2307" s="85"/>
      <c r="H2307" s="90"/>
    </row>
    <row r="2308" spans="2:8" ht="18" x14ac:dyDescent="0.25">
      <c r="B2308" s="85"/>
      <c r="C2308" s="85"/>
      <c r="D2308" s="85"/>
      <c r="E2308" s="85"/>
      <c r="F2308" s="85"/>
      <c r="H2308" s="90"/>
    </row>
    <row r="2309" spans="2:8" ht="18" x14ac:dyDescent="0.25">
      <c r="B2309" s="343"/>
      <c r="C2309" s="343"/>
      <c r="D2309" s="343"/>
      <c r="E2309" s="85"/>
      <c r="F2309" s="85"/>
      <c r="H2309" s="90"/>
    </row>
    <row r="2310" spans="2:8" ht="18" x14ac:dyDescent="0.25">
      <c r="B2310" s="343"/>
      <c r="C2310" s="343"/>
      <c r="D2310" s="343"/>
      <c r="E2310" s="98">
        <f>+$B$1</f>
        <v>46143</v>
      </c>
      <c r="F2310" s="85"/>
      <c r="G2310" s="99">
        <f>+$D$1</f>
        <v>46037</v>
      </c>
      <c r="H2310" s="160"/>
    </row>
    <row r="2311" spans="2:8" ht="18" x14ac:dyDescent="0.25">
      <c r="B2311" s="84"/>
      <c r="C2311" s="84"/>
      <c r="D2311" s="100"/>
      <c r="E2311" s="98"/>
      <c r="F2311" s="85"/>
    </row>
    <row r="2312" spans="2:8" ht="18" x14ac:dyDescent="0.25">
      <c r="B2312" s="85" t="e">
        <f>+#REF!</f>
        <v>#REF!</v>
      </c>
      <c r="C2312" s="85"/>
      <c r="D2312" s="85"/>
      <c r="F2312" s="85"/>
    </row>
    <row r="2313" spans="2:8" ht="18" x14ac:dyDescent="0.25">
      <c r="C2313" s="85"/>
      <c r="D2313" s="85"/>
      <c r="E2313" s="85" t="str">
        <f>+$E$1</f>
        <v>Lima 461 C:A:B:A:</v>
      </c>
      <c r="F2313" s="85"/>
      <c r="H2313" s="90" t="s">
        <v>145</v>
      </c>
    </row>
    <row r="2314" spans="2:8" ht="18" x14ac:dyDescent="0.25">
      <c r="B2314" s="86"/>
      <c r="C2314" s="85"/>
      <c r="D2314" s="85"/>
      <c r="F2314" s="85"/>
      <c r="G2314" s="86"/>
    </row>
    <row r="2315" spans="2:8" ht="18" x14ac:dyDescent="0.25">
      <c r="B2315" s="85"/>
      <c r="C2315" s="85"/>
      <c r="D2315" s="85"/>
      <c r="E2315" s="86"/>
      <c r="F2315" s="86"/>
      <c r="G2315" s="85"/>
      <c r="H2315" s="94"/>
    </row>
    <row r="2316" spans="2:8" ht="18" x14ac:dyDescent="0.25">
      <c r="B2316" s="85"/>
      <c r="C2316" s="85"/>
      <c r="D2316" s="85"/>
      <c r="E2316" s="86"/>
      <c r="F2316" s="86"/>
      <c r="G2316" s="85"/>
      <c r="H2316" s="94"/>
    </row>
    <row r="2317" spans="2:8" ht="18" x14ac:dyDescent="0.25">
      <c r="B2317" s="85" t="s">
        <v>198</v>
      </c>
      <c r="C2317" s="85"/>
      <c r="D2317" s="107">
        <f>+'RES CUENTA'!$L$25</f>
        <v>10859801.41</v>
      </c>
      <c r="E2317" s="108" t="e">
        <f>+'RES CUENTA'!#REF!</f>
        <v>#REF!</v>
      </c>
      <c r="F2317" s="103" t="e">
        <f>+D2317*E2317/100</f>
        <v>#REF!</v>
      </c>
      <c r="G2317" s="85"/>
      <c r="H2317" s="94"/>
    </row>
    <row r="2318" spans="2:8" ht="18" x14ac:dyDescent="0.25">
      <c r="B2318" s="85" t="s">
        <v>199</v>
      </c>
      <c r="C2318" s="85"/>
      <c r="D2318" s="107" t="e">
        <f>+'RES CUENTA'!#REF!</f>
        <v>#REF!</v>
      </c>
      <c r="E2318" s="108" t="e">
        <f>+'RES CUENTA'!#REF!</f>
        <v>#REF!</v>
      </c>
      <c r="F2318" s="103" t="e">
        <f>+D2318*E2318/100</f>
        <v>#REF!</v>
      </c>
      <c r="G2318" s="94"/>
      <c r="H2318" s="89"/>
    </row>
    <row r="2319" spans="2:8" ht="18" x14ac:dyDescent="0.25">
      <c r="B2319" s="85" t="s">
        <v>79</v>
      </c>
      <c r="C2319" s="85"/>
      <c r="D2319" s="107" t="e">
        <f>+'RES CUENTA'!#REF!</f>
        <v>#REF!</v>
      </c>
      <c r="E2319" s="108">
        <f>+'RES CUENTA'!P1436</f>
        <v>0</v>
      </c>
      <c r="F2319" s="103" t="e">
        <f>+D2319</f>
        <v>#REF!</v>
      </c>
      <c r="G2319" s="89"/>
      <c r="H2319" s="89"/>
    </row>
    <row r="2320" spans="2:8" ht="18" x14ac:dyDescent="0.25">
      <c r="B2320" s="85" t="s">
        <v>80</v>
      </c>
      <c r="C2320" s="85"/>
      <c r="D2320" s="107" t="e">
        <f>+'RES CUENTA'!#REF!</f>
        <v>#REF!</v>
      </c>
      <c r="E2320" s="108">
        <f>+'RES CUENTA'!R1431</f>
        <v>0</v>
      </c>
      <c r="F2320" s="103" t="e">
        <f>+D2320</f>
        <v>#REF!</v>
      </c>
      <c r="G2320" s="89"/>
      <c r="H2320" s="89"/>
    </row>
    <row r="2321" spans="2:8" ht="18" x14ac:dyDescent="0.25">
      <c r="B2321" s="86"/>
      <c r="C2321" s="85"/>
      <c r="D2321" s="85"/>
      <c r="F2321" s="104" t="e">
        <f>SUM(F2317:F2320)</f>
        <v>#REF!</v>
      </c>
      <c r="G2321" s="89"/>
      <c r="H2321" s="89"/>
    </row>
    <row r="2322" spans="2:8" ht="18" x14ac:dyDescent="0.25">
      <c r="B2322" s="86"/>
      <c r="C2322" s="85"/>
      <c r="D2322" s="85"/>
      <c r="F2322" s="104"/>
      <c r="G2322" s="89"/>
      <c r="H2322" s="89"/>
    </row>
    <row r="2323" spans="2:8" ht="18" x14ac:dyDescent="0.25">
      <c r="B2323" s="86"/>
      <c r="C2323" s="85"/>
      <c r="D2323" s="85"/>
      <c r="F2323" s="91"/>
      <c r="G2323" s="89"/>
      <c r="H2323" s="90"/>
    </row>
    <row r="2324" spans="2:8" ht="18" x14ac:dyDescent="0.25">
      <c r="B2324" s="85"/>
      <c r="C2324" s="85"/>
      <c r="D2324" s="85"/>
      <c r="E2324" s="85"/>
      <c r="F2324" s="92"/>
      <c r="G2324" s="90"/>
      <c r="H2324" s="90"/>
    </row>
    <row r="2325" spans="2:8" ht="18" x14ac:dyDescent="0.25">
      <c r="B2325" s="85"/>
      <c r="C2325" s="85"/>
      <c r="D2325" s="85"/>
      <c r="E2325" s="85"/>
      <c r="F2325" s="92"/>
      <c r="G2325" s="90"/>
      <c r="H2325" s="90"/>
    </row>
    <row r="2326" spans="2:8" ht="18" x14ac:dyDescent="0.25">
      <c r="B2326" s="85"/>
      <c r="C2326" s="85"/>
      <c r="D2326" s="85"/>
      <c r="E2326" s="85"/>
      <c r="F2326" s="92"/>
      <c r="G2326" s="90"/>
      <c r="H2326" s="90"/>
    </row>
    <row r="2327" spans="2:8" ht="18" x14ac:dyDescent="0.25">
      <c r="B2327" s="85" t="e">
        <f>+B2312</f>
        <v>#REF!</v>
      </c>
      <c r="C2327" s="85"/>
      <c r="D2327" s="85"/>
      <c r="E2327" s="85" t="e">
        <f>+B2312</f>
        <v>#REF!</v>
      </c>
      <c r="F2327" s="85"/>
      <c r="G2327" s="85"/>
      <c r="H2327" s="94"/>
    </row>
    <row r="2328" spans="2:8" ht="18" x14ac:dyDescent="0.25">
      <c r="B2328" s="86"/>
      <c r="C2328" s="85"/>
      <c r="D2328" s="85"/>
      <c r="F2328" s="85"/>
      <c r="G2328" s="101"/>
      <c r="H2328" s="90" t="str">
        <f>+H2313</f>
        <v>Unid. 62</v>
      </c>
    </row>
    <row r="2329" spans="2:8" ht="18" x14ac:dyDescent="0.25">
      <c r="B2329" s="85" t="str">
        <f>+$E$1</f>
        <v>Lima 461 C:A:B:A:</v>
      </c>
      <c r="C2329" s="85"/>
      <c r="D2329" s="93" t="str">
        <f>+H2328</f>
        <v>Unid. 62</v>
      </c>
      <c r="E2329" s="85" t="str">
        <f>+$E$1</f>
        <v>Lima 461 C:A:B:A:</v>
      </c>
      <c r="F2329" s="85"/>
      <c r="G2329" s="85"/>
      <c r="H2329" s="94"/>
    </row>
    <row r="2330" spans="2:8" ht="18" x14ac:dyDescent="0.25">
      <c r="B2330" s="86"/>
      <c r="C2330" s="86"/>
      <c r="D2330" s="86"/>
      <c r="F2330" s="85"/>
      <c r="G2330" s="85"/>
    </row>
    <row r="2331" spans="2:8" ht="18" x14ac:dyDescent="0.25">
      <c r="B2331" s="85"/>
      <c r="C2331" s="85"/>
      <c r="D2331" s="85"/>
      <c r="E2331" s="86"/>
      <c r="F2331" s="85"/>
      <c r="G2331" s="85"/>
      <c r="H2331" s="94"/>
    </row>
    <row r="2332" spans="2:8" ht="18" x14ac:dyDescent="0.25">
      <c r="B2332" s="85">
        <f>+$E$2</f>
        <v>0</v>
      </c>
      <c r="C2332" s="85"/>
      <c r="D2332" s="85"/>
      <c r="E2332" s="85"/>
      <c r="F2332" s="96"/>
      <c r="G2332" s="86"/>
      <c r="H2332" s="90"/>
    </row>
    <row r="2333" spans="2:8" ht="18" x14ac:dyDescent="0.25">
      <c r="B2333" s="85">
        <f>+$E$3</f>
        <v>0</v>
      </c>
      <c r="C2333" s="85"/>
      <c r="D2333" s="85"/>
      <c r="E2333" s="96"/>
      <c r="G2333" s="94"/>
      <c r="H2333" s="96"/>
    </row>
    <row r="2334" spans="2:8" ht="18" x14ac:dyDescent="0.25">
      <c r="B2334" s="86"/>
      <c r="C2334" s="85"/>
      <c r="D2334" s="85"/>
      <c r="E2334" s="85" t="s">
        <v>200</v>
      </c>
      <c r="F2334" s="106" t="e">
        <f>+F2317</f>
        <v>#REF!</v>
      </c>
      <c r="G2334" s="95"/>
      <c r="H2334" s="99">
        <f>+B2338</f>
        <v>46037</v>
      </c>
    </row>
    <row r="2335" spans="2:8" ht="18" x14ac:dyDescent="0.25">
      <c r="B2335" s="86"/>
      <c r="C2335" s="85"/>
      <c r="D2335" s="85"/>
      <c r="E2335" s="85" t="s">
        <v>201</v>
      </c>
      <c r="F2335" s="106" t="e">
        <f>+F2318</f>
        <v>#REF!</v>
      </c>
      <c r="H2335" s="90"/>
    </row>
    <row r="2336" spans="2:8" ht="18" x14ac:dyDescent="0.25">
      <c r="B2336" s="85"/>
      <c r="C2336" s="85"/>
      <c r="D2336" s="85"/>
      <c r="E2336" s="85" t="s">
        <v>81</v>
      </c>
      <c r="F2336" s="106" t="e">
        <f>+F2319</f>
        <v>#REF!</v>
      </c>
      <c r="G2336" s="85"/>
      <c r="H2336" s="90"/>
    </row>
    <row r="2337" spans="2:8" ht="18" x14ac:dyDescent="0.25">
      <c r="B2337" s="96"/>
      <c r="C2337" s="96"/>
      <c r="D2337" s="96"/>
      <c r="E2337" s="85" t="s">
        <v>82</v>
      </c>
      <c r="F2337" s="106" t="e">
        <f>+F2320</f>
        <v>#REF!</v>
      </c>
      <c r="G2337" s="85"/>
      <c r="H2337" s="90"/>
    </row>
    <row r="2338" spans="2:8" ht="18" x14ac:dyDescent="0.25">
      <c r="B2338" s="99">
        <f>+$G$30</f>
        <v>46037</v>
      </c>
      <c r="C2338" s="105" t="e">
        <f>+F2321</f>
        <v>#REF!</v>
      </c>
      <c r="D2338" s="85"/>
      <c r="E2338" s="85" t="s">
        <v>188</v>
      </c>
      <c r="F2338" s="106">
        <v>0</v>
      </c>
      <c r="G2338" s="85"/>
      <c r="H2338" s="90"/>
    </row>
    <row r="2339" spans="2:8" ht="18" x14ac:dyDescent="0.25">
      <c r="B2339" s="85"/>
      <c r="C2339" s="85"/>
      <c r="D2339" s="85"/>
      <c r="E2339" s="85" t="s">
        <v>83</v>
      </c>
      <c r="F2339" s="106" t="e">
        <f>+F2321</f>
        <v>#REF!</v>
      </c>
      <c r="G2339" s="85"/>
      <c r="H2339" s="90"/>
    </row>
    <row r="2340" spans="2:8" ht="18" x14ac:dyDescent="0.25">
      <c r="B2340" s="85"/>
      <c r="C2340" s="85"/>
      <c r="D2340" s="85"/>
      <c r="E2340" s="85"/>
      <c r="F2340" s="85"/>
      <c r="G2340" s="85"/>
      <c r="H2340" s="90"/>
    </row>
    <row r="2341" spans="2:8" ht="18" x14ac:dyDescent="0.25">
      <c r="B2341" s="85"/>
      <c r="C2341" s="85"/>
      <c r="D2341" s="85"/>
      <c r="E2341" s="102"/>
      <c r="F2341" s="85"/>
      <c r="G2341" s="85"/>
      <c r="H2341" s="90"/>
    </row>
    <row r="2342" spans="2:8" ht="18" x14ac:dyDescent="0.25">
      <c r="B2342" s="85"/>
      <c r="C2342" s="85"/>
      <c r="D2342" s="85"/>
      <c r="E2342" s="85"/>
      <c r="F2342" s="85"/>
      <c r="G2342" s="85"/>
      <c r="H2342" s="94"/>
    </row>
    <row r="2343" spans="2:8" ht="18" x14ac:dyDescent="0.25">
      <c r="E2343" s="85"/>
      <c r="G2343" s="94"/>
      <c r="H2343" s="90"/>
    </row>
    <row r="2345" spans="2:8" ht="18" x14ac:dyDescent="0.25">
      <c r="B2345" s="343"/>
      <c r="C2345" s="343"/>
      <c r="D2345" s="343"/>
      <c r="E2345" s="342">
        <f>+$B$1</f>
        <v>46143</v>
      </c>
      <c r="F2345" s="85"/>
      <c r="G2345" s="337">
        <f>+$D$1</f>
        <v>46037</v>
      </c>
      <c r="H2345" s="90"/>
    </row>
    <row r="2346" spans="2:8" ht="18" x14ac:dyDescent="0.25">
      <c r="B2346" s="84"/>
      <c r="C2346" s="84"/>
      <c r="D2346" s="100"/>
      <c r="E2346" s="342"/>
      <c r="F2346" s="85"/>
      <c r="G2346" s="337"/>
      <c r="H2346" s="90"/>
    </row>
    <row r="2347" spans="2:8" ht="18" x14ac:dyDescent="0.25">
      <c r="B2347" s="85"/>
      <c r="C2347" s="85"/>
      <c r="D2347" s="85"/>
      <c r="E2347" s="86"/>
      <c r="F2347" s="85"/>
      <c r="G2347" s="86"/>
      <c r="H2347" s="90"/>
    </row>
    <row r="2348" spans="2:8" ht="18" x14ac:dyDescent="0.25">
      <c r="B2348" s="85" t="e">
        <f>+#REF!</f>
        <v>#REF!</v>
      </c>
      <c r="C2348" s="85"/>
      <c r="D2348" s="85"/>
      <c r="E2348" s="86"/>
      <c r="F2348" s="85"/>
      <c r="G2348" s="86"/>
      <c r="H2348" s="90"/>
    </row>
    <row r="2349" spans="2:8" ht="18" x14ac:dyDescent="0.25">
      <c r="B2349" s="86"/>
      <c r="C2349" s="85"/>
      <c r="D2349" s="85"/>
      <c r="E2349" s="85" t="s">
        <v>78</v>
      </c>
      <c r="F2349" s="85"/>
      <c r="G2349" s="85"/>
      <c r="H2349" s="90" t="s">
        <v>146</v>
      </c>
    </row>
    <row r="2350" spans="2:8" ht="18" x14ac:dyDescent="0.25">
      <c r="B2350" s="85"/>
      <c r="C2350" s="85"/>
      <c r="D2350" s="85"/>
      <c r="E2350" s="86"/>
      <c r="F2350" s="86"/>
      <c r="G2350" s="85"/>
      <c r="H2350" s="94"/>
    </row>
    <row r="2351" spans="2:8" ht="18" x14ac:dyDescent="0.25">
      <c r="B2351" s="94"/>
      <c r="C2351" s="85"/>
      <c r="D2351" s="94"/>
      <c r="E2351" s="85"/>
      <c r="F2351" s="85"/>
      <c r="G2351" s="85"/>
      <c r="H2351" s="90"/>
    </row>
    <row r="2352" spans="2:8" ht="18" x14ac:dyDescent="0.25">
      <c r="B2352" s="94"/>
      <c r="C2352" s="85"/>
      <c r="D2352" s="94"/>
      <c r="E2352" s="85"/>
      <c r="F2352" s="85"/>
      <c r="G2352" s="85"/>
      <c r="H2352" s="90"/>
    </row>
    <row r="2353" spans="2:8" ht="18" x14ac:dyDescent="0.25">
      <c r="B2353" s="85" t="s">
        <v>198</v>
      </c>
      <c r="C2353" s="85"/>
      <c r="D2353" s="107">
        <f>+'RES CUENTA'!$L$25</f>
        <v>10859801.41</v>
      </c>
      <c r="E2353" s="108" t="e">
        <f>+'RES CUENTA'!#REF!</f>
        <v>#REF!</v>
      </c>
      <c r="F2353" s="103" t="e">
        <f>+D2353*E2353/100</f>
        <v>#REF!</v>
      </c>
      <c r="G2353" s="345"/>
      <c r="H2353" s="345"/>
    </row>
    <row r="2354" spans="2:8" ht="18" x14ac:dyDescent="0.25">
      <c r="B2354" s="85" t="s">
        <v>199</v>
      </c>
      <c r="C2354" s="85"/>
      <c r="D2354" s="107" t="e">
        <f>+'RES CUENTA'!#REF!</f>
        <v>#REF!</v>
      </c>
      <c r="E2354" s="108" t="e">
        <f>+'RES CUENTA'!#REF!</f>
        <v>#REF!</v>
      </c>
      <c r="F2354" s="103" t="e">
        <f>+D2354*E2354/100</f>
        <v>#REF!</v>
      </c>
      <c r="G2354" s="341"/>
      <c r="H2354" s="341"/>
    </row>
    <row r="2355" spans="2:8" ht="18" x14ac:dyDescent="0.25">
      <c r="B2355" s="85" t="s">
        <v>79</v>
      </c>
      <c r="C2355" s="85"/>
      <c r="D2355" s="107" t="e">
        <f>+'RES CUENTA'!#REF!</f>
        <v>#REF!</v>
      </c>
      <c r="E2355" s="108">
        <v>0</v>
      </c>
      <c r="F2355" s="103" t="e">
        <f>+D2355</f>
        <v>#REF!</v>
      </c>
      <c r="G2355" s="341"/>
      <c r="H2355" s="341"/>
    </row>
    <row r="2356" spans="2:8" ht="18" x14ac:dyDescent="0.25">
      <c r="B2356" s="85" t="s">
        <v>80</v>
      </c>
      <c r="C2356" s="85"/>
      <c r="D2356" s="107" t="e">
        <f>+'RES CUENTA'!#REF!</f>
        <v>#REF!</v>
      </c>
      <c r="E2356" s="108">
        <v>0</v>
      </c>
      <c r="F2356" s="103" t="e">
        <f>+D2356</f>
        <v>#REF!</v>
      </c>
      <c r="G2356" s="341"/>
      <c r="H2356" s="341"/>
    </row>
    <row r="2357" spans="2:8" ht="18" x14ac:dyDescent="0.25">
      <c r="B2357" s="86"/>
      <c r="C2357" s="85"/>
      <c r="D2357" s="85"/>
      <c r="E2357" s="92"/>
      <c r="F2357" s="104" t="e">
        <f>SUM(F2353:F2356)</f>
        <v>#REF!</v>
      </c>
      <c r="G2357" s="341"/>
      <c r="H2357" s="341"/>
    </row>
    <row r="2358" spans="2:8" ht="18" x14ac:dyDescent="0.25">
      <c r="B2358" s="86"/>
      <c r="C2358" s="85"/>
      <c r="D2358" s="85"/>
      <c r="E2358" s="92"/>
      <c r="F2358" s="104"/>
      <c r="G2358" s="89"/>
      <c r="H2358" s="89"/>
    </row>
    <row r="2359" spans="2:8" ht="18" x14ac:dyDescent="0.25">
      <c r="B2359" s="86"/>
      <c r="C2359" s="85"/>
      <c r="D2359" s="85"/>
      <c r="E2359" s="85"/>
      <c r="G2359" s="338"/>
      <c r="H2359" s="338"/>
    </row>
    <row r="2360" spans="2:8" ht="18" x14ac:dyDescent="0.25">
      <c r="B2360" s="85"/>
      <c r="C2360" s="85"/>
      <c r="D2360" s="85"/>
      <c r="E2360" s="85"/>
      <c r="F2360" s="91"/>
      <c r="G2360" s="90"/>
      <c r="H2360" s="90"/>
    </row>
    <row r="2361" spans="2:8" ht="18" x14ac:dyDescent="0.25">
      <c r="B2361" s="85"/>
      <c r="C2361" s="85"/>
      <c r="D2361" s="85"/>
      <c r="E2361" s="85"/>
      <c r="F2361" s="92"/>
      <c r="G2361" s="85"/>
      <c r="H2361" s="90"/>
    </row>
    <row r="2362" spans="2:8" ht="18" x14ac:dyDescent="0.25">
      <c r="B2362" s="85"/>
      <c r="C2362" s="85"/>
      <c r="D2362" s="85"/>
      <c r="E2362" s="85"/>
      <c r="F2362" s="92"/>
      <c r="G2362" s="85"/>
      <c r="H2362" s="90"/>
    </row>
    <row r="2363" spans="2:8" ht="18" x14ac:dyDescent="0.25">
      <c r="B2363" s="85" t="e">
        <f>+B2348</f>
        <v>#REF!</v>
      </c>
      <c r="C2363" s="344"/>
      <c r="D2363" s="344"/>
      <c r="E2363" s="85" t="e">
        <f>+B2363</f>
        <v>#REF!</v>
      </c>
      <c r="F2363" s="92"/>
      <c r="G2363" s="85"/>
      <c r="H2363" s="90"/>
    </row>
    <row r="2364" spans="2:8" ht="18" x14ac:dyDescent="0.25">
      <c r="C2364" s="85"/>
      <c r="D2364" s="85"/>
      <c r="F2364" s="344"/>
      <c r="G2364" s="344"/>
      <c r="H2364" s="344"/>
    </row>
    <row r="2365" spans="2:8" ht="18" x14ac:dyDescent="0.25">
      <c r="B2365" s="85" t="str">
        <f>+$E$1</f>
        <v>Lima 461 C:A:B:A:</v>
      </c>
      <c r="C2365" s="85"/>
      <c r="D2365" s="93" t="str">
        <f>+H2349</f>
        <v>Unid. 63</v>
      </c>
      <c r="E2365" s="85" t="str">
        <f>+$E$1</f>
        <v>Lima 461 C:A:B:A:</v>
      </c>
      <c r="F2365" s="85"/>
      <c r="G2365" s="85"/>
      <c r="H2365" s="90" t="str">
        <f>+D2365</f>
        <v>Unid. 63</v>
      </c>
    </row>
    <row r="2366" spans="2:8" ht="18" x14ac:dyDescent="0.25">
      <c r="H2366" s="94"/>
    </row>
    <row r="2367" spans="2:8" ht="18" x14ac:dyDescent="0.25">
      <c r="B2367" s="86"/>
      <c r="C2367" s="86"/>
      <c r="D2367" s="86"/>
      <c r="E2367" s="86"/>
      <c r="F2367" s="85"/>
      <c r="G2367" s="85"/>
    </row>
    <row r="2368" spans="2:8" ht="18" x14ac:dyDescent="0.25">
      <c r="B2368" s="85">
        <f>+$E$2</f>
        <v>0</v>
      </c>
      <c r="C2368" s="85"/>
      <c r="D2368" s="85"/>
      <c r="E2368" s="85"/>
      <c r="F2368" s="85"/>
      <c r="G2368" s="86"/>
      <c r="H2368" s="94"/>
    </row>
    <row r="2369" spans="2:8" ht="18" x14ac:dyDescent="0.25">
      <c r="B2369" s="85">
        <f>+$E$3</f>
        <v>0</v>
      </c>
      <c r="C2369" s="85"/>
      <c r="D2369" s="85"/>
      <c r="E2369" s="96"/>
      <c r="F2369" s="85"/>
      <c r="G2369" s="94"/>
      <c r="H2369" s="90"/>
    </row>
    <row r="2370" spans="2:8" ht="18" x14ac:dyDescent="0.25">
      <c r="C2370" s="85"/>
      <c r="D2370" s="85"/>
      <c r="E2370" s="85" t="s">
        <v>200</v>
      </c>
      <c r="F2370" s="106" t="e">
        <f>+F2353</f>
        <v>#REF!</v>
      </c>
      <c r="H2370" s="99">
        <f>+B2375</f>
        <v>46037</v>
      </c>
    </row>
    <row r="2371" spans="2:8" ht="18" x14ac:dyDescent="0.25">
      <c r="B2371" s="86"/>
      <c r="C2371" s="85"/>
      <c r="D2371" s="85"/>
      <c r="E2371" s="85" t="s">
        <v>201</v>
      </c>
      <c r="F2371" s="106" t="e">
        <f>+F2354</f>
        <v>#REF!</v>
      </c>
    </row>
    <row r="2372" spans="2:8" ht="18" x14ac:dyDescent="0.25">
      <c r="B2372" s="86"/>
      <c r="C2372" s="85"/>
      <c r="D2372" s="85"/>
      <c r="E2372" s="85" t="s">
        <v>81</v>
      </c>
      <c r="F2372" s="106" t="e">
        <f>+F2355</f>
        <v>#REF!</v>
      </c>
      <c r="G2372" s="85"/>
      <c r="H2372" s="90"/>
    </row>
    <row r="2373" spans="2:8" ht="18" x14ac:dyDescent="0.25">
      <c r="B2373" s="85"/>
      <c r="C2373" s="85"/>
      <c r="D2373" s="85"/>
      <c r="E2373" s="85" t="s">
        <v>82</v>
      </c>
      <c r="F2373" s="106" t="e">
        <f>+F2356</f>
        <v>#REF!</v>
      </c>
      <c r="G2373" s="85"/>
      <c r="H2373" s="90"/>
    </row>
    <row r="2374" spans="2:8" ht="18" x14ac:dyDescent="0.25">
      <c r="B2374" s="96"/>
      <c r="C2374" s="96"/>
      <c r="D2374" s="96"/>
      <c r="E2374" s="85" t="s">
        <v>188</v>
      </c>
      <c r="F2374" s="106">
        <v>0</v>
      </c>
      <c r="G2374" s="85"/>
      <c r="H2374" s="90"/>
    </row>
    <row r="2375" spans="2:8" ht="18" x14ac:dyDescent="0.25">
      <c r="B2375" s="99">
        <f>+$G$30</f>
        <v>46037</v>
      </c>
      <c r="C2375" s="105" t="e">
        <f>+F2357</f>
        <v>#REF!</v>
      </c>
      <c r="D2375" s="85"/>
      <c r="E2375" s="85" t="s">
        <v>83</v>
      </c>
      <c r="F2375" s="106" t="e">
        <f>+F2357</f>
        <v>#REF!</v>
      </c>
      <c r="G2375" s="85"/>
      <c r="H2375" s="90"/>
    </row>
    <row r="2376" spans="2:8" ht="18" x14ac:dyDescent="0.25">
      <c r="B2376" s="85"/>
      <c r="C2376" s="85"/>
      <c r="D2376" s="85"/>
      <c r="E2376" s="85"/>
      <c r="F2376" s="85"/>
      <c r="G2376" s="85"/>
      <c r="H2376" s="90"/>
    </row>
    <row r="2377" spans="2:8" ht="18" x14ac:dyDescent="0.25">
      <c r="B2377" s="85"/>
      <c r="C2377" s="85"/>
      <c r="D2377" s="85"/>
      <c r="E2377" s="85"/>
      <c r="F2377" s="85"/>
      <c r="G2377" s="345"/>
      <c r="H2377" s="345"/>
    </row>
    <row r="2378" spans="2:8" ht="18" x14ac:dyDescent="0.25">
      <c r="B2378" s="85"/>
      <c r="C2378" s="85"/>
      <c r="D2378" s="85"/>
      <c r="E2378" s="85"/>
      <c r="F2378" s="85"/>
      <c r="G2378" s="85"/>
      <c r="H2378" s="90"/>
    </row>
    <row r="2379" spans="2:8" ht="18" x14ac:dyDescent="0.25">
      <c r="B2379" s="85"/>
      <c r="C2379" s="85"/>
      <c r="D2379" s="85"/>
      <c r="E2379" s="85"/>
      <c r="F2379" s="85"/>
      <c r="G2379" s="85"/>
      <c r="H2379" s="90"/>
    </row>
    <row r="2380" spans="2:8" ht="18" x14ac:dyDescent="0.25">
      <c r="B2380" s="85"/>
      <c r="C2380" s="85"/>
      <c r="D2380" s="85"/>
      <c r="E2380" s="85"/>
      <c r="F2380" s="85"/>
      <c r="G2380" s="85"/>
      <c r="H2380" s="90"/>
    </row>
    <row r="2381" spans="2:8" ht="18" x14ac:dyDescent="0.25">
      <c r="B2381" s="85"/>
      <c r="C2381" s="85"/>
      <c r="D2381" s="85"/>
      <c r="E2381" s="85"/>
      <c r="F2381" s="85"/>
      <c r="G2381" s="85"/>
      <c r="H2381" s="90"/>
    </row>
    <row r="2382" spans="2:8" ht="18" x14ac:dyDescent="0.25">
      <c r="B2382" s="85"/>
      <c r="C2382" s="85"/>
      <c r="D2382" s="85"/>
      <c r="E2382" s="85"/>
      <c r="F2382" s="85"/>
      <c r="H2382" s="90"/>
    </row>
    <row r="2383" spans="2:8" ht="18" x14ac:dyDescent="0.25">
      <c r="B2383" s="343"/>
      <c r="C2383" s="343"/>
      <c r="D2383" s="343"/>
      <c r="E2383" s="85"/>
      <c r="F2383" s="85"/>
      <c r="H2383" s="90"/>
    </row>
    <row r="2384" spans="2:8" ht="18" x14ac:dyDescent="0.25">
      <c r="B2384" s="343"/>
      <c r="C2384" s="343"/>
      <c r="D2384" s="343"/>
      <c r="E2384" s="98">
        <f>+$B$1</f>
        <v>46143</v>
      </c>
      <c r="F2384" s="85"/>
      <c r="G2384" s="99">
        <f>+$D$1</f>
        <v>46037</v>
      </c>
      <c r="H2384" s="160"/>
    </row>
    <row r="2385" spans="2:8" ht="18" x14ac:dyDescent="0.25">
      <c r="B2385" s="84"/>
      <c r="C2385" s="84"/>
      <c r="D2385" s="100"/>
      <c r="E2385" s="98"/>
      <c r="F2385" s="85"/>
    </row>
    <row r="2386" spans="2:8" ht="18" x14ac:dyDescent="0.25">
      <c r="B2386" s="85" t="e">
        <f>+#REF!</f>
        <v>#REF!</v>
      </c>
      <c r="C2386" s="85"/>
      <c r="D2386" s="85"/>
      <c r="F2386" s="85"/>
    </row>
    <row r="2387" spans="2:8" ht="18" x14ac:dyDescent="0.25">
      <c r="C2387" s="85"/>
      <c r="D2387" s="85"/>
      <c r="E2387" s="85" t="str">
        <f>+$E$1</f>
        <v>Lima 461 C:A:B:A:</v>
      </c>
      <c r="F2387" s="85"/>
      <c r="H2387" s="90" t="s">
        <v>147</v>
      </c>
    </row>
    <row r="2388" spans="2:8" ht="18" x14ac:dyDescent="0.25">
      <c r="B2388" s="86"/>
      <c r="C2388" s="85"/>
      <c r="D2388" s="85"/>
      <c r="F2388" s="85"/>
      <c r="G2388" s="86"/>
    </row>
    <row r="2389" spans="2:8" ht="18" x14ac:dyDescent="0.25">
      <c r="B2389" s="85"/>
      <c r="C2389" s="85"/>
      <c r="D2389" s="85"/>
      <c r="E2389" s="86"/>
      <c r="F2389" s="86"/>
      <c r="G2389" s="85"/>
      <c r="H2389" s="94"/>
    </row>
    <row r="2390" spans="2:8" ht="18" x14ac:dyDescent="0.25">
      <c r="B2390" s="94"/>
      <c r="C2390" s="85"/>
      <c r="D2390" s="94"/>
      <c r="E2390" s="85"/>
      <c r="F2390" s="85"/>
      <c r="G2390" s="85"/>
      <c r="H2390" s="90"/>
    </row>
    <row r="2391" spans="2:8" ht="18" x14ac:dyDescent="0.25">
      <c r="B2391" s="85" t="s">
        <v>198</v>
      </c>
      <c r="C2391" s="85"/>
      <c r="D2391" s="107">
        <f>+'RES CUENTA'!$L$25</f>
        <v>10859801.41</v>
      </c>
      <c r="E2391" s="108" t="e">
        <f>+'RES CUENTA'!#REF!</f>
        <v>#REF!</v>
      </c>
      <c r="F2391" s="103" t="e">
        <f>+D2391*E2391/100</f>
        <v>#REF!</v>
      </c>
      <c r="G2391" s="85"/>
      <c r="H2391" s="94"/>
    </row>
    <row r="2392" spans="2:8" ht="18" x14ac:dyDescent="0.25">
      <c r="B2392" s="85" t="s">
        <v>199</v>
      </c>
      <c r="C2392" s="85"/>
      <c r="D2392" s="107" t="e">
        <f>+'RES CUENTA'!#REF!</f>
        <v>#REF!</v>
      </c>
      <c r="E2392" s="108" t="e">
        <f>+'RES CUENTA'!#REF!</f>
        <v>#REF!</v>
      </c>
      <c r="F2392" s="103" t="e">
        <f>+D2392*E2392/100</f>
        <v>#REF!</v>
      </c>
      <c r="G2392" s="94"/>
      <c r="H2392" s="89"/>
    </row>
    <row r="2393" spans="2:8" ht="18" x14ac:dyDescent="0.25">
      <c r="B2393" s="85" t="s">
        <v>79</v>
      </c>
      <c r="C2393" s="85"/>
      <c r="D2393" s="107" t="e">
        <f>+'RES CUENTA'!#REF!</f>
        <v>#REF!</v>
      </c>
      <c r="E2393" s="108">
        <f>+'RES CUENTA'!P1512</f>
        <v>0</v>
      </c>
      <c r="F2393" s="103" t="e">
        <f>+D2393</f>
        <v>#REF!</v>
      </c>
      <c r="G2393" s="89"/>
      <c r="H2393" s="89"/>
    </row>
    <row r="2394" spans="2:8" ht="18" x14ac:dyDescent="0.25">
      <c r="B2394" s="85" t="s">
        <v>80</v>
      </c>
      <c r="C2394" s="85"/>
      <c r="D2394" s="107" t="e">
        <f>+'RES CUENTA'!#REF!</f>
        <v>#REF!</v>
      </c>
      <c r="E2394" s="108">
        <f>+'RES CUENTA'!R1507</f>
        <v>0</v>
      </c>
      <c r="F2394" s="103" t="e">
        <f>+D2394</f>
        <v>#REF!</v>
      </c>
      <c r="G2394" s="89"/>
      <c r="H2394" s="89"/>
    </row>
    <row r="2395" spans="2:8" ht="18" x14ac:dyDescent="0.25">
      <c r="B2395" s="86"/>
      <c r="C2395" s="85"/>
      <c r="D2395" s="85"/>
      <c r="F2395" s="104" t="e">
        <f>SUM(F2391:F2394)</f>
        <v>#REF!</v>
      </c>
      <c r="G2395" s="89"/>
      <c r="H2395" s="89"/>
    </row>
    <row r="2396" spans="2:8" ht="18" x14ac:dyDescent="0.25">
      <c r="B2396" s="86"/>
      <c r="C2396" s="85"/>
      <c r="D2396" s="85"/>
      <c r="F2396" s="91"/>
      <c r="G2396" s="89"/>
      <c r="H2396" s="90"/>
    </row>
    <row r="2397" spans="2:8" ht="18" x14ac:dyDescent="0.25">
      <c r="B2397" s="86"/>
      <c r="C2397" s="85"/>
      <c r="D2397" s="85"/>
      <c r="F2397" s="91"/>
      <c r="G2397" s="89"/>
      <c r="H2397" s="90"/>
    </row>
    <row r="2398" spans="2:8" ht="18" x14ac:dyDescent="0.25">
      <c r="B2398" s="85"/>
      <c r="C2398" s="85"/>
      <c r="D2398" s="85"/>
      <c r="E2398" s="85"/>
      <c r="F2398" s="92"/>
      <c r="G2398" s="90"/>
      <c r="H2398" s="90"/>
    </row>
    <row r="2399" spans="2:8" ht="18" x14ac:dyDescent="0.25">
      <c r="B2399" s="85"/>
      <c r="C2399" s="85"/>
      <c r="D2399" s="85"/>
      <c r="E2399" s="85"/>
      <c r="F2399" s="92"/>
      <c r="G2399" s="90"/>
      <c r="H2399" s="90"/>
    </row>
    <row r="2400" spans="2:8" ht="18" x14ac:dyDescent="0.25">
      <c r="B2400" s="85"/>
      <c r="C2400" s="85"/>
      <c r="D2400" s="85"/>
      <c r="E2400" s="85"/>
      <c r="F2400" s="92"/>
      <c r="G2400" s="90"/>
      <c r="H2400" s="90"/>
    </row>
    <row r="2401" spans="2:8" ht="18" x14ac:dyDescent="0.25">
      <c r="B2401" s="85" t="e">
        <f>+B2386</f>
        <v>#REF!</v>
      </c>
      <c r="C2401" s="85"/>
      <c r="D2401" s="85"/>
      <c r="E2401" s="85" t="e">
        <f>+B2386</f>
        <v>#REF!</v>
      </c>
      <c r="F2401" s="85"/>
      <c r="G2401" s="85"/>
      <c r="H2401" s="94"/>
    </row>
    <row r="2402" spans="2:8" ht="18" x14ac:dyDescent="0.25">
      <c r="B2402" s="86"/>
      <c r="C2402" s="85"/>
      <c r="D2402" s="85"/>
      <c r="F2402" s="85"/>
      <c r="G2402" s="101"/>
      <c r="H2402" s="90" t="str">
        <f>+H2387</f>
        <v>Unid. 64</v>
      </c>
    </row>
    <row r="2403" spans="2:8" ht="18" x14ac:dyDescent="0.25">
      <c r="B2403" s="85" t="str">
        <f>+$E$1</f>
        <v>Lima 461 C:A:B:A:</v>
      </c>
      <c r="C2403" s="85"/>
      <c r="D2403" s="93" t="str">
        <f>+H2402</f>
        <v>Unid. 64</v>
      </c>
      <c r="E2403" s="85" t="str">
        <f>+$E$1</f>
        <v>Lima 461 C:A:B:A:</v>
      </c>
      <c r="F2403" s="85"/>
      <c r="G2403" s="85"/>
      <c r="H2403" s="94"/>
    </row>
    <row r="2404" spans="2:8" ht="18" x14ac:dyDescent="0.25">
      <c r="B2404" s="86"/>
      <c r="C2404" s="86"/>
      <c r="D2404" s="86"/>
      <c r="F2404" s="85"/>
      <c r="G2404" s="85"/>
    </row>
    <row r="2405" spans="2:8" ht="18" x14ac:dyDescent="0.25">
      <c r="B2405" s="85"/>
      <c r="C2405" s="85"/>
      <c r="D2405" s="85"/>
      <c r="E2405" s="86"/>
      <c r="F2405" s="85"/>
      <c r="G2405" s="85"/>
      <c r="H2405" s="94"/>
    </row>
    <row r="2406" spans="2:8" ht="18" x14ac:dyDescent="0.25">
      <c r="B2406" s="85">
        <f>+$E$2</f>
        <v>0</v>
      </c>
      <c r="C2406" s="85"/>
      <c r="D2406" s="85"/>
      <c r="E2406" s="85"/>
      <c r="F2406" s="96"/>
      <c r="G2406" s="86"/>
      <c r="H2406" s="90"/>
    </row>
    <row r="2407" spans="2:8" ht="18" x14ac:dyDescent="0.25">
      <c r="B2407" s="85">
        <f>+$E$3</f>
        <v>0</v>
      </c>
      <c r="C2407" s="85"/>
      <c r="D2407" s="85"/>
      <c r="E2407" s="96"/>
      <c r="G2407" s="94"/>
      <c r="H2407" s="96"/>
    </row>
    <row r="2408" spans="2:8" ht="18" x14ac:dyDescent="0.25">
      <c r="B2408" s="86"/>
      <c r="C2408" s="85"/>
      <c r="D2408" s="85"/>
      <c r="E2408" s="85" t="s">
        <v>200</v>
      </c>
      <c r="F2408" s="106" t="e">
        <f>+F2391</f>
        <v>#REF!</v>
      </c>
      <c r="G2408" s="95"/>
      <c r="H2408" s="99">
        <f>+B2412</f>
        <v>46037</v>
      </c>
    </row>
    <row r="2409" spans="2:8" ht="18" x14ac:dyDescent="0.25">
      <c r="B2409" s="86"/>
      <c r="C2409" s="85"/>
      <c r="D2409" s="85"/>
      <c r="E2409" s="85" t="s">
        <v>201</v>
      </c>
      <c r="F2409" s="106" t="e">
        <f>+F2392</f>
        <v>#REF!</v>
      </c>
      <c r="H2409" s="90"/>
    </row>
    <row r="2410" spans="2:8" ht="18" x14ac:dyDescent="0.25">
      <c r="B2410" s="85"/>
      <c r="C2410" s="85"/>
      <c r="D2410" s="85"/>
      <c r="E2410" s="85" t="s">
        <v>81</v>
      </c>
      <c r="F2410" s="106" t="e">
        <f>+F2393</f>
        <v>#REF!</v>
      </c>
      <c r="G2410" s="85"/>
      <c r="H2410" s="90"/>
    </row>
    <row r="2411" spans="2:8" ht="18" x14ac:dyDescent="0.25">
      <c r="B2411" s="96"/>
      <c r="C2411" s="96"/>
      <c r="D2411" s="96"/>
      <c r="E2411" s="85" t="s">
        <v>82</v>
      </c>
      <c r="F2411" s="106" t="e">
        <f>+F2394</f>
        <v>#REF!</v>
      </c>
      <c r="G2411" s="85"/>
      <c r="H2411" s="90"/>
    </row>
    <row r="2412" spans="2:8" ht="18" x14ac:dyDescent="0.25">
      <c r="B2412" s="99">
        <f>+$G$30</f>
        <v>46037</v>
      </c>
      <c r="C2412" s="105" t="e">
        <f>+F2395</f>
        <v>#REF!</v>
      </c>
      <c r="D2412" s="85"/>
      <c r="E2412" s="85" t="s">
        <v>188</v>
      </c>
      <c r="F2412" s="106">
        <v>0</v>
      </c>
      <c r="G2412" s="85"/>
      <c r="H2412" s="90"/>
    </row>
    <row r="2413" spans="2:8" ht="18" x14ac:dyDescent="0.25">
      <c r="B2413" s="85"/>
      <c r="C2413" s="85"/>
      <c r="D2413" s="85"/>
      <c r="E2413" s="85" t="s">
        <v>83</v>
      </c>
      <c r="F2413" s="106" t="e">
        <f>+F2395</f>
        <v>#REF!</v>
      </c>
      <c r="H2413" s="90"/>
    </row>
    <row r="2414" spans="2:8" ht="18" x14ac:dyDescent="0.25">
      <c r="B2414" s="85"/>
      <c r="C2414" s="85"/>
      <c r="D2414" s="85"/>
      <c r="E2414" s="85"/>
      <c r="F2414" s="85"/>
      <c r="G2414" s="85"/>
      <c r="H2414" s="90"/>
    </row>
    <row r="2415" spans="2:8" ht="18" x14ac:dyDescent="0.25">
      <c r="B2415" s="85"/>
      <c r="C2415" s="85"/>
      <c r="D2415" s="85"/>
      <c r="E2415" s="102"/>
      <c r="F2415" s="85"/>
      <c r="G2415" s="85"/>
      <c r="H2415" s="90"/>
    </row>
    <row r="2416" spans="2:8" ht="18" x14ac:dyDescent="0.25">
      <c r="B2416" s="85"/>
      <c r="C2416" s="85"/>
      <c r="D2416" s="85"/>
      <c r="E2416" s="85"/>
      <c r="F2416" s="85"/>
      <c r="G2416" s="85"/>
      <c r="H2416" s="94"/>
    </row>
    <row r="2417" spans="2:8" ht="18" x14ac:dyDescent="0.25">
      <c r="E2417" s="85"/>
      <c r="G2417" s="94"/>
      <c r="H2417" s="90"/>
    </row>
    <row r="2419" spans="2:8" ht="18" x14ac:dyDescent="0.25">
      <c r="B2419" s="343"/>
      <c r="C2419" s="343"/>
      <c r="D2419" s="343"/>
      <c r="E2419" s="342">
        <f>+$B$1</f>
        <v>46143</v>
      </c>
      <c r="F2419" s="85"/>
      <c r="G2419" s="337">
        <f>+$D$1</f>
        <v>46037</v>
      </c>
      <c r="H2419" s="90"/>
    </row>
    <row r="2420" spans="2:8" ht="18" x14ac:dyDescent="0.25">
      <c r="B2420" s="84"/>
      <c r="C2420" s="84"/>
      <c r="D2420" s="100"/>
      <c r="E2420" s="342"/>
      <c r="F2420" s="85"/>
      <c r="G2420" s="337"/>
      <c r="H2420" s="90"/>
    </row>
    <row r="2421" spans="2:8" ht="18" x14ac:dyDescent="0.25">
      <c r="B2421" s="85"/>
      <c r="C2421" s="85"/>
      <c r="D2421" s="85"/>
      <c r="E2421" s="86"/>
      <c r="F2421" s="85"/>
      <c r="G2421" s="86"/>
      <c r="H2421" s="90"/>
    </row>
    <row r="2422" spans="2:8" ht="18" x14ac:dyDescent="0.25">
      <c r="B2422" s="85" t="e">
        <f>+#REF!</f>
        <v>#REF!</v>
      </c>
      <c r="C2422" s="85"/>
      <c r="D2422" s="85"/>
      <c r="E2422" s="86"/>
      <c r="F2422" s="85"/>
      <c r="G2422" s="86"/>
      <c r="H2422" s="90"/>
    </row>
    <row r="2423" spans="2:8" ht="18" x14ac:dyDescent="0.25">
      <c r="B2423" s="86"/>
      <c r="C2423" s="85"/>
      <c r="D2423" s="85"/>
      <c r="E2423" s="85" t="s">
        <v>78</v>
      </c>
      <c r="F2423" s="85"/>
      <c r="G2423" s="85"/>
      <c r="H2423" s="90" t="s">
        <v>148</v>
      </c>
    </row>
    <row r="2424" spans="2:8" ht="18" x14ac:dyDescent="0.25">
      <c r="B2424" s="85"/>
      <c r="C2424" s="85"/>
      <c r="D2424" s="85"/>
      <c r="E2424" s="86"/>
      <c r="F2424" s="86"/>
      <c r="G2424" s="85"/>
      <c r="H2424" s="94"/>
    </row>
    <row r="2425" spans="2:8" ht="18" x14ac:dyDescent="0.25">
      <c r="B2425" s="94"/>
      <c r="C2425" s="85"/>
      <c r="D2425" s="94"/>
      <c r="E2425" s="85"/>
      <c r="F2425" s="85"/>
      <c r="G2425" s="85"/>
      <c r="H2425" s="90"/>
    </row>
    <row r="2426" spans="2:8" ht="18" x14ac:dyDescent="0.25">
      <c r="B2426" s="94"/>
      <c r="C2426" s="85"/>
      <c r="D2426" s="94"/>
      <c r="E2426" s="85"/>
      <c r="F2426" s="85"/>
      <c r="G2426" s="85"/>
      <c r="H2426" s="90"/>
    </row>
    <row r="2427" spans="2:8" ht="18" x14ac:dyDescent="0.25">
      <c r="B2427" s="85" t="s">
        <v>198</v>
      </c>
      <c r="C2427" s="85"/>
      <c r="D2427" s="107">
        <f>+'RES CUENTA'!$L$25</f>
        <v>10859801.41</v>
      </c>
      <c r="E2427" s="108" t="e">
        <f>+'RES CUENTA'!#REF!</f>
        <v>#REF!</v>
      </c>
      <c r="F2427" s="103" t="e">
        <f>+D2427*E2427/100</f>
        <v>#REF!</v>
      </c>
      <c r="G2427" s="345"/>
      <c r="H2427" s="345"/>
    </row>
    <row r="2428" spans="2:8" ht="18" x14ac:dyDescent="0.25">
      <c r="B2428" s="85" t="s">
        <v>199</v>
      </c>
      <c r="C2428" s="85"/>
      <c r="D2428" s="107" t="e">
        <f>+'RES CUENTA'!#REF!</f>
        <v>#REF!</v>
      </c>
      <c r="E2428" s="108" t="e">
        <f>+'RES CUENTA'!#REF!</f>
        <v>#REF!</v>
      </c>
      <c r="F2428" s="103" t="e">
        <f>+D2428*E2428/100</f>
        <v>#REF!</v>
      </c>
      <c r="G2428" s="341"/>
      <c r="H2428" s="341"/>
    </row>
    <row r="2429" spans="2:8" ht="18" x14ac:dyDescent="0.25">
      <c r="B2429" s="85" t="s">
        <v>79</v>
      </c>
      <c r="C2429" s="85"/>
      <c r="D2429" s="107" t="e">
        <f>+'RES CUENTA'!#REF!</f>
        <v>#REF!</v>
      </c>
      <c r="E2429" s="108">
        <v>0</v>
      </c>
      <c r="F2429" s="103" t="e">
        <f>+D2429</f>
        <v>#REF!</v>
      </c>
      <c r="G2429" s="341"/>
      <c r="H2429" s="341"/>
    </row>
    <row r="2430" spans="2:8" ht="18" x14ac:dyDescent="0.25">
      <c r="B2430" s="85" t="s">
        <v>80</v>
      </c>
      <c r="C2430" s="85"/>
      <c r="D2430" s="107" t="e">
        <f>+'RES CUENTA'!#REF!</f>
        <v>#REF!</v>
      </c>
      <c r="E2430" s="108">
        <v>0</v>
      </c>
      <c r="F2430" s="103" t="e">
        <f>+D2430</f>
        <v>#REF!</v>
      </c>
      <c r="G2430" s="341"/>
      <c r="H2430" s="341"/>
    </row>
    <row r="2431" spans="2:8" ht="18" x14ac:dyDescent="0.25">
      <c r="B2431" s="86"/>
      <c r="C2431" s="85"/>
      <c r="D2431" s="85"/>
      <c r="E2431" s="92"/>
      <c r="F2431" s="104" t="e">
        <f>SUM(F2427:F2430)</f>
        <v>#REF!</v>
      </c>
      <c r="G2431" s="341"/>
      <c r="H2431" s="341"/>
    </row>
    <row r="2432" spans="2:8" ht="18" x14ac:dyDescent="0.25">
      <c r="B2432" s="86"/>
      <c r="C2432" s="85"/>
      <c r="D2432" s="85"/>
      <c r="E2432" s="92"/>
      <c r="F2432" s="104"/>
      <c r="G2432" s="89"/>
      <c r="H2432" s="89"/>
    </row>
    <row r="2433" spans="2:8" ht="18" x14ac:dyDescent="0.25">
      <c r="B2433" s="86"/>
      <c r="C2433" s="85"/>
      <c r="D2433" s="85"/>
      <c r="E2433" s="85"/>
      <c r="G2433" s="338"/>
      <c r="H2433" s="338"/>
    </row>
    <row r="2434" spans="2:8" ht="18" x14ac:dyDescent="0.25">
      <c r="B2434" s="85"/>
      <c r="C2434" s="85"/>
      <c r="D2434" s="85"/>
      <c r="E2434" s="85"/>
      <c r="F2434" s="91"/>
      <c r="G2434" s="90"/>
      <c r="H2434" s="90"/>
    </row>
    <row r="2435" spans="2:8" ht="18" x14ac:dyDescent="0.25">
      <c r="B2435" s="85"/>
      <c r="C2435" s="85"/>
      <c r="D2435" s="85"/>
      <c r="E2435" s="85"/>
      <c r="F2435" s="92"/>
      <c r="G2435" s="85"/>
      <c r="H2435" s="90"/>
    </row>
    <row r="2436" spans="2:8" ht="18" x14ac:dyDescent="0.25">
      <c r="B2436" s="85"/>
      <c r="C2436" s="85"/>
      <c r="D2436" s="85"/>
      <c r="E2436" s="85"/>
      <c r="F2436" s="92"/>
      <c r="G2436" s="85"/>
      <c r="H2436" s="90"/>
    </row>
    <row r="2437" spans="2:8" ht="18" x14ac:dyDescent="0.25">
      <c r="B2437" s="85" t="e">
        <f>+B2422</f>
        <v>#REF!</v>
      </c>
      <c r="C2437" s="344"/>
      <c r="D2437" s="344"/>
      <c r="E2437" s="85" t="e">
        <f>+B2437</f>
        <v>#REF!</v>
      </c>
      <c r="F2437" s="92"/>
      <c r="G2437" s="85"/>
      <c r="H2437" s="90"/>
    </row>
    <row r="2438" spans="2:8" ht="18" x14ac:dyDescent="0.25">
      <c r="C2438" s="85"/>
      <c r="D2438" s="85"/>
      <c r="F2438" s="344"/>
      <c r="G2438" s="344"/>
      <c r="H2438" s="344"/>
    </row>
    <row r="2439" spans="2:8" ht="18" x14ac:dyDescent="0.25">
      <c r="B2439" s="85" t="str">
        <f>+$E$1</f>
        <v>Lima 461 C:A:B:A:</v>
      </c>
      <c r="C2439" s="85"/>
      <c r="D2439" s="93" t="str">
        <f>+H2423</f>
        <v>Unid. 65</v>
      </c>
      <c r="E2439" s="85" t="str">
        <f>+$E$1</f>
        <v>Lima 461 C:A:B:A:</v>
      </c>
      <c r="F2439" s="85"/>
      <c r="G2439" s="85"/>
      <c r="H2439" s="90" t="str">
        <f>+D2439</f>
        <v>Unid. 65</v>
      </c>
    </row>
    <row r="2440" spans="2:8" ht="18" x14ac:dyDescent="0.25">
      <c r="H2440" s="94"/>
    </row>
    <row r="2441" spans="2:8" ht="18" x14ac:dyDescent="0.25">
      <c r="B2441" s="86"/>
      <c r="C2441" s="86"/>
      <c r="D2441" s="86"/>
      <c r="E2441" s="86"/>
      <c r="F2441" s="85"/>
      <c r="G2441" s="85"/>
    </row>
    <row r="2442" spans="2:8" ht="18" x14ac:dyDescent="0.25">
      <c r="B2442" s="85">
        <f>+$E$2</f>
        <v>0</v>
      </c>
      <c r="C2442" s="85"/>
      <c r="D2442" s="85"/>
      <c r="E2442" s="85"/>
      <c r="F2442" s="85"/>
      <c r="G2442" s="86"/>
      <c r="H2442" s="94"/>
    </row>
    <row r="2443" spans="2:8" ht="18" x14ac:dyDescent="0.25">
      <c r="B2443" s="85">
        <f>+$E$3</f>
        <v>0</v>
      </c>
      <c r="C2443" s="85"/>
      <c r="D2443" s="85"/>
      <c r="E2443" s="96"/>
      <c r="F2443" s="85"/>
      <c r="G2443" s="94"/>
      <c r="H2443" s="90"/>
    </row>
    <row r="2444" spans="2:8" ht="18" x14ac:dyDescent="0.25">
      <c r="C2444" s="85"/>
      <c r="D2444" s="85"/>
      <c r="E2444" s="85" t="s">
        <v>200</v>
      </c>
      <c r="F2444" s="106" t="e">
        <f>+F2427</f>
        <v>#REF!</v>
      </c>
      <c r="H2444" s="99">
        <f>+B2449</f>
        <v>46037</v>
      </c>
    </row>
    <row r="2445" spans="2:8" ht="18" x14ac:dyDescent="0.25">
      <c r="B2445" s="86"/>
      <c r="C2445" s="85"/>
      <c r="D2445" s="85"/>
      <c r="E2445" s="85" t="s">
        <v>201</v>
      </c>
      <c r="F2445" s="106" t="e">
        <f>+F2428</f>
        <v>#REF!</v>
      </c>
    </row>
    <row r="2446" spans="2:8" ht="18" x14ac:dyDescent="0.25">
      <c r="B2446" s="86"/>
      <c r="C2446" s="85"/>
      <c r="D2446" s="85"/>
      <c r="E2446" s="85" t="s">
        <v>81</v>
      </c>
      <c r="F2446" s="106" t="e">
        <f>+F2429</f>
        <v>#REF!</v>
      </c>
      <c r="G2446" s="85"/>
      <c r="H2446" s="90"/>
    </row>
    <row r="2447" spans="2:8" ht="18" x14ac:dyDescent="0.25">
      <c r="B2447" s="85"/>
      <c r="C2447" s="85"/>
      <c r="D2447" s="85"/>
      <c r="E2447" s="85" t="s">
        <v>82</v>
      </c>
      <c r="F2447" s="106" t="e">
        <f>+F2430</f>
        <v>#REF!</v>
      </c>
      <c r="G2447" s="85"/>
      <c r="H2447" s="90"/>
    </row>
    <row r="2448" spans="2:8" ht="18" x14ac:dyDescent="0.25">
      <c r="B2448" s="96"/>
      <c r="C2448" s="96"/>
      <c r="D2448" s="96"/>
      <c r="E2448" s="85" t="s">
        <v>188</v>
      </c>
      <c r="F2448" s="106">
        <v>0</v>
      </c>
      <c r="G2448" s="85"/>
      <c r="H2448" s="90"/>
    </row>
    <row r="2449" spans="2:8" ht="18" x14ac:dyDescent="0.25">
      <c r="B2449" s="99">
        <f>+$G$30</f>
        <v>46037</v>
      </c>
      <c r="C2449" s="105" t="e">
        <f>+F2431</f>
        <v>#REF!</v>
      </c>
      <c r="D2449" s="85"/>
      <c r="E2449" s="85" t="s">
        <v>83</v>
      </c>
      <c r="F2449" s="106" t="e">
        <f>+F2431</f>
        <v>#REF!</v>
      </c>
      <c r="G2449" s="85"/>
      <c r="H2449" s="90"/>
    </row>
    <row r="2450" spans="2:8" ht="18" x14ac:dyDescent="0.25">
      <c r="B2450" s="85"/>
      <c r="C2450" s="85"/>
      <c r="D2450" s="85"/>
      <c r="E2450" s="85"/>
      <c r="F2450" s="85"/>
      <c r="G2450" s="85"/>
      <c r="H2450" s="90"/>
    </row>
    <row r="2451" spans="2:8" ht="18" x14ac:dyDescent="0.25">
      <c r="B2451" s="85"/>
      <c r="C2451" s="85"/>
      <c r="D2451" s="85"/>
      <c r="E2451" s="85"/>
      <c r="F2451" s="85"/>
      <c r="G2451" s="345"/>
      <c r="H2451" s="345"/>
    </row>
    <row r="2452" spans="2:8" ht="18" x14ac:dyDescent="0.25">
      <c r="B2452" s="85"/>
      <c r="C2452" s="85"/>
      <c r="D2452" s="85"/>
      <c r="E2452" s="85"/>
      <c r="F2452" s="85"/>
      <c r="G2452" s="85"/>
      <c r="H2452" s="90"/>
    </row>
    <row r="2453" spans="2:8" ht="18" x14ac:dyDescent="0.25">
      <c r="B2453" s="85"/>
      <c r="C2453" s="85"/>
      <c r="D2453" s="85"/>
      <c r="E2453" s="85"/>
      <c r="F2453" s="85"/>
      <c r="G2453" s="85"/>
      <c r="H2453" s="90"/>
    </row>
    <row r="2454" spans="2:8" ht="18" x14ac:dyDescent="0.25">
      <c r="B2454" s="85"/>
      <c r="C2454" s="85"/>
      <c r="D2454" s="85"/>
      <c r="E2454" s="85"/>
      <c r="F2454" s="85"/>
      <c r="G2454" s="85"/>
      <c r="H2454" s="90"/>
    </row>
    <row r="2455" spans="2:8" ht="18" x14ac:dyDescent="0.25">
      <c r="B2455" s="85"/>
      <c r="C2455" s="85"/>
      <c r="D2455" s="85"/>
      <c r="E2455" s="85"/>
      <c r="F2455" s="85"/>
      <c r="G2455" s="85"/>
      <c r="H2455" s="90"/>
    </row>
    <row r="2456" spans="2:8" ht="18" x14ac:dyDescent="0.25">
      <c r="B2456" s="85"/>
      <c r="C2456" s="85"/>
      <c r="D2456" s="85"/>
      <c r="E2456" s="85"/>
      <c r="F2456" s="85"/>
      <c r="H2456" s="90"/>
    </row>
    <row r="2457" spans="2:8" ht="18" x14ac:dyDescent="0.25">
      <c r="B2457" s="343"/>
      <c r="C2457" s="343"/>
      <c r="D2457" s="343"/>
      <c r="E2457" s="85"/>
      <c r="F2457" s="85"/>
      <c r="H2457" s="90"/>
    </row>
    <row r="2458" spans="2:8" ht="18" x14ac:dyDescent="0.25">
      <c r="B2458" s="343"/>
      <c r="C2458" s="343"/>
      <c r="D2458" s="343"/>
      <c r="E2458" s="98">
        <f>+$B$1</f>
        <v>46143</v>
      </c>
      <c r="F2458" s="85"/>
      <c r="G2458" s="99">
        <f>+$D$1</f>
        <v>46037</v>
      </c>
      <c r="H2458" s="160"/>
    </row>
    <row r="2459" spans="2:8" ht="18" x14ac:dyDescent="0.25">
      <c r="B2459" s="84"/>
      <c r="C2459" s="84"/>
      <c r="D2459" s="100"/>
      <c r="E2459" s="98"/>
      <c r="F2459" s="85"/>
    </row>
    <row r="2460" spans="2:8" ht="18" x14ac:dyDescent="0.25">
      <c r="B2460" s="85" t="e">
        <f>+#REF!</f>
        <v>#REF!</v>
      </c>
      <c r="C2460" s="85"/>
      <c r="D2460" s="85"/>
      <c r="F2460" s="85"/>
    </row>
    <row r="2461" spans="2:8" ht="18" x14ac:dyDescent="0.25">
      <c r="C2461" s="85"/>
      <c r="D2461" s="85"/>
      <c r="E2461" s="85" t="str">
        <f>+$E$1</f>
        <v>Lima 461 C:A:B:A:</v>
      </c>
      <c r="F2461" s="85"/>
      <c r="H2461" s="90" t="s">
        <v>149</v>
      </c>
    </row>
    <row r="2462" spans="2:8" ht="18" x14ac:dyDescent="0.25">
      <c r="B2462" s="86"/>
      <c r="C2462" s="85"/>
      <c r="D2462" s="85"/>
      <c r="F2462" s="85"/>
      <c r="G2462" s="86"/>
    </row>
    <row r="2463" spans="2:8" ht="18" x14ac:dyDescent="0.25">
      <c r="B2463" s="85"/>
      <c r="C2463" s="85"/>
      <c r="D2463" s="85"/>
      <c r="E2463" s="86"/>
      <c r="F2463" s="86"/>
      <c r="G2463" s="85"/>
      <c r="H2463" s="94"/>
    </row>
    <row r="2464" spans="2:8" ht="18" x14ac:dyDescent="0.25">
      <c r="B2464" s="94"/>
      <c r="C2464" s="85"/>
      <c r="D2464" s="94"/>
      <c r="E2464" s="85"/>
      <c r="F2464" s="85"/>
      <c r="G2464" s="85"/>
      <c r="H2464" s="90"/>
    </row>
    <row r="2465" spans="2:8" ht="18" x14ac:dyDescent="0.25">
      <c r="B2465" s="85" t="s">
        <v>198</v>
      </c>
      <c r="C2465" s="85"/>
      <c r="D2465" s="107">
        <f>+'RES CUENTA'!$L$25</f>
        <v>10859801.41</v>
      </c>
      <c r="E2465" s="108" t="e">
        <f>+'RES CUENTA'!#REF!</f>
        <v>#REF!</v>
      </c>
      <c r="F2465" s="103" t="e">
        <f>+D2465*E2465/100</f>
        <v>#REF!</v>
      </c>
      <c r="G2465" s="85"/>
      <c r="H2465" s="94"/>
    </row>
    <row r="2466" spans="2:8" ht="18" x14ac:dyDescent="0.25">
      <c r="B2466" s="85" t="s">
        <v>199</v>
      </c>
      <c r="C2466" s="85"/>
      <c r="D2466" s="107" t="e">
        <f>+'RES CUENTA'!#REF!</f>
        <v>#REF!</v>
      </c>
      <c r="E2466" s="108" t="e">
        <f>+'RES CUENTA'!#REF!</f>
        <v>#REF!</v>
      </c>
      <c r="F2466" s="103" t="e">
        <f>+D2466*E2466/100</f>
        <v>#REF!</v>
      </c>
      <c r="G2466" s="94"/>
      <c r="H2466" s="89"/>
    </row>
    <row r="2467" spans="2:8" ht="18" x14ac:dyDescent="0.25">
      <c r="B2467" s="85" t="s">
        <v>79</v>
      </c>
      <c r="C2467" s="85"/>
      <c r="D2467" s="107" t="e">
        <f>+'RES CUENTA'!#REF!</f>
        <v>#REF!</v>
      </c>
      <c r="E2467" s="108">
        <f>+'RES CUENTA'!P1588</f>
        <v>0</v>
      </c>
      <c r="F2467" s="103" t="e">
        <f>+D2467</f>
        <v>#REF!</v>
      </c>
      <c r="G2467" s="89"/>
      <c r="H2467" s="89"/>
    </row>
    <row r="2468" spans="2:8" ht="18" x14ac:dyDescent="0.25">
      <c r="B2468" s="85" t="s">
        <v>80</v>
      </c>
      <c r="C2468" s="85"/>
      <c r="D2468" s="107" t="e">
        <f>+'RES CUENTA'!#REF!</f>
        <v>#REF!</v>
      </c>
      <c r="E2468" s="108">
        <f>+'RES CUENTA'!R1583</f>
        <v>0</v>
      </c>
      <c r="F2468" s="103" t="e">
        <f>+D2468</f>
        <v>#REF!</v>
      </c>
      <c r="G2468" s="89"/>
      <c r="H2468" s="89"/>
    </row>
    <row r="2469" spans="2:8" ht="18" x14ac:dyDescent="0.25">
      <c r="B2469" s="86"/>
      <c r="C2469" s="85"/>
      <c r="D2469" s="85"/>
      <c r="F2469" s="104" t="e">
        <f>SUM(F2465:F2468)</f>
        <v>#REF!</v>
      </c>
      <c r="G2469" s="89"/>
      <c r="H2469" s="90"/>
    </row>
    <row r="2470" spans="2:8" ht="18" x14ac:dyDescent="0.25">
      <c r="B2470" s="85"/>
      <c r="C2470" s="85"/>
      <c r="D2470" s="85"/>
      <c r="E2470" s="85"/>
      <c r="F2470" s="92"/>
      <c r="G2470" s="90"/>
      <c r="H2470" s="90"/>
    </row>
    <row r="2471" spans="2:8" ht="18" x14ac:dyDescent="0.25">
      <c r="B2471" s="85"/>
      <c r="C2471" s="85"/>
      <c r="D2471" s="85"/>
      <c r="E2471" s="85"/>
      <c r="F2471" s="92"/>
      <c r="G2471" s="90"/>
      <c r="H2471" s="90"/>
    </row>
    <row r="2472" spans="2:8" ht="18" x14ac:dyDescent="0.25">
      <c r="B2472" s="85"/>
      <c r="C2472" s="85"/>
      <c r="D2472" s="85"/>
      <c r="E2472" s="85"/>
      <c r="F2472" s="92"/>
      <c r="G2472" s="90"/>
      <c r="H2472" s="90"/>
    </row>
    <row r="2473" spans="2:8" ht="18" x14ac:dyDescent="0.25">
      <c r="B2473" s="85"/>
      <c r="C2473" s="85"/>
      <c r="D2473" s="85"/>
      <c r="E2473" s="85"/>
      <c r="F2473" s="92"/>
      <c r="G2473" s="90"/>
      <c r="H2473" s="90"/>
    </row>
    <row r="2474" spans="2:8" ht="18" x14ac:dyDescent="0.25">
      <c r="B2474" s="85"/>
      <c r="C2474" s="85"/>
      <c r="D2474" s="85"/>
      <c r="E2474" s="85"/>
      <c r="F2474" s="92"/>
      <c r="G2474" s="90"/>
      <c r="H2474" s="90"/>
    </row>
    <row r="2475" spans="2:8" ht="18" x14ac:dyDescent="0.25">
      <c r="B2475" s="85" t="e">
        <f>+B2460</f>
        <v>#REF!</v>
      </c>
      <c r="C2475" s="85"/>
      <c r="D2475" s="85"/>
      <c r="E2475" s="85" t="e">
        <f>+B2460</f>
        <v>#REF!</v>
      </c>
      <c r="F2475" s="85"/>
      <c r="G2475" s="85"/>
      <c r="H2475" s="94"/>
    </row>
    <row r="2476" spans="2:8" ht="18" x14ac:dyDescent="0.25">
      <c r="B2476" s="86"/>
      <c r="C2476" s="85"/>
      <c r="D2476" s="85"/>
      <c r="F2476" s="85"/>
      <c r="G2476" s="101"/>
      <c r="H2476" s="90" t="str">
        <f>+H2461</f>
        <v>Unid. 66</v>
      </c>
    </row>
    <row r="2477" spans="2:8" ht="18" x14ac:dyDescent="0.25">
      <c r="B2477" s="85" t="str">
        <f>+$E$1</f>
        <v>Lima 461 C:A:B:A:</v>
      </c>
      <c r="C2477" s="85"/>
      <c r="D2477" s="93" t="str">
        <f>+H2476</f>
        <v>Unid. 66</v>
      </c>
      <c r="E2477" s="85" t="str">
        <f>+$E$1</f>
        <v>Lima 461 C:A:B:A:</v>
      </c>
      <c r="F2477" s="85"/>
      <c r="G2477" s="85"/>
      <c r="H2477" s="94"/>
    </row>
    <row r="2478" spans="2:8" ht="18" x14ac:dyDescent="0.25">
      <c r="B2478" s="86"/>
      <c r="C2478" s="86"/>
      <c r="D2478" s="86"/>
      <c r="F2478" s="85"/>
      <c r="G2478" s="85"/>
    </row>
    <row r="2479" spans="2:8" ht="18" x14ac:dyDescent="0.25">
      <c r="B2479" s="85"/>
      <c r="C2479" s="85"/>
      <c r="D2479" s="85"/>
      <c r="E2479" s="86"/>
      <c r="F2479" s="85"/>
      <c r="G2479" s="85"/>
      <c r="H2479" s="94"/>
    </row>
    <row r="2480" spans="2:8" ht="18" x14ac:dyDescent="0.25">
      <c r="B2480" s="85">
        <f>+$E$2</f>
        <v>0</v>
      </c>
      <c r="C2480" s="85"/>
      <c r="D2480" s="85"/>
      <c r="E2480" s="85"/>
      <c r="F2480" s="96"/>
      <c r="G2480" s="86"/>
      <c r="H2480" s="90"/>
    </row>
    <row r="2481" spans="2:8" ht="18" x14ac:dyDescent="0.25">
      <c r="B2481" s="85">
        <f>+$E$3</f>
        <v>0</v>
      </c>
      <c r="C2481" s="85"/>
      <c r="D2481" s="85"/>
      <c r="E2481" s="96"/>
      <c r="G2481" s="94"/>
      <c r="H2481" s="96"/>
    </row>
    <row r="2482" spans="2:8" ht="18" x14ac:dyDescent="0.25">
      <c r="B2482" s="86"/>
      <c r="C2482" s="85"/>
      <c r="D2482" s="85"/>
      <c r="E2482" s="85" t="s">
        <v>200</v>
      </c>
      <c r="F2482" s="106" t="e">
        <f>+F2465</f>
        <v>#REF!</v>
      </c>
      <c r="G2482" s="95"/>
      <c r="H2482" s="99">
        <f>+B2486</f>
        <v>46037</v>
      </c>
    </row>
    <row r="2483" spans="2:8" ht="18" x14ac:dyDescent="0.25">
      <c r="B2483" s="86"/>
      <c r="C2483" s="85"/>
      <c r="D2483" s="85"/>
      <c r="E2483" s="85" t="s">
        <v>201</v>
      </c>
      <c r="F2483" s="106" t="e">
        <f>+F2466</f>
        <v>#REF!</v>
      </c>
      <c r="H2483" s="90"/>
    </row>
    <row r="2484" spans="2:8" ht="18" x14ac:dyDescent="0.25">
      <c r="B2484" s="85"/>
      <c r="C2484" s="85"/>
      <c r="D2484" s="85"/>
      <c r="E2484" s="85" t="s">
        <v>81</v>
      </c>
      <c r="F2484" s="106" t="e">
        <f>+F2467</f>
        <v>#REF!</v>
      </c>
      <c r="G2484" s="85"/>
      <c r="H2484" s="90"/>
    </row>
    <row r="2485" spans="2:8" ht="18" x14ac:dyDescent="0.25">
      <c r="B2485" s="96"/>
      <c r="C2485" s="96"/>
      <c r="D2485" s="96"/>
      <c r="E2485" s="85" t="s">
        <v>82</v>
      </c>
      <c r="F2485" s="106" t="e">
        <f>+F2468</f>
        <v>#REF!</v>
      </c>
      <c r="G2485" s="85"/>
      <c r="H2485" s="90"/>
    </row>
    <row r="2486" spans="2:8" ht="18" x14ac:dyDescent="0.25">
      <c r="B2486" s="99">
        <f>+$G$30</f>
        <v>46037</v>
      </c>
      <c r="C2486" s="105" t="e">
        <f>+F2469</f>
        <v>#REF!</v>
      </c>
      <c r="D2486" s="85"/>
      <c r="E2486" s="85" t="s">
        <v>188</v>
      </c>
      <c r="F2486" s="106">
        <v>0</v>
      </c>
      <c r="G2486" s="85"/>
      <c r="H2486" s="90"/>
    </row>
    <row r="2487" spans="2:8" ht="18" x14ac:dyDescent="0.25">
      <c r="B2487" s="85"/>
      <c r="C2487" s="85"/>
      <c r="D2487" s="85"/>
      <c r="E2487" s="85" t="s">
        <v>83</v>
      </c>
      <c r="F2487" s="106" t="e">
        <f>+F2469</f>
        <v>#REF!</v>
      </c>
      <c r="G2487" s="85"/>
      <c r="H2487" s="90"/>
    </row>
    <row r="2488" spans="2:8" ht="18" x14ac:dyDescent="0.25">
      <c r="B2488" s="85"/>
      <c r="C2488" s="85"/>
      <c r="D2488" s="85"/>
      <c r="E2488" s="85"/>
      <c r="F2488" s="85"/>
      <c r="G2488" s="85"/>
      <c r="H2488" s="90"/>
    </row>
    <row r="2489" spans="2:8" ht="18" x14ac:dyDescent="0.25">
      <c r="B2489" s="85"/>
      <c r="C2489" s="85"/>
      <c r="D2489" s="85"/>
      <c r="E2489" s="102"/>
      <c r="F2489" s="85"/>
      <c r="G2489" s="85"/>
      <c r="H2489" s="90"/>
    </row>
    <row r="2490" spans="2:8" ht="18" x14ac:dyDescent="0.25">
      <c r="B2490" s="85"/>
      <c r="C2490" s="85"/>
      <c r="D2490" s="85"/>
      <c r="E2490" s="85"/>
      <c r="F2490" s="85"/>
      <c r="G2490" s="85"/>
      <c r="H2490" s="94"/>
    </row>
    <row r="2491" spans="2:8" ht="18" x14ac:dyDescent="0.25">
      <c r="E2491" s="85"/>
      <c r="G2491" s="94"/>
      <c r="H2491" s="90"/>
    </row>
    <row r="2493" spans="2:8" ht="18" x14ac:dyDescent="0.25">
      <c r="B2493" s="343"/>
      <c r="C2493" s="343"/>
      <c r="D2493" s="343"/>
      <c r="E2493" s="342">
        <f>+$B$1</f>
        <v>46143</v>
      </c>
      <c r="F2493" s="85"/>
      <c r="G2493" s="337">
        <f>+$D$1</f>
        <v>46037</v>
      </c>
      <c r="H2493" s="90"/>
    </row>
    <row r="2494" spans="2:8" ht="18" x14ac:dyDescent="0.25">
      <c r="B2494" s="84"/>
      <c r="C2494" s="84"/>
      <c r="D2494" s="100"/>
      <c r="E2494" s="342"/>
      <c r="F2494" s="85"/>
      <c r="G2494" s="337"/>
      <c r="H2494" s="90"/>
    </row>
    <row r="2495" spans="2:8" ht="18" x14ac:dyDescent="0.25">
      <c r="B2495" s="85"/>
      <c r="C2495" s="85"/>
      <c r="D2495" s="85"/>
      <c r="E2495" s="86"/>
      <c r="F2495" s="85"/>
      <c r="G2495" s="86"/>
      <c r="H2495" s="90"/>
    </row>
    <row r="2496" spans="2:8" ht="18" x14ac:dyDescent="0.25">
      <c r="B2496" s="85" t="e">
        <f>+#REF!</f>
        <v>#REF!</v>
      </c>
      <c r="C2496" s="85"/>
      <c r="D2496" s="85"/>
      <c r="E2496" s="86"/>
      <c r="F2496" s="85"/>
      <c r="G2496" s="86"/>
      <c r="H2496" s="90"/>
    </row>
    <row r="2497" spans="2:8" ht="18" x14ac:dyDescent="0.25">
      <c r="B2497" s="86"/>
      <c r="C2497" s="85"/>
      <c r="D2497" s="85"/>
      <c r="E2497" s="85" t="s">
        <v>78</v>
      </c>
      <c r="F2497" s="85"/>
      <c r="G2497" s="85"/>
      <c r="H2497" s="90" t="s">
        <v>150</v>
      </c>
    </row>
    <row r="2498" spans="2:8" ht="18" x14ac:dyDescent="0.25">
      <c r="B2498" s="85"/>
      <c r="C2498" s="85"/>
      <c r="D2498" s="85"/>
      <c r="E2498" s="86"/>
      <c r="F2498" s="86"/>
      <c r="G2498" s="85"/>
      <c r="H2498" s="94"/>
    </row>
    <row r="2499" spans="2:8" ht="18" x14ac:dyDescent="0.25">
      <c r="B2499" s="94"/>
      <c r="C2499" s="85"/>
      <c r="D2499" s="94"/>
      <c r="E2499" s="85"/>
      <c r="F2499" s="85"/>
      <c r="G2499" s="85"/>
      <c r="H2499" s="90"/>
    </row>
    <row r="2500" spans="2:8" ht="18" x14ac:dyDescent="0.25">
      <c r="B2500" s="94"/>
      <c r="C2500" s="85"/>
      <c r="D2500" s="94"/>
      <c r="E2500" s="85"/>
      <c r="F2500" s="85"/>
      <c r="G2500" s="85"/>
      <c r="H2500" s="90"/>
    </row>
    <row r="2501" spans="2:8" ht="18" x14ac:dyDescent="0.25">
      <c r="B2501" s="85" t="s">
        <v>198</v>
      </c>
      <c r="C2501" s="85"/>
      <c r="D2501" s="107">
        <f>+'RES CUENTA'!$L$25</f>
        <v>10859801.41</v>
      </c>
      <c r="E2501" s="108" t="e">
        <f>+'RES CUENTA'!#REF!</f>
        <v>#REF!</v>
      </c>
      <c r="F2501" s="103" t="e">
        <f>+D2501*E2501/100</f>
        <v>#REF!</v>
      </c>
      <c r="G2501" s="345"/>
      <c r="H2501" s="345"/>
    </row>
    <row r="2502" spans="2:8" ht="18" x14ac:dyDescent="0.25">
      <c r="B2502" s="85" t="s">
        <v>199</v>
      </c>
      <c r="C2502" s="85"/>
      <c r="D2502" s="107" t="e">
        <f>+'RES CUENTA'!#REF!</f>
        <v>#REF!</v>
      </c>
      <c r="E2502" s="108" t="e">
        <f>+'RES CUENTA'!#REF!</f>
        <v>#REF!</v>
      </c>
      <c r="F2502" s="103" t="e">
        <f>+D2502*E2502/100</f>
        <v>#REF!</v>
      </c>
      <c r="G2502" s="341"/>
      <c r="H2502" s="341"/>
    </row>
    <row r="2503" spans="2:8" ht="18" x14ac:dyDescent="0.25">
      <c r="B2503" s="85" t="s">
        <v>79</v>
      </c>
      <c r="C2503" s="85"/>
      <c r="D2503" s="107" t="e">
        <f>+'RES CUENTA'!#REF!</f>
        <v>#REF!</v>
      </c>
      <c r="E2503" s="108">
        <v>0</v>
      </c>
      <c r="F2503" s="103" t="e">
        <f>+D2503</f>
        <v>#REF!</v>
      </c>
      <c r="G2503" s="341"/>
      <c r="H2503" s="341"/>
    </row>
    <row r="2504" spans="2:8" ht="18" x14ac:dyDescent="0.25">
      <c r="B2504" s="85" t="s">
        <v>80</v>
      </c>
      <c r="C2504" s="85"/>
      <c r="D2504" s="107" t="e">
        <f>+'RES CUENTA'!#REF!</f>
        <v>#REF!</v>
      </c>
      <c r="E2504" s="108">
        <v>0</v>
      </c>
      <c r="F2504" s="103" t="e">
        <f>+D2504</f>
        <v>#REF!</v>
      </c>
      <c r="G2504" s="341"/>
      <c r="H2504" s="341"/>
    </row>
    <row r="2505" spans="2:8" ht="18" x14ac:dyDescent="0.25">
      <c r="B2505" s="86"/>
      <c r="C2505" s="85"/>
      <c r="D2505" s="85"/>
      <c r="E2505" s="92"/>
      <c r="F2505" s="104" t="e">
        <f>SUM(F2501:F2504)</f>
        <v>#REF!</v>
      </c>
      <c r="G2505" s="341"/>
      <c r="H2505" s="341"/>
    </row>
    <row r="2506" spans="2:8" ht="18" x14ac:dyDescent="0.25">
      <c r="B2506" s="86"/>
      <c r="C2506" s="85"/>
      <c r="D2506" s="85"/>
      <c r="E2506" s="85"/>
      <c r="G2506" s="338"/>
      <c r="H2506" s="338"/>
    </row>
    <row r="2507" spans="2:8" ht="18" x14ac:dyDescent="0.25">
      <c r="B2507" s="85"/>
      <c r="C2507" s="85"/>
      <c r="D2507" s="85"/>
      <c r="E2507" s="85"/>
      <c r="F2507" s="91"/>
      <c r="G2507" s="90"/>
      <c r="H2507" s="90"/>
    </row>
    <row r="2508" spans="2:8" ht="18" x14ac:dyDescent="0.25">
      <c r="B2508" s="85"/>
      <c r="C2508" s="85"/>
      <c r="D2508" s="85"/>
      <c r="E2508" s="85"/>
      <c r="F2508" s="92"/>
      <c r="G2508" s="85"/>
      <c r="H2508" s="90"/>
    </row>
    <row r="2509" spans="2:8" ht="18" x14ac:dyDescent="0.25">
      <c r="B2509" s="85"/>
      <c r="C2509" s="85"/>
      <c r="D2509" s="85"/>
      <c r="E2509" s="85"/>
      <c r="F2509" s="92"/>
      <c r="G2509" s="85"/>
      <c r="H2509" s="90"/>
    </row>
    <row r="2510" spans="2:8" ht="18" x14ac:dyDescent="0.25">
      <c r="B2510" s="85"/>
      <c r="C2510" s="85"/>
      <c r="D2510" s="85"/>
      <c r="E2510" s="85"/>
      <c r="F2510" s="92"/>
      <c r="G2510" s="85"/>
      <c r="H2510" s="90"/>
    </row>
    <row r="2511" spans="2:8" ht="18" x14ac:dyDescent="0.25">
      <c r="B2511" s="85" t="e">
        <f>+B2496</f>
        <v>#REF!</v>
      </c>
      <c r="C2511" s="344"/>
      <c r="D2511" s="344"/>
      <c r="E2511" s="85" t="e">
        <f>+B2511</f>
        <v>#REF!</v>
      </c>
      <c r="F2511" s="92"/>
      <c r="G2511" s="85"/>
      <c r="H2511" s="90"/>
    </row>
    <row r="2512" spans="2:8" ht="18" x14ac:dyDescent="0.25">
      <c r="C2512" s="85"/>
      <c r="D2512" s="85"/>
      <c r="F2512" s="344"/>
      <c r="G2512" s="344"/>
      <c r="H2512" s="344"/>
    </row>
    <row r="2513" spans="2:8" ht="18" x14ac:dyDescent="0.25">
      <c r="B2513" s="85" t="str">
        <f>+$E$1</f>
        <v>Lima 461 C:A:B:A:</v>
      </c>
      <c r="C2513" s="85"/>
      <c r="D2513" s="93" t="str">
        <f>+H2497</f>
        <v>Unid. 67</v>
      </c>
      <c r="E2513" s="85" t="str">
        <f>+$E$1</f>
        <v>Lima 461 C:A:B:A:</v>
      </c>
      <c r="F2513" s="85"/>
      <c r="G2513" s="85"/>
      <c r="H2513" s="90" t="str">
        <f>+D2513</f>
        <v>Unid. 67</v>
      </c>
    </row>
    <row r="2514" spans="2:8" ht="18" x14ac:dyDescent="0.25">
      <c r="H2514" s="94"/>
    </row>
    <row r="2515" spans="2:8" ht="18" x14ac:dyDescent="0.25">
      <c r="B2515" s="86"/>
      <c r="C2515" s="86"/>
      <c r="D2515" s="86"/>
      <c r="E2515" s="86"/>
      <c r="F2515" s="85"/>
      <c r="G2515" s="85"/>
    </row>
    <row r="2516" spans="2:8" ht="18" x14ac:dyDescent="0.25">
      <c r="B2516" s="85">
        <f>+$E$2</f>
        <v>0</v>
      </c>
      <c r="C2516" s="85"/>
      <c r="D2516" s="85"/>
      <c r="E2516" s="85"/>
      <c r="F2516" s="85"/>
      <c r="G2516" s="86"/>
      <c r="H2516" s="94"/>
    </row>
    <row r="2517" spans="2:8" ht="18" x14ac:dyDescent="0.25">
      <c r="B2517" s="85">
        <f>+$E$3</f>
        <v>0</v>
      </c>
      <c r="C2517" s="85"/>
      <c r="D2517" s="85"/>
      <c r="E2517" s="96"/>
      <c r="F2517" s="85"/>
      <c r="G2517" s="94"/>
      <c r="H2517" s="90"/>
    </row>
    <row r="2518" spans="2:8" ht="18" x14ac:dyDescent="0.25">
      <c r="C2518" s="85"/>
      <c r="D2518" s="85"/>
      <c r="E2518" s="85" t="s">
        <v>200</v>
      </c>
      <c r="F2518" s="106" t="e">
        <f>+F2501</f>
        <v>#REF!</v>
      </c>
      <c r="H2518" s="99">
        <f>+B2523</f>
        <v>46037</v>
      </c>
    </row>
    <row r="2519" spans="2:8" ht="18" x14ac:dyDescent="0.25">
      <c r="B2519" s="86"/>
      <c r="C2519" s="85"/>
      <c r="D2519" s="85"/>
      <c r="E2519" s="85" t="s">
        <v>201</v>
      </c>
      <c r="F2519" s="106" t="e">
        <f>+F2502</f>
        <v>#REF!</v>
      </c>
    </row>
    <row r="2520" spans="2:8" ht="18" x14ac:dyDescent="0.25">
      <c r="B2520" s="86"/>
      <c r="C2520" s="85"/>
      <c r="D2520" s="85"/>
      <c r="E2520" s="85" t="s">
        <v>81</v>
      </c>
      <c r="F2520" s="106" t="e">
        <f>+F2503</f>
        <v>#REF!</v>
      </c>
      <c r="G2520" s="85"/>
      <c r="H2520" s="90"/>
    </row>
    <row r="2521" spans="2:8" ht="18" x14ac:dyDescent="0.25">
      <c r="B2521" s="85"/>
      <c r="C2521" s="85"/>
      <c r="D2521" s="85"/>
      <c r="E2521" s="85" t="s">
        <v>82</v>
      </c>
      <c r="F2521" s="106" t="e">
        <f>+F2504</f>
        <v>#REF!</v>
      </c>
      <c r="G2521" s="85"/>
      <c r="H2521" s="90"/>
    </row>
    <row r="2522" spans="2:8" ht="18" x14ac:dyDescent="0.25">
      <c r="B2522" s="96"/>
      <c r="C2522" s="96"/>
      <c r="D2522" s="96"/>
      <c r="E2522" s="85" t="s">
        <v>188</v>
      </c>
      <c r="F2522" s="106">
        <v>0</v>
      </c>
      <c r="G2522" s="85"/>
      <c r="H2522" s="90"/>
    </row>
    <row r="2523" spans="2:8" ht="18" x14ac:dyDescent="0.25">
      <c r="B2523" s="99">
        <f>+$G$30</f>
        <v>46037</v>
      </c>
      <c r="C2523" s="105" t="e">
        <f>+F2505</f>
        <v>#REF!</v>
      </c>
      <c r="D2523" s="85"/>
      <c r="E2523" s="85" t="s">
        <v>83</v>
      </c>
      <c r="F2523" s="106" t="e">
        <f>+F2505</f>
        <v>#REF!</v>
      </c>
      <c r="G2523" s="85"/>
      <c r="H2523" s="90"/>
    </row>
    <row r="2524" spans="2:8" ht="18" x14ac:dyDescent="0.25">
      <c r="B2524" s="85"/>
      <c r="C2524" s="85"/>
      <c r="D2524" s="85"/>
      <c r="E2524" s="85"/>
      <c r="F2524" s="85"/>
      <c r="G2524" s="85"/>
      <c r="H2524" s="90"/>
    </row>
    <row r="2525" spans="2:8" ht="18" x14ac:dyDescent="0.25">
      <c r="B2525" s="85"/>
      <c r="C2525" s="85"/>
      <c r="D2525" s="85"/>
      <c r="E2525" s="85"/>
      <c r="F2525" s="85"/>
      <c r="G2525" s="345"/>
      <c r="H2525" s="345"/>
    </row>
    <row r="2526" spans="2:8" ht="18" x14ac:dyDescent="0.25">
      <c r="B2526" s="85"/>
      <c r="C2526" s="85"/>
      <c r="D2526" s="85"/>
      <c r="E2526" s="85"/>
      <c r="F2526" s="85"/>
      <c r="G2526" s="85"/>
      <c r="H2526" s="90"/>
    </row>
    <row r="2527" spans="2:8" ht="18" x14ac:dyDescent="0.25">
      <c r="B2527" s="85"/>
      <c r="C2527" s="85"/>
      <c r="D2527" s="85"/>
      <c r="E2527" s="85"/>
      <c r="F2527" s="85"/>
      <c r="G2527" s="85"/>
      <c r="H2527" s="90"/>
    </row>
    <row r="2528" spans="2:8" ht="18" x14ac:dyDescent="0.25">
      <c r="B2528" s="85"/>
      <c r="C2528" s="85"/>
      <c r="D2528" s="85"/>
      <c r="E2528" s="85"/>
      <c r="F2528" s="85"/>
      <c r="G2528" s="85"/>
      <c r="H2528" s="90"/>
    </row>
    <row r="2529" spans="2:8" ht="18" x14ac:dyDescent="0.25">
      <c r="B2529" s="85"/>
      <c r="C2529" s="85"/>
      <c r="D2529" s="85"/>
      <c r="E2529" s="85"/>
      <c r="F2529" s="85"/>
      <c r="H2529" s="90"/>
    </row>
    <row r="2530" spans="2:8" ht="18" x14ac:dyDescent="0.25">
      <c r="B2530" s="85"/>
      <c r="C2530" s="85"/>
      <c r="D2530" s="85"/>
      <c r="E2530" s="85"/>
      <c r="F2530" s="85"/>
      <c r="H2530" s="90"/>
    </row>
    <row r="2531" spans="2:8" ht="18" x14ac:dyDescent="0.25">
      <c r="B2531" s="343"/>
      <c r="C2531" s="343"/>
      <c r="D2531" s="343"/>
      <c r="E2531" s="85"/>
      <c r="F2531" s="85"/>
      <c r="H2531" s="90"/>
    </row>
    <row r="2532" spans="2:8" ht="18" x14ac:dyDescent="0.25">
      <c r="B2532" s="343"/>
      <c r="C2532" s="343"/>
      <c r="D2532" s="343"/>
      <c r="E2532" s="98">
        <f>+$B$1</f>
        <v>46143</v>
      </c>
      <c r="F2532" s="85"/>
      <c r="G2532" s="99">
        <f>+$D$1</f>
        <v>46037</v>
      </c>
      <c r="H2532" s="160"/>
    </row>
    <row r="2533" spans="2:8" ht="18" x14ac:dyDescent="0.25">
      <c r="B2533" s="84"/>
      <c r="C2533" s="84"/>
      <c r="D2533" s="100"/>
      <c r="E2533" s="98"/>
      <c r="F2533" s="85"/>
    </row>
    <row r="2534" spans="2:8" ht="18" x14ac:dyDescent="0.25">
      <c r="B2534" s="85" t="e">
        <f>+#REF!</f>
        <v>#REF!</v>
      </c>
      <c r="C2534" s="85"/>
      <c r="D2534" s="85"/>
      <c r="F2534" s="85"/>
    </row>
    <row r="2535" spans="2:8" ht="18" x14ac:dyDescent="0.25">
      <c r="C2535" s="85"/>
      <c r="D2535" s="85"/>
      <c r="E2535" s="85" t="str">
        <f>+$E$1</f>
        <v>Lima 461 C:A:B:A:</v>
      </c>
      <c r="F2535" s="85"/>
      <c r="H2535" s="90" t="s">
        <v>151</v>
      </c>
    </row>
    <row r="2536" spans="2:8" ht="18" x14ac:dyDescent="0.25">
      <c r="B2536" s="86"/>
      <c r="C2536" s="85"/>
      <c r="D2536" s="85"/>
      <c r="F2536" s="85"/>
      <c r="G2536" s="86"/>
    </row>
    <row r="2537" spans="2:8" ht="18" x14ac:dyDescent="0.25">
      <c r="B2537" s="86"/>
      <c r="C2537" s="85"/>
      <c r="D2537" s="85"/>
      <c r="F2537" s="85"/>
      <c r="G2537" s="86"/>
    </row>
    <row r="2538" spans="2:8" ht="18" x14ac:dyDescent="0.25">
      <c r="B2538" s="94"/>
      <c r="C2538" s="85"/>
      <c r="D2538" s="94"/>
      <c r="E2538" s="85"/>
      <c r="F2538" s="85"/>
      <c r="G2538" s="85"/>
      <c r="H2538" s="90"/>
    </row>
    <row r="2539" spans="2:8" ht="18" x14ac:dyDescent="0.25">
      <c r="B2539" s="85" t="s">
        <v>198</v>
      </c>
      <c r="C2539" s="85"/>
      <c r="D2539" s="107">
        <f>+'RES CUENTA'!$L$25</f>
        <v>10859801.41</v>
      </c>
      <c r="E2539" s="108" t="e">
        <f>+'RES CUENTA'!#REF!</f>
        <v>#REF!</v>
      </c>
      <c r="F2539" s="103" t="e">
        <f>+D2539*E2539/100</f>
        <v>#REF!</v>
      </c>
      <c r="G2539" s="85"/>
      <c r="H2539" s="94"/>
    </row>
    <row r="2540" spans="2:8" ht="18" x14ac:dyDescent="0.25">
      <c r="B2540" s="85" t="s">
        <v>199</v>
      </c>
      <c r="C2540" s="85"/>
      <c r="D2540" s="107" t="e">
        <f>+'RES CUENTA'!#REF!</f>
        <v>#REF!</v>
      </c>
      <c r="E2540" s="108" t="e">
        <f>+'RES CUENTA'!#REF!</f>
        <v>#REF!</v>
      </c>
      <c r="F2540" s="103" t="e">
        <f>+D2540*E2540/100</f>
        <v>#REF!</v>
      </c>
      <c r="G2540" s="94"/>
      <c r="H2540" s="89"/>
    </row>
    <row r="2541" spans="2:8" ht="18" x14ac:dyDescent="0.25">
      <c r="B2541" s="85" t="s">
        <v>79</v>
      </c>
      <c r="C2541" s="85"/>
      <c r="D2541" s="107" t="e">
        <f>+'RES CUENTA'!#REF!</f>
        <v>#REF!</v>
      </c>
      <c r="E2541" s="108">
        <f>+'RES CUENTA'!P1664</f>
        <v>0</v>
      </c>
      <c r="F2541" s="103" t="e">
        <f>+D2541</f>
        <v>#REF!</v>
      </c>
      <c r="G2541" s="89"/>
      <c r="H2541" s="89"/>
    </row>
    <row r="2542" spans="2:8" ht="18" x14ac:dyDescent="0.25">
      <c r="B2542" s="85" t="s">
        <v>80</v>
      </c>
      <c r="C2542" s="85"/>
      <c r="D2542" s="107" t="e">
        <f>+'RES CUENTA'!#REF!</f>
        <v>#REF!</v>
      </c>
      <c r="E2542" s="108">
        <f>+'RES CUENTA'!R1659</f>
        <v>0</v>
      </c>
      <c r="F2542" s="103" t="e">
        <f>+D2542</f>
        <v>#REF!</v>
      </c>
      <c r="G2542" s="89"/>
      <c r="H2542" s="89"/>
    </row>
    <row r="2543" spans="2:8" ht="18" x14ac:dyDescent="0.25">
      <c r="B2543" s="86"/>
      <c r="C2543" s="85"/>
      <c r="D2543" s="85"/>
      <c r="F2543" s="104" t="e">
        <f>SUM(F2539:F2542)</f>
        <v>#REF!</v>
      </c>
      <c r="G2543" s="89"/>
      <c r="H2543" s="90"/>
    </row>
    <row r="2544" spans="2:8" ht="18" x14ac:dyDescent="0.25">
      <c r="B2544" s="86"/>
      <c r="C2544" s="85"/>
      <c r="D2544" s="85"/>
      <c r="F2544" s="104"/>
      <c r="G2544" s="89"/>
      <c r="H2544" s="90"/>
    </row>
    <row r="2545" spans="2:8" ht="18" x14ac:dyDescent="0.25">
      <c r="B2545" s="85"/>
      <c r="C2545" s="85"/>
      <c r="D2545" s="85"/>
      <c r="E2545" s="85"/>
      <c r="F2545" s="92"/>
      <c r="G2545" s="90"/>
      <c r="H2545" s="90"/>
    </row>
    <row r="2546" spans="2:8" ht="18" x14ac:dyDescent="0.25">
      <c r="B2546" s="85"/>
      <c r="C2546" s="85"/>
      <c r="D2546" s="85"/>
      <c r="E2546" s="85"/>
      <c r="F2546" s="92"/>
      <c r="G2546" s="90"/>
      <c r="H2546" s="90"/>
    </row>
    <row r="2547" spans="2:8" ht="18" x14ac:dyDescent="0.25">
      <c r="B2547" s="85"/>
      <c r="C2547" s="85"/>
      <c r="D2547" s="85"/>
      <c r="E2547" s="85"/>
      <c r="F2547" s="92"/>
      <c r="G2547" s="90"/>
      <c r="H2547" s="90"/>
    </row>
    <row r="2548" spans="2:8" ht="18" x14ac:dyDescent="0.25">
      <c r="B2548" s="85"/>
      <c r="C2548" s="85"/>
      <c r="D2548" s="85"/>
      <c r="E2548" s="85"/>
      <c r="F2548" s="92"/>
      <c r="G2548" s="90"/>
      <c r="H2548" s="90"/>
    </row>
    <row r="2549" spans="2:8" ht="18" x14ac:dyDescent="0.25">
      <c r="B2549" s="85" t="e">
        <f>+B2534</f>
        <v>#REF!</v>
      </c>
      <c r="C2549" s="85"/>
      <c r="D2549" s="85"/>
      <c r="E2549" s="85" t="e">
        <f>+B2534</f>
        <v>#REF!</v>
      </c>
      <c r="F2549" s="85"/>
      <c r="G2549" s="85"/>
      <c r="H2549" s="94"/>
    </row>
    <row r="2550" spans="2:8" ht="18" x14ac:dyDescent="0.25">
      <c r="B2550" s="86"/>
      <c r="C2550" s="85"/>
      <c r="D2550" s="85"/>
      <c r="F2550" s="85"/>
      <c r="G2550" s="101"/>
      <c r="H2550" s="90" t="str">
        <f>+H2535</f>
        <v>Unid. 68</v>
      </c>
    </row>
    <row r="2551" spans="2:8" ht="18" x14ac:dyDescent="0.25">
      <c r="B2551" s="85" t="str">
        <f>+$E$1</f>
        <v>Lima 461 C:A:B:A:</v>
      </c>
      <c r="C2551" s="85"/>
      <c r="D2551" s="93" t="str">
        <f>+H2550</f>
        <v>Unid. 68</v>
      </c>
      <c r="E2551" s="85" t="str">
        <f>+$E$1</f>
        <v>Lima 461 C:A:B:A:</v>
      </c>
      <c r="F2551" s="85"/>
      <c r="G2551" s="85"/>
      <c r="H2551" s="94"/>
    </row>
    <row r="2552" spans="2:8" ht="18" x14ac:dyDescent="0.25">
      <c r="B2552" s="86"/>
      <c r="C2552" s="86"/>
      <c r="D2552" s="86"/>
      <c r="F2552" s="85"/>
      <c r="G2552" s="85"/>
    </row>
    <row r="2553" spans="2:8" ht="18" x14ac:dyDescent="0.25">
      <c r="B2553" s="85"/>
      <c r="C2553" s="85"/>
      <c r="D2553" s="85"/>
      <c r="E2553" s="86"/>
      <c r="F2553" s="85"/>
      <c r="G2553" s="85"/>
      <c r="H2553" s="94"/>
    </row>
    <row r="2554" spans="2:8" ht="18" x14ac:dyDescent="0.25">
      <c r="B2554" s="85">
        <f>+$E$2</f>
        <v>0</v>
      </c>
      <c r="C2554" s="85"/>
      <c r="D2554" s="85"/>
      <c r="E2554" s="85"/>
      <c r="F2554" s="96"/>
      <c r="G2554" s="86"/>
      <c r="H2554" s="90"/>
    </row>
    <row r="2555" spans="2:8" ht="18" x14ac:dyDescent="0.25">
      <c r="B2555" s="85">
        <f>+$E$3</f>
        <v>0</v>
      </c>
      <c r="C2555" s="85"/>
      <c r="D2555" s="85"/>
      <c r="E2555" s="96"/>
      <c r="G2555" s="94"/>
      <c r="H2555" s="96"/>
    </row>
    <row r="2556" spans="2:8" ht="18" x14ac:dyDescent="0.25">
      <c r="B2556" s="86"/>
      <c r="C2556" s="85"/>
      <c r="D2556" s="85"/>
      <c r="E2556" s="85" t="s">
        <v>200</v>
      </c>
      <c r="F2556" s="106" t="e">
        <f>+F2539</f>
        <v>#REF!</v>
      </c>
      <c r="G2556" s="95"/>
      <c r="H2556" s="99">
        <f>+B2560</f>
        <v>46037</v>
      </c>
    </row>
    <row r="2557" spans="2:8" ht="18" x14ac:dyDescent="0.25">
      <c r="B2557" s="86"/>
      <c r="C2557" s="85"/>
      <c r="D2557" s="85"/>
      <c r="E2557" s="85" t="s">
        <v>201</v>
      </c>
      <c r="F2557" s="106" t="e">
        <f>+F2540</f>
        <v>#REF!</v>
      </c>
      <c r="H2557" s="90"/>
    </row>
    <row r="2558" spans="2:8" ht="18" x14ac:dyDescent="0.25">
      <c r="B2558" s="85"/>
      <c r="C2558" s="85"/>
      <c r="D2558" s="85"/>
      <c r="E2558" s="85" t="s">
        <v>81</v>
      </c>
      <c r="F2558" s="106" t="e">
        <f>+F2541</f>
        <v>#REF!</v>
      </c>
      <c r="G2558" s="85"/>
      <c r="H2558" s="90"/>
    </row>
    <row r="2559" spans="2:8" ht="18" x14ac:dyDescent="0.25">
      <c r="B2559" s="96"/>
      <c r="C2559" s="96"/>
      <c r="D2559" s="96"/>
      <c r="E2559" s="85" t="s">
        <v>82</v>
      </c>
      <c r="F2559" s="106" t="e">
        <f>+F2542</f>
        <v>#REF!</v>
      </c>
      <c r="G2559" s="85"/>
      <c r="H2559" s="90"/>
    </row>
    <row r="2560" spans="2:8" ht="18" x14ac:dyDescent="0.25">
      <c r="B2560" s="99">
        <f>+$G$30</f>
        <v>46037</v>
      </c>
      <c r="C2560" s="105" t="e">
        <f>+F2543</f>
        <v>#REF!</v>
      </c>
      <c r="D2560" s="85"/>
      <c r="E2560" s="85" t="s">
        <v>188</v>
      </c>
      <c r="F2560" s="106">
        <v>0</v>
      </c>
      <c r="G2560" s="85"/>
      <c r="H2560" s="90"/>
    </row>
    <row r="2561" spans="2:8" ht="18" x14ac:dyDescent="0.25">
      <c r="B2561" s="85"/>
      <c r="C2561" s="85"/>
      <c r="D2561" s="85"/>
      <c r="E2561" s="85" t="s">
        <v>83</v>
      </c>
      <c r="F2561" s="106" t="e">
        <f>+F2543</f>
        <v>#REF!</v>
      </c>
      <c r="G2561" s="85"/>
      <c r="H2561" s="90"/>
    </row>
    <row r="2562" spans="2:8" ht="18" x14ac:dyDescent="0.25">
      <c r="B2562" s="85"/>
      <c r="C2562" s="85"/>
      <c r="D2562" s="85"/>
      <c r="E2562" s="85"/>
      <c r="F2562" s="85"/>
      <c r="G2562" s="85"/>
      <c r="H2562" s="90"/>
    </row>
    <row r="2563" spans="2:8" ht="18" x14ac:dyDescent="0.25">
      <c r="B2563" s="85"/>
      <c r="C2563" s="85"/>
      <c r="D2563" s="85"/>
      <c r="E2563" s="102"/>
      <c r="F2563" s="85"/>
      <c r="G2563" s="85"/>
      <c r="H2563" s="90"/>
    </row>
    <row r="2564" spans="2:8" ht="18" x14ac:dyDescent="0.25">
      <c r="B2564" s="85"/>
      <c r="C2564" s="85"/>
      <c r="D2564" s="85"/>
      <c r="E2564" s="85"/>
      <c r="F2564" s="85"/>
      <c r="G2564" s="85"/>
      <c r="H2564" s="94"/>
    </row>
    <row r="2565" spans="2:8" ht="18" x14ac:dyDescent="0.25">
      <c r="E2565" s="85"/>
      <c r="G2565" s="94"/>
      <c r="H2565" s="90"/>
    </row>
    <row r="2567" spans="2:8" ht="18" x14ac:dyDescent="0.25">
      <c r="B2567" s="343"/>
      <c r="C2567" s="343"/>
      <c r="D2567" s="343"/>
      <c r="E2567" s="342">
        <f>+$B$1</f>
        <v>46143</v>
      </c>
      <c r="F2567" s="85"/>
      <c r="G2567" s="337">
        <f>+$D$1</f>
        <v>46037</v>
      </c>
      <c r="H2567" s="90"/>
    </row>
    <row r="2568" spans="2:8" ht="18" x14ac:dyDescent="0.25">
      <c r="B2568" s="84"/>
      <c r="C2568" s="84"/>
      <c r="D2568" s="100"/>
      <c r="E2568" s="342"/>
      <c r="F2568" s="85"/>
      <c r="G2568" s="337"/>
      <c r="H2568" s="90"/>
    </row>
    <row r="2569" spans="2:8" ht="18" x14ac:dyDescent="0.25">
      <c r="B2569" s="85"/>
      <c r="C2569" s="85"/>
      <c r="D2569" s="85"/>
      <c r="E2569" s="86"/>
      <c r="F2569" s="85"/>
      <c r="G2569" s="86"/>
      <c r="H2569" s="90"/>
    </row>
    <row r="2570" spans="2:8" ht="18" x14ac:dyDescent="0.25">
      <c r="B2570" s="85" t="e">
        <f>+#REF!</f>
        <v>#REF!</v>
      </c>
      <c r="C2570" s="85"/>
      <c r="D2570" s="85"/>
      <c r="E2570" s="86"/>
      <c r="F2570" s="85"/>
      <c r="G2570" s="86"/>
      <c r="H2570" s="90"/>
    </row>
    <row r="2571" spans="2:8" ht="18" x14ac:dyDescent="0.25">
      <c r="B2571" s="86"/>
      <c r="C2571" s="85"/>
      <c r="D2571" s="85"/>
      <c r="E2571" s="85" t="s">
        <v>78</v>
      </c>
      <c r="F2571" s="85"/>
      <c r="G2571" s="85"/>
      <c r="H2571" s="90" t="s">
        <v>152</v>
      </c>
    </row>
    <row r="2572" spans="2:8" ht="18" x14ac:dyDescent="0.25">
      <c r="B2572" s="85"/>
      <c r="C2572" s="85"/>
      <c r="D2572" s="85"/>
      <c r="E2572" s="86"/>
      <c r="F2572" s="86"/>
      <c r="G2572" s="85"/>
      <c r="H2572" s="94"/>
    </row>
    <row r="2573" spans="2:8" ht="18" x14ac:dyDescent="0.25">
      <c r="B2573" s="94"/>
      <c r="C2573" s="85"/>
      <c r="D2573" s="94"/>
      <c r="E2573" s="85"/>
      <c r="F2573" s="85"/>
      <c r="G2573" s="85"/>
      <c r="H2573" s="90"/>
    </row>
    <row r="2574" spans="2:8" ht="18" x14ac:dyDescent="0.25">
      <c r="B2574" s="94"/>
      <c r="C2574" s="85"/>
      <c r="D2574" s="94"/>
      <c r="E2574" s="85"/>
      <c r="F2574" s="85"/>
      <c r="G2574" s="85"/>
      <c r="H2574" s="90"/>
    </row>
    <row r="2575" spans="2:8" ht="18" x14ac:dyDescent="0.25">
      <c r="B2575" s="85" t="s">
        <v>198</v>
      </c>
      <c r="C2575" s="85"/>
      <c r="D2575" s="107">
        <f>+'RES CUENTA'!$L$25</f>
        <v>10859801.41</v>
      </c>
      <c r="E2575" s="108" t="e">
        <f>+'RES CUENTA'!#REF!</f>
        <v>#REF!</v>
      </c>
      <c r="F2575" s="103" t="e">
        <f>+D2575*E2575/100</f>
        <v>#REF!</v>
      </c>
      <c r="G2575" s="345"/>
      <c r="H2575" s="345"/>
    </row>
    <row r="2576" spans="2:8" ht="18" x14ac:dyDescent="0.25">
      <c r="B2576" s="85" t="s">
        <v>199</v>
      </c>
      <c r="C2576" s="85"/>
      <c r="D2576" s="107" t="e">
        <f>+'RES CUENTA'!#REF!</f>
        <v>#REF!</v>
      </c>
      <c r="E2576" s="108" t="e">
        <f>+'RES CUENTA'!#REF!</f>
        <v>#REF!</v>
      </c>
      <c r="F2576" s="103" t="e">
        <f>+D2576*E2576/100</f>
        <v>#REF!</v>
      </c>
      <c r="G2576" s="341"/>
      <c r="H2576" s="341"/>
    </row>
    <row r="2577" spans="2:8" ht="18" x14ac:dyDescent="0.25">
      <c r="B2577" s="85" t="s">
        <v>79</v>
      </c>
      <c r="C2577" s="85"/>
      <c r="D2577" s="107" t="e">
        <f>+'RES CUENTA'!#REF!</f>
        <v>#REF!</v>
      </c>
      <c r="E2577" s="108">
        <v>0</v>
      </c>
      <c r="F2577" s="103" t="e">
        <f>+D2577</f>
        <v>#REF!</v>
      </c>
      <c r="G2577" s="341"/>
      <c r="H2577" s="341"/>
    </row>
    <row r="2578" spans="2:8" ht="18" x14ac:dyDescent="0.25">
      <c r="B2578" s="85" t="s">
        <v>80</v>
      </c>
      <c r="C2578" s="85"/>
      <c r="D2578" s="107" t="e">
        <f>+'RES CUENTA'!#REF!</f>
        <v>#REF!</v>
      </c>
      <c r="E2578" s="108">
        <v>0</v>
      </c>
      <c r="F2578" s="103" t="e">
        <f>+D2578</f>
        <v>#REF!</v>
      </c>
      <c r="G2578" s="341"/>
      <c r="H2578" s="341"/>
    </row>
    <row r="2579" spans="2:8" ht="18" x14ac:dyDescent="0.25">
      <c r="B2579" s="86"/>
      <c r="C2579" s="85"/>
      <c r="D2579" s="85"/>
      <c r="E2579" s="92"/>
      <c r="F2579" s="104" t="e">
        <f>SUM(F2575:F2578)</f>
        <v>#REF!</v>
      </c>
      <c r="G2579" s="341"/>
      <c r="H2579" s="341"/>
    </row>
    <row r="2580" spans="2:8" ht="18" x14ac:dyDescent="0.25">
      <c r="B2580" s="86"/>
      <c r="C2580" s="85"/>
      <c r="D2580" s="85"/>
      <c r="E2580" s="92"/>
      <c r="F2580" s="104"/>
      <c r="G2580" s="89"/>
      <c r="H2580" s="89"/>
    </row>
    <row r="2581" spans="2:8" ht="18" x14ac:dyDescent="0.25">
      <c r="B2581" s="86"/>
      <c r="C2581" s="85"/>
      <c r="D2581" s="85"/>
      <c r="E2581" s="85"/>
      <c r="G2581" s="338"/>
      <c r="H2581" s="338"/>
    </row>
    <row r="2582" spans="2:8" ht="18" x14ac:dyDescent="0.25">
      <c r="B2582" s="85"/>
      <c r="C2582" s="85"/>
      <c r="D2582" s="85"/>
      <c r="E2582" s="85"/>
      <c r="F2582" s="91"/>
      <c r="G2582" s="90"/>
      <c r="H2582" s="90"/>
    </row>
    <row r="2583" spans="2:8" ht="18" x14ac:dyDescent="0.25">
      <c r="B2583" s="85"/>
      <c r="C2583" s="85"/>
      <c r="D2583" s="85"/>
      <c r="E2583" s="85"/>
      <c r="F2583" s="92"/>
      <c r="G2583" s="85"/>
      <c r="H2583" s="90"/>
    </row>
    <row r="2584" spans="2:8" ht="18" x14ac:dyDescent="0.25">
      <c r="B2584" s="85"/>
      <c r="C2584" s="85"/>
      <c r="D2584" s="85"/>
      <c r="E2584" s="85"/>
      <c r="F2584" s="92"/>
      <c r="G2584" s="85"/>
      <c r="H2584" s="90"/>
    </row>
    <row r="2585" spans="2:8" ht="18" x14ac:dyDescent="0.25">
      <c r="B2585" s="85" t="e">
        <f>+B2570</f>
        <v>#REF!</v>
      </c>
      <c r="C2585" s="344"/>
      <c r="D2585" s="344"/>
      <c r="E2585" s="85" t="e">
        <f>+B2585</f>
        <v>#REF!</v>
      </c>
      <c r="F2585" s="92"/>
      <c r="G2585" s="85"/>
      <c r="H2585" s="90"/>
    </row>
    <row r="2586" spans="2:8" ht="18" x14ac:dyDescent="0.25">
      <c r="C2586" s="85"/>
      <c r="D2586" s="85"/>
      <c r="F2586" s="344"/>
      <c r="G2586" s="344"/>
      <c r="H2586" s="344"/>
    </row>
    <row r="2587" spans="2:8" ht="18" x14ac:dyDescent="0.25">
      <c r="B2587" s="85" t="str">
        <f>+$E$1</f>
        <v>Lima 461 C:A:B:A:</v>
      </c>
      <c r="C2587" s="85"/>
      <c r="D2587" s="93" t="str">
        <f>+H2571</f>
        <v>Unid. 69</v>
      </c>
      <c r="E2587" s="85" t="str">
        <f>+$E$1</f>
        <v>Lima 461 C:A:B:A:</v>
      </c>
      <c r="F2587" s="85"/>
      <c r="G2587" s="85"/>
      <c r="H2587" s="90" t="str">
        <f>+D2587</f>
        <v>Unid. 69</v>
      </c>
    </row>
    <row r="2588" spans="2:8" ht="18" x14ac:dyDescent="0.25">
      <c r="H2588" s="94"/>
    </row>
    <row r="2589" spans="2:8" ht="18" x14ac:dyDescent="0.25">
      <c r="B2589" s="86"/>
      <c r="C2589" s="86"/>
      <c r="D2589" s="86"/>
      <c r="E2589" s="86"/>
      <c r="F2589" s="85"/>
      <c r="G2589" s="85"/>
    </row>
    <row r="2590" spans="2:8" ht="18" x14ac:dyDescent="0.25">
      <c r="B2590" s="85">
        <f>+$E$2</f>
        <v>0</v>
      </c>
      <c r="C2590" s="85"/>
      <c r="D2590" s="85"/>
      <c r="E2590" s="85"/>
      <c r="F2590" s="85"/>
      <c r="G2590" s="86"/>
      <c r="H2590" s="94"/>
    </row>
    <row r="2591" spans="2:8" ht="18" x14ac:dyDescent="0.25">
      <c r="B2591" s="85">
        <f>+$E$3</f>
        <v>0</v>
      </c>
      <c r="C2591" s="85"/>
      <c r="D2591" s="85"/>
      <c r="E2591" s="96"/>
      <c r="F2591" s="85"/>
      <c r="G2591" s="94"/>
      <c r="H2591" s="90"/>
    </row>
    <row r="2592" spans="2:8" ht="18" x14ac:dyDescent="0.25">
      <c r="C2592" s="85"/>
      <c r="D2592" s="85"/>
      <c r="E2592" s="85" t="s">
        <v>200</v>
      </c>
      <c r="F2592" s="106" t="e">
        <f>+F2575</f>
        <v>#REF!</v>
      </c>
      <c r="H2592" s="99">
        <f>+B2597</f>
        <v>46037</v>
      </c>
    </row>
    <row r="2593" spans="2:8" ht="18" x14ac:dyDescent="0.25">
      <c r="B2593" s="86"/>
      <c r="C2593" s="85"/>
      <c r="D2593" s="85"/>
      <c r="E2593" s="85" t="s">
        <v>201</v>
      </c>
      <c r="F2593" s="106" t="e">
        <f>+F2576</f>
        <v>#REF!</v>
      </c>
    </row>
    <row r="2594" spans="2:8" ht="18" x14ac:dyDescent="0.25">
      <c r="B2594" s="86"/>
      <c r="C2594" s="85"/>
      <c r="D2594" s="85"/>
      <c r="E2594" s="85" t="s">
        <v>81</v>
      </c>
      <c r="F2594" s="106" t="e">
        <f>+F2577</f>
        <v>#REF!</v>
      </c>
      <c r="G2594" s="85"/>
      <c r="H2594" s="90"/>
    </row>
    <row r="2595" spans="2:8" ht="18" x14ac:dyDescent="0.25">
      <c r="B2595" s="85"/>
      <c r="C2595" s="85"/>
      <c r="D2595" s="85"/>
      <c r="E2595" s="85" t="s">
        <v>82</v>
      </c>
      <c r="F2595" s="106" t="e">
        <f>+F2578</f>
        <v>#REF!</v>
      </c>
      <c r="G2595" s="85"/>
      <c r="H2595" s="90"/>
    </row>
    <row r="2596" spans="2:8" ht="18" x14ac:dyDescent="0.25">
      <c r="B2596" s="96"/>
      <c r="C2596" s="96"/>
      <c r="D2596" s="96"/>
      <c r="E2596" s="85" t="s">
        <v>188</v>
      </c>
      <c r="F2596" s="106">
        <v>0</v>
      </c>
      <c r="G2596" s="85"/>
      <c r="H2596" s="90"/>
    </row>
    <row r="2597" spans="2:8" ht="18" x14ac:dyDescent="0.25">
      <c r="B2597" s="99">
        <f>+$G$30</f>
        <v>46037</v>
      </c>
      <c r="C2597" s="105" t="e">
        <f>+F2579</f>
        <v>#REF!</v>
      </c>
      <c r="D2597" s="85"/>
      <c r="E2597" s="85" t="s">
        <v>83</v>
      </c>
      <c r="F2597" s="106" t="e">
        <f>+F2579</f>
        <v>#REF!</v>
      </c>
      <c r="G2597" s="85"/>
      <c r="H2597" s="90"/>
    </row>
    <row r="2598" spans="2:8" ht="18" x14ac:dyDescent="0.25">
      <c r="B2598" s="85"/>
      <c r="C2598" s="85"/>
      <c r="D2598" s="85"/>
      <c r="E2598" s="85"/>
      <c r="F2598" s="85"/>
      <c r="G2598" s="85"/>
      <c r="H2598" s="90"/>
    </row>
    <row r="2599" spans="2:8" ht="18" x14ac:dyDescent="0.25">
      <c r="B2599" s="85"/>
      <c r="C2599" s="85"/>
      <c r="D2599" s="85"/>
      <c r="E2599" s="85"/>
      <c r="F2599" s="85"/>
      <c r="G2599" s="345"/>
      <c r="H2599" s="345"/>
    </row>
    <row r="2600" spans="2:8" ht="18" x14ac:dyDescent="0.25">
      <c r="B2600" s="85"/>
      <c r="C2600" s="85"/>
      <c r="D2600" s="85"/>
      <c r="E2600" s="85"/>
      <c r="F2600" s="85"/>
      <c r="G2600" s="85"/>
      <c r="H2600" s="90"/>
    </row>
    <row r="2601" spans="2:8" ht="18" x14ac:dyDescent="0.25">
      <c r="B2601" s="85"/>
      <c r="C2601" s="85"/>
      <c r="D2601" s="85"/>
      <c r="E2601" s="85"/>
      <c r="F2601" s="85"/>
      <c r="G2601" s="85"/>
      <c r="H2601" s="90"/>
    </row>
    <row r="2602" spans="2:8" ht="18" x14ac:dyDescent="0.25">
      <c r="B2602" s="85"/>
      <c r="C2602" s="85"/>
      <c r="D2602" s="85"/>
      <c r="E2602" s="85"/>
      <c r="F2602" s="85"/>
      <c r="G2602" s="85"/>
      <c r="H2602" s="90"/>
    </row>
    <row r="2603" spans="2:8" ht="18" x14ac:dyDescent="0.25">
      <c r="B2603" s="85"/>
      <c r="C2603" s="85"/>
      <c r="D2603" s="85"/>
      <c r="E2603" s="85"/>
      <c r="F2603" s="85"/>
      <c r="G2603" s="85"/>
      <c r="H2603" s="90"/>
    </row>
    <row r="2604" spans="2:8" ht="18" x14ac:dyDescent="0.25">
      <c r="B2604" s="85"/>
      <c r="C2604" s="85"/>
      <c r="D2604" s="85"/>
      <c r="E2604" s="85"/>
      <c r="F2604" s="85"/>
      <c r="H2604" s="90"/>
    </row>
    <row r="2605" spans="2:8" ht="18" x14ac:dyDescent="0.25">
      <c r="B2605" s="343"/>
      <c r="C2605" s="343"/>
      <c r="D2605" s="343"/>
      <c r="E2605" s="85"/>
      <c r="F2605" s="85"/>
      <c r="H2605" s="90"/>
    </row>
    <row r="2606" spans="2:8" ht="18" x14ac:dyDescent="0.25">
      <c r="B2606" s="343"/>
      <c r="C2606" s="343"/>
      <c r="D2606" s="343"/>
      <c r="E2606" s="98">
        <f>+$B$1</f>
        <v>46143</v>
      </c>
      <c r="F2606" s="85"/>
      <c r="G2606" s="99">
        <f>+$D$1</f>
        <v>46037</v>
      </c>
      <c r="H2606" s="160"/>
    </row>
    <row r="2607" spans="2:8" ht="18" x14ac:dyDescent="0.25">
      <c r="B2607" s="84"/>
      <c r="C2607" s="84"/>
      <c r="D2607" s="100"/>
      <c r="E2607" s="98"/>
      <c r="F2607" s="85"/>
    </row>
    <row r="2608" spans="2:8" ht="18" x14ac:dyDescent="0.25">
      <c r="B2608" s="85" t="e">
        <f>+#REF!</f>
        <v>#REF!</v>
      </c>
      <c r="C2608" s="85"/>
      <c r="D2608" s="85"/>
      <c r="F2608" s="85"/>
    </row>
    <row r="2609" spans="2:8" ht="18" x14ac:dyDescent="0.25">
      <c r="C2609" s="85"/>
      <c r="D2609" s="85"/>
      <c r="E2609" s="85" t="str">
        <f>+$E$1</f>
        <v>Lima 461 C:A:B:A:</v>
      </c>
      <c r="F2609" s="85"/>
      <c r="H2609" s="90" t="s">
        <v>153</v>
      </c>
    </row>
    <row r="2610" spans="2:8" ht="18" x14ac:dyDescent="0.25">
      <c r="B2610" s="85"/>
      <c r="C2610" s="85"/>
      <c r="D2610" s="85"/>
      <c r="E2610" s="86"/>
      <c r="F2610" s="86"/>
      <c r="G2610" s="85"/>
      <c r="H2610" s="94"/>
    </row>
    <row r="2611" spans="2:8" ht="18" x14ac:dyDescent="0.25">
      <c r="B2611" s="85"/>
      <c r="C2611" s="85"/>
      <c r="D2611" s="85"/>
      <c r="E2611" s="86"/>
      <c r="F2611" s="86"/>
      <c r="G2611" s="85"/>
      <c r="H2611" s="94"/>
    </row>
    <row r="2612" spans="2:8" ht="18" x14ac:dyDescent="0.25">
      <c r="B2612" s="94"/>
      <c r="C2612" s="85"/>
      <c r="D2612" s="94"/>
      <c r="E2612" s="85"/>
      <c r="F2612" s="85"/>
      <c r="G2612" s="85"/>
      <c r="H2612" s="90"/>
    </row>
    <row r="2613" spans="2:8" ht="18" x14ac:dyDescent="0.25">
      <c r="B2613" s="85" t="s">
        <v>198</v>
      </c>
      <c r="C2613" s="85"/>
      <c r="D2613" s="107">
        <f>+'RES CUENTA'!$L$25</f>
        <v>10859801.41</v>
      </c>
      <c r="E2613" s="108" t="e">
        <f>+'RES CUENTA'!#REF!</f>
        <v>#REF!</v>
      </c>
      <c r="F2613" s="103" t="e">
        <f>+D2613*E2613/100</f>
        <v>#REF!</v>
      </c>
      <c r="G2613" s="85"/>
      <c r="H2613" s="94"/>
    </row>
    <row r="2614" spans="2:8" ht="18" x14ac:dyDescent="0.25">
      <c r="B2614" s="85" t="s">
        <v>199</v>
      </c>
      <c r="C2614" s="85"/>
      <c r="D2614" s="107" t="e">
        <f>+'RES CUENTA'!#REF!</f>
        <v>#REF!</v>
      </c>
      <c r="E2614" s="108" t="e">
        <f>+'RES CUENTA'!#REF!</f>
        <v>#REF!</v>
      </c>
      <c r="F2614" s="103" t="e">
        <f>+D2614*E2614/100</f>
        <v>#REF!</v>
      </c>
      <c r="G2614" s="94"/>
      <c r="H2614" s="89"/>
    </row>
    <row r="2615" spans="2:8" ht="18" x14ac:dyDescent="0.25">
      <c r="B2615" s="85" t="s">
        <v>79</v>
      </c>
      <c r="C2615" s="85"/>
      <c r="D2615" s="107" t="e">
        <f>+'RES CUENTA'!#REF!</f>
        <v>#REF!</v>
      </c>
      <c r="E2615" s="108">
        <f>+'RES CUENTA'!P1740</f>
        <v>0</v>
      </c>
      <c r="F2615" s="103" t="e">
        <f>+D2615</f>
        <v>#REF!</v>
      </c>
      <c r="G2615" s="89"/>
      <c r="H2615" s="89"/>
    </row>
    <row r="2616" spans="2:8" ht="18" x14ac:dyDescent="0.25">
      <c r="B2616" s="85" t="s">
        <v>80</v>
      </c>
      <c r="C2616" s="85"/>
      <c r="D2616" s="107" t="e">
        <f>+'RES CUENTA'!#REF!</f>
        <v>#REF!</v>
      </c>
      <c r="E2616" s="108">
        <f>+'RES CUENTA'!R1735</f>
        <v>0</v>
      </c>
      <c r="F2616" s="103" t="e">
        <f>+D2616</f>
        <v>#REF!</v>
      </c>
      <c r="G2616" s="89"/>
      <c r="H2616" s="89"/>
    </row>
    <row r="2617" spans="2:8" ht="18" x14ac:dyDescent="0.25">
      <c r="B2617" s="86"/>
      <c r="C2617" s="85"/>
      <c r="D2617" s="85"/>
      <c r="F2617" s="104" t="e">
        <f>SUM(F2613:F2616)</f>
        <v>#REF!</v>
      </c>
      <c r="G2617" s="89"/>
      <c r="H2617" s="89"/>
    </row>
    <row r="2618" spans="2:8" ht="18" x14ac:dyDescent="0.25">
      <c r="B2618" s="86"/>
      <c r="C2618" s="85"/>
      <c r="D2618" s="85"/>
      <c r="F2618" s="104"/>
      <c r="G2618" s="89"/>
      <c r="H2618" s="89"/>
    </row>
    <row r="2619" spans="2:8" ht="18" x14ac:dyDescent="0.25">
      <c r="B2619" s="85"/>
      <c r="C2619" s="85"/>
      <c r="D2619" s="85"/>
      <c r="E2619" s="85"/>
      <c r="F2619" s="92"/>
      <c r="G2619" s="90"/>
      <c r="H2619" s="90"/>
    </row>
    <row r="2620" spans="2:8" ht="18" x14ac:dyDescent="0.25">
      <c r="B2620" s="85"/>
      <c r="C2620" s="85"/>
      <c r="D2620" s="85"/>
      <c r="E2620" s="85"/>
      <c r="F2620" s="92"/>
      <c r="G2620" s="90"/>
      <c r="H2620" s="90"/>
    </row>
    <row r="2621" spans="2:8" ht="18" x14ac:dyDescent="0.25">
      <c r="B2621" s="85"/>
      <c r="C2621" s="85"/>
      <c r="D2621" s="85"/>
      <c r="E2621" s="85"/>
      <c r="F2621" s="92"/>
      <c r="G2621" s="90"/>
      <c r="H2621" s="90"/>
    </row>
    <row r="2622" spans="2:8" ht="18" x14ac:dyDescent="0.25">
      <c r="B2622" s="85"/>
      <c r="C2622" s="85"/>
      <c r="D2622" s="85"/>
      <c r="E2622" s="85"/>
      <c r="F2622" s="92"/>
      <c r="G2622" s="90"/>
      <c r="H2622" s="90"/>
    </row>
    <row r="2623" spans="2:8" ht="18" x14ac:dyDescent="0.25">
      <c r="B2623" s="85" t="e">
        <f>+B2608</f>
        <v>#REF!</v>
      </c>
      <c r="C2623" s="85"/>
      <c r="D2623" s="85"/>
      <c r="E2623" s="85" t="e">
        <f>+B2608</f>
        <v>#REF!</v>
      </c>
      <c r="F2623" s="85"/>
      <c r="G2623" s="85"/>
      <c r="H2623" s="94"/>
    </row>
    <row r="2624" spans="2:8" ht="18" x14ac:dyDescent="0.25">
      <c r="B2624" s="86"/>
      <c r="C2624" s="85"/>
      <c r="D2624" s="85"/>
      <c r="F2624" s="85"/>
      <c r="G2624" s="101"/>
      <c r="H2624" s="90" t="str">
        <f>+H2609</f>
        <v>Unid. 70</v>
      </c>
    </row>
    <row r="2625" spans="2:8" ht="18" x14ac:dyDescent="0.25">
      <c r="B2625" s="85" t="str">
        <f>+$E$1</f>
        <v>Lima 461 C:A:B:A:</v>
      </c>
      <c r="C2625" s="85"/>
      <c r="D2625" s="93" t="str">
        <f>+H2624</f>
        <v>Unid. 70</v>
      </c>
      <c r="E2625" s="85" t="str">
        <f>+$E$1</f>
        <v>Lima 461 C:A:B:A:</v>
      </c>
      <c r="F2625" s="85"/>
      <c r="G2625" s="85"/>
      <c r="H2625" s="94"/>
    </row>
    <row r="2626" spans="2:8" ht="18" x14ac:dyDescent="0.25">
      <c r="B2626" s="86"/>
      <c r="C2626" s="86"/>
      <c r="D2626" s="86"/>
      <c r="F2626" s="85"/>
      <c r="G2626" s="85"/>
    </row>
    <row r="2627" spans="2:8" ht="18" x14ac:dyDescent="0.25">
      <c r="B2627" s="85"/>
      <c r="C2627" s="85"/>
      <c r="D2627" s="85"/>
      <c r="E2627" s="86"/>
      <c r="F2627" s="85"/>
      <c r="G2627" s="85"/>
      <c r="H2627" s="94"/>
    </row>
    <row r="2628" spans="2:8" ht="18" x14ac:dyDescent="0.25">
      <c r="B2628" s="85">
        <f>+$E$2</f>
        <v>0</v>
      </c>
      <c r="C2628" s="85"/>
      <c r="D2628" s="85"/>
      <c r="E2628" s="85"/>
      <c r="F2628" s="96"/>
      <c r="G2628" s="86"/>
      <c r="H2628" s="90"/>
    </row>
    <row r="2629" spans="2:8" ht="18" x14ac:dyDescent="0.25">
      <c r="B2629" s="85">
        <f>+$E$3</f>
        <v>0</v>
      </c>
      <c r="C2629" s="85"/>
      <c r="D2629" s="85"/>
      <c r="E2629" s="96"/>
      <c r="G2629" s="94"/>
      <c r="H2629" s="96"/>
    </row>
    <row r="2630" spans="2:8" ht="18" x14ac:dyDescent="0.25">
      <c r="B2630" s="86"/>
      <c r="C2630" s="85"/>
      <c r="D2630" s="85"/>
      <c r="E2630" s="85" t="s">
        <v>200</v>
      </c>
      <c r="F2630" s="106" t="e">
        <f>+F2613</f>
        <v>#REF!</v>
      </c>
      <c r="G2630" s="95"/>
      <c r="H2630" s="99">
        <f>+B2634</f>
        <v>46037</v>
      </c>
    </row>
    <row r="2631" spans="2:8" ht="18" x14ac:dyDescent="0.25">
      <c r="B2631" s="86"/>
      <c r="C2631" s="85"/>
      <c r="D2631" s="85"/>
      <c r="E2631" s="85" t="s">
        <v>201</v>
      </c>
      <c r="F2631" s="106" t="e">
        <f>+F2614</f>
        <v>#REF!</v>
      </c>
      <c r="H2631" s="90"/>
    </row>
    <row r="2632" spans="2:8" ht="18" x14ac:dyDescent="0.25">
      <c r="B2632" s="85"/>
      <c r="C2632" s="85"/>
      <c r="D2632" s="85"/>
      <c r="E2632" s="85" t="s">
        <v>81</v>
      </c>
      <c r="F2632" s="106" t="e">
        <f>+F2615</f>
        <v>#REF!</v>
      </c>
      <c r="G2632" s="85"/>
      <c r="H2632" s="90"/>
    </row>
    <row r="2633" spans="2:8" ht="18" x14ac:dyDescent="0.25">
      <c r="B2633" s="96"/>
      <c r="C2633" s="96"/>
      <c r="D2633" s="96"/>
      <c r="E2633" s="85" t="s">
        <v>82</v>
      </c>
      <c r="F2633" s="106" t="e">
        <f>+F2616</f>
        <v>#REF!</v>
      </c>
      <c r="G2633" s="85"/>
      <c r="H2633" s="90"/>
    </row>
    <row r="2634" spans="2:8" ht="18" x14ac:dyDescent="0.25">
      <c r="B2634" s="99">
        <f>+$G$30</f>
        <v>46037</v>
      </c>
      <c r="C2634" s="105" t="e">
        <f>+F2617</f>
        <v>#REF!</v>
      </c>
      <c r="D2634" s="85"/>
      <c r="E2634" s="85" t="s">
        <v>188</v>
      </c>
      <c r="F2634" s="106">
        <v>0</v>
      </c>
      <c r="G2634" s="85"/>
      <c r="H2634" s="90"/>
    </row>
    <row r="2635" spans="2:8" ht="18" x14ac:dyDescent="0.25">
      <c r="B2635" s="85"/>
      <c r="C2635" s="85"/>
      <c r="D2635" s="85"/>
      <c r="E2635" s="85" t="s">
        <v>83</v>
      </c>
      <c r="F2635" s="106" t="e">
        <f>+F2617</f>
        <v>#REF!</v>
      </c>
      <c r="G2635" s="85"/>
      <c r="H2635" s="90"/>
    </row>
    <row r="2636" spans="2:8" ht="18" x14ac:dyDescent="0.25">
      <c r="B2636" s="85"/>
      <c r="C2636" s="85"/>
      <c r="D2636" s="85"/>
      <c r="E2636" s="85"/>
      <c r="F2636" s="85"/>
      <c r="G2636" s="85"/>
      <c r="H2636" s="90"/>
    </row>
    <row r="2637" spans="2:8" ht="18" x14ac:dyDescent="0.25">
      <c r="B2637" s="85"/>
      <c r="C2637" s="85"/>
      <c r="D2637" s="85"/>
      <c r="E2637" s="102"/>
      <c r="F2637" s="85"/>
      <c r="G2637" s="85"/>
      <c r="H2637" s="90"/>
    </row>
    <row r="2638" spans="2:8" ht="18" x14ac:dyDescent="0.25">
      <c r="B2638" s="85"/>
      <c r="C2638" s="85"/>
      <c r="D2638" s="85"/>
      <c r="E2638" s="85"/>
      <c r="F2638" s="85"/>
      <c r="G2638" s="85"/>
      <c r="H2638" s="94"/>
    </row>
    <row r="2639" spans="2:8" ht="18" x14ac:dyDescent="0.25">
      <c r="E2639" s="85"/>
      <c r="G2639" s="94"/>
      <c r="H2639" s="90"/>
    </row>
    <row r="2641" spans="2:8" ht="18" x14ac:dyDescent="0.25">
      <c r="B2641" s="343"/>
      <c r="C2641" s="343"/>
      <c r="D2641" s="343"/>
      <c r="E2641" s="342">
        <f>+$B$1</f>
        <v>46143</v>
      </c>
      <c r="F2641" s="85"/>
      <c r="G2641" s="337">
        <f>+$D$1</f>
        <v>46037</v>
      </c>
      <c r="H2641" s="90"/>
    </row>
    <row r="2642" spans="2:8" ht="18" x14ac:dyDescent="0.25">
      <c r="B2642" s="84"/>
      <c r="C2642" s="84"/>
      <c r="D2642" s="100"/>
      <c r="E2642" s="342"/>
      <c r="F2642" s="85"/>
      <c r="G2642" s="337"/>
      <c r="H2642" s="90"/>
    </row>
    <row r="2643" spans="2:8" ht="18" x14ac:dyDescent="0.25">
      <c r="B2643" s="85"/>
      <c r="C2643" s="85"/>
      <c r="D2643" s="85"/>
      <c r="E2643" s="86"/>
      <c r="F2643" s="85"/>
      <c r="G2643" s="86"/>
      <c r="H2643" s="90"/>
    </row>
    <row r="2644" spans="2:8" ht="18" x14ac:dyDescent="0.25">
      <c r="B2644" s="85" t="e">
        <f>+#REF!</f>
        <v>#REF!</v>
      </c>
      <c r="C2644" s="85"/>
      <c r="D2644" s="85"/>
      <c r="E2644" s="86"/>
      <c r="F2644" s="85"/>
      <c r="G2644" s="86"/>
      <c r="H2644" s="90"/>
    </row>
    <row r="2645" spans="2:8" ht="18" x14ac:dyDescent="0.25">
      <c r="B2645" s="86"/>
      <c r="C2645" s="85"/>
      <c r="D2645" s="85"/>
      <c r="E2645" s="85" t="s">
        <v>78</v>
      </c>
      <c r="F2645" s="85"/>
      <c r="G2645" s="85"/>
      <c r="H2645" s="90" t="s">
        <v>154</v>
      </c>
    </row>
    <row r="2646" spans="2:8" ht="18" x14ac:dyDescent="0.25">
      <c r="B2646" s="85"/>
      <c r="C2646" s="85"/>
      <c r="D2646" s="85"/>
      <c r="E2646" s="86"/>
      <c r="F2646" s="86"/>
      <c r="G2646" s="85"/>
      <c r="H2646" s="94"/>
    </row>
    <row r="2647" spans="2:8" ht="18" x14ac:dyDescent="0.25">
      <c r="B2647" s="94"/>
      <c r="C2647" s="85"/>
      <c r="D2647" s="94"/>
      <c r="E2647" s="85"/>
      <c r="F2647" s="85"/>
      <c r="G2647" s="85"/>
      <c r="H2647" s="90"/>
    </row>
    <row r="2648" spans="2:8" ht="18" x14ac:dyDescent="0.25">
      <c r="B2648" s="94"/>
      <c r="C2648" s="85"/>
      <c r="D2648" s="94"/>
      <c r="E2648" s="85"/>
      <c r="F2648" s="85"/>
      <c r="G2648" s="85"/>
      <c r="H2648" s="90"/>
    </row>
    <row r="2649" spans="2:8" ht="18" x14ac:dyDescent="0.25">
      <c r="B2649" s="85" t="s">
        <v>198</v>
      </c>
      <c r="C2649" s="85"/>
      <c r="D2649" s="107">
        <f>+'RES CUENTA'!$L$25</f>
        <v>10859801.41</v>
      </c>
      <c r="E2649" s="108" t="e">
        <f>+'RES CUENTA'!#REF!</f>
        <v>#REF!</v>
      </c>
      <c r="F2649" s="103" t="e">
        <f>+D2649*E2649/100</f>
        <v>#REF!</v>
      </c>
      <c r="G2649" s="345"/>
      <c r="H2649" s="345"/>
    </row>
    <row r="2650" spans="2:8" ht="18" x14ac:dyDescent="0.25">
      <c r="B2650" s="85" t="s">
        <v>199</v>
      </c>
      <c r="C2650" s="85"/>
      <c r="D2650" s="107" t="e">
        <f>+'RES CUENTA'!#REF!</f>
        <v>#REF!</v>
      </c>
      <c r="E2650" s="108" t="e">
        <f>+'RES CUENTA'!#REF!</f>
        <v>#REF!</v>
      </c>
      <c r="F2650" s="103" t="e">
        <f>+D2650*E2650/100</f>
        <v>#REF!</v>
      </c>
      <c r="G2650" s="341"/>
      <c r="H2650" s="341"/>
    </row>
    <row r="2651" spans="2:8" ht="18" x14ac:dyDescent="0.25">
      <c r="B2651" s="85" t="s">
        <v>79</v>
      </c>
      <c r="C2651" s="85"/>
      <c r="D2651" s="107" t="e">
        <f>+'RES CUENTA'!#REF!</f>
        <v>#REF!</v>
      </c>
      <c r="E2651" s="108">
        <v>0</v>
      </c>
      <c r="F2651" s="103" t="e">
        <f>+D2651</f>
        <v>#REF!</v>
      </c>
      <c r="G2651" s="341"/>
      <c r="H2651" s="341"/>
    </row>
    <row r="2652" spans="2:8" ht="18" x14ac:dyDescent="0.25">
      <c r="B2652" s="85" t="s">
        <v>80</v>
      </c>
      <c r="C2652" s="85"/>
      <c r="D2652" s="107" t="e">
        <f>+'RES CUENTA'!#REF!</f>
        <v>#REF!</v>
      </c>
      <c r="E2652" s="108">
        <v>0</v>
      </c>
      <c r="F2652" s="103" t="e">
        <f>+D2652</f>
        <v>#REF!</v>
      </c>
      <c r="G2652" s="341"/>
      <c r="H2652" s="341"/>
    </row>
    <row r="2653" spans="2:8" ht="18" x14ac:dyDescent="0.25">
      <c r="B2653" s="86"/>
      <c r="C2653" s="85"/>
      <c r="D2653" s="85"/>
      <c r="E2653" s="92"/>
      <c r="F2653" s="104" t="e">
        <f>SUM(F2649:F2652)</f>
        <v>#REF!</v>
      </c>
      <c r="G2653" s="341"/>
      <c r="H2653" s="341"/>
    </row>
    <row r="2654" spans="2:8" ht="18" x14ac:dyDescent="0.25">
      <c r="B2654" s="86"/>
      <c r="C2654" s="85"/>
      <c r="D2654" s="85"/>
      <c r="E2654" s="92"/>
      <c r="F2654" s="104"/>
      <c r="G2654" s="89"/>
      <c r="H2654" s="89"/>
    </row>
    <row r="2655" spans="2:8" ht="18" x14ac:dyDescent="0.25">
      <c r="B2655" s="86"/>
      <c r="C2655" s="85"/>
      <c r="D2655" s="85"/>
      <c r="E2655" s="85"/>
      <c r="G2655" s="338"/>
      <c r="H2655" s="338"/>
    </row>
    <row r="2656" spans="2:8" ht="18" x14ac:dyDescent="0.25">
      <c r="B2656" s="85"/>
      <c r="C2656" s="85"/>
      <c r="D2656" s="85"/>
      <c r="E2656" s="85"/>
      <c r="F2656" s="91"/>
      <c r="G2656" s="90"/>
      <c r="H2656" s="90"/>
    </row>
    <row r="2657" spans="2:8" ht="18" x14ac:dyDescent="0.25">
      <c r="B2657" s="85"/>
      <c r="C2657" s="85"/>
      <c r="D2657" s="85"/>
      <c r="E2657" s="85"/>
      <c r="F2657" s="92"/>
      <c r="G2657" s="85"/>
      <c r="H2657" s="90"/>
    </row>
    <row r="2658" spans="2:8" ht="18" x14ac:dyDescent="0.25">
      <c r="B2658" s="85"/>
      <c r="C2658" s="85"/>
      <c r="D2658" s="85"/>
      <c r="E2658" s="85"/>
      <c r="F2658" s="92"/>
      <c r="G2658" s="85"/>
      <c r="H2658" s="90"/>
    </row>
    <row r="2659" spans="2:8" ht="18" x14ac:dyDescent="0.25">
      <c r="B2659" s="85" t="e">
        <f>+B2644</f>
        <v>#REF!</v>
      </c>
      <c r="C2659" s="344"/>
      <c r="D2659" s="344"/>
      <c r="E2659" s="85" t="e">
        <f>+B2659</f>
        <v>#REF!</v>
      </c>
      <c r="F2659" s="92"/>
      <c r="G2659" s="85"/>
      <c r="H2659" s="90"/>
    </row>
    <row r="2660" spans="2:8" ht="18" x14ac:dyDescent="0.25">
      <c r="C2660" s="85"/>
      <c r="D2660" s="85"/>
      <c r="F2660" s="344"/>
      <c r="G2660" s="344"/>
      <c r="H2660" s="344"/>
    </row>
    <row r="2661" spans="2:8" ht="18" x14ac:dyDescent="0.25">
      <c r="B2661" s="85" t="str">
        <f>+$E$1</f>
        <v>Lima 461 C:A:B:A:</v>
      </c>
      <c r="C2661" s="85"/>
      <c r="D2661" s="93" t="str">
        <f>+H2645</f>
        <v>Unid. 71</v>
      </c>
      <c r="E2661" s="85" t="str">
        <f>+$E$1</f>
        <v>Lima 461 C:A:B:A:</v>
      </c>
      <c r="F2661" s="85"/>
      <c r="G2661" s="85"/>
      <c r="H2661" s="90" t="str">
        <f>+D2661</f>
        <v>Unid. 71</v>
      </c>
    </row>
    <row r="2662" spans="2:8" ht="18" x14ac:dyDescent="0.25">
      <c r="H2662" s="94"/>
    </row>
    <row r="2663" spans="2:8" ht="18" x14ac:dyDescent="0.25">
      <c r="B2663" s="86"/>
      <c r="C2663" s="86"/>
      <c r="D2663" s="86"/>
      <c r="E2663" s="86"/>
      <c r="F2663" s="85"/>
      <c r="G2663" s="85"/>
    </row>
    <row r="2664" spans="2:8" ht="18" x14ac:dyDescent="0.25">
      <c r="B2664" s="85">
        <f>+$E$2</f>
        <v>0</v>
      </c>
      <c r="C2664" s="85"/>
      <c r="D2664" s="85"/>
      <c r="E2664" s="85"/>
      <c r="F2664" s="85"/>
      <c r="G2664" s="86"/>
      <c r="H2664" s="94"/>
    </row>
    <row r="2665" spans="2:8" ht="18" x14ac:dyDescent="0.25">
      <c r="B2665" s="85">
        <f>+$E$3</f>
        <v>0</v>
      </c>
      <c r="C2665" s="85"/>
      <c r="D2665" s="85"/>
      <c r="E2665" s="96"/>
      <c r="F2665" s="85"/>
      <c r="G2665" s="94"/>
      <c r="H2665" s="90"/>
    </row>
    <row r="2666" spans="2:8" ht="18" x14ac:dyDescent="0.25">
      <c r="C2666" s="85"/>
      <c r="D2666" s="85"/>
      <c r="E2666" s="85" t="s">
        <v>200</v>
      </c>
      <c r="F2666" s="106" t="e">
        <f>+F2649</f>
        <v>#REF!</v>
      </c>
      <c r="H2666" s="99">
        <f>+B2671</f>
        <v>46037</v>
      </c>
    </row>
    <row r="2667" spans="2:8" ht="18" x14ac:dyDescent="0.25">
      <c r="B2667" s="86"/>
      <c r="C2667" s="85"/>
      <c r="D2667" s="85"/>
      <c r="E2667" s="85" t="s">
        <v>201</v>
      </c>
      <c r="F2667" s="106" t="e">
        <f>+F2650</f>
        <v>#REF!</v>
      </c>
    </row>
    <row r="2668" spans="2:8" ht="18" x14ac:dyDescent="0.25">
      <c r="B2668" s="86"/>
      <c r="C2668" s="85"/>
      <c r="D2668" s="85"/>
      <c r="E2668" s="85" t="s">
        <v>81</v>
      </c>
      <c r="F2668" s="106" t="e">
        <f>+F2651</f>
        <v>#REF!</v>
      </c>
      <c r="G2668" s="85"/>
      <c r="H2668" s="90"/>
    </row>
    <row r="2669" spans="2:8" ht="18" x14ac:dyDescent="0.25">
      <c r="B2669" s="85"/>
      <c r="C2669" s="85"/>
      <c r="D2669" s="85"/>
      <c r="E2669" s="85" t="s">
        <v>82</v>
      </c>
      <c r="F2669" s="106" t="e">
        <f>+F2652</f>
        <v>#REF!</v>
      </c>
      <c r="G2669" s="85"/>
      <c r="H2669" s="90"/>
    </row>
    <row r="2670" spans="2:8" ht="18" x14ac:dyDescent="0.25">
      <c r="B2670" s="96"/>
      <c r="C2670" s="96"/>
      <c r="D2670" s="96"/>
      <c r="E2670" s="85" t="s">
        <v>188</v>
      </c>
      <c r="F2670" s="106">
        <v>0</v>
      </c>
      <c r="G2670" s="85"/>
      <c r="H2670" s="90"/>
    </row>
    <row r="2671" spans="2:8" ht="18" x14ac:dyDescent="0.25">
      <c r="B2671" s="99">
        <f>+$G$30</f>
        <v>46037</v>
      </c>
      <c r="C2671" s="105" t="e">
        <f>+F2653</f>
        <v>#REF!</v>
      </c>
      <c r="D2671" s="85"/>
      <c r="E2671" s="85" t="s">
        <v>83</v>
      </c>
      <c r="F2671" s="106" t="e">
        <f>+F2653</f>
        <v>#REF!</v>
      </c>
      <c r="G2671" s="85"/>
      <c r="H2671" s="90"/>
    </row>
    <row r="2672" spans="2:8" ht="18" x14ac:dyDescent="0.25">
      <c r="B2672" s="85"/>
      <c r="C2672" s="85"/>
      <c r="D2672" s="85"/>
      <c r="E2672" s="85"/>
      <c r="F2672" s="85"/>
      <c r="G2672" s="85"/>
      <c r="H2672" s="90"/>
    </row>
    <row r="2673" spans="2:8" ht="18" x14ac:dyDescent="0.25">
      <c r="B2673" s="85"/>
      <c r="C2673" s="85"/>
      <c r="D2673" s="85"/>
      <c r="E2673" s="85"/>
      <c r="F2673" s="85"/>
      <c r="G2673" s="345"/>
      <c r="H2673" s="345"/>
    </row>
    <row r="2674" spans="2:8" ht="18" x14ac:dyDescent="0.25">
      <c r="B2674" s="85"/>
      <c r="C2674" s="85"/>
      <c r="D2674" s="85"/>
      <c r="E2674" s="85"/>
      <c r="F2674" s="85"/>
      <c r="G2674" s="85"/>
      <c r="H2674" s="90"/>
    </row>
    <row r="2675" spans="2:8" ht="18" x14ac:dyDescent="0.25">
      <c r="B2675" s="85"/>
      <c r="C2675" s="85"/>
      <c r="D2675" s="85"/>
      <c r="E2675" s="85"/>
      <c r="F2675" s="85"/>
      <c r="G2675" s="85"/>
      <c r="H2675" s="90"/>
    </row>
    <row r="2676" spans="2:8" ht="18" x14ac:dyDescent="0.25">
      <c r="B2676" s="85"/>
      <c r="C2676" s="85"/>
      <c r="D2676" s="85"/>
      <c r="E2676" s="85"/>
      <c r="F2676" s="85"/>
      <c r="G2676" s="85"/>
      <c r="H2676" s="90"/>
    </row>
    <row r="2677" spans="2:8" ht="18" x14ac:dyDescent="0.25">
      <c r="B2677" s="85"/>
      <c r="C2677" s="85"/>
      <c r="D2677" s="85"/>
      <c r="E2677" s="85"/>
      <c r="F2677" s="85"/>
      <c r="H2677" s="90"/>
    </row>
    <row r="2678" spans="2:8" ht="18" x14ac:dyDescent="0.25">
      <c r="B2678" s="85"/>
      <c r="C2678" s="85"/>
      <c r="D2678" s="85"/>
      <c r="E2678" s="85"/>
      <c r="F2678" s="85"/>
      <c r="H2678" s="90"/>
    </row>
    <row r="2679" spans="2:8" ht="18" x14ac:dyDescent="0.25">
      <c r="B2679" s="343"/>
      <c r="C2679" s="343"/>
      <c r="D2679" s="343"/>
      <c r="E2679" s="85"/>
      <c r="F2679" s="85"/>
      <c r="H2679" s="90"/>
    </row>
    <row r="2680" spans="2:8" ht="18" x14ac:dyDescent="0.25">
      <c r="B2680" s="343"/>
      <c r="C2680" s="343"/>
      <c r="D2680" s="343"/>
      <c r="E2680" s="98">
        <f>+$B$1</f>
        <v>46143</v>
      </c>
      <c r="F2680" s="85"/>
      <c r="G2680" s="99">
        <f>+$D$1</f>
        <v>46037</v>
      </c>
      <c r="H2680" s="160"/>
    </row>
    <row r="2681" spans="2:8" ht="18" x14ac:dyDescent="0.25">
      <c r="B2681" s="84"/>
      <c r="C2681" s="84"/>
      <c r="D2681" s="100"/>
      <c r="E2681" s="98"/>
      <c r="F2681" s="85"/>
    </row>
    <row r="2682" spans="2:8" ht="18" x14ac:dyDescent="0.25">
      <c r="B2682" s="85" t="e">
        <f>+#REF!</f>
        <v>#REF!</v>
      </c>
      <c r="C2682" s="85"/>
      <c r="D2682" s="85"/>
      <c r="F2682" s="85"/>
    </row>
    <row r="2683" spans="2:8" ht="18" x14ac:dyDescent="0.25">
      <c r="C2683" s="85"/>
      <c r="D2683" s="85"/>
      <c r="E2683" s="85" t="str">
        <f>+$E$1</f>
        <v>Lima 461 C:A:B:A:</v>
      </c>
      <c r="F2683" s="85"/>
      <c r="H2683" s="90" t="s">
        <v>155</v>
      </c>
    </row>
    <row r="2684" spans="2:8" ht="18" x14ac:dyDescent="0.25">
      <c r="B2684" s="86"/>
      <c r="C2684" s="85"/>
      <c r="D2684" s="85"/>
      <c r="F2684" s="85"/>
      <c r="G2684" s="86"/>
    </row>
    <row r="2685" spans="2:8" ht="18" x14ac:dyDescent="0.25">
      <c r="B2685" s="85"/>
      <c r="C2685" s="85"/>
      <c r="D2685" s="85"/>
      <c r="E2685" s="86"/>
      <c r="F2685" s="86"/>
      <c r="G2685" s="85"/>
      <c r="H2685" s="94"/>
    </row>
    <row r="2686" spans="2:8" ht="18" x14ac:dyDescent="0.25">
      <c r="B2686" s="94"/>
      <c r="C2686" s="85"/>
      <c r="D2686" s="94"/>
      <c r="E2686" s="85"/>
      <c r="F2686" s="85"/>
      <c r="G2686" s="85"/>
      <c r="H2686" s="90"/>
    </row>
    <row r="2687" spans="2:8" ht="18" x14ac:dyDescent="0.25">
      <c r="B2687" s="85" t="s">
        <v>198</v>
      </c>
      <c r="C2687" s="85"/>
      <c r="D2687" s="107">
        <f>+'RES CUENTA'!$L$25</f>
        <v>10859801.41</v>
      </c>
      <c r="E2687" s="108" t="e">
        <f>+'RES CUENTA'!#REF!</f>
        <v>#REF!</v>
      </c>
      <c r="F2687" s="103" t="e">
        <f>+D2687*E2687/100</f>
        <v>#REF!</v>
      </c>
      <c r="G2687" s="85"/>
      <c r="H2687" s="94"/>
    </row>
    <row r="2688" spans="2:8" ht="18" x14ac:dyDescent="0.25">
      <c r="B2688" s="85" t="s">
        <v>199</v>
      </c>
      <c r="C2688" s="85"/>
      <c r="D2688" s="107" t="e">
        <f>+'RES CUENTA'!#REF!</f>
        <v>#REF!</v>
      </c>
      <c r="E2688" s="108" t="e">
        <f>+'RES CUENTA'!#REF!</f>
        <v>#REF!</v>
      </c>
      <c r="F2688" s="103" t="e">
        <f>+D2688*E2688/100</f>
        <v>#REF!</v>
      </c>
      <c r="G2688" s="94"/>
      <c r="H2688" s="89"/>
    </row>
    <row r="2689" spans="2:8" ht="18" x14ac:dyDescent="0.25">
      <c r="B2689" s="85" t="s">
        <v>79</v>
      </c>
      <c r="C2689" s="85"/>
      <c r="D2689" s="107" t="e">
        <f>+'RES CUENTA'!#REF!</f>
        <v>#REF!</v>
      </c>
      <c r="E2689" s="108">
        <f>+'RES CUENTA'!P1816</f>
        <v>0</v>
      </c>
      <c r="F2689" s="103" t="e">
        <f>+D2689</f>
        <v>#REF!</v>
      </c>
      <c r="G2689" s="89"/>
      <c r="H2689" s="89"/>
    </row>
    <row r="2690" spans="2:8" ht="18" x14ac:dyDescent="0.25">
      <c r="B2690" s="85" t="s">
        <v>80</v>
      </c>
      <c r="C2690" s="85"/>
      <c r="D2690" s="107" t="e">
        <f>+'RES CUENTA'!#REF!</f>
        <v>#REF!</v>
      </c>
      <c r="E2690" s="108">
        <f>+'RES CUENTA'!R1811</f>
        <v>0</v>
      </c>
      <c r="F2690" s="103" t="e">
        <f>+D2690</f>
        <v>#REF!</v>
      </c>
      <c r="G2690" s="89"/>
      <c r="H2690" s="89"/>
    </row>
    <row r="2691" spans="2:8" ht="18" x14ac:dyDescent="0.25">
      <c r="B2691" s="86"/>
      <c r="C2691" s="85"/>
      <c r="D2691" s="85"/>
      <c r="F2691" s="104" t="e">
        <f>SUM(F2687:F2690)</f>
        <v>#REF!</v>
      </c>
      <c r="G2691" s="89"/>
      <c r="H2691" s="90"/>
    </row>
    <row r="2692" spans="2:8" ht="18" x14ac:dyDescent="0.25">
      <c r="B2692" s="85"/>
      <c r="C2692" s="85"/>
      <c r="D2692" s="85"/>
      <c r="E2692" s="85"/>
      <c r="F2692" s="92"/>
      <c r="G2692" s="90"/>
      <c r="H2692" s="90"/>
    </row>
    <row r="2693" spans="2:8" ht="18" x14ac:dyDescent="0.25">
      <c r="B2693" s="85"/>
      <c r="C2693" s="85"/>
      <c r="D2693" s="85"/>
      <c r="E2693" s="85"/>
      <c r="F2693" s="92"/>
      <c r="G2693" s="90"/>
      <c r="H2693" s="90"/>
    </row>
    <row r="2694" spans="2:8" ht="18" x14ac:dyDescent="0.25">
      <c r="B2694" s="85"/>
      <c r="C2694" s="85"/>
      <c r="D2694" s="85"/>
      <c r="E2694" s="85"/>
      <c r="F2694" s="92"/>
      <c r="G2694" s="90"/>
      <c r="H2694" s="90"/>
    </row>
    <row r="2695" spans="2:8" ht="18" x14ac:dyDescent="0.25">
      <c r="B2695" s="85"/>
      <c r="C2695" s="85"/>
      <c r="D2695" s="85"/>
      <c r="E2695" s="85"/>
      <c r="F2695" s="92"/>
      <c r="G2695" s="90"/>
      <c r="H2695" s="90"/>
    </row>
    <row r="2696" spans="2:8" ht="18" x14ac:dyDescent="0.25">
      <c r="B2696" s="85"/>
      <c r="C2696" s="85"/>
      <c r="D2696" s="85"/>
      <c r="E2696" s="85"/>
      <c r="F2696" s="92"/>
      <c r="G2696" s="90"/>
      <c r="H2696" s="90"/>
    </row>
    <row r="2697" spans="2:8" ht="18" x14ac:dyDescent="0.25">
      <c r="B2697" s="85" t="e">
        <f>+B2682</f>
        <v>#REF!</v>
      </c>
      <c r="C2697" s="85"/>
      <c r="D2697" s="85"/>
      <c r="E2697" s="85" t="e">
        <f>+B2682</f>
        <v>#REF!</v>
      </c>
      <c r="F2697" s="85"/>
      <c r="G2697" s="85"/>
      <c r="H2697" s="94"/>
    </row>
    <row r="2698" spans="2:8" ht="18" x14ac:dyDescent="0.25">
      <c r="B2698" s="86"/>
      <c r="C2698" s="85"/>
      <c r="D2698" s="85"/>
      <c r="F2698" s="85"/>
      <c r="G2698" s="101"/>
      <c r="H2698" s="90" t="str">
        <f>+H2683</f>
        <v>Unid. 72</v>
      </c>
    </row>
    <row r="2699" spans="2:8" ht="18" x14ac:dyDescent="0.25">
      <c r="B2699" s="85" t="str">
        <f>+$E$1</f>
        <v>Lima 461 C:A:B:A:</v>
      </c>
      <c r="C2699" s="85"/>
      <c r="D2699" s="93" t="str">
        <f>+H2698</f>
        <v>Unid. 72</v>
      </c>
      <c r="E2699" s="85" t="str">
        <f>+$E$1</f>
        <v>Lima 461 C:A:B:A:</v>
      </c>
      <c r="F2699" s="85"/>
      <c r="G2699" s="85"/>
      <c r="H2699" s="94"/>
    </row>
    <row r="2700" spans="2:8" ht="18" x14ac:dyDescent="0.25">
      <c r="B2700" s="86"/>
      <c r="C2700" s="86"/>
      <c r="D2700" s="86"/>
      <c r="F2700" s="85"/>
      <c r="G2700" s="85"/>
    </row>
    <row r="2701" spans="2:8" ht="18" x14ac:dyDescent="0.25">
      <c r="B2701" s="85"/>
      <c r="C2701" s="85"/>
      <c r="D2701" s="85"/>
      <c r="E2701" s="86"/>
      <c r="F2701" s="85"/>
      <c r="G2701" s="85"/>
      <c r="H2701" s="94"/>
    </row>
    <row r="2702" spans="2:8" ht="18" x14ac:dyDescent="0.25">
      <c r="B2702" s="85">
        <f>+$E$2</f>
        <v>0</v>
      </c>
      <c r="C2702" s="85"/>
      <c r="D2702" s="85"/>
      <c r="E2702" s="85"/>
      <c r="F2702" s="96"/>
      <c r="G2702" s="86"/>
      <c r="H2702" s="90"/>
    </row>
    <row r="2703" spans="2:8" ht="18" x14ac:dyDescent="0.25">
      <c r="B2703" s="85">
        <f>+$E$3</f>
        <v>0</v>
      </c>
      <c r="C2703" s="85"/>
      <c r="D2703" s="85"/>
      <c r="E2703" s="96"/>
      <c r="G2703" s="94"/>
      <c r="H2703" s="96"/>
    </row>
    <row r="2704" spans="2:8" ht="18" x14ac:dyDescent="0.25">
      <c r="B2704" s="86"/>
      <c r="C2704" s="85"/>
      <c r="D2704" s="85"/>
      <c r="E2704" s="85" t="s">
        <v>200</v>
      </c>
      <c r="F2704" s="106" t="e">
        <f>+F2687</f>
        <v>#REF!</v>
      </c>
      <c r="G2704" s="95"/>
      <c r="H2704" s="99">
        <f>+B2708</f>
        <v>46037</v>
      </c>
    </row>
    <row r="2705" spans="2:8" ht="18" x14ac:dyDescent="0.25">
      <c r="B2705" s="86"/>
      <c r="C2705" s="85"/>
      <c r="D2705" s="85"/>
      <c r="E2705" s="85" t="s">
        <v>201</v>
      </c>
      <c r="F2705" s="106" t="e">
        <f>+F2688</f>
        <v>#REF!</v>
      </c>
      <c r="H2705" s="90"/>
    </row>
    <row r="2706" spans="2:8" ht="18" x14ac:dyDescent="0.25">
      <c r="B2706" s="85"/>
      <c r="C2706" s="85"/>
      <c r="D2706" s="85"/>
      <c r="E2706" s="85" t="s">
        <v>81</v>
      </c>
      <c r="F2706" s="106" t="e">
        <f>+F2689</f>
        <v>#REF!</v>
      </c>
      <c r="G2706" s="85"/>
      <c r="H2706" s="90"/>
    </row>
    <row r="2707" spans="2:8" ht="18" x14ac:dyDescent="0.25">
      <c r="B2707" s="96"/>
      <c r="C2707" s="96"/>
      <c r="D2707" s="96"/>
      <c r="E2707" s="85" t="s">
        <v>82</v>
      </c>
      <c r="F2707" s="106" t="e">
        <f>+F2690</f>
        <v>#REF!</v>
      </c>
      <c r="G2707" s="85"/>
      <c r="H2707" s="90"/>
    </row>
    <row r="2708" spans="2:8" ht="18" x14ac:dyDescent="0.25">
      <c r="B2708" s="99">
        <f>+$G$30</f>
        <v>46037</v>
      </c>
      <c r="C2708" s="105" t="e">
        <f>+F2691</f>
        <v>#REF!</v>
      </c>
      <c r="D2708" s="85"/>
      <c r="E2708" s="85" t="s">
        <v>188</v>
      </c>
      <c r="F2708" s="106">
        <v>0</v>
      </c>
      <c r="G2708" s="85"/>
      <c r="H2708" s="90"/>
    </row>
    <row r="2709" spans="2:8" ht="18" x14ac:dyDescent="0.25">
      <c r="B2709" s="85"/>
      <c r="C2709" s="85"/>
      <c r="D2709" s="85"/>
      <c r="E2709" s="85" t="s">
        <v>83</v>
      </c>
      <c r="F2709" s="106" t="e">
        <f>+F2691</f>
        <v>#REF!</v>
      </c>
      <c r="G2709" s="85"/>
      <c r="H2709" s="90"/>
    </row>
    <row r="2710" spans="2:8" ht="18" x14ac:dyDescent="0.25">
      <c r="B2710" s="85"/>
      <c r="C2710" s="85"/>
      <c r="D2710" s="85"/>
      <c r="E2710" s="85"/>
      <c r="F2710" s="85"/>
      <c r="G2710" s="85"/>
      <c r="H2710" s="90"/>
    </row>
    <row r="2711" spans="2:8" ht="18" x14ac:dyDescent="0.25">
      <c r="B2711" s="85"/>
      <c r="C2711" s="85"/>
      <c r="D2711" s="85"/>
      <c r="E2711" s="102"/>
      <c r="F2711" s="85"/>
      <c r="G2711" s="85"/>
      <c r="H2711" s="90"/>
    </row>
    <row r="2712" spans="2:8" ht="18" x14ac:dyDescent="0.25">
      <c r="B2712" s="85"/>
      <c r="C2712" s="85"/>
      <c r="D2712" s="85"/>
      <c r="E2712" s="85"/>
      <c r="F2712" s="85"/>
      <c r="G2712" s="85"/>
      <c r="H2712" s="94"/>
    </row>
    <row r="2713" spans="2:8" ht="18" x14ac:dyDescent="0.25">
      <c r="E2713" s="85"/>
      <c r="G2713" s="94"/>
      <c r="H2713" s="90"/>
    </row>
    <row r="2715" spans="2:8" ht="18" x14ac:dyDescent="0.25">
      <c r="B2715" s="343"/>
      <c r="C2715" s="343"/>
      <c r="D2715" s="343"/>
      <c r="E2715" s="342">
        <f>+$B$1</f>
        <v>46143</v>
      </c>
      <c r="F2715" s="85"/>
      <c r="G2715" s="337">
        <f>+$D$1</f>
        <v>46037</v>
      </c>
      <c r="H2715" s="90"/>
    </row>
    <row r="2716" spans="2:8" ht="18" x14ac:dyDescent="0.25">
      <c r="B2716" s="84"/>
      <c r="C2716" s="84"/>
      <c r="D2716" s="100"/>
      <c r="E2716" s="342"/>
      <c r="F2716" s="85"/>
      <c r="G2716" s="337"/>
      <c r="H2716" s="90"/>
    </row>
    <row r="2717" spans="2:8" ht="18" x14ac:dyDescent="0.25">
      <c r="B2717" s="85"/>
      <c r="C2717" s="85"/>
      <c r="D2717" s="85"/>
      <c r="E2717" s="86"/>
      <c r="F2717" s="85"/>
      <c r="G2717" s="86"/>
      <c r="H2717" s="90"/>
    </row>
    <row r="2718" spans="2:8" ht="18" x14ac:dyDescent="0.25">
      <c r="B2718" s="85" t="e">
        <f>+#REF!</f>
        <v>#REF!</v>
      </c>
      <c r="C2718" s="85"/>
      <c r="D2718" s="85"/>
      <c r="E2718" s="86"/>
      <c r="F2718" s="85"/>
      <c r="G2718" s="86"/>
      <c r="H2718" s="90"/>
    </row>
    <row r="2719" spans="2:8" ht="18" x14ac:dyDescent="0.25">
      <c r="B2719" s="86"/>
      <c r="C2719" s="85"/>
      <c r="D2719" s="85"/>
      <c r="E2719" s="85" t="s">
        <v>78</v>
      </c>
      <c r="F2719" s="85"/>
      <c r="G2719" s="85"/>
      <c r="H2719" s="90" t="s">
        <v>156</v>
      </c>
    </row>
    <row r="2720" spans="2:8" ht="18" x14ac:dyDescent="0.25">
      <c r="B2720" s="85"/>
      <c r="C2720" s="85"/>
      <c r="D2720" s="85"/>
      <c r="E2720" s="86"/>
      <c r="F2720" s="86"/>
      <c r="G2720" s="85"/>
      <c r="H2720" s="94"/>
    </row>
    <row r="2721" spans="2:8" ht="18" x14ac:dyDescent="0.25">
      <c r="B2721" s="94"/>
      <c r="C2721" s="85"/>
      <c r="D2721" s="94"/>
      <c r="E2721" s="85"/>
      <c r="F2721" s="85"/>
      <c r="G2721" s="85"/>
      <c r="H2721" s="90"/>
    </row>
    <row r="2722" spans="2:8" ht="18" x14ac:dyDescent="0.25">
      <c r="B2722" s="94"/>
      <c r="C2722" s="85"/>
      <c r="D2722" s="94"/>
      <c r="E2722" s="85"/>
      <c r="F2722" s="85"/>
      <c r="G2722" s="85"/>
      <c r="H2722" s="90"/>
    </row>
    <row r="2723" spans="2:8" ht="18" x14ac:dyDescent="0.25">
      <c r="B2723" s="85" t="s">
        <v>198</v>
      </c>
      <c r="C2723" s="85"/>
      <c r="D2723" s="107">
        <f>+'RES CUENTA'!$L$25</f>
        <v>10859801.41</v>
      </c>
      <c r="E2723" s="108" t="e">
        <f>+'RES CUENTA'!#REF!</f>
        <v>#REF!</v>
      </c>
      <c r="F2723" s="103" t="e">
        <f>+D2723*E2723/100</f>
        <v>#REF!</v>
      </c>
      <c r="G2723" s="345"/>
      <c r="H2723" s="345"/>
    </row>
    <row r="2724" spans="2:8" ht="18" x14ac:dyDescent="0.25">
      <c r="B2724" s="85" t="s">
        <v>199</v>
      </c>
      <c r="C2724" s="85"/>
      <c r="D2724" s="107" t="e">
        <f>+'RES CUENTA'!#REF!</f>
        <v>#REF!</v>
      </c>
      <c r="E2724" s="108" t="e">
        <f>+'RES CUENTA'!#REF!</f>
        <v>#REF!</v>
      </c>
      <c r="F2724" s="103" t="e">
        <f>+D2724*E2724/100</f>
        <v>#REF!</v>
      </c>
      <c r="G2724" s="341"/>
      <c r="H2724" s="341"/>
    </row>
    <row r="2725" spans="2:8" ht="18" x14ac:dyDescent="0.25">
      <c r="B2725" s="85" t="s">
        <v>79</v>
      </c>
      <c r="C2725" s="85"/>
      <c r="D2725" s="107" t="e">
        <f>+'RES CUENTA'!#REF!</f>
        <v>#REF!</v>
      </c>
      <c r="E2725" s="108">
        <v>0</v>
      </c>
      <c r="F2725" s="103" t="e">
        <f>+D2725</f>
        <v>#REF!</v>
      </c>
      <c r="G2725" s="341"/>
      <c r="H2725" s="341"/>
    </row>
    <row r="2726" spans="2:8" ht="18" x14ac:dyDescent="0.25">
      <c r="B2726" s="85" t="s">
        <v>80</v>
      </c>
      <c r="C2726" s="85"/>
      <c r="D2726" s="107" t="e">
        <f>+'RES CUENTA'!#REF!</f>
        <v>#REF!</v>
      </c>
      <c r="E2726" s="108">
        <v>0</v>
      </c>
      <c r="F2726" s="103" t="e">
        <f>+D2726</f>
        <v>#REF!</v>
      </c>
      <c r="G2726" s="341"/>
      <c r="H2726" s="341"/>
    </row>
    <row r="2727" spans="2:8" ht="18" x14ac:dyDescent="0.25">
      <c r="B2727" s="86"/>
      <c r="C2727" s="85"/>
      <c r="D2727" s="85"/>
      <c r="E2727" s="92"/>
      <c r="F2727" s="104" t="e">
        <f>SUM(F2723:F2726)</f>
        <v>#REF!</v>
      </c>
      <c r="G2727" s="341"/>
      <c r="H2727" s="341"/>
    </row>
    <row r="2728" spans="2:8" ht="18" x14ac:dyDescent="0.25">
      <c r="B2728" s="86"/>
      <c r="C2728" s="85"/>
      <c r="D2728" s="85"/>
      <c r="E2728" s="92"/>
      <c r="F2728" s="104"/>
      <c r="G2728" s="89"/>
      <c r="H2728" s="89"/>
    </row>
    <row r="2729" spans="2:8" ht="18" x14ac:dyDescent="0.25">
      <c r="B2729" s="86"/>
      <c r="C2729" s="85"/>
      <c r="D2729" s="85"/>
      <c r="E2729" s="85"/>
      <c r="G2729" s="338"/>
      <c r="H2729" s="338"/>
    </row>
    <row r="2730" spans="2:8" ht="18" x14ac:dyDescent="0.25">
      <c r="B2730" s="85"/>
      <c r="C2730" s="85"/>
      <c r="D2730" s="85"/>
      <c r="E2730" s="85"/>
      <c r="F2730" s="91"/>
      <c r="G2730" s="90"/>
      <c r="H2730" s="90"/>
    </row>
    <row r="2731" spans="2:8" ht="18" x14ac:dyDescent="0.25">
      <c r="B2731" s="85"/>
      <c r="C2731" s="85"/>
      <c r="D2731" s="85"/>
      <c r="E2731" s="85"/>
      <c r="F2731" s="92"/>
      <c r="G2731" s="85"/>
      <c r="H2731" s="90"/>
    </row>
    <row r="2732" spans="2:8" ht="18" x14ac:dyDescent="0.25">
      <c r="B2732" s="85"/>
      <c r="C2732" s="85"/>
      <c r="D2732" s="85"/>
      <c r="E2732" s="85"/>
      <c r="F2732" s="92"/>
      <c r="G2732" s="85"/>
      <c r="H2732" s="90"/>
    </row>
    <row r="2733" spans="2:8" ht="18" x14ac:dyDescent="0.25">
      <c r="B2733" s="85" t="e">
        <f>+B2718</f>
        <v>#REF!</v>
      </c>
      <c r="C2733" s="344"/>
      <c r="D2733" s="344"/>
      <c r="E2733" s="85" t="e">
        <f>+B2733</f>
        <v>#REF!</v>
      </c>
      <c r="F2733" s="92"/>
      <c r="G2733" s="85"/>
      <c r="H2733" s="90"/>
    </row>
    <row r="2734" spans="2:8" ht="18" x14ac:dyDescent="0.25">
      <c r="C2734" s="85"/>
      <c r="D2734" s="85"/>
      <c r="F2734" s="344"/>
      <c r="G2734" s="344"/>
      <c r="H2734" s="344"/>
    </row>
    <row r="2735" spans="2:8" ht="18" x14ac:dyDescent="0.25">
      <c r="B2735" s="85" t="str">
        <f>+$E$1</f>
        <v>Lima 461 C:A:B:A:</v>
      </c>
      <c r="C2735" s="85"/>
      <c r="D2735" s="93" t="str">
        <f>+H2719</f>
        <v>Unid. 73</v>
      </c>
      <c r="E2735" s="85" t="str">
        <f>+$E$1</f>
        <v>Lima 461 C:A:B:A:</v>
      </c>
      <c r="F2735" s="85"/>
      <c r="G2735" s="85"/>
      <c r="H2735" s="90" t="str">
        <f>+D2735</f>
        <v>Unid. 73</v>
      </c>
    </row>
    <row r="2736" spans="2:8" ht="18" x14ac:dyDescent="0.25">
      <c r="H2736" s="94"/>
    </row>
    <row r="2737" spans="2:8" ht="18" x14ac:dyDescent="0.25">
      <c r="B2737" s="86"/>
      <c r="C2737" s="86"/>
      <c r="D2737" s="86"/>
      <c r="E2737" s="86"/>
      <c r="F2737" s="85"/>
      <c r="G2737" s="85"/>
    </row>
    <row r="2738" spans="2:8" ht="18" x14ac:dyDescent="0.25">
      <c r="B2738" s="85">
        <f>+$E$2</f>
        <v>0</v>
      </c>
      <c r="C2738" s="85"/>
      <c r="D2738" s="85"/>
      <c r="E2738" s="85"/>
      <c r="F2738" s="85"/>
      <c r="G2738" s="86"/>
      <c r="H2738" s="94"/>
    </row>
    <row r="2739" spans="2:8" ht="18" x14ac:dyDescent="0.25">
      <c r="B2739" s="85">
        <f>+$E$3</f>
        <v>0</v>
      </c>
      <c r="C2739" s="85"/>
      <c r="D2739" s="85"/>
      <c r="E2739" s="96"/>
      <c r="F2739" s="85"/>
      <c r="G2739" s="94"/>
      <c r="H2739" s="90"/>
    </row>
    <row r="2740" spans="2:8" ht="18" x14ac:dyDescent="0.25">
      <c r="C2740" s="85"/>
      <c r="D2740" s="85"/>
      <c r="E2740" s="85" t="s">
        <v>200</v>
      </c>
      <c r="F2740" s="106" t="e">
        <f>+F2723</f>
        <v>#REF!</v>
      </c>
      <c r="H2740" s="99">
        <f>+B2745</f>
        <v>46037</v>
      </c>
    </row>
    <row r="2741" spans="2:8" ht="18" x14ac:dyDescent="0.25">
      <c r="B2741" s="86"/>
      <c r="C2741" s="85"/>
      <c r="D2741" s="85"/>
      <c r="E2741" s="85" t="s">
        <v>201</v>
      </c>
      <c r="F2741" s="106" t="e">
        <f>+F2724</f>
        <v>#REF!</v>
      </c>
    </row>
    <row r="2742" spans="2:8" ht="18" x14ac:dyDescent="0.25">
      <c r="B2742" s="86"/>
      <c r="C2742" s="85"/>
      <c r="D2742" s="85"/>
      <c r="E2742" s="85" t="s">
        <v>81</v>
      </c>
      <c r="F2742" s="106" t="e">
        <f>+F2725</f>
        <v>#REF!</v>
      </c>
      <c r="G2742" s="85"/>
      <c r="H2742" s="90"/>
    </row>
    <row r="2743" spans="2:8" ht="18" x14ac:dyDescent="0.25">
      <c r="B2743" s="85"/>
      <c r="C2743" s="85"/>
      <c r="D2743" s="85"/>
      <c r="E2743" s="85" t="s">
        <v>82</v>
      </c>
      <c r="F2743" s="106" t="e">
        <f>+F2726</f>
        <v>#REF!</v>
      </c>
      <c r="G2743" s="85"/>
      <c r="H2743" s="90"/>
    </row>
    <row r="2744" spans="2:8" ht="18" x14ac:dyDescent="0.25">
      <c r="B2744" s="96"/>
      <c r="C2744" s="96"/>
      <c r="D2744" s="96"/>
      <c r="E2744" s="85" t="s">
        <v>188</v>
      </c>
      <c r="F2744" s="106">
        <v>0</v>
      </c>
      <c r="G2744" s="85"/>
      <c r="H2744" s="90"/>
    </row>
    <row r="2745" spans="2:8" ht="18" x14ac:dyDescent="0.25">
      <c r="B2745" s="99">
        <f>+$G$30</f>
        <v>46037</v>
      </c>
      <c r="C2745" s="105" t="e">
        <f>+F2727</f>
        <v>#REF!</v>
      </c>
      <c r="D2745" s="85"/>
      <c r="E2745" s="85" t="s">
        <v>83</v>
      </c>
      <c r="F2745" s="106" t="e">
        <f>+F2727</f>
        <v>#REF!</v>
      </c>
      <c r="G2745" s="85"/>
      <c r="H2745" s="90"/>
    </row>
    <row r="2746" spans="2:8" ht="18" x14ac:dyDescent="0.25">
      <c r="B2746" s="85"/>
      <c r="C2746" s="85"/>
      <c r="D2746" s="85"/>
      <c r="E2746" s="85"/>
      <c r="F2746" s="85"/>
      <c r="G2746" s="85"/>
      <c r="H2746" s="90"/>
    </row>
    <row r="2747" spans="2:8" ht="18" x14ac:dyDescent="0.25">
      <c r="B2747" s="85"/>
      <c r="C2747" s="85"/>
      <c r="D2747" s="85"/>
      <c r="E2747" s="85"/>
      <c r="F2747" s="85"/>
      <c r="G2747" s="345"/>
      <c r="H2747" s="345"/>
    </row>
    <row r="2748" spans="2:8" ht="18" x14ac:dyDescent="0.25">
      <c r="B2748" s="85"/>
      <c r="C2748" s="85"/>
      <c r="D2748" s="85"/>
      <c r="E2748" s="85"/>
      <c r="F2748" s="85"/>
      <c r="G2748" s="85"/>
      <c r="H2748" s="90"/>
    </row>
    <row r="2749" spans="2:8" ht="18" x14ac:dyDescent="0.25">
      <c r="B2749" s="85"/>
      <c r="C2749" s="85"/>
      <c r="D2749" s="85"/>
      <c r="E2749" s="85"/>
      <c r="F2749" s="85"/>
      <c r="G2749" s="85"/>
      <c r="H2749" s="90"/>
    </row>
    <row r="2750" spans="2:8" ht="18" x14ac:dyDescent="0.25">
      <c r="B2750" s="85"/>
      <c r="C2750" s="85"/>
      <c r="D2750" s="85"/>
      <c r="E2750" s="85"/>
      <c r="F2750" s="85"/>
      <c r="G2750" s="85"/>
      <c r="H2750" s="90"/>
    </row>
    <row r="2751" spans="2:8" ht="18" x14ac:dyDescent="0.25">
      <c r="B2751" s="85"/>
      <c r="C2751" s="85"/>
      <c r="D2751" s="85"/>
      <c r="E2751" s="85"/>
      <c r="F2751" s="85"/>
      <c r="G2751" s="85"/>
      <c r="H2751" s="90"/>
    </row>
    <row r="2752" spans="2:8" ht="18" x14ac:dyDescent="0.25">
      <c r="B2752" s="85"/>
      <c r="C2752" s="85"/>
      <c r="D2752" s="85"/>
      <c r="E2752" s="85"/>
      <c r="F2752" s="85"/>
      <c r="H2752" s="90"/>
    </row>
    <row r="2753" spans="2:8" ht="18" x14ac:dyDescent="0.25">
      <c r="B2753" s="343"/>
      <c r="C2753" s="343"/>
      <c r="D2753" s="343"/>
      <c r="E2753" s="85"/>
      <c r="F2753" s="85"/>
      <c r="H2753" s="90"/>
    </row>
    <row r="2754" spans="2:8" ht="18" x14ac:dyDescent="0.25">
      <c r="B2754" s="343"/>
      <c r="C2754" s="343"/>
      <c r="D2754" s="343"/>
      <c r="E2754" s="98">
        <f>+$B$1</f>
        <v>46143</v>
      </c>
      <c r="F2754" s="85"/>
      <c r="G2754" s="99">
        <f>+$D$1</f>
        <v>46037</v>
      </c>
      <c r="H2754" s="160"/>
    </row>
    <row r="2755" spans="2:8" ht="18" x14ac:dyDescent="0.25">
      <c r="B2755" s="84"/>
      <c r="C2755" s="84"/>
      <c r="D2755" s="100"/>
      <c r="E2755" s="98"/>
      <c r="F2755" s="85"/>
    </row>
    <row r="2756" spans="2:8" ht="18" x14ac:dyDescent="0.25">
      <c r="B2756" s="85" t="e">
        <f>+#REF!</f>
        <v>#REF!</v>
      </c>
      <c r="C2756" s="85"/>
      <c r="D2756" s="85"/>
      <c r="F2756" s="85"/>
    </row>
    <row r="2757" spans="2:8" ht="18" x14ac:dyDescent="0.25">
      <c r="C2757" s="85"/>
      <c r="D2757" s="85"/>
      <c r="E2757" s="85" t="str">
        <f>+$E$1</f>
        <v>Lima 461 C:A:B:A:</v>
      </c>
      <c r="F2757" s="85"/>
      <c r="H2757" s="90" t="s">
        <v>157</v>
      </c>
    </row>
    <row r="2758" spans="2:8" ht="18" x14ac:dyDescent="0.25">
      <c r="B2758" s="86"/>
      <c r="C2758" s="85"/>
      <c r="D2758" s="85"/>
      <c r="F2758" s="85"/>
      <c r="G2758" s="86"/>
    </row>
    <row r="2759" spans="2:8" ht="18" x14ac:dyDescent="0.25">
      <c r="B2759" s="85"/>
      <c r="C2759" s="85"/>
      <c r="D2759" s="85"/>
      <c r="E2759" s="86"/>
      <c r="F2759" s="86"/>
      <c r="G2759" s="85"/>
      <c r="H2759" s="94"/>
    </row>
    <row r="2760" spans="2:8" ht="18" x14ac:dyDescent="0.25">
      <c r="B2760" s="94"/>
      <c r="C2760" s="85"/>
      <c r="D2760" s="94"/>
      <c r="E2760" s="85"/>
      <c r="F2760" s="85"/>
      <c r="G2760" s="85"/>
      <c r="H2760" s="90"/>
    </row>
    <row r="2761" spans="2:8" ht="18" x14ac:dyDescent="0.25">
      <c r="B2761" s="85" t="s">
        <v>198</v>
      </c>
      <c r="C2761" s="85"/>
      <c r="D2761" s="107">
        <f>+'RES CUENTA'!$L$25</f>
        <v>10859801.41</v>
      </c>
      <c r="E2761" s="108" t="e">
        <f>+'RES CUENTA'!#REF!</f>
        <v>#REF!</v>
      </c>
      <c r="F2761" s="103" t="e">
        <f>+D2761*E2761/100</f>
        <v>#REF!</v>
      </c>
      <c r="G2761" s="85"/>
      <c r="H2761" s="94"/>
    </row>
    <row r="2762" spans="2:8" ht="18" x14ac:dyDescent="0.25">
      <c r="B2762" s="85" t="s">
        <v>199</v>
      </c>
      <c r="C2762" s="85"/>
      <c r="D2762" s="107" t="e">
        <f>+'RES CUENTA'!#REF!</f>
        <v>#REF!</v>
      </c>
      <c r="E2762" s="108" t="e">
        <f>+'RES CUENTA'!#REF!</f>
        <v>#REF!</v>
      </c>
      <c r="F2762" s="103" t="e">
        <f>+D2762*E2762/100</f>
        <v>#REF!</v>
      </c>
      <c r="G2762" s="94"/>
      <c r="H2762" s="89"/>
    </row>
    <row r="2763" spans="2:8" ht="18" x14ac:dyDescent="0.25">
      <c r="B2763" s="85" t="s">
        <v>79</v>
      </c>
      <c r="C2763" s="85"/>
      <c r="D2763" s="107" t="e">
        <f>+'RES CUENTA'!#REF!</f>
        <v>#REF!</v>
      </c>
      <c r="E2763" s="108">
        <f>+'RES CUENTA'!P1892</f>
        <v>0</v>
      </c>
      <c r="F2763" s="103" t="e">
        <f>+D2763</f>
        <v>#REF!</v>
      </c>
      <c r="G2763" s="89"/>
      <c r="H2763" s="89"/>
    </row>
    <row r="2764" spans="2:8" ht="18" x14ac:dyDescent="0.25">
      <c r="B2764" s="85" t="s">
        <v>80</v>
      </c>
      <c r="C2764" s="85"/>
      <c r="D2764" s="107" t="e">
        <f>+'RES CUENTA'!#REF!</f>
        <v>#REF!</v>
      </c>
      <c r="E2764" s="108">
        <f>+'RES CUENTA'!R1887</f>
        <v>0</v>
      </c>
      <c r="F2764" s="103" t="e">
        <f>+D2764</f>
        <v>#REF!</v>
      </c>
      <c r="G2764" s="89"/>
      <c r="H2764" s="89"/>
    </row>
    <row r="2765" spans="2:8" ht="18" x14ac:dyDescent="0.25">
      <c r="B2765" s="86"/>
      <c r="C2765" s="85"/>
      <c r="D2765" s="85"/>
      <c r="F2765" s="104" t="e">
        <f>SUM(F2761:F2764)</f>
        <v>#REF!</v>
      </c>
      <c r="G2765" s="89"/>
      <c r="H2765" s="89"/>
    </row>
    <row r="2766" spans="2:8" ht="18" x14ac:dyDescent="0.25">
      <c r="B2766" s="86"/>
      <c r="C2766" s="85"/>
      <c r="D2766" s="85"/>
      <c r="F2766" s="91"/>
      <c r="G2766" s="89"/>
      <c r="H2766" s="90"/>
    </row>
    <row r="2767" spans="2:8" ht="18" x14ac:dyDescent="0.25">
      <c r="B2767" s="86"/>
      <c r="C2767" s="85"/>
      <c r="D2767" s="85"/>
      <c r="F2767" s="91"/>
      <c r="G2767" s="89"/>
      <c r="H2767" s="90"/>
    </row>
    <row r="2768" spans="2:8" ht="18" x14ac:dyDescent="0.25">
      <c r="B2768" s="85"/>
      <c r="C2768" s="85"/>
      <c r="D2768" s="85"/>
      <c r="E2768" s="85"/>
      <c r="F2768" s="92"/>
      <c r="G2768" s="90"/>
      <c r="H2768" s="90"/>
    </row>
    <row r="2769" spans="2:8" ht="18" x14ac:dyDescent="0.25">
      <c r="B2769" s="85"/>
      <c r="C2769" s="85"/>
      <c r="D2769" s="85"/>
      <c r="E2769" s="85"/>
      <c r="F2769" s="92"/>
      <c r="G2769" s="90"/>
      <c r="H2769" s="90"/>
    </row>
    <row r="2770" spans="2:8" ht="18" x14ac:dyDescent="0.25">
      <c r="B2770" s="85"/>
      <c r="C2770" s="85"/>
      <c r="D2770" s="85"/>
      <c r="E2770" s="85"/>
      <c r="F2770" s="92"/>
      <c r="G2770" s="90"/>
      <c r="H2770" s="90"/>
    </row>
    <row r="2771" spans="2:8" ht="18" x14ac:dyDescent="0.25">
      <c r="B2771" s="85" t="e">
        <f>+B2756</f>
        <v>#REF!</v>
      </c>
      <c r="C2771" s="85"/>
      <c r="D2771" s="85"/>
      <c r="E2771" s="85" t="e">
        <f>+B2756</f>
        <v>#REF!</v>
      </c>
      <c r="F2771" s="85"/>
      <c r="G2771" s="85"/>
      <c r="H2771" s="94"/>
    </row>
    <row r="2772" spans="2:8" ht="18" x14ac:dyDescent="0.25">
      <c r="B2772" s="86"/>
      <c r="C2772" s="85"/>
      <c r="D2772" s="85"/>
      <c r="F2772" s="85"/>
      <c r="G2772" s="101"/>
      <c r="H2772" s="90" t="str">
        <f>+H2757</f>
        <v>Unid. 74</v>
      </c>
    </row>
    <row r="2773" spans="2:8" ht="18" x14ac:dyDescent="0.25">
      <c r="B2773" s="85" t="str">
        <f>+$E$1</f>
        <v>Lima 461 C:A:B:A:</v>
      </c>
      <c r="C2773" s="85"/>
      <c r="D2773" s="93" t="str">
        <f>+H2772</f>
        <v>Unid. 74</v>
      </c>
      <c r="E2773" s="85" t="str">
        <f>+$E$1</f>
        <v>Lima 461 C:A:B:A:</v>
      </c>
      <c r="F2773" s="85"/>
      <c r="G2773" s="85"/>
      <c r="H2773" s="94"/>
    </row>
    <row r="2774" spans="2:8" ht="18" x14ac:dyDescent="0.25">
      <c r="B2774" s="86"/>
      <c r="C2774" s="86"/>
      <c r="D2774" s="86"/>
      <c r="F2774" s="85"/>
      <c r="G2774" s="85"/>
    </row>
    <row r="2775" spans="2:8" ht="18" x14ac:dyDescent="0.25">
      <c r="B2775" s="85"/>
      <c r="C2775" s="85"/>
      <c r="D2775" s="85"/>
      <c r="E2775" s="86"/>
      <c r="F2775" s="85"/>
      <c r="G2775" s="85"/>
      <c r="H2775" s="94"/>
    </row>
    <row r="2776" spans="2:8" ht="18" x14ac:dyDescent="0.25">
      <c r="B2776" s="85">
        <f>+$E$2</f>
        <v>0</v>
      </c>
      <c r="C2776" s="85"/>
      <c r="D2776" s="85"/>
      <c r="E2776" s="85"/>
      <c r="F2776" s="96"/>
      <c r="G2776" s="86"/>
      <c r="H2776" s="90"/>
    </row>
    <row r="2777" spans="2:8" ht="18" x14ac:dyDescent="0.25">
      <c r="B2777" s="85">
        <f>+$E$3</f>
        <v>0</v>
      </c>
      <c r="C2777" s="85"/>
      <c r="D2777" s="85"/>
      <c r="E2777" s="96"/>
      <c r="G2777" s="94"/>
      <c r="H2777" s="96"/>
    </row>
    <row r="2778" spans="2:8" ht="18" x14ac:dyDescent="0.25">
      <c r="B2778" s="86"/>
      <c r="C2778" s="85"/>
      <c r="D2778" s="85"/>
      <c r="E2778" s="85" t="s">
        <v>200</v>
      </c>
      <c r="F2778" s="106" t="e">
        <f>+F2761</f>
        <v>#REF!</v>
      </c>
      <c r="G2778" s="95"/>
      <c r="H2778" s="99">
        <f>+B2782</f>
        <v>46037</v>
      </c>
    </row>
    <row r="2779" spans="2:8" ht="18" x14ac:dyDescent="0.25">
      <c r="B2779" s="86"/>
      <c r="C2779" s="85"/>
      <c r="D2779" s="85"/>
      <c r="E2779" s="85" t="s">
        <v>201</v>
      </c>
      <c r="F2779" s="106" t="e">
        <f>+F2762</f>
        <v>#REF!</v>
      </c>
      <c r="H2779" s="90"/>
    </row>
    <row r="2780" spans="2:8" ht="18" x14ac:dyDescent="0.25">
      <c r="B2780" s="85"/>
      <c r="C2780" s="85"/>
      <c r="D2780" s="85"/>
      <c r="E2780" s="85" t="s">
        <v>81</v>
      </c>
      <c r="F2780" s="106" t="e">
        <f>+F2763</f>
        <v>#REF!</v>
      </c>
      <c r="G2780" s="85"/>
      <c r="H2780" s="90"/>
    </row>
    <row r="2781" spans="2:8" ht="18" x14ac:dyDescent="0.25">
      <c r="B2781" s="96"/>
      <c r="C2781" s="96"/>
      <c r="D2781" s="96"/>
      <c r="E2781" s="85" t="s">
        <v>82</v>
      </c>
      <c r="F2781" s="106" t="e">
        <f>+F2764</f>
        <v>#REF!</v>
      </c>
      <c r="G2781" s="85"/>
      <c r="H2781" s="90"/>
    </row>
    <row r="2782" spans="2:8" ht="18" x14ac:dyDescent="0.25">
      <c r="B2782" s="99">
        <f>+$G$30</f>
        <v>46037</v>
      </c>
      <c r="C2782" s="105" t="e">
        <f>+F2765</f>
        <v>#REF!</v>
      </c>
      <c r="D2782" s="85"/>
      <c r="E2782" s="85" t="s">
        <v>188</v>
      </c>
      <c r="F2782" s="106">
        <v>0</v>
      </c>
      <c r="G2782" s="85"/>
      <c r="H2782" s="90"/>
    </row>
    <row r="2783" spans="2:8" ht="18" x14ac:dyDescent="0.25">
      <c r="B2783" s="85"/>
      <c r="C2783" s="85"/>
      <c r="D2783" s="85"/>
      <c r="E2783" s="85" t="s">
        <v>83</v>
      </c>
      <c r="F2783" s="106" t="e">
        <f>+F2765</f>
        <v>#REF!</v>
      </c>
      <c r="G2783" s="85"/>
      <c r="H2783" s="90"/>
    </row>
    <row r="2784" spans="2:8" ht="18" x14ac:dyDescent="0.25">
      <c r="B2784" s="85"/>
      <c r="C2784" s="85"/>
      <c r="D2784" s="85"/>
      <c r="E2784" s="85"/>
      <c r="F2784" s="85"/>
      <c r="G2784" s="85"/>
      <c r="H2784" s="90"/>
    </row>
    <row r="2785" spans="2:8" ht="18" x14ac:dyDescent="0.25">
      <c r="B2785" s="85"/>
      <c r="C2785" s="85"/>
      <c r="D2785" s="85"/>
      <c r="E2785" s="102"/>
      <c r="F2785" s="85"/>
      <c r="G2785" s="85"/>
      <c r="H2785" s="90"/>
    </row>
    <row r="2786" spans="2:8" ht="18" x14ac:dyDescent="0.25">
      <c r="B2786" s="85"/>
      <c r="C2786" s="85"/>
      <c r="D2786" s="85"/>
      <c r="E2786" s="85"/>
      <c r="F2786" s="85"/>
      <c r="G2786" s="85"/>
      <c r="H2786" s="94"/>
    </row>
    <row r="2787" spans="2:8" ht="18" x14ac:dyDescent="0.25">
      <c r="E2787" s="85"/>
      <c r="G2787" s="94"/>
      <c r="H2787" s="90"/>
    </row>
    <row r="2789" spans="2:8" ht="18" x14ac:dyDescent="0.25">
      <c r="B2789" s="343"/>
      <c r="C2789" s="343"/>
      <c r="D2789" s="343"/>
      <c r="E2789" s="342">
        <f>+$B$1</f>
        <v>46143</v>
      </c>
      <c r="F2789" s="85"/>
      <c r="G2789" s="337">
        <f>+$D$1</f>
        <v>46037</v>
      </c>
      <c r="H2789" s="90"/>
    </row>
    <row r="2790" spans="2:8" ht="18" x14ac:dyDescent="0.25">
      <c r="B2790" s="84"/>
      <c r="C2790" s="84"/>
      <c r="D2790" s="100"/>
      <c r="E2790" s="342"/>
      <c r="F2790" s="85"/>
      <c r="G2790" s="337"/>
      <c r="H2790" s="90"/>
    </row>
    <row r="2791" spans="2:8" ht="18" x14ac:dyDescent="0.25">
      <c r="B2791" s="85"/>
      <c r="C2791" s="85"/>
      <c r="D2791" s="85"/>
      <c r="E2791" s="86"/>
      <c r="F2791" s="85"/>
      <c r="G2791" s="86"/>
      <c r="H2791" s="90"/>
    </row>
    <row r="2792" spans="2:8" ht="18" x14ac:dyDescent="0.25">
      <c r="B2792" s="85" t="e">
        <f>+#REF!</f>
        <v>#REF!</v>
      </c>
      <c r="C2792" s="85"/>
      <c r="D2792" s="85"/>
      <c r="E2792" s="86"/>
      <c r="F2792" s="85"/>
      <c r="G2792" s="86"/>
      <c r="H2792" s="90"/>
    </row>
    <row r="2793" spans="2:8" ht="18" x14ac:dyDescent="0.25">
      <c r="B2793" s="86"/>
      <c r="C2793" s="85"/>
      <c r="D2793" s="85"/>
      <c r="E2793" s="85" t="s">
        <v>78</v>
      </c>
      <c r="F2793" s="85"/>
      <c r="G2793" s="85"/>
      <c r="H2793" s="90" t="s">
        <v>158</v>
      </c>
    </row>
    <row r="2794" spans="2:8" ht="18" x14ac:dyDescent="0.25">
      <c r="B2794" s="85"/>
      <c r="C2794" s="85"/>
      <c r="D2794" s="85"/>
      <c r="E2794" s="86"/>
      <c r="F2794" s="86"/>
      <c r="G2794" s="85"/>
      <c r="H2794" s="94"/>
    </row>
    <row r="2795" spans="2:8" ht="18" x14ac:dyDescent="0.25">
      <c r="B2795" s="94"/>
      <c r="C2795" s="85"/>
      <c r="D2795" s="94"/>
      <c r="E2795" s="85"/>
      <c r="F2795" s="85"/>
      <c r="G2795" s="85"/>
      <c r="H2795" s="90"/>
    </row>
    <row r="2796" spans="2:8" ht="18" x14ac:dyDescent="0.25">
      <c r="B2796" s="94"/>
      <c r="C2796" s="85"/>
      <c r="D2796" s="94"/>
      <c r="E2796" s="85"/>
      <c r="F2796" s="85"/>
      <c r="G2796" s="85"/>
      <c r="H2796" s="90"/>
    </row>
    <row r="2797" spans="2:8" ht="18" x14ac:dyDescent="0.25">
      <c r="B2797" s="85" t="s">
        <v>198</v>
      </c>
      <c r="C2797" s="85"/>
      <c r="D2797" s="107">
        <f>+'RES CUENTA'!$L$25</f>
        <v>10859801.41</v>
      </c>
      <c r="E2797" s="108" t="e">
        <f>+'RES CUENTA'!#REF!</f>
        <v>#REF!</v>
      </c>
      <c r="F2797" s="103" t="e">
        <f>+D2797*E2797/100</f>
        <v>#REF!</v>
      </c>
      <c r="G2797" s="345"/>
      <c r="H2797" s="345"/>
    </row>
    <row r="2798" spans="2:8" ht="18" x14ac:dyDescent="0.25">
      <c r="B2798" s="85" t="s">
        <v>199</v>
      </c>
      <c r="C2798" s="85"/>
      <c r="D2798" s="107" t="e">
        <f>+'RES CUENTA'!#REF!</f>
        <v>#REF!</v>
      </c>
      <c r="E2798" s="108" t="e">
        <f>+'RES CUENTA'!#REF!</f>
        <v>#REF!</v>
      </c>
      <c r="F2798" s="103" t="e">
        <f>+D2798*E2798/100</f>
        <v>#REF!</v>
      </c>
      <c r="G2798" s="341"/>
      <c r="H2798" s="341"/>
    </row>
    <row r="2799" spans="2:8" ht="18" x14ac:dyDescent="0.25">
      <c r="B2799" s="85" t="s">
        <v>79</v>
      </c>
      <c r="C2799" s="85"/>
      <c r="D2799" s="107" t="e">
        <f>+'RES CUENTA'!#REF!</f>
        <v>#REF!</v>
      </c>
      <c r="E2799" s="108">
        <v>0</v>
      </c>
      <c r="F2799" s="103" t="e">
        <f>+D2799</f>
        <v>#REF!</v>
      </c>
      <c r="G2799" s="341"/>
      <c r="H2799" s="341"/>
    </row>
    <row r="2800" spans="2:8" ht="18" x14ac:dyDescent="0.25">
      <c r="B2800" s="85" t="s">
        <v>80</v>
      </c>
      <c r="C2800" s="85"/>
      <c r="D2800" s="107" t="e">
        <f>+'RES CUENTA'!#REF!</f>
        <v>#REF!</v>
      </c>
      <c r="E2800" s="108">
        <v>0</v>
      </c>
      <c r="F2800" s="103" t="e">
        <f>+D2800</f>
        <v>#REF!</v>
      </c>
      <c r="G2800" s="341"/>
      <c r="H2800" s="341"/>
    </row>
    <row r="2801" spans="2:8" ht="18" x14ac:dyDescent="0.25">
      <c r="B2801" s="86"/>
      <c r="C2801" s="85"/>
      <c r="D2801" s="85"/>
      <c r="E2801" s="92"/>
      <c r="F2801" s="104" t="e">
        <f>SUM(F2797:F2800)</f>
        <v>#REF!</v>
      </c>
      <c r="G2801" s="341"/>
      <c r="H2801" s="341"/>
    </row>
    <row r="2802" spans="2:8" ht="18" x14ac:dyDescent="0.25">
      <c r="B2802" s="86"/>
      <c r="C2802" s="85"/>
      <c r="D2802" s="85"/>
      <c r="E2802" s="92"/>
      <c r="F2802" s="104"/>
      <c r="G2802" s="89"/>
      <c r="H2802" s="89"/>
    </row>
    <row r="2803" spans="2:8" ht="18" x14ac:dyDescent="0.25">
      <c r="B2803" s="86"/>
      <c r="C2803" s="85"/>
      <c r="D2803" s="85"/>
      <c r="E2803" s="85"/>
      <c r="G2803" s="338"/>
      <c r="H2803" s="338"/>
    </row>
    <row r="2804" spans="2:8" ht="18" x14ac:dyDescent="0.25">
      <c r="B2804" s="85"/>
      <c r="C2804" s="85"/>
      <c r="D2804" s="85"/>
      <c r="E2804" s="85"/>
      <c r="F2804" s="91"/>
      <c r="G2804" s="90"/>
      <c r="H2804" s="90"/>
    </row>
    <row r="2805" spans="2:8" ht="18" x14ac:dyDescent="0.25">
      <c r="B2805" s="85"/>
      <c r="C2805" s="85"/>
      <c r="D2805" s="85"/>
      <c r="E2805" s="85"/>
      <c r="F2805" s="92"/>
      <c r="G2805" s="85"/>
      <c r="H2805" s="90"/>
    </row>
    <row r="2806" spans="2:8" ht="18" x14ac:dyDescent="0.25">
      <c r="B2806" s="85"/>
      <c r="C2806" s="85"/>
      <c r="D2806" s="85"/>
      <c r="E2806" s="85"/>
      <c r="F2806" s="92"/>
      <c r="G2806" s="85"/>
      <c r="H2806" s="90"/>
    </row>
    <row r="2807" spans="2:8" ht="18" x14ac:dyDescent="0.25">
      <c r="B2807" s="85" t="e">
        <f>+B2792</f>
        <v>#REF!</v>
      </c>
      <c r="C2807" s="344"/>
      <c r="D2807" s="344"/>
      <c r="E2807" s="85" t="e">
        <f>+B2807</f>
        <v>#REF!</v>
      </c>
      <c r="F2807" s="92"/>
      <c r="G2807" s="85"/>
      <c r="H2807" s="90"/>
    </row>
    <row r="2808" spans="2:8" ht="18" x14ac:dyDescent="0.25">
      <c r="C2808" s="85"/>
      <c r="D2808" s="85"/>
      <c r="F2808" s="344"/>
      <c r="G2808" s="344"/>
      <c r="H2808" s="344"/>
    </row>
    <row r="2809" spans="2:8" ht="18" x14ac:dyDescent="0.25">
      <c r="B2809" s="85" t="str">
        <f>+$E$1</f>
        <v>Lima 461 C:A:B:A:</v>
      </c>
      <c r="C2809" s="85"/>
      <c r="D2809" s="93" t="str">
        <f>+H2793</f>
        <v>Unid. 75</v>
      </c>
      <c r="E2809" s="85" t="str">
        <f>+$E$1</f>
        <v>Lima 461 C:A:B:A:</v>
      </c>
      <c r="F2809" s="85"/>
      <c r="G2809" s="85"/>
      <c r="H2809" s="90" t="str">
        <f>+D2809</f>
        <v>Unid. 75</v>
      </c>
    </row>
    <row r="2810" spans="2:8" ht="18" x14ac:dyDescent="0.25">
      <c r="H2810" s="94"/>
    </row>
    <row r="2811" spans="2:8" ht="18" x14ac:dyDescent="0.25">
      <c r="B2811" s="86"/>
      <c r="C2811" s="86"/>
      <c r="D2811" s="86"/>
      <c r="E2811" s="86"/>
      <c r="F2811" s="85"/>
      <c r="G2811" s="85"/>
    </row>
    <row r="2812" spans="2:8" ht="18" x14ac:dyDescent="0.25">
      <c r="B2812" s="85">
        <f>+$E$2</f>
        <v>0</v>
      </c>
      <c r="C2812" s="85"/>
      <c r="D2812" s="85"/>
      <c r="E2812" s="85"/>
      <c r="F2812" s="85"/>
      <c r="G2812" s="86"/>
      <c r="H2812" s="94"/>
    </row>
    <row r="2813" spans="2:8" ht="18" x14ac:dyDescent="0.25">
      <c r="B2813" s="85">
        <f>+$E$3</f>
        <v>0</v>
      </c>
      <c r="C2813" s="85"/>
      <c r="D2813" s="85"/>
      <c r="E2813" s="96"/>
      <c r="F2813" s="85"/>
      <c r="G2813" s="94"/>
      <c r="H2813" s="90"/>
    </row>
    <row r="2814" spans="2:8" ht="18" x14ac:dyDescent="0.25">
      <c r="C2814" s="85"/>
      <c r="D2814" s="85"/>
      <c r="E2814" s="85" t="s">
        <v>200</v>
      </c>
      <c r="F2814" s="106" t="e">
        <f>+F2797</f>
        <v>#REF!</v>
      </c>
      <c r="H2814" s="99">
        <f>+B2819</f>
        <v>46037</v>
      </c>
    </row>
    <row r="2815" spans="2:8" ht="18" x14ac:dyDescent="0.25">
      <c r="B2815" s="86"/>
      <c r="C2815" s="85"/>
      <c r="D2815" s="85"/>
      <c r="E2815" s="85" t="s">
        <v>201</v>
      </c>
      <c r="F2815" s="106" t="e">
        <f>+F2798</f>
        <v>#REF!</v>
      </c>
    </row>
    <row r="2816" spans="2:8" ht="18" x14ac:dyDescent="0.25">
      <c r="B2816" s="86"/>
      <c r="C2816" s="85"/>
      <c r="D2816" s="85"/>
      <c r="E2816" s="85" t="s">
        <v>81</v>
      </c>
      <c r="F2816" s="106" t="e">
        <f>+F2799</f>
        <v>#REF!</v>
      </c>
      <c r="G2816" s="85"/>
      <c r="H2816" s="90"/>
    </row>
    <row r="2817" spans="2:8" ht="18" x14ac:dyDescent="0.25">
      <c r="B2817" s="85"/>
      <c r="C2817" s="85"/>
      <c r="D2817" s="85"/>
      <c r="E2817" s="85" t="s">
        <v>82</v>
      </c>
      <c r="F2817" s="106" t="e">
        <f>+F2800</f>
        <v>#REF!</v>
      </c>
      <c r="G2817" s="85"/>
      <c r="H2817" s="90"/>
    </row>
    <row r="2818" spans="2:8" ht="18" x14ac:dyDescent="0.25">
      <c r="B2818" s="96"/>
      <c r="C2818" s="96"/>
      <c r="D2818" s="96"/>
      <c r="E2818" s="85" t="s">
        <v>188</v>
      </c>
      <c r="F2818" s="106">
        <v>0</v>
      </c>
      <c r="G2818" s="85"/>
      <c r="H2818" s="90"/>
    </row>
    <row r="2819" spans="2:8" ht="18" x14ac:dyDescent="0.25">
      <c r="B2819" s="99">
        <f>+$G$30</f>
        <v>46037</v>
      </c>
      <c r="C2819" s="105" t="e">
        <f>+F2801</f>
        <v>#REF!</v>
      </c>
      <c r="D2819" s="85"/>
      <c r="E2819" s="85" t="s">
        <v>83</v>
      </c>
      <c r="F2819" s="106" t="e">
        <f>+F2801</f>
        <v>#REF!</v>
      </c>
      <c r="G2819" s="85"/>
      <c r="H2819" s="90"/>
    </row>
    <row r="2820" spans="2:8" ht="18" x14ac:dyDescent="0.25">
      <c r="B2820" s="85"/>
      <c r="C2820" s="85"/>
      <c r="D2820" s="85"/>
      <c r="E2820" s="85"/>
      <c r="F2820" s="85"/>
      <c r="G2820" s="85"/>
      <c r="H2820" s="90"/>
    </row>
    <row r="2821" spans="2:8" ht="18" x14ac:dyDescent="0.25">
      <c r="B2821" s="85"/>
      <c r="C2821" s="85"/>
      <c r="D2821" s="85"/>
      <c r="E2821" s="85"/>
      <c r="F2821" s="85"/>
      <c r="G2821" s="345"/>
      <c r="H2821" s="345"/>
    </row>
    <row r="2822" spans="2:8" ht="18" x14ac:dyDescent="0.25">
      <c r="B2822" s="85"/>
      <c r="C2822" s="85"/>
      <c r="D2822" s="85"/>
      <c r="E2822" s="85"/>
      <c r="F2822" s="85"/>
      <c r="G2822" s="85"/>
      <c r="H2822" s="90"/>
    </row>
    <row r="2823" spans="2:8" ht="18" x14ac:dyDescent="0.25">
      <c r="B2823" s="85"/>
      <c r="C2823" s="85"/>
      <c r="D2823" s="85"/>
      <c r="E2823" s="85"/>
      <c r="F2823" s="85"/>
      <c r="G2823" s="85"/>
      <c r="H2823" s="90"/>
    </row>
    <row r="2824" spans="2:8" ht="18" x14ac:dyDescent="0.25">
      <c r="B2824" s="85"/>
      <c r="C2824" s="85"/>
      <c r="D2824" s="85"/>
      <c r="E2824" s="85"/>
      <c r="F2824" s="85"/>
      <c r="G2824" s="85"/>
      <c r="H2824" s="90"/>
    </row>
    <row r="2825" spans="2:8" ht="18" x14ac:dyDescent="0.25">
      <c r="B2825" s="85"/>
      <c r="C2825" s="85"/>
      <c r="D2825" s="85"/>
      <c r="E2825" s="85"/>
      <c r="F2825" s="85"/>
      <c r="G2825" s="85"/>
      <c r="H2825" s="90"/>
    </row>
    <row r="2826" spans="2:8" ht="18" x14ac:dyDescent="0.25">
      <c r="B2826" s="85"/>
      <c r="C2826" s="85"/>
      <c r="D2826" s="85"/>
      <c r="E2826" s="85"/>
      <c r="F2826" s="85"/>
      <c r="H2826" s="90"/>
    </row>
    <row r="2827" spans="2:8" ht="18" x14ac:dyDescent="0.25">
      <c r="B2827" s="343"/>
      <c r="C2827" s="343"/>
      <c r="D2827" s="343"/>
      <c r="E2827" s="85"/>
      <c r="F2827" s="85"/>
      <c r="H2827" s="90"/>
    </row>
    <row r="2828" spans="2:8" ht="18" x14ac:dyDescent="0.25">
      <c r="B2828" s="343"/>
      <c r="C2828" s="343"/>
      <c r="D2828" s="343"/>
      <c r="E2828" s="98">
        <f>+$B$1</f>
        <v>46143</v>
      </c>
      <c r="F2828" s="85"/>
      <c r="G2828" s="99">
        <f>+$D$1</f>
        <v>46037</v>
      </c>
      <c r="H2828" s="160"/>
    </row>
    <row r="2829" spans="2:8" ht="18" x14ac:dyDescent="0.25">
      <c r="B2829" s="84"/>
      <c r="C2829" s="84"/>
      <c r="D2829" s="100"/>
      <c r="E2829" s="98"/>
      <c r="F2829" s="85"/>
    </row>
    <row r="2830" spans="2:8" ht="18" x14ac:dyDescent="0.25">
      <c r="B2830" s="85" t="e">
        <f>+#REF!</f>
        <v>#REF!</v>
      </c>
      <c r="C2830" s="85"/>
      <c r="D2830" s="85"/>
      <c r="F2830" s="85"/>
    </row>
    <row r="2831" spans="2:8" ht="18" x14ac:dyDescent="0.25">
      <c r="C2831" s="85"/>
      <c r="D2831" s="85"/>
      <c r="E2831" s="85" t="str">
        <f>+$E$1</f>
        <v>Lima 461 C:A:B:A:</v>
      </c>
      <c r="F2831" s="85"/>
      <c r="H2831" s="90" t="s">
        <v>159</v>
      </c>
    </row>
    <row r="2832" spans="2:8" ht="18" x14ac:dyDescent="0.25">
      <c r="B2832" s="86"/>
      <c r="C2832" s="85"/>
      <c r="D2832" s="85"/>
      <c r="F2832" s="85"/>
      <c r="G2832" s="86"/>
    </row>
    <row r="2833" spans="2:8" ht="18" x14ac:dyDescent="0.25">
      <c r="B2833" s="85"/>
      <c r="C2833" s="85"/>
      <c r="D2833" s="85"/>
      <c r="E2833" s="86"/>
      <c r="F2833" s="86"/>
      <c r="G2833" s="85"/>
      <c r="H2833" s="94"/>
    </row>
    <row r="2834" spans="2:8" ht="18" x14ac:dyDescent="0.25">
      <c r="B2834" s="94"/>
      <c r="C2834" s="85"/>
      <c r="D2834" s="94"/>
      <c r="E2834" s="85"/>
      <c r="F2834" s="85"/>
      <c r="G2834" s="85"/>
      <c r="H2834" s="90"/>
    </row>
    <row r="2835" spans="2:8" ht="18" x14ac:dyDescent="0.25">
      <c r="B2835" s="85" t="s">
        <v>198</v>
      </c>
      <c r="C2835" s="85"/>
      <c r="D2835" s="107">
        <f>+'RES CUENTA'!$L$25</f>
        <v>10859801.41</v>
      </c>
      <c r="E2835" s="108" t="e">
        <f>+'RES CUENTA'!#REF!</f>
        <v>#REF!</v>
      </c>
      <c r="F2835" s="103" t="e">
        <f>+D2835*E2835/100</f>
        <v>#REF!</v>
      </c>
      <c r="G2835" s="85"/>
      <c r="H2835" s="94"/>
    </row>
    <row r="2836" spans="2:8" ht="18" x14ac:dyDescent="0.25">
      <c r="B2836" s="85" t="s">
        <v>199</v>
      </c>
      <c r="C2836" s="85"/>
      <c r="D2836" s="107" t="e">
        <f>+'RES CUENTA'!#REF!</f>
        <v>#REF!</v>
      </c>
      <c r="E2836" s="108" t="e">
        <f>+'RES CUENTA'!#REF!</f>
        <v>#REF!</v>
      </c>
      <c r="F2836" s="103" t="e">
        <f>+D2836*E2836/100</f>
        <v>#REF!</v>
      </c>
      <c r="G2836" s="94"/>
      <c r="H2836" s="89"/>
    </row>
    <row r="2837" spans="2:8" ht="18" x14ac:dyDescent="0.25">
      <c r="B2837" s="85" t="s">
        <v>79</v>
      </c>
      <c r="C2837" s="85"/>
      <c r="D2837" s="107" t="e">
        <f>+'RES CUENTA'!#REF!</f>
        <v>#REF!</v>
      </c>
      <c r="E2837" s="108">
        <f>+'RES CUENTA'!P1968</f>
        <v>0</v>
      </c>
      <c r="F2837" s="103" t="e">
        <f>+D2837</f>
        <v>#REF!</v>
      </c>
      <c r="G2837" s="89"/>
      <c r="H2837" s="89"/>
    </row>
    <row r="2838" spans="2:8" ht="18" x14ac:dyDescent="0.25">
      <c r="B2838" s="85" t="s">
        <v>80</v>
      </c>
      <c r="C2838" s="85"/>
      <c r="D2838" s="107" t="e">
        <f>+'RES CUENTA'!#REF!</f>
        <v>#REF!</v>
      </c>
      <c r="E2838" s="108">
        <f>+'RES CUENTA'!R1963</f>
        <v>0</v>
      </c>
      <c r="F2838" s="103" t="e">
        <f>+D2838</f>
        <v>#REF!</v>
      </c>
      <c r="G2838" s="89"/>
      <c r="H2838" s="89"/>
    </row>
    <row r="2839" spans="2:8" ht="18" x14ac:dyDescent="0.25">
      <c r="B2839" s="86"/>
      <c r="C2839" s="85"/>
      <c r="D2839" s="85"/>
      <c r="F2839" s="104" t="e">
        <f>SUM(F2835:F2838)</f>
        <v>#REF!</v>
      </c>
      <c r="G2839" s="89"/>
      <c r="H2839" s="90"/>
    </row>
    <row r="2840" spans="2:8" ht="18" x14ac:dyDescent="0.25">
      <c r="B2840" s="85"/>
      <c r="C2840" s="85"/>
      <c r="D2840" s="85"/>
      <c r="E2840" s="85"/>
      <c r="F2840" s="92"/>
      <c r="G2840" s="90"/>
      <c r="H2840" s="90"/>
    </row>
    <row r="2841" spans="2:8" ht="18" x14ac:dyDescent="0.25">
      <c r="B2841" s="85"/>
      <c r="C2841" s="85"/>
      <c r="D2841" s="85"/>
      <c r="E2841" s="85"/>
      <c r="F2841" s="92"/>
      <c r="G2841" s="90"/>
      <c r="H2841" s="90"/>
    </row>
    <row r="2842" spans="2:8" ht="18" x14ac:dyDescent="0.25">
      <c r="B2842" s="85"/>
      <c r="C2842" s="85"/>
      <c r="D2842" s="85"/>
      <c r="E2842" s="85"/>
      <c r="F2842" s="92"/>
      <c r="G2842" s="90"/>
      <c r="H2842" s="90"/>
    </row>
    <row r="2843" spans="2:8" ht="18" x14ac:dyDescent="0.25">
      <c r="B2843" s="85"/>
      <c r="C2843" s="85"/>
      <c r="D2843" s="85"/>
      <c r="E2843" s="85"/>
      <c r="F2843" s="92"/>
      <c r="G2843" s="90"/>
      <c r="H2843" s="90"/>
    </row>
    <row r="2844" spans="2:8" ht="18" x14ac:dyDescent="0.25">
      <c r="B2844" s="85"/>
      <c r="C2844" s="85"/>
      <c r="D2844" s="85"/>
      <c r="E2844" s="85"/>
      <c r="F2844" s="92"/>
      <c r="G2844" s="90"/>
      <c r="H2844" s="90"/>
    </row>
    <row r="2845" spans="2:8" ht="18" x14ac:dyDescent="0.25">
      <c r="B2845" s="85" t="e">
        <f>+B2830</f>
        <v>#REF!</v>
      </c>
      <c r="C2845" s="85"/>
      <c r="D2845" s="85"/>
      <c r="E2845" s="85" t="e">
        <f>+B2830</f>
        <v>#REF!</v>
      </c>
      <c r="F2845" s="85"/>
      <c r="G2845" s="85"/>
      <c r="H2845" s="94"/>
    </row>
    <row r="2846" spans="2:8" ht="18" x14ac:dyDescent="0.25">
      <c r="B2846" s="86"/>
      <c r="C2846" s="85"/>
      <c r="D2846" s="85"/>
      <c r="F2846" s="85"/>
      <c r="G2846" s="101"/>
      <c r="H2846" s="90" t="str">
        <f>+H2831</f>
        <v>Unid. 76</v>
      </c>
    </row>
    <row r="2847" spans="2:8" ht="18" x14ac:dyDescent="0.25">
      <c r="B2847" s="85" t="str">
        <f>+$E$1</f>
        <v>Lima 461 C:A:B:A:</v>
      </c>
      <c r="C2847" s="85"/>
      <c r="D2847" s="93" t="str">
        <f>+H2846</f>
        <v>Unid. 76</v>
      </c>
      <c r="E2847" s="85" t="str">
        <f>+$E$1</f>
        <v>Lima 461 C:A:B:A:</v>
      </c>
      <c r="F2847" s="85"/>
      <c r="G2847" s="85"/>
      <c r="H2847" s="94"/>
    </row>
    <row r="2848" spans="2:8" ht="18" x14ac:dyDescent="0.25">
      <c r="B2848" s="86"/>
      <c r="C2848" s="86"/>
      <c r="D2848" s="86"/>
      <c r="F2848" s="85"/>
      <c r="G2848" s="85"/>
    </row>
    <row r="2849" spans="2:8" ht="18" x14ac:dyDescent="0.25">
      <c r="B2849" s="85"/>
      <c r="C2849" s="85"/>
      <c r="D2849" s="85"/>
      <c r="E2849" s="86"/>
      <c r="F2849" s="85"/>
      <c r="G2849" s="85"/>
      <c r="H2849" s="94"/>
    </row>
    <row r="2850" spans="2:8" ht="18" x14ac:dyDescent="0.25">
      <c r="B2850" s="85">
        <f>+$E$2</f>
        <v>0</v>
      </c>
      <c r="C2850" s="85"/>
      <c r="D2850" s="85"/>
      <c r="E2850" s="85"/>
      <c r="F2850" s="96"/>
      <c r="G2850" s="86"/>
      <c r="H2850" s="90"/>
    </row>
    <row r="2851" spans="2:8" ht="18" x14ac:dyDescent="0.25">
      <c r="B2851" s="85">
        <f>+$E$3</f>
        <v>0</v>
      </c>
      <c r="C2851" s="85"/>
      <c r="D2851" s="85"/>
      <c r="E2851" s="96"/>
      <c r="G2851" s="94"/>
      <c r="H2851" s="96"/>
    </row>
    <row r="2852" spans="2:8" ht="18" x14ac:dyDescent="0.25">
      <c r="B2852" s="86"/>
      <c r="C2852" s="85"/>
      <c r="D2852" s="85"/>
      <c r="E2852" s="85" t="s">
        <v>200</v>
      </c>
      <c r="F2852" s="106" t="e">
        <f>+F2835</f>
        <v>#REF!</v>
      </c>
      <c r="G2852" s="95"/>
      <c r="H2852" s="99">
        <f>+B2856</f>
        <v>46037</v>
      </c>
    </row>
    <row r="2853" spans="2:8" ht="18" x14ac:dyDescent="0.25">
      <c r="B2853" s="86"/>
      <c r="C2853" s="85"/>
      <c r="D2853" s="85"/>
      <c r="E2853" s="85" t="s">
        <v>201</v>
      </c>
      <c r="F2853" s="106" t="e">
        <f>+F2836</f>
        <v>#REF!</v>
      </c>
      <c r="H2853" s="90"/>
    </row>
    <row r="2854" spans="2:8" ht="18" x14ac:dyDescent="0.25">
      <c r="B2854" s="85"/>
      <c r="C2854" s="85"/>
      <c r="D2854" s="85"/>
      <c r="E2854" s="85" t="s">
        <v>81</v>
      </c>
      <c r="F2854" s="106" t="e">
        <f>+F2837</f>
        <v>#REF!</v>
      </c>
      <c r="G2854" s="85"/>
      <c r="H2854" s="90"/>
    </row>
    <row r="2855" spans="2:8" ht="18" x14ac:dyDescent="0.25">
      <c r="B2855" s="96"/>
      <c r="C2855" s="96"/>
      <c r="D2855" s="96"/>
      <c r="E2855" s="85" t="s">
        <v>82</v>
      </c>
      <c r="F2855" s="106" t="e">
        <f>+F2838</f>
        <v>#REF!</v>
      </c>
      <c r="G2855" s="85"/>
      <c r="H2855" s="90"/>
    </row>
    <row r="2856" spans="2:8" ht="18" x14ac:dyDescent="0.25">
      <c r="B2856" s="99">
        <f>+$G$30</f>
        <v>46037</v>
      </c>
      <c r="C2856" s="105" t="e">
        <f>+F2839</f>
        <v>#REF!</v>
      </c>
      <c r="D2856" s="85"/>
      <c r="E2856" s="85" t="s">
        <v>188</v>
      </c>
      <c r="F2856" s="106">
        <v>0</v>
      </c>
      <c r="G2856" s="85"/>
      <c r="H2856" s="90"/>
    </row>
    <row r="2857" spans="2:8" ht="18" x14ac:dyDescent="0.25">
      <c r="B2857" s="85"/>
      <c r="C2857" s="85"/>
      <c r="D2857" s="85"/>
      <c r="E2857" s="85" t="s">
        <v>83</v>
      </c>
      <c r="F2857" s="106" t="e">
        <f>+F2839</f>
        <v>#REF!</v>
      </c>
      <c r="G2857" s="85"/>
      <c r="H2857" s="90"/>
    </row>
    <row r="2858" spans="2:8" ht="18" x14ac:dyDescent="0.25">
      <c r="B2858" s="85"/>
      <c r="C2858" s="85"/>
      <c r="D2858" s="85"/>
      <c r="E2858" s="85"/>
      <c r="F2858" s="85"/>
      <c r="G2858" s="85"/>
      <c r="H2858" s="90"/>
    </row>
    <row r="2859" spans="2:8" ht="18" x14ac:dyDescent="0.25">
      <c r="B2859" s="85"/>
      <c r="C2859" s="85"/>
      <c r="D2859" s="85"/>
      <c r="E2859" s="102"/>
      <c r="F2859" s="85"/>
      <c r="G2859" s="85"/>
      <c r="H2859" s="90"/>
    </row>
    <row r="2860" spans="2:8" ht="18" x14ac:dyDescent="0.25">
      <c r="B2860" s="85"/>
      <c r="C2860" s="85"/>
      <c r="D2860" s="85"/>
      <c r="E2860" s="85"/>
      <c r="F2860" s="85"/>
      <c r="G2860" s="85"/>
      <c r="H2860" s="94"/>
    </row>
    <row r="2861" spans="2:8" ht="18" x14ac:dyDescent="0.25">
      <c r="E2861" s="85"/>
      <c r="G2861" s="94"/>
      <c r="H2861" s="90"/>
    </row>
    <row r="2863" spans="2:8" ht="18" x14ac:dyDescent="0.25">
      <c r="B2863" s="343"/>
      <c r="C2863" s="343"/>
      <c r="D2863" s="343"/>
      <c r="E2863" s="342">
        <f>+$B$1</f>
        <v>46143</v>
      </c>
      <c r="F2863" s="85"/>
      <c r="G2863" s="337">
        <f>+$D$1</f>
        <v>46037</v>
      </c>
      <c r="H2863" s="90"/>
    </row>
    <row r="2864" spans="2:8" ht="18" x14ac:dyDescent="0.25">
      <c r="B2864" s="84"/>
      <c r="C2864" s="84"/>
      <c r="D2864" s="100"/>
      <c r="E2864" s="342"/>
      <c r="F2864" s="85"/>
      <c r="G2864" s="337"/>
      <c r="H2864" s="90"/>
    </row>
    <row r="2865" spans="2:8" ht="18" x14ac:dyDescent="0.25">
      <c r="B2865" s="85"/>
      <c r="C2865" s="85"/>
      <c r="D2865" s="85"/>
      <c r="E2865" s="86"/>
      <c r="F2865" s="85"/>
      <c r="G2865" s="86"/>
      <c r="H2865" s="90"/>
    </row>
    <row r="2866" spans="2:8" ht="18" x14ac:dyDescent="0.25">
      <c r="B2866" s="85" t="e">
        <f>+#REF!</f>
        <v>#REF!</v>
      </c>
      <c r="C2866" s="85"/>
      <c r="D2866" s="85"/>
      <c r="E2866" s="86"/>
      <c r="F2866" s="85"/>
      <c r="G2866" s="86"/>
      <c r="H2866" s="90"/>
    </row>
    <row r="2867" spans="2:8" ht="18" x14ac:dyDescent="0.25">
      <c r="B2867" s="86"/>
      <c r="C2867" s="85"/>
      <c r="D2867" s="85"/>
      <c r="E2867" s="85" t="s">
        <v>78</v>
      </c>
      <c r="F2867" s="85"/>
      <c r="G2867" s="85"/>
      <c r="H2867" s="90" t="s">
        <v>160</v>
      </c>
    </row>
    <row r="2868" spans="2:8" ht="18" x14ac:dyDescent="0.25">
      <c r="B2868" s="85"/>
      <c r="C2868" s="85"/>
      <c r="D2868" s="85"/>
      <c r="E2868" s="86"/>
      <c r="F2868" s="86"/>
      <c r="G2868" s="85"/>
      <c r="H2868" s="94"/>
    </row>
    <row r="2869" spans="2:8" ht="18" x14ac:dyDescent="0.25">
      <c r="B2869" s="94"/>
      <c r="C2869" s="85"/>
      <c r="D2869" s="94"/>
      <c r="E2869" s="85"/>
      <c r="F2869" s="85"/>
      <c r="G2869" s="85"/>
      <c r="H2869" s="90"/>
    </row>
    <row r="2870" spans="2:8" ht="18" x14ac:dyDescent="0.25">
      <c r="B2870" s="94"/>
      <c r="C2870" s="85"/>
      <c r="D2870" s="94"/>
      <c r="E2870" s="85"/>
      <c r="F2870" s="85"/>
      <c r="G2870" s="85"/>
      <c r="H2870" s="90"/>
    </row>
    <row r="2871" spans="2:8" ht="18" x14ac:dyDescent="0.25">
      <c r="B2871" s="85" t="s">
        <v>198</v>
      </c>
      <c r="C2871" s="85"/>
      <c r="D2871" s="107">
        <f>+'RES CUENTA'!$L$25</f>
        <v>10859801.41</v>
      </c>
      <c r="E2871" s="108" t="e">
        <f>+'RES CUENTA'!#REF!</f>
        <v>#REF!</v>
      </c>
      <c r="F2871" s="103" t="e">
        <f>+D2871*E2871/100</f>
        <v>#REF!</v>
      </c>
      <c r="G2871" s="345"/>
      <c r="H2871" s="345"/>
    </row>
    <row r="2872" spans="2:8" ht="18" x14ac:dyDescent="0.25">
      <c r="B2872" s="85" t="s">
        <v>199</v>
      </c>
      <c r="C2872" s="85"/>
      <c r="D2872" s="107" t="e">
        <f>+'RES CUENTA'!#REF!</f>
        <v>#REF!</v>
      </c>
      <c r="E2872" s="108" t="e">
        <f>+'RES CUENTA'!#REF!</f>
        <v>#REF!</v>
      </c>
      <c r="F2872" s="103" t="e">
        <f>+D2872*E2872/100</f>
        <v>#REF!</v>
      </c>
      <c r="G2872" s="341"/>
      <c r="H2872" s="341"/>
    </row>
    <row r="2873" spans="2:8" ht="18" x14ac:dyDescent="0.25">
      <c r="B2873" s="85" t="s">
        <v>79</v>
      </c>
      <c r="C2873" s="85"/>
      <c r="D2873" s="107" t="e">
        <f>+'RES CUENTA'!#REF!</f>
        <v>#REF!</v>
      </c>
      <c r="E2873" s="108">
        <v>0</v>
      </c>
      <c r="F2873" s="103" t="e">
        <f>+D2873</f>
        <v>#REF!</v>
      </c>
      <c r="G2873" s="341"/>
      <c r="H2873" s="341"/>
    </row>
    <row r="2874" spans="2:8" ht="18" x14ac:dyDescent="0.25">
      <c r="B2874" s="85" t="s">
        <v>80</v>
      </c>
      <c r="C2874" s="85"/>
      <c r="D2874" s="107" t="e">
        <f>+'RES CUENTA'!#REF!</f>
        <v>#REF!</v>
      </c>
      <c r="E2874" s="108">
        <v>0</v>
      </c>
      <c r="F2874" s="103" t="e">
        <f>+D2874</f>
        <v>#REF!</v>
      </c>
      <c r="G2874" s="341"/>
      <c r="H2874" s="341"/>
    </row>
    <row r="2875" spans="2:8" ht="18" x14ac:dyDescent="0.25">
      <c r="B2875" s="86"/>
      <c r="C2875" s="85"/>
      <c r="D2875" s="85"/>
      <c r="E2875" s="92"/>
      <c r="F2875" s="104" t="e">
        <f>SUM(F2871:F2874)</f>
        <v>#REF!</v>
      </c>
      <c r="G2875" s="341"/>
      <c r="H2875" s="341"/>
    </row>
    <row r="2876" spans="2:8" ht="18" x14ac:dyDescent="0.25">
      <c r="B2876" s="86"/>
      <c r="C2876" s="85"/>
      <c r="D2876" s="85"/>
      <c r="E2876" s="85"/>
      <c r="G2876" s="338"/>
      <c r="H2876" s="338"/>
    </row>
    <row r="2877" spans="2:8" ht="18" x14ac:dyDescent="0.25">
      <c r="B2877" s="86"/>
      <c r="C2877" s="85"/>
      <c r="D2877" s="85"/>
      <c r="E2877" s="85"/>
      <c r="G2877" s="90"/>
      <c r="H2877" s="90"/>
    </row>
    <row r="2878" spans="2:8" ht="18" x14ac:dyDescent="0.25">
      <c r="B2878" s="85"/>
      <c r="C2878" s="85"/>
      <c r="D2878" s="85"/>
      <c r="E2878" s="85"/>
      <c r="F2878" s="91"/>
      <c r="G2878" s="90"/>
      <c r="H2878" s="90"/>
    </row>
    <row r="2879" spans="2:8" ht="18" x14ac:dyDescent="0.25">
      <c r="B2879" s="85"/>
      <c r="C2879" s="85"/>
      <c r="D2879" s="85"/>
      <c r="E2879" s="85"/>
      <c r="F2879" s="92"/>
      <c r="G2879" s="85"/>
      <c r="H2879" s="90"/>
    </row>
    <row r="2880" spans="2:8" ht="18" x14ac:dyDescent="0.25">
      <c r="B2880" s="85"/>
      <c r="C2880" s="85"/>
      <c r="D2880" s="85"/>
      <c r="E2880" s="85"/>
      <c r="F2880" s="92"/>
      <c r="G2880" s="85"/>
      <c r="H2880" s="90"/>
    </row>
    <row r="2881" spans="2:8" ht="18" x14ac:dyDescent="0.25">
      <c r="B2881" s="85" t="e">
        <f>+B2866</f>
        <v>#REF!</v>
      </c>
      <c r="C2881" s="344"/>
      <c r="D2881" s="344"/>
      <c r="E2881" s="85" t="e">
        <f>+B2881</f>
        <v>#REF!</v>
      </c>
      <c r="F2881" s="92"/>
      <c r="G2881" s="85"/>
      <c r="H2881" s="90"/>
    </row>
    <row r="2882" spans="2:8" ht="18" x14ac:dyDescent="0.25">
      <c r="C2882" s="85"/>
      <c r="D2882" s="85"/>
      <c r="F2882" s="344"/>
      <c r="G2882" s="344"/>
      <c r="H2882" s="344"/>
    </row>
    <row r="2883" spans="2:8" ht="18" x14ac:dyDescent="0.25">
      <c r="B2883" s="85" t="str">
        <f>+$E$1</f>
        <v>Lima 461 C:A:B:A:</v>
      </c>
      <c r="C2883" s="85"/>
      <c r="D2883" s="93" t="str">
        <f>+H2867</f>
        <v>Unid. 77</v>
      </c>
      <c r="E2883" s="85" t="str">
        <f>+$E$1</f>
        <v>Lima 461 C:A:B:A:</v>
      </c>
      <c r="F2883" s="85"/>
      <c r="G2883" s="85"/>
      <c r="H2883" s="90" t="str">
        <f>+D2883</f>
        <v>Unid. 77</v>
      </c>
    </row>
    <row r="2884" spans="2:8" ht="18" x14ac:dyDescent="0.25">
      <c r="H2884" s="94"/>
    </row>
    <row r="2885" spans="2:8" ht="18" x14ac:dyDescent="0.25">
      <c r="B2885" s="86"/>
      <c r="C2885" s="86"/>
      <c r="D2885" s="86"/>
      <c r="E2885" s="86"/>
      <c r="F2885" s="85"/>
      <c r="G2885" s="85"/>
    </row>
    <row r="2886" spans="2:8" ht="18" x14ac:dyDescent="0.25">
      <c r="B2886" s="85">
        <f>+$E$2</f>
        <v>0</v>
      </c>
      <c r="C2886" s="85"/>
      <c r="D2886" s="85"/>
      <c r="E2886" s="85"/>
      <c r="F2886" s="85"/>
      <c r="G2886" s="86"/>
      <c r="H2886" s="94"/>
    </row>
    <row r="2887" spans="2:8" ht="18" x14ac:dyDescent="0.25">
      <c r="B2887" s="85">
        <f>+$E$3</f>
        <v>0</v>
      </c>
      <c r="C2887" s="85"/>
      <c r="D2887" s="85"/>
      <c r="E2887" s="96"/>
      <c r="F2887" s="85"/>
      <c r="G2887" s="94"/>
      <c r="H2887" s="90"/>
    </row>
    <row r="2888" spans="2:8" ht="18" x14ac:dyDescent="0.25">
      <c r="C2888" s="85"/>
      <c r="D2888" s="85"/>
      <c r="E2888" s="85" t="s">
        <v>200</v>
      </c>
      <c r="F2888" s="106" t="e">
        <f>+F2871</f>
        <v>#REF!</v>
      </c>
      <c r="H2888" s="99">
        <f>+B2893</f>
        <v>46037</v>
      </c>
    </row>
    <row r="2889" spans="2:8" ht="18" x14ac:dyDescent="0.25">
      <c r="B2889" s="86"/>
      <c r="C2889" s="85"/>
      <c r="D2889" s="85"/>
      <c r="E2889" s="85" t="s">
        <v>201</v>
      </c>
      <c r="F2889" s="106" t="e">
        <f>+F2872</f>
        <v>#REF!</v>
      </c>
    </row>
    <row r="2890" spans="2:8" ht="18" x14ac:dyDescent="0.25">
      <c r="B2890" s="86"/>
      <c r="C2890" s="85"/>
      <c r="D2890" s="85"/>
      <c r="E2890" s="85" t="s">
        <v>81</v>
      </c>
      <c r="F2890" s="106" t="e">
        <f>+F2873</f>
        <v>#REF!</v>
      </c>
      <c r="G2890" s="85"/>
      <c r="H2890" s="90"/>
    </row>
    <row r="2891" spans="2:8" ht="18" x14ac:dyDescent="0.25">
      <c r="B2891" s="85"/>
      <c r="C2891" s="85"/>
      <c r="D2891" s="85"/>
      <c r="E2891" s="85" t="s">
        <v>82</v>
      </c>
      <c r="F2891" s="106" t="e">
        <f>+F2874</f>
        <v>#REF!</v>
      </c>
      <c r="G2891" s="85"/>
      <c r="H2891" s="90"/>
    </row>
    <row r="2892" spans="2:8" ht="18" x14ac:dyDescent="0.25">
      <c r="B2892" s="96"/>
      <c r="C2892" s="96"/>
      <c r="D2892" s="96"/>
      <c r="E2892" s="85" t="s">
        <v>188</v>
      </c>
      <c r="F2892" s="106">
        <v>0</v>
      </c>
      <c r="G2892" s="85"/>
      <c r="H2892" s="90"/>
    </row>
    <row r="2893" spans="2:8" ht="18" x14ac:dyDescent="0.25">
      <c r="B2893" s="99">
        <f>+$G$30</f>
        <v>46037</v>
      </c>
      <c r="C2893" s="105" t="e">
        <f>+F2875</f>
        <v>#REF!</v>
      </c>
      <c r="D2893" s="85"/>
      <c r="E2893" s="85" t="s">
        <v>83</v>
      </c>
      <c r="F2893" s="106" t="e">
        <f>+F2875</f>
        <v>#REF!</v>
      </c>
      <c r="G2893" s="85"/>
      <c r="H2893" s="90"/>
    </row>
    <row r="2894" spans="2:8" ht="18" x14ac:dyDescent="0.25">
      <c r="B2894" s="85"/>
      <c r="C2894" s="85"/>
      <c r="D2894" s="85"/>
      <c r="E2894" s="85"/>
      <c r="F2894" s="85"/>
      <c r="G2894" s="85"/>
      <c r="H2894" s="90"/>
    </row>
    <row r="2895" spans="2:8" ht="18" x14ac:dyDescent="0.25">
      <c r="B2895" s="85"/>
      <c r="C2895" s="85"/>
      <c r="D2895" s="85"/>
      <c r="E2895" s="85"/>
      <c r="F2895" s="85"/>
      <c r="G2895" s="345"/>
      <c r="H2895" s="345"/>
    </row>
    <row r="2896" spans="2:8" ht="18" x14ac:dyDescent="0.25">
      <c r="B2896" s="85"/>
      <c r="C2896" s="85"/>
      <c r="D2896" s="85"/>
      <c r="E2896" s="85"/>
      <c r="F2896" s="85"/>
      <c r="G2896" s="85"/>
      <c r="H2896" s="90"/>
    </row>
    <row r="2897" spans="2:8" ht="18" x14ac:dyDescent="0.25">
      <c r="B2897" s="85"/>
      <c r="C2897" s="85"/>
      <c r="D2897" s="85"/>
      <c r="E2897" s="85"/>
      <c r="F2897" s="85"/>
      <c r="G2897" s="85"/>
      <c r="H2897" s="90"/>
    </row>
    <row r="2898" spans="2:8" ht="18" x14ac:dyDescent="0.25">
      <c r="B2898" s="85"/>
      <c r="C2898" s="85"/>
      <c r="D2898" s="85"/>
      <c r="E2898" s="85"/>
      <c r="F2898" s="85"/>
      <c r="G2898" s="85"/>
      <c r="H2898" s="90"/>
    </row>
    <row r="2899" spans="2:8" ht="18" x14ac:dyDescent="0.25">
      <c r="B2899" s="85"/>
      <c r="C2899" s="85"/>
      <c r="D2899" s="85"/>
      <c r="E2899" s="85"/>
      <c r="F2899" s="85"/>
      <c r="G2899" s="85"/>
      <c r="H2899" s="90"/>
    </row>
    <row r="2900" spans="2:8" ht="18" x14ac:dyDescent="0.25">
      <c r="B2900" s="85"/>
      <c r="C2900" s="85"/>
      <c r="D2900" s="85"/>
      <c r="E2900" s="85"/>
      <c r="F2900" s="85"/>
      <c r="H2900" s="90"/>
    </row>
    <row r="2901" spans="2:8" ht="18" x14ac:dyDescent="0.25">
      <c r="B2901" s="343"/>
      <c r="C2901" s="343"/>
      <c r="D2901" s="343"/>
      <c r="E2901" s="85"/>
      <c r="F2901" s="85"/>
      <c r="H2901" s="90"/>
    </row>
    <row r="2902" spans="2:8" ht="18" x14ac:dyDescent="0.25">
      <c r="B2902" s="343"/>
      <c r="C2902" s="343"/>
      <c r="D2902" s="343"/>
      <c r="E2902" s="98">
        <f>+$B$1</f>
        <v>46143</v>
      </c>
      <c r="F2902" s="85"/>
      <c r="G2902" s="99">
        <f>+$D$1</f>
        <v>46037</v>
      </c>
      <c r="H2902" s="160"/>
    </row>
    <row r="2903" spans="2:8" ht="18" x14ac:dyDescent="0.25">
      <c r="B2903" s="84"/>
      <c r="C2903" s="84"/>
      <c r="D2903" s="100"/>
      <c r="E2903" s="98"/>
      <c r="F2903" s="85"/>
    </row>
    <row r="2904" spans="2:8" ht="18" x14ac:dyDescent="0.25">
      <c r="B2904" s="85" t="e">
        <f>+#REF!</f>
        <v>#REF!</v>
      </c>
      <c r="C2904" s="85"/>
      <c r="D2904" s="85"/>
      <c r="F2904" s="85"/>
    </row>
    <row r="2905" spans="2:8" ht="18" x14ac:dyDescent="0.25">
      <c r="C2905" s="85"/>
      <c r="D2905" s="85"/>
      <c r="E2905" s="85" t="str">
        <f>+$E$1</f>
        <v>Lima 461 C:A:B:A:</v>
      </c>
      <c r="F2905" s="85"/>
      <c r="H2905" s="90" t="s">
        <v>161</v>
      </c>
    </row>
    <row r="2906" spans="2:8" ht="18" x14ac:dyDescent="0.25">
      <c r="B2906" s="85"/>
      <c r="C2906" s="85"/>
      <c r="D2906" s="85"/>
      <c r="E2906" s="86"/>
      <c r="F2906" s="86"/>
      <c r="G2906" s="85"/>
      <c r="H2906" s="94"/>
    </row>
    <row r="2907" spans="2:8" ht="18" x14ac:dyDescent="0.25">
      <c r="B2907" s="85"/>
      <c r="C2907" s="85"/>
      <c r="D2907" s="85"/>
      <c r="E2907" s="86"/>
      <c r="F2907" s="86"/>
      <c r="G2907" s="85"/>
      <c r="H2907" s="94"/>
    </row>
    <row r="2908" spans="2:8" ht="18" x14ac:dyDescent="0.25">
      <c r="B2908" s="94"/>
      <c r="C2908" s="85"/>
      <c r="D2908" s="94"/>
      <c r="E2908" s="85"/>
      <c r="F2908" s="85"/>
      <c r="G2908" s="85"/>
      <c r="H2908" s="90"/>
    </row>
    <row r="2909" spans="2:8" ht="18" x14ac:dyDescent="0.25">
      <c r="B2909" s="85" t="s">
        <v>198</v>
      </c>
      <c r="C2909" s="85"/>
      <c r="D2909" s="107">
        <f>+'RES CUENTA'!$L$25</f>
        <v>10859801.41</v>
      </c>
      <c r="E2909" s="108" t="e">
        <f>+'RES CUENTA'!#REF!</f>
        <v>#REF!</v>
      </c>
      <c r="F2909" s="103" t="e">
        <f>+D2909*E2909/100</f>
        <v>#REF!</v>
      </c>
      <c r="G2909" s="85"/>
      <c r="H2909" s="94"/>
    </row>
    <row r="2910" spans="2:8" ht="18" x14ac:dyDescent="0.25">
      <c r="B2910" s="85" t="s">
        <v>199</v>
      </c>
      <c r="C2910" s="85"/>
      <c r="D2910" s="107" t="e">
        <f>+'RES CUENTA'!#REF!</f>
        <v>#REF!</v>
      </c>
      <c r="E2910" s="108" t="e">
        <f>+'RES CUENTA'!#REF!</f>
        <v>#REF!</v>
      </c>
      <c r="F2910" s="103" t="e">
        <f>+D2910*E2910/100</f>
        <v>#REF!</v>
      </c>
      <c r="G2910" s="94"/>
      <c r="H2910" s="89"/>
    </row>
    <row r="2911" spans="2:8" ht="18" x14ac:dyDescent="0.25">
      <c r="B2911" s="85" t="s">
        <v>79</v>
      </c>
      <c r="C2911" s="85"/>
      <c r="D2911" s="107" t="e">
        <f>+'RES CUENTA'!#REF!</f>
        <v>#REF!</v>
      </c>
      <c r="E2911" s="108">
        <f>+'RES CUENTA'!P2044</f>
        <v>0</v>
      </c>
      <c r="F2911" s="103" t="e">
        <f>+D2911</f>
        <v>#REF!</v>
      </c>
      <c r="G2911" s="89"/>
      <c r="H2911" s="89"/>
    </row>
    <row r="2912" spans="2:8" ht="18" x14ac:dyDescent="0.25">
      <c r="B2912" s="85" t="s">
        <v>80</v>
      </c>
      <c r="C2912" s="85"/>
      <c r="D2912" s="107" t="e">
        <f>+'RES CUENTA'!#REF!</f>
        <v>#REF!</v>
      </c>
      <c r="E2912" s="108">
        <f>+'RES CUENTA'!R2039</f>
        <v>0</v>
      </c>
      <c r="F2912" s="103" t="e">
        <f>+D2912</f>
        <v>#REF!</v>
      </c>
      <c r="G2912" s="89"/>
      <c r="H2912" s="89"/>
    </row>
    <row r="2913" spans="2:8" ht="18" x14ac:dyDescent="0.25">
      <c r="B2913" s="86"/>
      <c r="C2913" s="85"/>
      <c r="D2913" s="85"/>
      <c r="F2913" s="104" t="e">
        <f>SUM(F2909:F2912)</f>
        <v>#REF!</v>
      </c>
      <c r="G2913" s="89"/>
      <c r="H2913" s="89"/>
    </row>
    <row r="2914" spans="2:8" ht="18" x14ac:dyDescent="0.25">
      <c r="B2914" s="85"/>
      <c r="C2914" s="85"/>
      <c r="D2914" s="85"/>
      <c r="E2914" s="85"/>
      <c r="F2914" s="92"/>
      <c r="G2914" s="90"/>
      <c r="H2914" s="90"/>
    </row>
    <row r="2915" spans="2:8" ht="18" x14ac:dyDescent="0.25">
      <c r="B2915" s="85"/>
      <c r="C2915" s="85"/>
      <c r="D2915" s="85"/>
      <c r="E2915" s="85"/>
      <c r="F2915" s="92"/>
      <c r="G2915" s="90"/>
      <c r="H2915" s="90"/>
    </row>
    <row r="2916" spans="2:8" ht="18" x14ac:dyDescent="0.25">
      <c r="B2916" s="85"/>
      <c r="C2916" s="85"/>
      <c r="D2916" s="85"/>
      <c r="E2916" s="85"/>
      <c r="F2916" s="92"/>
      <c r="G2916" s="90"/>
      <c r="H2916" s="90"/>
    </row>
    <row r="2917" spans="2:8" ht="18" x14ac:dyDescent="0.25">
      <c r="B2917" s="85"/>
      <c r="C2917" s="85"/>
      <c r="D2917" s="85"/>
      <c r="E2917" s="85"/>
      <c r="F2917" s="92"/>
      <c r="G2917" s="90"/>
      <c r="H2917" s="90"/>
    </row>
    <row r="2918" spans="2:8" ht="18" x14ac:dyDescent="0.25">
      <c r="B2918" s="85" t="e">
        <f>+B2904</f>
        <v>#REF!</v>
      </c>
      <c r="C2918" s="85"/>
      <c r="D2918" s="85"/>
      <c r="E2918" s="85" t="e">
        <f>+B2904</f>
        <v>#REF!</v>
      </c>
      <c r="F2918" s="85"/>
      <c r="G2918" s="85"/>
      <c r="H2918" s="94"/>
    </row>
    <row r="2919" spans="2:8" ht="18" x14ac:dyDescent="0.25">
      <c r="B2919" s="86"/>
      <c r="C2919" s="85"/>
      <c r="D2919" s="85"/>
      <c r="F2919" s="85"/>
      <c r="G2919" s="101"/>
      <c r="H2919" s="90" t="str">
        <f>+H2905</f>
        <v>Unid. 78</v>
      </c>
    </row>
    <row r="2920" spans="2:8" ht="18" x14ac:dyDescent="0.25">
      <c r="B2920" s="85" t="str">
        <f>+$E$1</f>
        <v>Lima 461 C:A:B:A:</v>
      </c>
      <c r="C2920" s="85"/>
      <c r="D2920" s="93" t="str">
        <f>+H2919</f>
        <v>Unid. 78</v>
      </c>
      <c r="E2920" s="85" t="str">
        <f>+$E$1</f>
        <v>Lima 461 C:A:B:A:</v>
      </c>
      <c r="F2920" s="85"/>
      <c r="G2920" s="85"/>
      <c r="H2920" s="94"/>
    </row>
    <row r="2921" spans="2:8" ht="18" x14ac:dyDescent="0.25">
      <c r="B2921" s="86"/>
      <c r="C2921" s="86"/>
      <c r="D2921" s="86"/>
      <c r="F2921" s="85"/>
      <c r="G2921" s="85"/>
    </row>
    <row r="2922" spans="2:8" ht="18" x14ac:dyDescent="0.25">
      <c r="B2922" s="85"/>
      <c r="C2922" s="85"/>
      <c r="D2922" s="85"/>
      <c r="E2922" s="86"/>
      <c r="F2922" s="85"/>
      <c r="G2922" s="85"/>
      <c r="H2922" s="94"/>
    </row>
    <row r="2923" spans="2:8" ht="18" x14ac:dyDescent="0.25">
      <c r="B2923" s="85">
        <f>+$E$2</f>
        <v>0</v>
      </c>
      <c r="C2923" s="85"/>
      <c r="D2923" s="85"/>
      <c r="E2923" s="85"/>
      <c r="F2923" s="96"/>
      <c r="G2923" s="86"/>
      <c r="H2923" s="90"/>
    </row>
    <row r="2924" spans="2:8" ht="18" x14ac:dyDescent="0.25">
      <c r="B2924" s="85">
        <f>+$E$3</f>
        <v>0</v>
      </c>
      <c r="C2924" s="85"/>
      <c r="D2924" s="85"/>
      <c r="E2924" s="96"/>
      <c r="G2924" s="94"/>
      <c r="H2924" s="96"/>
    </row>
    <row r="2925" spans="2:8" ht="18" x14ac:dyDescent="0.25">
      <c r="B2925" s="86"/>
      <c r="C2925" s="85"/>
      <c r="D2925" s="85"/>
      <c r="E2925" s="85" t="s">
        <v>200</v>
      </c>
      <c r="F2925" s="106" t="e">
        <f>+F2909</f>
        <v>#REF!</v>
      </c>
      <c r="G2925" s="95"/>
      <c r="H2925" s="99">
        <f>+B2929</f>
        <v>46037</v>
      </c>
    </row>
    <row r="2926" spans="2:8" ht="18" x14ac:dyDescent="0.25">
      <c r="B2926" s="86"/>
      <c r="C2926" s="85"/>
      <c r="D2926" s="85"/>
      <c r="E2926" s="85" t="s">
        <v>201</v>
      </c>
      <c r="F2926" s="106" t="e">
        <f>+F2910</f>
        <v>#REF!</v>
      </c>
      <c r="H2926" s="90"/>
    </row>
    <row r="2927" spans="2:8" ht="18" x14ac:dyDescent="0.25">
      <c r="B2927" s="85"/>
      <c r="C2927" s="85"/>
      <c r="D2927" s="85"/>
      <c r="E2927" s="85" t="s">
        <v>81</v>
      </c>
      <c r="F2927" s="106" t="e">
        <f>+F2911</f>
        <v>#REF!</v>
      </c>
      <c r="G2927" s="85"/>
      <c r="H2927" s="90"/>
    </row>
    <row r="2928" spans="2:8" ht="18" x14ac:dyDescent="0.25">
      <c r="B2928" s="96"/>
      <c r="C2928" s="96"/>
      <c r="D2928" s="96"/>
      <c r="E2928" s="85" t="s">
        <v>82</v>
      </c>
      <c r="F2928" s="106" t="e">
        <f>+F2912</f>
        <v>#REF!</v>
      </c>
      <c r="G2928" s="85"/>
      <c r="H2928" s="90"/>
    </row>
    <row r="2929" spans="2:8" ht="18" x14ac:dyDescent="0.25">
      <c r="B2929" s="99">
        <f>+$G$30</f>
        <v>46037</v>
      </c>
      <c r="C2929" s="105" t="e">
        <f>+F2913</f>
        <v>#REF!</v>
      </c>
      <c r="D2929" s="85"/>
      <c r="E2929" s="85" t="s">
        <v>188</v>
      </c>
      <c r="F2929" s="106">
        <v>0</v>
      </c>
      <c r="G2929" s="85"/>
      <c r="H2929" s="90"/>
    </row>
    <row r="2930" spans="2:8" ht="18" x14ac:dyDescent="0.25">
      <c r="B2930" s="85"/>
      <c r="C2930" s="85"/>
      <c r="D2930" s="85"/>
      <c r="E2930" s="85" t="s">
        <v>83</v>
      </c>
      <c r="F2930" s="106" t="e">
        <f>+F2913</f>
        <v>#REF!</v>
      </c>
      <c r="G2930" s="85"/>
      <c r="H2930" s="90"/>
    </row>
    <row r="2931" spans="2:8" ht="18" x14ac:dyDescent="0.25">
      <c r="B2931" s="85"/>
      <c r="C2931" s="85"/>
      <c r="D2931" s="85"/>
      <c r="E2931" s="85"/>
      <c r="F2931" s="85"/>
      <c r="G2931" s="85"/>
      <c r="H2931" s="90"/>
    </row>
    <row r="2932" spans="2:8" ht="18" x14ac:dyDescent="0.25">
      <c r="B2932" s="85"/>
      <c r="C2932" s="85"/>
      <c r="D2932" s="85"/>
      <c r="E2932" s="102"/>
      <c r="F2932" s="85"/>
      <c r="G2932" s="85"/>
      <c r="H2932" s="90"/>
    </row>
    <row r="2933" spans="2:8" ht="18" x14ac:dyDescent="0.25">
      <c r="B2933" s="85"/>
      <c r="C2933" s="85"/>
      <c r="D2933" s="85"/>
      <c r="E2933" s="85"/>
      <c r="F2933" s="85"/>
      <c r="G2933" s="85"/>
      <c r="H2933" s="94"/>
    </row>
    <row r="2934" spans="2:8" ht="18" x14ac:dyDescent="0.25">
      <c r="E2934" s="85"/>
      <c r="G2934" s="94"/>
      <c r="H2934" s="90"/>
    </row>
    <row r="2936" spans="2:8" ht="18" x14ac:dyDescent="0.25">
      <c r="B2936" s="343"/>
      <c r="C2936" s="343"/>
      <c r="D2936" s="343"/>
      <c r="E2936" s="342">
        <f>+$B$1</f>
        <v>46143</v>
      </c>
      <c r="F2936" s="85"/>
      <c r="G2936" s="337">
        <f>+$D$1</f>
        <v>46037</v>
      </c>
      <c r="H2936" s="90"/>
    </row>
    <row r="2937" spans="2:8" ht="18" x14ac:dyDescent="0.25">
      <c r="B2937" s="84"/>
      <c r="C2937" s="84"/>
      <c r="D2937" s="100"/>
      <c r="E2937" s="342"/>
      <c r="F2937" s="85"/>
      <c r="G2937" s="337"/>
      <c r="H2937" s="90"/>
    </row>
    <row r="2938" spans="2:8" ht="18" x14ac:dyDescent="0.25">
      <c r="B2938" s="85"/>
      <c r="C2938" s="85"/>
      <c r="D2938" s="85"/>
      <c r="E2938" s="86"/>
      <c r="F2938" s="85"/>
      <c r="G2938" s="86"/>
      <c r="H2938" s="90"/>
    </row>
    <row r="2939" spans="2:8" ht="18" x14ac:dyDescent="0.25">
      <c r="B2939" s="85" t="e">
        <f>+#REF!</f>
        <v>#REF!</v>
      </c>
      <c r="C2939" s="85"/>
      <c r="D2939" s="85"/>
      <c r="E2939" s="86"/>
      <c r="F2939" s="85"/>
      <c r="G2939" s="86"/>
      <c r="H2939" s="90"/>
    </row>
    <row r="2940" spans="2:8" ht="18" x14ac:dyDescent="0.25">
      <c r="B2940" s="86"/>
      <c r="C2940" s="85"/>
      <c r="D2940" s="85"/>
      <c r="E2940" s="85" t="s">
        <v>78</v>
      </c>
      <c r="F2940" s="85"/>
      <c r="G2940" s="85"/>
      <c r="H2940" s="90" t="s">
        <v>162</v>
      </c>
    </row>
    <row r="2941" spans="2:8" ht="18" x14ac:dyDescent="0.25">
      <c r="B2941" s="85"/>
      <c r="C2941" s="85"/>
      <c r="D2941" s="85"/>
      <c r="E2941" s="86"/>
      <c r="F2941" s="86"/>
      <c r="G2941" s="85"/>
      <c r="H2941" s="94"/>
    </row>
    <row r="2942" spans="2:8" ht="18" x14ac:dyDescent="0.25">
      <c r="B2942" s="94"/>
      <c r="C2942" s="85"/>
      <c r="D2942" s="94"/>
      <c r="E2942" s="85"/>
      <c r="F2942" s="85"/>
      <c r="G2942" s="85"/>
      <c r="H2942" s="90"/>
    </row>
    <row r="2943" spans="2:8" ht="18" x14ac:dyDescent="0.25">
      <c r="B2943" s="94"/>
      <c r="C2943" s="85"/>
      <c r="D2943" s="94"/>
      <c r="E2943" s="85"/>
      <c r="F2943" s="85"/>
      <c r="G2943" s="85"/>
      <c r="H2943" s="90"/>
    </row>
    <row r="2944" spans="2:8" ht="18" x14ac:dyDescent="0.25">
      <c r="B2944" s="85" t="s">
        <v>198</v>
      </c>
      <c r="C2944" s="85"/>
      <c r="D2944" s="107">
        <f>+'RES CUENTA'!$L$25</f>
        <v>10859801.41</v>
      </c>
      <c r="E2944" s="108" t="e">
        <f>+'RES CUENTA'!#REF!</f>
        <v>#REF!</v>
      </c>
      <c r="F2944" s="103" t="e">
        <f>+D2944*E2944/100</f>
        <v>#REF!</v>
      </c>
      <c r="G2944" s="345"/>
      <c r="H2944" s="345"/>
    </row>
    <row r="2945" spans="2:8" ht="18" x14ac:dyDescent="0.25">
      <c r="B2945" s="85" t="s">
        <v>199</v>
      </c>
      <c r="C2945" s="85"/>
      <c r="D2945" s="107" t="e">
        <f>+'RES CUENTA'!#REF!</f>
        <v>#REF!</v>
      </c>
      <c r="E2945" s="108" t="e">
        <f>+'RES CUENTA'!#REF!</f>
        <v>#REF!</v>
      </c>
      <c r="F2945" s="103" t="e">
        <f>+D2945*E2945/100</f>
        <v>#REF!</v>
      </c>
      <c r="G2945" s="341"/>
      <c r="H2945" s="341"/>
    </row>
    <row r="2946" spans="2:8" ht="18" x14ac:dyDescent="0.25">
      <c r="B2946" s="85" t="s">
        <v>79</v>
      </c>
      <c r="C2946" s="85"/>
      <c r="D2946" s="107" t="e">
        <f>+'RES CUENTA'!#REF!</f>
        <v>#REF!</v>
      </c>
      <c r="E2946" s="108">
        <v>0</v>
      </c>
      <c r="F2946" s="103" t="e">
        <f>+D2946</f>
        <v>#REF!</v>
      </c>
      <c r="G2946" s="341"/>
      <c r="H2946" s="341"/>
    </row>
    <row r="2947" spans="2:8" ht="18" x14ac:dyDescent="0.25">
      <c r="B2947" s="85" t="s">
        <v>80</v>
      </c>
      <c r="C2947" s="85"/>
      <c r="D2947" s="107" t="e">
        <f>+'RES CUENTA'!#REF!</f>
        <v>#REF!</v>
      </c>
      <c r="E2947" s="108">
        <v>0</v>
      </c>
      <c r="F2947" s="103" t="e">
        <f>+D2947</f>
        <v>#REF!</v>
      </c>
      <c r="G2947" s="341"/>
      <c r="H2947" s="341"/>
    </row>
    <row r="2948" spans="2:8" ht="18" x14ac:dyDescent="0.25">
      <c r="B2948" s="86"/>
      <c r="C2948" s="85"/>
      <c r="D2948" s="85"/>
      <c r="E2948" s="92"/>
      <c r="F2948" s="104" t="e">
        <f>SUM(F2944:F2947)</f>
        <v>#REF!</v>
      </c>
      <c r="G2948" s="341"/>
      <c r="H2948" s="341"/>
    </row>
    <row r="2949" spans="2:8" ht="18" x14ac:dyDescent="0.25">
      <c r="B2949" s="86"/>
      <c r="C2949" s="85"/>
      <c r="D2949" s="85"/>
      <c r="E2949" s="92"/>
      <c r="F2949" s="104"/>
      <c r="G2949" s="89"/>
      <c r="H2949" s="89"/>
    </row>
    <row r="2950" spans="2:8" ht="18" x14ac:dyDescent="0.25">
      <c r="B2950" s="86"/>
      <c r="C2950" s="85"/>
      <c r="D2950" s="85"/>
      <c r="E2950" s="85"/>
      <c r="G2950" s="338"/>
      <c r="H2950" s="338"/>
    </row>
    <row r="2951" spans="2:8" ht="18" x14ac:dyDescent="0.25">
      <c r="B2951" s="85"/>
      <c r="C2951" s="85"/>
      <c r="D2951" s="85"/>
      <c r="E2951" s="85"/>
      <c r="F2951" s="91"/>
      <c r="G2951" s="90"/>
      <c r="H2951" s="90"/>
    </row>
    <row r="2952" spans="2:8" ht="18" x14ac:dyDescent="0.25">
      <c r="B2952" s="85"/>
      <c r="C2952" s="85"/>
      <c r="D2952" s="85"/>
      <c r="E2952" s="85"/>
      <c r="F2952" s="92"/>
      <c r="G2952" s="85"/>
      <c r="H2952" s="90"/>
    </row>
    <row r="2953" spans="2:8" ht="18" x14ac:dyDescent="0.25">
      <c r="B2953" s="85"/>
      <c r="C2953" s="85"/>
      <c r="D2953" s="85"/>
      <c r="E2953" s="85"/>
      <c r="F2953" s="92"/>
      <c r="G2953" s="85"/>
      <c r="H2953" s="90"/>
    </row>
    <row r="2954" spans="2:8" ht="18" x14ac:dyDescent="0.25">
      <c r="B2954" s="85" t="e">
        <f>+B2939</f>
        <v>#REF!</v>
      </c>
      <c r="C2954" s="344"/>
      <c r="D2954" s="344"/>
      <c r="E2954" s="85" t="e">
        <f>+B2954</f>
        <v>#REF!</v>
      </c>
      <c r="F2954" s="92"/>
      <c r="G2954" s="85"/>
      <c r="H2954" s="90"/>
    </row>
    <row r="2955" spans="2:8" ht="18" x14ac:dyDescent="0.25">
      <c r="C2955" s="85"/>
      <c r="D2955" s="85"/>
      <c r="F2955" s="344"/>
      <c r="G2955" s="344"/>
      <c r="H2955" s="344"/>
    </row>
    <row r="2956" spans="2:8" ht="18" x14ac:dyDescent="0.25">
      <c r="B2956" s="85" t="str">
        <f>+$E$1</f>
        <v>Lima 461 C:A:B:A:</v>
      </c>
      <c r="C2956" s="85"/>
      <c r="D2956" s="93" t="str">
        <f>+H2940</f>
        <v>Unid. 79</v>
      </c>
      <c r="E2956" s="85" t="str">
        <f>+$E$1</f>
        <v>Lima 461 C:A:B:A:</v>
      </c>
      <c r="F2956" s="85"/>
      <c r="G2956" s="85"/>
      <c r="H2956" s="90" t="str">
        <f>+D2956</f>
        <v>Unid. 79</v>
      </c>
    </row>
    <row r="2957" spans="2:8" ht="18" x14ac:dyDescent="0.25">
      <c r="H2957" s="94"/>
    </row>
    <row r="2958" spans="2:8" ht="18" x14ac:dyDescent="0.25">
      <c r="B2958" s="86"/>
      <c r="C2958" s="86"/>
      <c r="D2958" s="86"/>
      <c r="E2958" s="86"/>
      <c r="F2958" s="85"/>
      <c r="G2958" s="85"/>
    </row>
    <row r="2959" spans="2:8" ht="18" x14ac:dyDescent="0.25">
      <c r="B2959" s="85">
        <f>+$E$2</f>
        <v>0</v>
      </c>
      <c r="C2959" s="85"/>
      <c r="D2959" s="85"/>
      <c r="E2959" s="85"/>
      <c r="F2959" s="85"/>
      <c r="G2959" s="86"/>
      <c r="H2959" s="94"/>
    </row>
    <row r="2960" spans="2:8" ht="18" x14ac:dyDescent="0.25">
      <c r="B2960" s="85">
        <f>+$E$3</f>
        <v>0</v>
      </c>
      <c r="C2960" s="85"/>
      <c r="D2960" s="85"/>
      <c r="E2960" s="96"/>
      <c r="F2960" s="85"/>
      <c r="G2960" s="94"/>
      <c r="H2960" s="90"/>
    </row>
    <row r="2961" spans="2:8" ht="18" x14ac:dyDescent="0.25">
      <c r="C2961" s="85"/>
      <c r="D2961" s="85"/>
      <c r="E2961" s="85" t="s">
        <v>200</v>
      </c>
      <c r="F2961" s="106" t="e">
        <f>+F2944</f>
        <v>#REF!</v>
      </c>
      <c r="H2961" s="99">
        <f>+B2966</f>
        <v>46037</v>
      </c>
    </row>
    <row r="2962" spans="2:8" ht="18" x14ac:dyDescent="0.25">
      <c r="B2962" s="86"/>
      <c r="C2962" s="85"/>
      <c r="D2962" s="85"/>
      <c r="E2962" s="85" t="s">
        <v>201</v>
      </c>
      <c r="F2962" s="106" t="e">
        <f>+F2945</f>
        <v>#REF!</v>
      </c>
    </row>
    <row r="2963" spans="2:8" ht="18" x14ac:dyDescent="0.25">
      <c r="B2963" s="86"/>
      <c r="C2963" s="85"/>
      <c r="D2963" s="85"/>
      <c r="E2963" s="85" t="s">
        <v>81</v>
      </c>
      <c r="F2963" s="106" t="e">
        <f>+F2946</f>
        <v>#REF!</v>
      </c>
      <c r="G2963" s="85"/>
      <c r="H2963" s="90"/>
    </row>
    <row r="2964" spans="2:8" ht="18" x14ac:dyDescent="0.25">
      <c r="B2964" s="85"/>
      <c r="C2964" s="85"/>
      <c r="D2964" s="85"/>
      <c r="E2964" s="85" t="s">
        <v>82</v>
      </c>
      <c r="F2964" s="106" t="e">
        <f>+F2947</f>
        <v>#REF!</v>
      </c>
      <c r="G2964" s="85"/>
      <c r="H2964" s="90"/>
    </row>
    <row r="2965" spans="2:8" ht="18" x14ac:dyDescent="0.25">
      <c r="B2965" s="96"/>
      <c r="C2965" s="96"/>
      <c r="D2965" s="96"/>
      <c r="E2965" s="85" t="s">
        <v>188</v>
      </c>
      <c r="F2965" s="106">
        <v>0</v>
      </c>
      <c r="G2965" s="85"/>
      <c r="H2965" s="90"/>
    </row>
    <row r="2966" spans="2:8" ht="18" x14ac:dyDescent="0.25">
      <c r="B2966" s="99">
        <f>+$G$30</f>
        <v>46037</v>
      </c>
      <c r="C2966" s="105" t="e">
        <f>+F2948</f>
        <v>#REF!</v>
      </c>
      <c r="D2966" s="85"/>
      <c r="E2966" s="85" t="s">
        <v>83</v>
      </c>
      <c r="F2966" s="112" t="e">
        <f>+F2948</f>
        <v>#REF!</v>
      </c>
      <c r="G2966" s="85"/>
      <c r="H2966" s="90"/>
    </row>
    <row r="2967" spans="2:8" ht="18" x14ac:dyDescent="0.25">
      <c r="B2967" s="85"/>
      <c r="C2967" s="85"/>
      <c r="D2967" s="85"/>
      <c r="E2967" s="85"/>
      <c r="F2967" s="85"/>
      <c r="G2967" s="85"/>
      <c r="H2967" s="90"/>
    </row>
    <row r="2968" spans="2:8" ht="18" x14ac:dyDescent="0.25">
      <c r="B2968" s="85"/>
      <c r="C2968" s="85"/>
      <c r="D2968" s="85"/>
      <c r="E2968" s="85"/>
      <c r="F2968" s="85"/>
      <c r="G2968" s="345"/>
      <c r="H2968" s="345"/>
    </row>
    <row r="2969" spans="2:8" ht="18" x14ac:dyDescent="0.25">
      <c r="B2969" s="85"/>
      <c r="C2969" s="85"/>
      <c r="D2969" s="85"/>
      <c r="E2969" s="85"/>
      <c r="F2969" s="85"/>
      <c r="G2969" s="85"/>
      <c r="H2969" s="90"/>
    </row>
    <row r="2970" spans="2:8" ht="18" x14ac:dyDescent="0.25">
      <c r="B2970" s="85"/>
      <c r="C2970" s="85"/>
      <c r="D2970" s="85"/>
      <c r="E2970" s="85"/>
      <c r="F2970" s="85"/>
      <c r="G2970" s="85"/>
      <c r="H2970" s="90"/>
    </row>
    <row r="2971" spans="2:8" ht="18" x14ac:dyDescent="0.25">
      <c r="B2971" s="85"/>
      <c r="C2971" s="85"/>
      <c r="D2971" s="85"/>
      <c r="E2971" s="85"/>
      <c r="F2971" s="85"/>
      <c r="G2971" s="85"/>
      <c r="H2971" s="90"/>
    </row>
    <row r="2972" spans="2:8" ht="18" x14ac:dyDescent="0.25">
      <c r="B2972" s="85"/>
      <c r="C2972" s="85"/>
      <c r="D2972" s="85"/>
      <c r="E2972" s="85"/>
      <c r="F2972" s="85"/>
      <c r="G2972" s="85"/>
      <c r="H2972" s="90"/>
    </row>
    <row r="2973" spans="2:8" ht="18" x14ac:dyDescent="0.25">
      <c r="B2973" s="85"/>
      <c r="C2973" s="85"/>
      <c r="D2973" s="85"/>
      <c r="E2973" s="85"/>
      <c r="F2973" s="85"/>
      <c r="H2973" s="90"/>
    </row>
    <row r="2974" spans="2:8" ht="18" x14ac:dyDescent="0.25">
      <c r="B2974" s="343"/>
      <c r="C2974" s="343"/>
      <c r="D2974" s="343"/>
      <c r="E2974" s="85"/>
      <c r="F2974" s="85"/>
      <c r="H2974" s="90"/>
    </row>
    <row r="2975" spans="2:8" ht="18" x14ac:dyDescent="0.25">
      <c r="B2975" s="343"/>
      <c r="C2975" s="343"/>
      <c r="D2975" s="343"/>
      <c r="E2975" s="98">
        <f>+$B$1</f>
        <v>46143</v>
      </c>
      <c r="F2975" s="85"/>
      <c r="G2975" s="99">
        <f>+$D$1</f>
        <v>46037</v>
      </c>
      <c r="H2975" s="160"/>
    </row>
    <row r="2976" spans="2:8" ht="18" x14ac:dyDescent="0.25">
      <c r="B2976" s="84"/>
      <c r="C2976" s="84"/>
      <c r="D2976" s="100"/>
      <c r="E2976" s="98"/>
      <c r="F2976" s="85"/>
    </row>
    <row r="2977" spans="2:8" ht="18" x14ac:dyDescent="0.25">
      <c r="B2977" s="85" t="e">
        <f>+#REF!</f>
        <v>#REF!</v>
      </c>
      <c r="C2977" s="85"/>
      <c r="D2977" s="85"/>
      <c r="F2977" s="85"/>
    </row>
    <row r="2978" spans="2:8" ht="18" x14ac:dyDescent="0.25">
      <c r="C2978" s="85"/>
      <c r="D2978" s="85"/>
      <c r="E2978" s="85" t="str">
        <f>+$E$1</f>
        <v>Lima 461 C:A:B:A:</v>
      </c>
      <c r="F2978" s="85"/>
      <c r="H2978" s="90" t="s">
        <v>163</v>
      </c>
    </row>
    <row r="2979" spans="2:8" ht="18" x14ac:dyDescent="0.25">
      <c r="B2979" s="86"/>
      <c r="C2979" s="85"/>
      <c r="D2979" s="85"/>
      <c r="F2979" s="85"/>
      <c r="G2979" s="86"/>
    </row>
    <row r="2980" spans="2:8" ht="18" x14ac:dyDescent="0.25">
      <c r="B2980" s="85"/>
      <c r="C2980" s="85"/>
      <c r="D2980" s="85"/>
      <c r="E2980" s="86"/>
      <c r="F2980" s="86"/>
      <c r="G2980" s="85"/>
      <c r="H2980" s="94"/>
    </row>
    <row r="2981" spans="2:8" ht="18" x14ac:dyDescent="0.25">
      <c r="B2981" s="94"/>
      <c r="C2981" s="85"/>
      <c r="D2981" s="94"/>
      <c r="E2981" s="85"/>
      <c r="F2981" s="85"/>
      <c r="G2981" s="85"/>
      <c r="H2981" s="90"/>
    </row>
    <row r="2982" spans="2:8" ht="18" x14ac:dyDescent="0.25">
      <c r="B2982" s="85" t="s">
        <v>198</v>
      </c>
      <c r="C2982" s="85"/>
      <c r="D2982" s="107">
        <f>+'RES CUENTA'!$L$25</f>
        <v>10859801.41</v>
      </c>
      <c r="E2982" s="108" t="e">
        <f>+'RES CUENTA'!#REF!</f>
        <v>#REF!</v>
      </c>
      <c r="F2982" s="103" t="e">
        <f>+D2982*E2982/100</f>
        <v>#REF!</v>
      </c>
      <c r="G2982" s="85"/>
      <c r="H2982" s="94"/>
    </row>
    <row r="2983" spans="2:8" ht="18" x14ac:dyDescent="0.25">
      <c r="B2983" s="85" t="s">
        <v>199</v>
      </c>
      <c r="C2983" s="85"/>
      <c r="D2983" s="107" t="e">
        <f>+'RES CUENTA'!#REF!</f>
        <v>#REF!</v>
      </c>
      <c r="E2983" s="108" t="e">
        <f>+'RES CUENTA'!#REF!</f>
        <v>#REF!</v>
      </c>
      <c r="F2983" s="103" t="e">
        <f>+D2983*E2983/100</f>
        <v>#REF!</v>
      </c>
      <c r="G2983" s="94"/>
      <c r="H2983" s="89"/>
    </row>
    <row r="2984" spans="2:8" ht="18" x14ac:dyDescent="0.25">
      <c r="B2984" s="85" t="s">
        <v>79</v>
      </c>
      <c r="C2984" s="85"/>
      <c r="D2984" s="107" t="e">
        <f>+'RES CUENTA'!#REF!</f>
        <v>#REF!</v>
      </c>
      <c r="E2984" s="108">
        <f>+'RES CUENTA'!P2120</f>
        <v>0</v>
      </c>
      <c r="F2984" s="103" t="e">
        <f>+D2984</f>
        <v>#REF!</v>
      </c>
      <c r="G2984" s="89"/>
      <c r="H2984" s="89"/>
    </row>
    <row r="2985" spans="2:8" ht="18" x14ac:dyDescent="0.25">
      <c r="B2985" s="85" t="s">
        <v>80</v>
      </c>
      <c r="C2985" s="85"/>
      <c r="D2985" s="107" t="e">
        <f>+'RES CUENTA'!#REF!</f>
        <v>#REF!</v>
      </c>
      <c r="E2985" s="108">
        <f>+'RES CUENTA'!R2115</f>
        <v>0</v>
      </c>
      <c r="F2985" s="103" t="e">
        <f>+D2985</f>
        <v>#REF!</v>
      </c>
      <c r="G2985" s="89"/>
      <c r="H2985" s="89"/>
    </row>
    <row r="2986" spans="2:8" ht="18" x14ac:dyDescent="0.25">
      <c r="B2986" s="86"/>
      <c r="C2986" s="85"/>
      <c r="D2986" s="85"/>
      <c r="F2986" s="104" t="e">
        <f>SUM(F2982:F2985)</f>
        <v>#REF!</v>
      </c>
      <c r="G2986" s="89"/>
      <c r="H2986" s="90"/>
    </row>
    <row r="2987" spans="2:8" ht="18" x14ac:dyDescent="0.25">
      <c r="B2987" s="85"/>
      <c r="C2987" s="85"/>
      <c r="D2987" s="85"/>
      <c r="E2987" s="85"/>
      <c r="F2987" s="92"/>
      <c r="G2987" s="90"/>
      <c r="H2987" s="90"/>
    </row>
    <row r="2988" spans="2:8" ht="18" x14ac:dyDescent="0.25">
      <c r="B2988" s="85"/>
      <c r="C2988" s="85"/>
      <c r="D2988" s="85"/>
      <c r="E2988" s="85"/>
      <c r="F2988" s="92"/>
      <c r="G2988" s="90"/>
      <c r="H2988" s="90"/>
    </row>
    <row r="2989" spans="2:8" ht="18" x14ac:dyDescent="0.25">
      <c r="B2989" s="85"/>
      <c r="C2989" s="85"/>
      <c r="D2989" s="85"/>
      <c r="E2989" s="85"/>
      <c r="F2989" s="92"/>
      <c r="G2989" s="90"/>
      <c r="H2989" s="90"/>
    </row>
    <row r="2990" spans="2:8" ht="18" x14ac:dyDescent="0.25">
      <c r="B2990" s="85"/>
      <c r="C2990" s="85"/>
      <c r="D2990" s="85"/>
      <c r="E2990" s="85"/>
      <c r="F2990" s="92"/>
      <c r="G2990" s="90"/>
      <c r="H2990" s="90"/>
    </row>
    <row r="2991" spans="2:8" ht="18" x14ac:dyDescent="0.25">
      <c r="B2991" s="85"/>
      <c r="C2991" s="85"/>
      <c r="D2991" s="85"/>
      <c r="E2991" s="85"/>
      <c r="F2991" s="92"/>
      <c r="G2991" s="90"/>
      <c r="H2991" s="90"/>
    </row>
    <row r="2992" spans="2:8" ht="18" x14ac:dyDescent="0.25">
      <c r="B2992" s="85" t="e">
        <f>+B2977</f>
        <v>#REF!</v>
      </c>
      <c r="C2992" s="85"/>
      <c r="D2992" s="85"/>
      <c r="E2992" s="85" t="e">
        <f>+B2977</f>
        <v>#REF!</v>
      </c>
      <c r="F2992" s="85"/>
      <c r="G2992" s="85"/>
      <c r="H2992" s="94"/>
    </row>
    <row r="2993" spans="2:8" ht="18" x14ac:dyDescent="0.25">
      <c r="B2993" s="86"/>
      <c r="C2993" s="85"/>
      <c r="D2993" s="85"/>
      <c r="F2993" s="85"/>
      <c r="G2993" s="101"/>
      <c r="H2993" s="90" t="str">
        <f>+H2978</f>
        <v>Unid. 80</v>
      </c>
    </row>
    <row r="2994" spans="2:8" ht="18" x14ac:dyDescent="0.25">
      <c r="B2994" s="85" t="str">
        <f>+$E$1</f>
        <v>Lima 461 C:A:B:A:</v>
      </c>
      <c r="C2994" s="85"/>
      <c r="D2994" s="93" t="str">
        <f>+H2993</f>
        <v>Unid. 80</v>
      </c>
      <c r="E2994" s="85" t="str">
        <f>+$E$1</f>
        <v>Lima 461 C:A:B:A:</v>
      </c>
      <c r="F2994" s="85"/>
      <c r="G2994" s="85"/>
      <c r="H2994" s="94"/>
    </row>
    <row r="2995" spans="2:8" ht="18" x14ac:dyDescent="0.25">
      <c r="B2995" s="86"/>
      <c r="C2995" s="86"/>
      <c r="D2995" s="86"/>
      <c r="F2995" s="85"/>
      <c r="G2995" s="85"/>
    </row>
    <row r="2996" spans="2:8" ht="18" x14ac:dyDescent="0.25">
      <c r="B2996" s="85"/>
      <c r="C2996" s="85"/>
      <c r="D2996" s="85"/>
      <c r="E2996" s="86"/>
      <c r="F2996" s="85"/>
      <c r="G2996" s="85"/>
      <c r="H2996" s="94"/>
    </row>
    <row r="2997" spans="2:8" ht="18" x14ac:dyDescent="0.25">
      <c r="B2997" s="85">
        <f>+$E$2</f>
        <v>0</v>
      </c>
      <c r="C2997" s="85"/>
      <c r="D2997" s="85"/>
      <c r="E2997" s="85"/>
      <c r="F2997" s="96"/>
      <c r="G2997" s="86"/>
      <c r="H2997" s="90"/>
    </row>
    <row r="2998" spans="2:8" ht="18" x14ac:dyDescent="0.25">
      <c r="B2998" s="85">
        <f>+$E$3</f>
        <v>0</v>
      </c>
      <c r="C2998" s="85"/>
      <c r="D2998" s="85"/>
      <c r="E2998" s="96"/>
      <c r="G2998" s="94"/>
      <c r="H2998" s="96"/>
    </row>
    <row r="2999" spans="2:8" ht="18" x14ac:dyDescent="0.25">
      <c r="B2999" s="86"/>
      <c r="C2999" s="85"/>
      <c r="D2999" s="85"/>
      <c r="E2999" s="85" t="s">
        <v>200</v>
      </c>
      <c r="F2999" s="106" t="e">
        <f>+F2982</f>
        <v>#REF!</v>
      </c>
      <c r="G2999" s="95"/>
      <c r="H2999" s="99">
        <f>+B3003</f>
        <v>46037</v>
      </c>
    </row>
    <row r="3000" spans="2:8" ht="18" x14ac:dyDescent="0.25">
      <c r="B3000" s="86"/>
      <c r="C3000" s="85"/>
      <c r="D3000" s="85"/>
      <c r="E3000" s="85" t="s">
        <v>201</v>
      </c>
      <c r="F3000" s="106" t="e">
        <f>+F2983</f>
        <v>#REF!</v>
      </c>
      <c r="H3000" s="90"/>
    </row>
    <row r="3001" spans="2:8" ht="18" x14ac:dyDescent="0.25">
      <c r="B3001" s="85"/>
      <c r="C3001" s="85"/>
      <c r="D3001" s="85"/>
      <c r="E3001" s="85" t="s">
        <v>81</v>
      </c>
      <c r="F3001" s="106" t="e">
        <f>+F2984</f>
        <v>#REF!</v>
      </c>
      <c r="G3001" s="85"/>
      <c r="H3001" s="90"/>
    </row>
    <row r="3002" spans="2:8" ht="18" x14ac:dyDescent="0.25">
      <c r="B3002" s="96"/>
      <c r="C3002" s="96"/>
      <c r="D3002" s="96"/>
      <c r="E3002" s="85" t="s">
        <v>82</v>
      </c>
      <c r="F3002" s="106" t="e">
        <f>+F2985</f>
        <v>#REF!</v>
      </c>
      <c r="G3002" s="85"/>
      <c r="H3002" s="90"/>
    </row>
    <row r="3003" spans="2:8" ht="18" x14ac:dyDescent="0.25">
      <c r="B3003" s="99">
        <f>+$G$30</f>
        <v>46037</v>
      </c>
      <c r="C3003" s="105" t="e">
        <f>+F3004</f>
        <v>#REF!</v>
      </c>
      <c r="D3003" s="85"/>
      <c r="E3003" s="85" t="s">
        <v>188</v>
      </c>
      <c r="F3003" s="106">
        <v>0</v>
      </c>
      <c r="G3003" s="85"/>
      <c r="H3003" s="90"/>
    </row>
    <row r="3004" spans="2:8" ht="18" x14ac:dyDescent="0.25">
      <c r="B3004" s="85"/>
      <c r="C3004" s="85"/>
      <c r="D3004" s="85"/>
      <c r="E3004" s="85" t="s">
        <v>83</v>
      </c>
      <c r="F3004" s="104" t="e">
        <f>SUM(F2999:F3003)</f>
        <v>#REF!</v>
      </c>
      <c r="G3004" s="85"/>
      <c r="H3004" s="90"/>
    </row>
    <row r="3005" spans="2:8" ht="18" x14ac:dyDescent="0.25">
      <c r="B3005" s="85"/>
      <c r="C3005" s="85"/>
      <c r="D3005" s="85"/>
      <c r="E3005" s="85"/>
      <c r="F3005" s="85"/>
      <c r="G3005" s="85"/>
      <c r="H3005" s="90"/>
    </row>
    <row r="3006" spans="2:8" ht="18" x14ac:dyDescent="0.25">
      <c r="B3006" s="85"/>
      <c r="C3006" s="85"/>
      <c r="D3006" s="85"/>
      <c r="E3006" s="102"/>
      <c r="F3006" s="85"/>
      <c r="G3006" s="85"/>
      <c r="H3006" s="90"/>
    </row>
    <row r="3007" spans="2:8" ht="18" x14ac:dyDescent="0.25">
      <c r="B3007" s="85"/>
      <c r="C3007" s="85"/>
      <c r="D3007" s="85"/>
      <c r="E3007" s="85"/>
      <c r="F3007" s="85"/>
      <c r="G3007" s="85"/>
      <c r="H3007" s="94"/>
    </row>
    <row r="3008" spans="2:8" ht="18" x14ac:dyDescent="0.25">
      <c r="E3008" s="85"/>
      <c r="G3008" s="94"/>
      <c r="H3008" s="90"/>
    </row>
  </sheetData>
  <mergeCells count="554">
    <mergeCell ref="G2945:H2945"/>
    <mergeCell ref="G2946:H2946"/>
    <mergeCell ref="G2947:H2947"/>
    <mergeCell ref="B2975:D2975"/>
    <mergeCell ref="G2948:H2948"/>
    <mergeCell ref="G2950:H2950"/>
    <mergeCell ref="C2954:D2954"/>
    <mergeCell ref="F2955:H2955"/>
    <mergeCell ref="G2968:H2968"/>
    <mergeCell ref="B2974:D2974"/>
    <mergeCell ref="B2902:D2902"/>
    <mergeCell ref="B2936:D2936"/>
    <mergeCell ref="E2936:E2937"/>
    <mergeCell ref="G2936:G2937"/>
    <mergeCell ref="C2881:D2881"/>
    <mergeCell ref="F2882:H2882"/>
    <mergeCell ref="G2895:H2895"/>
    <mergeCell ref="B2901:D2901"/>
    <mergeCell ref="G2944:H2944"/>
    <mergeCell ref="G2875:H2875"/>
    <mergeCell ref="G2876:H2876"/>
    <mergeCell ref="C2807:D2807"/>
    <mergeCell ref="F2808:H2808"/>
    <mergeCell ref="G2821:H2821"/>
    <mergeCell ref="B2827:D2827"/>
    <mergeCell ref="B2828:D2828"/>
    <mergeCell ref="B2863:D2863"/>
    <mergeCell ref="E2863:E2864"/>
    <mergeCell ref="G2863:G2864"/>
    <mergeCell ref="G2871:H2871"/>
    <mergeCell ref="G2872:H2872"/>
    <mergeCell ref="G2873:H2873"/>
    <mergeCell ref="G2874:H2874"/>
    <mergeCell ref="G2801:H2801"/>
    <mergeCell ref="G2803:H2803"/>
    <mergeCell ref="G2797:H2797"/>
    <mergeCell ref="G2798:H2798"/>
    <mergeCell ref="G2799:H2799"/>
    <mergeCell ref="G2800:H2800"/>
    <mergeCell ref="C2733:D2733"/>
    <mergeCell ref="F2734:H2734"/>
    <mergeCell ref="G2747:H2747"/>
    <mergeCell ref="B2753:D2753"/>
    <mergeCell ref="B2754:D2754"/>
    <mergeCell ref="B2789:D2789"/>
    <mergeCell ref="E2789:E2790"/>
    <mergeCell ref="G2789:G2790"/>
    <mergeCell ref="G2727:H2727"/>
    <mergeCell ref="G2729:H2729"/>
    <mergeCell ref="C2659:D2659"/>
    <mergeCell ref="F2660:H2660"/>
    <mergeCell ref="G2673:H2673"/>
    <mergeCell ref="B2679:D2679"/>
    <mergeCell ref="B2680:D2680"/>
    <mergeCell ref="B2715:D2715"/>
    <mergeCell ref="E2715:E2716"/>
    <mergeCell ref="G2715:G2716"/>
    <mergeCell ref="G2723:H2723"/>
    <mergeCell ref="G2724:H2724"/>
    <mergeCell ref="G2725:H2725"/>
    <mergeCell ref="G2726:H2726"/>
    <mergeCell ref="G2653:H2653"/>
    <mergeCell ref="G2655:H2655"/>
    <mergeCell ref="G2649:H2649"/>
    <mergeCell ref="G2650:H2650"/>
    <mergeCell ref="G2651:H2651"/>
    <mergeCell ref="G2652:H2652"/>
    <mergeCell ref="C2585:D2585"/>
    <mergeCell ref="F2586:H2586"/>
    <mergeCell ref="G2599:H2599"/>
    <mergeCell ref="B2605:D2605"/>
    <mergeCell ref="B2606:D2606"/>
    <mergeCell ref="B2641:D2641"/>
    <mergeCell ref="E2641:E2642"/>
    <mergeCell ref="G2641:G2642"/>
    <mergeCell ref="G2579:H2579"/>
    <mergeCell ref="G2581:H2581"/>
    <mergeCell ref="C2511:D2511"/>
    <mergeCell ref="F2512:H2512"/>
    <mergeCell ref="G2525:H2525"/>
    <mergeCell ref="B2531:D2531"/>
    <mergeCell ref="B2532:D2532"/>
    <mergeCell ref="B2567:D2567"/>
    <mergeCell ref="E2567:E2568"/>
    <mergeCell ref="G2567:G2568"/>
    <mergeCell ref="G2575:H2575"/>
    <mergeCell ref="G2576:H2576"/>
    <mergeCell ref="G2577:H2577"/>
    <mergeCell ref="G2578:H2578"/>
    <mergeCell ref="G2505:H2505"/>
    <mergeCell ref="G2506:H2506"/>
    <mergeCell ref="G2501:H2501"/>
    <mergeCell ref="G2502:H2502"/>
    <mergeCell ref="G2503:H2503"/>
    <mergeCell ref="G2504:H2504"/>
    <mergeCell ref="C2437:D2437"/>
    <mergeCell ref="F2438:H2438"/>
    <mergeCell ref="G2451:H2451"/>
    <mergeCell ref="B2457:D2457"/>
    <mergeCell ref="B2458:D2458"/>
    <mergeCell ref="B2493:D2493"/>
    <mergeCell ref="E2493:E2494"/>
    <mergeCell ref="G2493:G2494"/>
    <mergeCell ref="G2431:H2431"/>
    <mergeCell ref="G2433:H2433"/>
    <mergeCell ref="C2363:D2363"/>
    <mergeCell ref="F2364:H2364"/>
    <mergeCell ref="G2377:H2377"/>
    <mergeCell ref="B2383:D2383"/>
    <mergeCell ref="B2384:D2384"/>
    <mergeCell ref="B2419:D2419"/>
    <mergeCell ref="E2419:E2420"/>
    <mergeCell ref="G2419:G2420"/>
    <mergeCell ref="G2427:H2427"/>
    <mergeCell ref="G2428:H2428"/>
    <mergeCell ref="G2429:H2429"/>
    <mergeCell ref="G2430:H2430"/>
    <mergeCell ref="G2357:H2357"/>
    <mergeCell ref="G2359:H2359"/>
    <mergeCell ref="G2303:H2303"/>
    <mergeCell ref="G2345:G2346"/>
    <mergeCell ref="G2353:H2353"/>
    <mergeCell ref="G2354:H2354"/>
    <mergeCell ref="G2355:H2355"/>
    <mergeCell ref="G2356:H2356"/>
    <mergeCell ref="B2309:D2309"/>
    <mergeCell ref="B2310:D2310"/>
    <mergeCell ref="B2345:D2345"/>
    <mergeCell ref="E2345:E2346"/>
    <mergeCell ref="F2290:H2290"/>
    <mergeCell ref="B2236:D2236"/>
    <mergeCell ref="B2271:D2271"/>
    <mergeCell ref="E2271:E2272"/>
    <mergeCell ref="G2271:G2272"/>
    <mergeCell ref="G2279:H2279"/>
    <mergeCell ref="G2280:H2280"/>
    <mergeCell ref="G2281:H2281"/>
    <mergeCell ref="G2282:H2282"/>
    <mergeCell ref="G2283:H2283"/>
    <mergeCell ref="B2087:D2087"/>
    <mergeCell ref="B2088:D2088"/>
    <mergeCell ref="B2123:D2123"/>
    <mergeCell ref="E2123:E2124"/>
    <mergeCell ref="G2123:G2124"/>
    <mergeCell ref="B2197:D2197"/>
    <mergeCell ref="E2197:E2198"/>
    <mergeCell ref="G2209:H2209"/>
    <mergeCell ref="C2289:D2289"/>
    <mergeCell ref="G2285:H2285"/>
    <mergeCell ref="G2208:H2208"/>
    <mergeCell ref="G2207:H2207"/>
    <mergeCell ref="G2229:H2229"/>
    <mergeCell ref="B2235:D2235"/>
    <mergeCell ref="G2211:H2211"/>
    <mergeCell ref="C2215:D2215"/>
    <mergeCell ref="F2216:H2216"/>
    <mergeCell ref="B1939:D1939"/>
    <mergeCell ref="B1940:D1940"/>
    <mergeCell ref="E1975:E1976"/>
    <mergeCell ref="G1975:G1976"/>
    <mergeCell ref="B1975:D1975"/>
    <mergeCell ref="C2067:D2067"/>
    <mergeCell ref="C1993:D1993"/>
    <mergeCell ref="F1994:H1994"/>
    <mergeCell ref="B2013:D2013"/>
    <mergeCell ref="B2014:D2014"/>
    <mergeCell ref="B2049:D2049"/>
    <mergeCell ref="E2049:E2050"/>
    <mergeCell ref="G2049:G2050"/>
    <mergeCell ref="G2059:H2059"/>
    <mergeCell ref="G2060:H2060"/>
    <mergeCell ref="G2063:H2063"/>
    <mergeCell ref="G1901:G1902"/>
    <mergeCell ref="G1909:H1909"/>
    <mergeCell ref="G1910:H1910"/>
    <mergeCell ref="G1987:H1987"/>
    <mergeCell ref="G1933:H1933"/>
    <mergeCell ref="G2131:H2131"/>
    <mergeCell ref="G2132:H2132"/>
    <mergeCell ref="G1983:H1983"/>
    <mergeCell ref="G1984:H1984"/>
    <mergeCell ref="G1985:H1985"/>
    <mergeCell ref="G1986:H1986"/>
    <mergeCell ref="G1989:H1989"/>
    <mergeCell ref="G2057:H2057"/>
    <mergeCell ref="G2007:H2007"/>
    <mergeCell ref="F2068:H2068"/>
    <mergeCell ref="G2061:H2061"/>
    <mergeCell ref="G2081:H2081"/>
    <mergeCell ref="F1846:H1846"/>
    <mergeCell ref="G1861:H1861"/>
    <mergeCell ref="B1866:D1866"/>
    <mergeCell ref="B1901:D1901"/>
    <mergeCell ref="G2205:H2205"/>
    <mergeCell ref="C1919:D1919"/>
    <mergeCell ref="G2206:H2206"/>
    <mergeCell ref="B2162:D2162"/>
    <mergeCell ref="B2161:D2161"/>
    <mergeCell ref="G2134:H2134"/>
    <mergeCell ref="G2135:H2135"/>
    <mergeCell ref="G2137:H2137"/>
    <mergeCell ref="C2141:D2141"/>
    <mergeCell ref="G2197:G2198"/>
    <mergeCell ref="G1911:H1911"/>
    <mergeCell ref="F2142:H2142"/>
    <mergeCell ref="G2155:H2155"/>
    <mergeCell ref="G2058:H2058"/>
    <mergeCell ref="G1912:H1912"/>
    <mergeCell ref="G1913:H1913"/>
    <mergeCell ref="G1915:H1915"/>
    <mergeCell ref="G2133:H2133"/>
    <mergeCell ref="F1920:H1920"/>
    <mergeCell ref="E1901:E1902"/>
    <mergeCell ref="G1841:H1841"/>
    <mergeCell ref="C1845:D1845"/>
    <mergeCell ref="G1711:H1711"/>
    <mergeCell ref="B1718:D1718"/>
    <mergeCell ref="B1753:D1753"/>
    <mergeCell ref="E1753:E1754"/>
    <mergeCell ref="G1835:H1835"/>
    <mergeCell ref="G1764:H1764"/>
    <mergeCell ref="G1761:H1761"/>
    <mergeCell ref="G1762:H1762"/>
    <mergeCell ref="G1836:H1836"/>
    <mergeCell ref="G1837:H1837"/>
    <mergeCell ref="G1838:H1838"/>
    <mergeCell ref="G1839:H1839"/>
    <mergeCell ref="G1765:H1765"/>
    <mergeCell ref="G1767:H1767"/>
    <mergeCell ref="B1792:D1792"/>
    <mergeCell ref="C1771:D1771"/>
    <mergeCell ref="G1785:H1785"/>
    <mergeCell ref="G1827:G1828"/>
    <mergeCell ref="G1753:G1754"/>
    <mergeCell ref="F1772:H1772"/>
    <mergeCell ref="F1624:H1624"/>
    <mergeCell ref="G1637:H1637"/>
    <mergeCell ref="B1643:D1643"/>
    <mergeCell ref="B1644:D1644"/>
    <mergeCell ref="B1679:D1679"/>
    <mergeCell ref="C1697:D1697"/>
    <mergeCell ref="F1698:H1698"/>
    <mergeCell ref="G1693:H1693"/>
    <mergeCell ref="G1763:H1763"/>
    <mergeCell ref="G1688:H1688"/>
    <mergeCell ref="G1689:H1689"/>
    <mergeCell ref="G1690:H1690"/>
    <mergeCell ref="G1691:H1691"/>
    <mergeCell ref="G1679:G1680"/>
    <mergeCell ref="G1687:H1687"/>
    <mergeCell ref="C1548:D1548"/>
    <mergeCell ref="B1791:D1791"/>
    <mergeCell ref="E1679:E1680"/>
    <mergeCell ref="B1717:D1717"/>
    <mergeCell ref="B1569:D1569"/>
    <mergeCell ref="B1605:D1605"/>
    <mergeCell ref="B1568:D1568"/>
    <mergeCell ref="B1530:D1530"/>
    <mergeCell ref="B1827:D1827"/>
    <mergeCell ref="E1827:E1828"/>
    <mergeCell ref="C1623:D1623"/>
    <mergeCell ref="E1605:E1606"/>
    <mergeCell ref="C1474:D1474"/>
    <mergeCell ref="B1421:D1421"/>
    <mergeCell ref="B1456:D1456"/>
    <mergeCell ref="B1494:D1494"/>
    <mergeCell ref="B1495:D1495"/>
    <mergeCell ref="E1530:E1531"/>
    <mergeCell ref="G1530:G1531"/>
    <mergeCell ref="F1475:H1475"/>
    <mergeCell ref="G1467:H1467"/>
    <mergeCell ref="G1618:H1618"/>
    <mergeCell ref="G1613:H1613"/>
    <mergeCell ref="G1614:H1614"/>
    <mergeCell ref="G1615:H1615"/>
    <mergeCell ref="G1541:H1541"/>
    <mergeCell ref="G1542:H1542"/>
    <mergeCell ref="G1544:H1544"/>
    <mergeCell ref="G1605:G1606"/>
    <mergeCell ref="F1549:H1549"/>
    <mergeCell ref="G1562:H1562"/>
    <mergeCell ref="G1538:H1538"/>
    <mergeCell ref="G1539:H1539"/>
    <mergeCell ref="G1540:H1540"/>
    <mergeCell ref="G1616:H1616"/>
    <mergeCell ref="G1617:H1617"/>
    <mergeCell ref="G1488:H1488"/>
    <mergeCell ref="E1308:E1309"/>
    <mergeCell ref="G1308:G1309"/>
    <mergeCell ref="G1468:H1468"/>
    <mergeCell ref="G1470:H1470"/>
    <mergeCell ref="G1465:H1465"/>
    <mergeCell ref="G1466:H1466"/>
    <mergeCell ref="F1401:H1401"/>
    <mergeCell ref="E1456:E1457"/>
    <mergeCell ref="G1456:G1457"/>
    <mergeCell ref="G1464:H1464"/>
    <mergeCell ref="C1400:D1400"/>
    <mergeCell ref="F1327:H1327"/>
    <mergeCell ref="B1308:D1308"/>
    <mergeCell ref="C1326:D1326"/>
    <mergeCell ref="G1340:H1340"/>
    <mergeCell ref="G1320:H1320"/>
    <mergeCell ref="G1321:H1321"/>
    <mergeCell ref="G1316:H1316"/>
    <mergeCell ref="G1317:H1317"/>
    <mergeCell ref="G1318:H1318"/>
    <mergeCell ref="G1319:H1319"/>
    <mergeCell ref="E1382:E1383"/>
    <mergeCell ref="G1382:G1383"/>
    <mergeCell ref="G1248:H1248"/>
    <mergeCell ref="F1179:H1179"/>
    <mergeCell ref="G1192:H1192"/>
    <mergeCell ref="G1234:G1235"/>
    <mergeCell ref="G1242:H1242"/>
    <mergeCell ref="G1243:H1243"/>
    <mergeCell ref="G1244:H1244"/>
    <mergeCell ref="G1245:H1245"/>
    <mergeCell ref="B1420:D1420"/>
    <mergeCell ref="C1252:D1252"/>
    <mergeCell ref="F1253:H1253"/>
    <mergeCell ref="B1272:D1272"/>
    <mergeCell ref="B1273:D1273"/>
    <mergeCell ref="G1266:H1266"/>
    <mergeCell ref="G1392:H1392"/>
    <mergeCell ref="G1393:H1393"/>
    <mergeCell ref="G1394:H1394"/>
    <mergeCell ref="G1396:H1396"/>
    <mergeCell ref="G1390:H1390"/>
    <mergeCell ref="G1391:H1391"/>
    <mergeCell ref="G1414:H1414"/>
    <mergeCell ref="B1346:D1346"/>
    <mergeCell ref="B1347:D1347"/>
    <mergeCell ref="B1382:D1382"/>
    <mergeCell ref="G1171:H1171"/>
    <mergeCell ref="G1172:H1172"/>
    <mergeCell ref="B1198:D1198"/>
    <mergeCell ref="B1199:D1199"/>
    <mergeCell ref="B1234:D1234"/>
    <mergeCell ref="E1234:E1235"/>
    <mergeCell ref="G1174:H1174"/>
    <mergeCell ref="C1178:D1178"/>
    <mergeCell ref="G1246:H1246"/>
    <mergeCell ref="F1105:H1105"/>
    <mergeCell ref="B1086:D1086"/>
    <mergeCell ref="E1086:E1087"/>
    <mergeCell ref="G1086:G1087"/>
    <mergeCell ref="G1094:H1094"/>
    <mergeCell ref="G1169:H1169"/>
    <mergeCell ref="G1170:H1170"/>
    <mergeCell ref="G1095:H1095"/>
    <mergeCell ref="G1096:H1096"/>
    <mergeCell ref="G1097:H1097"/>
    <mergeCell ref="G1098:H1098"/>
    <mergeCell ref="G1099:H1099"/>
    <mergeCell ref="G1118:H1118"/>
    <mergeCell ref="B1124:D1124"/>
    <mergeCell ref="B1125:D1125"/>
    <mergeCell ref="B1160:D1160"/>
    <mergeCell ref="E1160:E1161"/>
    <mergeCell ref="G1160:G1161"/>
    <mergeCell ref="G1168:H1168"/>
    <mergeCell ref="G1046:H1046"/>
    <mergeCell ref="B1051:D1051"/>
    <mergeCell ref="B977:D977"/>
    <mergeCell ref="G1012:G1013"/>
    <mergeCell ref="G1020:H1020"/>
    <mergeCell ref="G1021:H1021"/>
    <mergeCell ref="G1022:H1022"/>
    <mergeCell ref="G1023:H1023"/>
    <mergeCell ref="C1104:D1104"/>
    <mergeCell ref="G1024:H1024"/>
    <mergeCell ref="G1026:H1026"/>
    <mergeCell ref="C1030:D1030"/>
    <mergeCell ref="F1031:H1031"/>
    <mergeCell ref="B1012:D1012"/>
    <mergeCell ref="E1012:E1013"/>
    <mergeCell ref="G878:H878"/>
    <mergeCell ref="C882:D882"/>
    <mergeCell ref="F883:H883"/>
    <mergeCell ref="G898:H898"/>
    <mergeCell ref="G874:H874"/>
    <mergeCell ref="B903:D903"/>
    <mergeCell ref="B938:D938"/>
    <mergeCell ref="G972:H972"/>
    <mergeCell ref="B976:D976"/>
    <mergeCell ref="E938:E939"/>
    <mergeCell ref="G938:G939"/>
    <mergeCell ref="G946:H946"/>
    <mergeCell ref="G947:H947"/>
    <mergeCell ref="G948:H948"/>
    <mergeCell ref="G949:H949"/>
    <mergeCell ref="G950:H950"/>
    <mergeCell ref="G952:H952"/>
    <mergeCell ref="C956:D956"/>
    <mergeCell ref="F957:H957"/>
    <mergeCell ref="G876:H876"/>
    <mergeCell ref="B754:D754"/>
    <mergeCell ref="B789:D789"/>
    <mergeCell ref="E789:E790"/>
    <mergeCell ref="G789:G790"/>
    <mergeCell ref="C733:D733"/>
    <mergeCell ref="F734:H734"/>
    <mergeCell ref="G749:H749"/>
    <mergeCell ref="B753:D753"/>
    <mergeCell ref="G875:H875"/>
    <mergeCell ref="G803:H803"/>
    <mergeCell ref="G798:H798"/>
    <mergeCell ref="G799:H799"/>
    <mergeCell ref="G800:H800"/>
    <mergeCell ref="G801:H801"/>
    <mergeCell ref="C808:D808"/>
    <mergeCell ref="F809:H809"/>
    <mergeCell ref="G824:H824"/>
    <mergeCell ref="B829:D829"/>
    <mergeCell ref="G864:G865"/>
    <mergeCell ref="G872:H872"/>
    <mergeCell ref="G873:H873"/>
    <mergeCell ref="B864:D864"/>
    <mergeCell ref="E864:E865"/>
    <mergeCell ref="G727:H727"/>
    <mergeCell ref="G729:H729"/>
    <mergeCell ref="C659:D659"/>
    <mergeCell ref="F660:H660"/>
    <mergeCell ref="G675:H675"/>
    <mergeCell ref="B678:D678"/>
    <mergeCell ref="B679:D679"/>
    <mergeCell ref="B715:D715"/>
    <mergeCell ref="E715:E716"/>
    <mergeCell ref="G715:G716"/>
    <mergeCell ref="G723:H723"/>
    <mergeCell ref="G724:H724"/>
    <mergeCell ref="G725:H725"/>
    <mergeCell ref="G726:H726"/>
    <mergeCell ref="B532:D532"/>
    <mergeCell ref="B533:D533"/>
    <mergeCell ref="B567:D567"/>
    <mergeCell ref="E567:E568"/>
    <mergeCell ref="G580:H580"/>
    <mergeCell ref="G575:H575"/>
    <mergeCell ref="G653:H653"/>
    <mergeCell ref="G654:H654"/>
    <mergeCell ref="G601:H601"/>
    <mergeCell ref="G641:G642"/>
    <mergeCell ref="G649:H649"/>
    <mergeCell ref="G650:H650"/>
    <mergeCell ref="G651:H651"/>
    <mergeCell ref="G652:H652"/>
    <mergeCell ref="B605:D605"/>
    <mergeCell ref="B606:D606"/>
    <mergeCell ref="B641:D641"/>
    <mergeCell ref="E641:E642"/>
    <mergeCell ref="F440:H440"/>
    <mergeCell ref="G455:H455"/>
    <mergeCell ref="B458:D458"/>
    <mergeCell ref="B459:D459"/>
    <mergeCell ref="B494:D494"/>
    <mergeCell ref="G567:G568"/>
    <mergeCell ref="E494:E495"/>
    <mergeCell ref="G494:G495"/>
    <mergeCell ref="G797:H797"/>
    <mergeCell ref="G502:H502"/>
    <mergeCell ref="G503:H503"/>
    <mergeCell ref="G504:H504"/>
    <mergeCell ref="G505:H505"/>
    <mergeCell ref="G506:H506"/>
    <mergeCell ref="G507:H507"/>
    <mergeCell ref="G577:H577"/>
    <mergeCell ref="G578:H578"/>
    <mergeCell ref="G579:H579"/>
    <mergeCell ref="C585:D585"/>
    <mergeCell ref="F586:H586"/>
    <mergeCell ref="G576:H576"/>
    <mergeCell ref="C512:D512"/>
    <mergeCell ref="F513:H513"/>
    <mergeCell ref="G529:H529"/>
    <mergeCell ref="G433:H433"/>
    <mergeCell ref="C439:D439"/>
    <mergeCell ref="G377:H377"/>
    <mergeCell ref="B382:D382"/>
    <mergeCell ref="B419:D419"/>
    <mergeCell ref="E419:E420"/>
    <mergeCell ref="G419:G420"/>
    <mergeCell ref="G428:H428"/>
    <mergeCell ref="G429:H429"/>
    <mergeCell ref="G430:H430"/>
    <mergeCell ref="G431:H431"/>
    <mergeCell ref="G432:H432"/>
    <mergeCell ref="B263:D263"/>
    <mergeCell ref="E263:E264"/>
    <mergeCell ref="G263:G264"/>
    <mergeCell ref="G271:H271"/>
    <mergeCell ref="G272:H272"/>
    <mergeCell ref="G273:H273"/>
    <mergeCell ref="C282:D282"/>
    <mergeCell ref="B227:D227"/>
    <mergeCell ref="F361:H361"/>
    <mergeCell ref="B304:D304"/>
    <mergeCell ref="B305:D305"/>
    <mergeCell ref="B341:D341"/>
    <mergeCell ref="E341:E342"/>
    <mergeCell ref="G352:H352"/>
    <mergeCell ref="G353:H353"/>
    <mergeCell ref="G354:H354"/>
    <mergeCell ref="G341:G342"/>
    <mergeCell ref="G349:H349"/>
    <mergeCell ref="G350:H350"/>
    <mergeCell ref="G351:H351"/>
    <mergeCell ref="G193:H193"/>
    <mergeCell ref="G194:H194"/>
    <mergeCell ref="G195:H195"/>
    <mergeCell ref="F283:H283"/>
    <mergeCell ref="G299:H299"/>
    <mergeCell ref="G274:H274"/>
    <mergeCell ref="G275:H275"/>
    <mergeCell ref="G276:H276"/>
    <mergeCell ref="G219:H219"/>
    <mergeCell ref="F206:H206"/>
    <mergeCell ref="G196:H196"/>
    <mergeCell ref="G197:H197"/>
    <mergeCell ref="G198:H198"/>
    <mergeCell ref="G117:H117"/>
    <mergeCell ref="G118:H118"/>
    <mergeCell ref="B70:D70"/>
    <mergeCell ref="B107:D107"/>
    <mergeCell ref="E107:E108"/>
    <mergeCell ref="G107:G108"/>
    <mergeCell ref="G116:H116"/>
    <mergeCell ref="E185:E186"/>
    <mergeCell ref="G185:G186"/>
    <mergeCell ref="C205:D205"/>
    <mergeCell ref="B149:D149"/>
    <mergeCell ref="B185:D185"/>
    <mergeCell ref="B29:D29"/>
    <mergeCell ref="B30:D30"/>
    <mergeCell ref="G67:H67"/>
    <mergeCell ref="G29:H29"/>
    <mergeCell ref="C49:D49"/>
    <mergeCell ref="F50:H50"/>
    <mergeCell ref="E30:E31"/>
    <mergeCell ref="G30:G31"/>
    <mergeCell ref="G38:H38"/>
    <mergeCell ref="G44:H44"/>
    <mergeCell ref="G39:H39"/>
    <mergeCell ref="C127:D127"/>
    <mergeCell ref="F128:H128"/>
    <mergeCell ref="G143:H143"/>
    <mergeCell ref="B148:D148"/>
    <mergeCell ref="G120:H120"/>
    <mergeCell ref="G40:H40"/>
    <mergeCell ref="G41:H41"/>
    <mergeCell ref="G42:H42"/>
    <mergeCell ref="G115:H115"/>
    <mergeCell ref="G119:H119"/>
  </mergeCells>
  <phoneticPr fontId="0" type="noConversion"/>
  <pageMargins left="0.31" right="0.16" top="0.52" bottom="1" header="3.937007874015748E-2" footer="0"/>
  <pageSetup paperSize="9" scale="56" orientation="portrait" horizontalDpi="4294967294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1"/>
  <sheetViews>
    <sheetView workbookViewId="0">
      <selection activeCell="B10" sqref="B10"/>
    </sheetView>
  </sheetViews>
  <sheetFormatPr baseColWidth="10" defaultRowHeight="12.75" x14ac:dyDescent="0.2"/>
  <cols>
    <col min="4" max="4" width="11.42578125" style="82"/>
  </cols>
  <sheetData/>
  <phoneticPr fontId="0" type="noConversion"/>
  <pageMargins left="0.75" right="0.75" top="1" bottom="1" header="0" footer="0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selection activeCell="C5" sqref="C5"/>
    </sheetView>
  </sheetViews>
  <sheetFormatPr baseColWidth="10" defaultRowHeight="12.75" x14ac:dyDescent="0.2"/>
  <sheetData>
    <row r="1" spans="1:4" x14ac:dyDescent="0.2">
      <c r="A1" t="s">
        <v>183</v>
      </c>
    </row>
    <row r="2" spans="1:4" x14ac:dyDescent="0.2">
      <c r="A2" t="s">
        <v>176</v>
      </c>
      <c r="B2">
        <v>2002</v>
      </c>
      <c r="C2">
        <v>593</v>
      </c>
      <c r="D2">
        <v>2950</v>
      </c>
    </row>
    <row r="3" spans="1:4" x14ac:dyDescent="0.2">
      <c r="A3" t="s">
        <v>177</v>
      </c>
      <c r="C3">
        <v>720</v>
      </c>
      <c r="D3">
        <v>3589</v>
      </c>
    </row>
    <row r="4" spans="1:4" x14ac:dyDescent="0.2">
      <c r="A4" t="s">
        <v>178</v>
      </c>
      <c r="B4">
        <v>2002</v>
      </c>
      <c r="C4">
        <v>622</v>
      </c>
      <c r="D4">
        <v>3100</v>
      </c>
    </row>
    <row r="6" spans="1:4" x14ac:dyDescent="0.2">
      <c r="A6" t="s">
        <v>179</v>
      </c>
      <c r="C6">
        <v>697</v>
      </c>
      <c r="D6">
        <v>3472</v>
      </c>
    </row>
    <row r="7" spans="1:4" x14ac:dyDescent="0.2">
      <c r="A7" t="s">
        <v>180</v>
      </c>
      <c r="B7">
        <v>2002</v>
      </c>
      <c r="C7">
        <v>677</v>
      </c>
      <c r="D7">
        <v>3379</v>
      </c>
    </row>
    <row r="8" spans="1:4" x14ac:dyDescent="0.2">
      <c r="A8" t="s">
        <v>181</v>
      </c>
      <c r="C8">
        <v>689</v>
      </c>
      <c r="D8">
        <v>3430</v>
      </c>
    </row>
    <row r="9" spans="1:4" x14ac:dyDescent="0.2">
      <c r="A9" t="s">
        <v>182</v>
      </c>
      <c r="C9">
        <v>687</v>
      </c>
      <c r="D9">
        <v>3427</v>
      </c>
    </row>
    <row r="10" spans="1:4" x14ac:dyDescent="0.2">
      <c r="A10" t="s">
        <v>175</v>
      </c>
      <c r="B10">
        <v>2002</v>
      </c>
      <c r="C10">
        <v>667</v>
      </c>
      <c r="D10">
        <v>3327</v>
      </c>
    </row>
    <row r="11" spans="1:4" x14ac:dyDescent="0.2">
      <c r="A11" t="s">
        <v>176</v>
      </c>
      <c r="B11">
        <v>2003</v>
      </c>
      <c r="C11">
        <v>646</v>
      </c>
      <c r="D11">
        <v>3219</v>
      </c>
    </row>
    <row r="12" spans="1:4" x14ac:dyDescent="0.2">
      <c r="A12" t="s">
        <v>177</v>
      </c>
      <c r="C12">
        <v>881</v>
      </c>
      <c r="D12">
        <v>4391</v>
      </c>
    </row>
    <row r="13" spans="1:4" x14ac:dyDescent="0.2">
      <c r="A13" t="s">
        <v>184</v>
      </c>
      <c r="C13">
        <v>689</v>
      </c>
      <c r="D13">
        <v>3436</v>
      </c>
    </row>
    <row r="14" spans="1:4" x14ac:dyDescent="0.2">
      <c r="A14" t="s">
        <v>185</v>
      </c>
      <c r="C14">
        <v>680</v>
      </c>
    </row>
    <row r="15" spans="1:4" x14ac:dyDescent="0.2">
      <c r="A15" t="s">
        <v>179</v>
      </c>
      <c r="C15">
        <v>780</v>
      </c>
    </row>
  </sheetData>
  <phoneticPr fontId="0" type="noConversion"/>
  <pageMargins left="0.75" right="0.75" top="1" bottom="1" header="0" footer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G12"/>
  <sheetViews>
    <sheetView workbookViewId="0">
      <selection activeCell="D15" sqref="D15"/>
    </sheetView>
  </sheetViews>
  <sheetFormatPr baseColWidth="10" defaultRowHeight="12.75" x14ac:dyDescent="0.2"/>
  <cols>
    <col min="4" max="4" width="39.7109375" style="82" customWidth="1"/>
  </cols>
  <sheetData>
    <row r="2" spans="1:7" x14ac:dyDescent="0.2">
      <c r="A2" s="346" t="s">
        <v>164</v>
      </c>
      <c r="B2" s="346"/>
      <c r="C2" s="346"/>
      <c r="D2" s="346"/>
      <c r="E2" s="346"/>
      <c r="F2" s="346"/>
      <c r="G2" s="346"/>
    </row>
    <row r="4" spans="1:7" x14ac:dyDescent="0.2">
      <c r="A4" s="113" t="s">
        <v>168</v>
      </c>
    </row>
    <row r="7" spans="1:7" x14ac:dyDescent="0.2">
      <c r="A7" t="s">
        <v>165</v>
      </c>
      <c r="E7" s="82">
        <v>60393.599999999999</v>
      </c>
    </row>
    <row r="8" spans="1:7" x14ac:dyDescent="0.2">
      <c r="A8" t="s">
        <v>166</v>
      </c>
      <c r="E8" s="82">
        <f>-8052.31</f>
        <v>-8052.31</v>
      </c>
    </row>
    <row r="9" spans="1:7" x14ac:dyDescent="0.2">
      <c r="A9" t="s">
        <v>169</v>
      </c>
      <c r="E9" s="82">
        <v>-50960.07</v>
      </c>
    </row>
    <row r="10" spans="1:7" x14ac:dyDescent="0.2">
      <c r="A10" t="s">
        <v>170</v>
      </c>
      <c r="E10" s="82" t="e">
        <f>-'RES CUENTA'!#REF!+0.9</f>
        <v>#REF!</v>
      </c>
    </row>
    <row r="11" spans="1:7" x14ac:dyDescent="0.2">
      <c r="A11" t="s">
        <v>171</v>
      </c>
      <c r="E11" s="83">
        <v>100</v>
      </c>
    </row>
    <row r="12" spans="1:7" x14ac:dyDescent="0.2">
      <c r="A12" t="s">
        <v>167</v>
      </c>
      <c r="E12" s="82" t="e">
        <f>SUM(E7:E11)</f>
        <v>#REF!</v>
      </c>
    </row>
  </sheetData>
  <mergeCells count="1">
    <mergeCell ref="A2:G2"/>
  </mergeCells>
  <phoneticPr fontId="0" type="noConversion"/>
  <pageMargins left="0.75" right="0.75" top="1" bottom="1" header="0" footer="0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9</vt:i4>
      </vt:variant>
      <vt:variant>
        <vt:lpstr>Gráficos</vt:lpstr>
      </vt:variant>
      <vt:variant>
        <vt:i4>1</vt:i4>
      </vt:variant>
      <vt:variant>
        <vt:lpstr>Rangos con nombre</vt:lpstr>
      </vt:variant>
      <vt:variant>
        <vt:i4>5</vt:i4>
      </vt:variant>
    </vt:vector>
  </HeadingPairs>
  <TitlesOfParts>
    <vt:vector size="15" baseType="lpstr">
      <vt:lpstr>LIQ</vt:lpstr>
      <vt:lpstr>RES CUENTA</vt:lpstr>
      <vt:lpstr>INTERESES</vt:lpstr>
      <vt:lpstr>SUELDO</vt:lpstr>
      <vt:lpstr>RECIBOS (2)</vt:lpstr>
      <vt:lpstr>RECIBOS</vt:lpstr>
      <vt:lpstr>Hoja 3</vt:lpstr>
      <vt:lpstr>Hoja2</vt:lpstr>
      <vt:lpstr>Hoja1</vt:lpstr>
      <vt:lpstr>Gráfico1</vt:lpstr>
      <vt:lpstr>LIQ!Área_de_impresión</vt:lpstr>
      <vt:lpstr>RECIBOS!Área_de_impresión</vt:lpstr>
      <vt:lpstr>'RECIBOS (2)'!Área_de_impresión</vt:lpstr>
      <vt:lpstr>'RES CUENTA'!Área_de_impresión</vt:lpstr>
      <vt:lpstr>SUELDO!Área_de_impresión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Karina Malito</cp:lastModifiedBy>
  <cp:lastPrinted>2026-05-29T18:28:21Z</cp:lastPrinted>
  <dcterms:created xsi:type="dcterms:W3CDTF">2002-09-08T00:47:01Z</dcterms:created>
  <dcterms:modified xsi:type="dcterms:W3CDTF">2026-06-02T14:02:51Z</dcterms:modified>
</cp:coreProperties>
</file>